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8.xml" ContentType="application/vnd.openxmlformats-officedocument.drawing+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6"/>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B2" i="13" l="1"/>
  <c r="B1" i="13"/>
  <c r="B54" i="13"/>
  <c r="C43" i="6"/>
  <c r="D43" i="6"/>
  <c r="E43" i="6"/>
  <c r="F43" i="6"/>
  <c r="G43" i="6"/>
  <c r="H43" i="6"/>
  <c r="I43" i="6"/>
  <c r="J43" i="6"/>
  <c r="K43" i="6"/>
  <c r="L43" i="6"/>
  <c r="M43" i="6"/>
  <c r="N43" i="6"/>
  <c r="O43" i="6"/>
  <c r="P43" i="6"/>
  <c r="Q43" i="6"/>
  <c r="R43" i="6"/>
  <c r="S43" i="6"/>
  <c r="T43" i="6"/>
  <c r="U43" i="6"/>
  <c r="V43" i="6"/>
  <c r="W43" i="6"/>
  <c r="X43" i="6"/>
  <c r="Y43" i="6"/>
  <c r="Z43" i="6"/>
  <c r="AA43" i="6"/>
  <c r="AB43" i="6"/>
  <c r="AC43" i="6"/>
  <c r="AD43" i="6"/>
  <c r="AE43" i="6"/>
  <c r="AF43" i="6"/>
  <c r="AG43" i="6"/>
  <c r="AH43" i="6"/>
  <c r="B43" i="6"/>
  <c r="C108" i="5"/>
  <c r="D108" i="5"/>
  <c r="E108" i="5"/>
  <c r="F108" i="5"/>
  <c r="G108" i="5"/>
  <c r="H108" i="5"/>
  <c r="I108" i="5"/>
  <c r="J108" i="5"/>
  <c r="B108" i="5"/>
  <c r="B28" i="12"/>
  <c r="C28" i="12"/>
  <c r="D28" i="12"/>
  <c r="B27" i="12"/>
  <c r="C27" i="12"/>
  <c r="D27" i="12"/>
  <c r="B26" i="12"/>
  <c r="C26" i="12"/>
  <c r="D26" i="12"/>
  <c r="B25" i="12"/>
  <c r="C25" i="12"/>
  <c r="D25" i="12"/>
  <c r="B24" i="12"/>
  <c r="C24" i="12"/>
  <c r="D24" i="12"/>
  <c r="B23" i="12"/>
  <c r="C23" i="12"/>
  <c r="D23" i="12"/>
  <c r="B22" i="12"/>
  <c r="C22" i="12"/>
  <c r="D22" i="12"/>
  <c r="B21" i="12"/>
  <c r="C21" i="12"/>
  <c r="D21" i="12"/>
  <c r="B20" i="12"/>
  <c r="C20" i="12"/>
  <c r="D20" i="12"/>
  <c r="B19" i="12"/>
  <c r="C19" i="12"/>
  <c r="D19" i="12"/>
  <c r="B18" i="12"/>
  <c r="C18" i="12"/>
  <c r="D18" i="12"/>
  <c r="B17" i="12"/>
  <c r="C17" i="12"/>
  <c r="D17" i="12"/>
  <c r="B16" i="12"/>
  <c r="C16" i="12"/>
  <c r="D16" i="12"/>
  <c r="B15" i="12"/>
  <c r="C15" i="12"/>
  <c r="D15" i="12"/>
  <c r="B14" i="12"/>
  <c r="C14" i="12"/>
  <c r="D14" i="12"/>
  <c r="B13" i="12"/>
  <c r="C13" i="12"/>
  <c r="D13" i="12"/>
  <c r="B12" i="12"/>
  <c r="C12" i="12"/>
  <c r="D12" i="12"/>
  <c r="B11" i="12"/>
  <c r="C11" i="12"/>
  <c r="D11" i="12"/>
  <c r="B10" i="12"/>
  <c r="C10" i="12"/>
  <c r="D10" i="12"/>
  <c r="B9" i="12"/>
  <c r="C9" i="12"/>
  <c r="D9" i="12"/>
  <c r="B8" i="12"/>
  <c r="C8" i="12"/>
  <c r="D8" i="12"/>
  <c r="B7" i="12"/>
  <c r="C7" i="12"/>
  <c r="D7" i="12"/>
  <c r="B6" i="12"/>
  <c r="C6" i="12"/>
  <c r="D6" i="12"/>
  <c r="B5" i="12"/>
  <c r="C5" i="12"/>
  <c r="D5" i="12"/>
  <c r="B4" i="12"/>
  <c r="C4" i="12"/>
  <c r="D4" i="12"/>
  <c r="B3" i="12"/>
  <c r="C3" i="12"/>
  <c r="D3" i="12"/>
  <c r="B2" i="12"/>
  <c r="C2" i="12"/>
  <c r="D2" i="12"/>
  <c r="B34" i="7"/>
  <c r="C34" i="7"/>
  <c r="D34" i="7"/>
  <c r="B82" i="11"/>
  <c r="C82" i="11"/>
  <c r="D82" i="11"/>
  <c r="B101" i="11"/>
  <c r="C101" i="11"/>
  <c r="D101" i="11"/>
  <c r="B100" i="11"/>
  <c r="C100" i="11"/>
  <c r="D100" i="11"/>
  <c r="B99" i="11"/>
  <c r="C99" i="11"/>
  <c r="D99" i="11"/>
  <c r="B98" i="11"/>
  <c r="C98" i="11"/>
  <c r="D98" i="11"/>
  <c r="B97" i="11"/>
  <c r="C97" i="11"/>
  <c r="D97" i="11"/>
  <c r="B96" i="11"/>
  <c r="C96" i="11"/>
  <c r="D96" i="11"/>
  <c r="B95" i="11"/>
  <c r="C95" i="11"/>
  <c r="D95" i="11"/>
  <c r="B94" i="11"/>
  <c r="C94" i="11"/>
  <c r="D94" i="11"/>
  <c r="B93" i="11"/>
  <c r="C93" i="11"/>
  <c r="D93" i="11"/>
  <c r="B92" i="11"/>
  <c r="C92" i="11"/>
  <c r="D92" i="11"/>
  <c r="B91" i="11"/>
  <c r="C91" i="11"/>
  <c r="D91" i="11"/>
  <c r="B90" i="11"/>
  <c r="C90" i="11"/>
  <c r="D90" i="11"/>
  <c r="B89" i="11"/>
  <c r="C89" i="11"/>
  <c r="D89" i="11"/>
  <c r="B88" i="11"/>
  <c r="C88" i="11"/>
  <c r="D88" i="11"/>
  <c r="B87" i="11"/>
  <c r="C87" i="11"/>
  <c r="D87" i="11"/>
  <c r="B86" i="11"/>
  <c r="C86" i="11"/>
  <c r="D86" i="11"/>
  <c r="B85" i="11"/>
  <c r="C85" i="11"/>
  <c r="D85" i="11"/>
  <c r="B84" i="11"/>
  <c r="C84" i="11"/>
  <c r="D84" i="11"/>
  <c r="B83" i="11"/>
  <c r="C83" i="11"/>
  <c r="D83" i="11"/>
  <c r="B81" i="11"/>
  <c r="C81" i="11"/>
  <c r="D81" i="11"/>
  <c r="B76" i="11"/>
  <c r="C76" i="11"/>
  <c r="D76" i="11"/>
  <c r="B75" i="11"/>
  <c r="C75" i="11"/>
  <c r="D75" i="11"/>
  <c r="B74" i="11"/>
  <c r="C74" i="11"/>
  <c r="D74" i="11"/>
  <c r="B71" i="11"/>
  <c r="C71" i="11"/>
  <c r="D71" i="11"/>
  <c r="B68" i="11"/>
  <c r="C68" i="11"/>
  <c r="D68" i="11"/>
  <c r="B67" i="11"/>
  <c r="C67" i="11"/>
  <c r="D67" i="11"/>
  <c r="B64" i="11"/>
  <c r="C64" i="11"/>
  <c r="D64" i="11"/>
  <c r="B63" i="11"/>
  <c r="C63" i="11"/>
  <c r="B56" i="11"/>
  <c r="C56" i="11"/>
  <c r="D56" i="11"/>
  <c r="B55" i="11"/>
  <c r="B54" i="11"/>
  <c r="C54" i="11"/>
  <c r="D54" i="11"/>
  <c r="B53" i="11"/>
  <c r="C53" i="11"/>
  <c r="D53" i="11"/>
  <c r="B52" i="11"/>
  <c r="C52" i="11"/>
  <c r="D52" i="11"/>
  <c r="B50" i="11"/>
  <c r="B51" i="11" s="1"/>
  <c r="C50" i="11"/>
  <c r="D50" i="11"/>
  <c r="B49" i="11"/>
  <c r="B57" i="11" s="1"/>
  <c r="C49" i="11"/>
  <c r="C55" i="11" s="1"/>
  <c r="D49" i="11"/>
  <c r="D63" i="11" s="1"/>
  <c r="B42" i="11"/>
  <c r="C42" i="11"/>
  <c r="D42" i="11"/>
  <c r="B41" i="11"/>
  <c r="C41" i="11"/>
  <c r="D41" i="11"/>
  <c r="B40" i="11"/>
  <c r="C40" i="11"/>
  <c r="D40" i="11"/>
  <c r="B39" i="11"/>
  <c r="C39" i="11"/>
  <c r="D39" i="11"/>
  <c r="B38" i="11"/>
  <c r="C38" i="11"/>
  <c r="D38" i="11"/>
  <c r="B37" i="11"/>
  <c r="C37" i="11"/>
  <c r="D37" i="11"/>
  <c r="B36" i="11"/>
  <c r="C36" i="11"/>
  <c r="D36" i="11"/>
  <c r="B35" i="11"/>
  <c r="B43" i="11" s="1"/>
  <c r="B46" i="11" s="1"/>
  <c r="C35" i="11"/>
  <c r="D35" i="11"/>
  <c r="B34" i="11"/>
  <c r="C34" i="11"/>
  <c r="C43" i="11" s="1"/>
  <c r="C46" i="11" s="1"/>
  <c r="D34" i="11"/>
  <c r="D43" i="11" s="1"/>
  <c r="D46" i="11" s="1"/>
  <c r="B32" i="11"/>
  <c r="C32" i="11"/>
  <c r="D32" i="11"/>
  <c r="B19" i="11"/>
  <c r="C19" i="11"/>
  <c r="D19" i="11"/>
  <c r="B27" i="11"/>
  <c r="C27" i="11"/>
  <c r="D27" i="11"/>
  <c r="B26" i="11"/>
  <c r="C26" i="11"/>
  <c r="D26" i="11"/>
  <c r="D23" i="11"/>
  <c r="C21" i="11"/>
  <c r="D21" i="11"/>
  <c r="D24" i="11" s="1"/>
  <c r="B22" i="11"/>
  <c r="B23" i="11" s="1"/>
  <c r="C22" i="11"/>
  <c r="C23" i="11" s="1"/>
  <c r="D22" i="11"/>
  <c r="B20" i="11"/>
  <c r="B21" i="11" s="1"/>
  <c r="B24" i="11" s="1"/>
  <c r="C20" i="11"/>
  <c r="D20" i="11"/>
  <c r="D12" i="11"/>
  <c r="B11" i="11"/>
  <c r="B10" i="11"/>
  <c r="C10" i="11"/>
  <c r="D10" i="11"/>
  <c r="B9" i="11"/>
  <c r="C9" i="11"/>
  <c r="C11" i="11" s="1"/>
  <c r="D9" i="11"/>
  <c r="D11" i="11" s="1"/>
  <c r="B8" i="11"/>
  <c r="C8" i="11"/>
  <c r="D8" i="11"/>
  <c r="B7" i="11"/>
  <c r="C7" i="11"/>
  <c r="D7" i="11"/>
  <c r="B6" i="11"/>
  <c r="C6" i="11"/>
  <c r="D6" i="11"/>
  <c r="D14" i="11" s="1"/>
  <c r="B5" i="11"/>
  <c r="C5" i="11"/>
  <c r="D5" i="11"/>
  <c r="D4" i="11"/>
  <c r="B3" i="11"/>
  <c r="C3" i="11"/>
  <c r="D3" i="11"/>
  <c r="B2" i="11"/>
  <c r="B13" i="11" s="1"/>
  <c r="C2" i="11"/>
  <c r="C13" i="11" s="1"/>
  <c r="D2" i="11"/>
  <c r="D13" i="11" s="1"/>
  <c r="B64" i="10"/>
  <c r="C64" i="10"/>
  <c r="D64" i="10"/>
  <c r="B63" i="10"/>
  <c r="C63" i="10"/>
  <c r="D63" i="10"/>
  <c r="B62" i="10"/>
  <c r="C62" i="10"/>
  <c r="D62" i="10"/>
  <c r="B61" i="10"/>
  <c r="C61" i="10"/>
  <c r="D61" i="10"/>
  <c r="B60" i="10"/>
  <c r="C60" i="10"/>
  <c r="D60" i="10"/>
  <c r="B42" i="10"/>
  <c r="C42" i="10"/>
  <c r="D42" i="10"/>
  <c r="B41" i="10"/>
  <c r="C41" i="10"/>
  <c r="D41" i="10"/>
  <c r="B40" i="10"/>
  <c r="C40" i="10"/>
  <c r="D40" i="10"/>
  <c r="B39" i="10"/>
  <c r="C39" i="10"/>
  <c r="D39" i="10"/>
  <c r="B54" i="10"/>
  <c r="C54" i="10"/>
  <c r="D54" i="10"/>
  <c r="B53" i="10"/>
  <c r="C53" i="10"/>
  <c r="D53" i="10"/>
  <c r="B50" i="10"/>
  <c r="C50" i="10"/>
  <c r="D50" i="10"/>
  <c r="B48" i="10"/>
  <c r="C48" i="10"/>
  <c r="D48" i="10"/>
  <c r="B47" i="10"/>
  <c r="C47" i="10"/>
  <c r="D47" i="10"/>
  <c r="B23" i="10"/>
  <c r="B24" i="10" s="1"/>
  <c r="C23" i="10"/>
  <c r="C24" i="10" s="1"/>
  <c r="D23" i="10"/>
  <c r="D56" i="10" s="1"/>
  <c r="D57" i="10" s="1"/>
  <c r="D21" i="10"/>
  <c r="B20" i="10"/>
  <c r="B21" i="10" s="1"/>
  <c r="C20" i="10"/>
  <c r="D20" i="10"/>
  <c r="B18" i="10"/>
  <c r="B19" i="10" s="1"/>
  <c r="C18" i="10"/>
  <c r="C19" i="10" s="1"/>
  <c r="D18" i="10"/>
  <c r="D19" i="10" s="1"/>
  <c r="B16" i="10"/>
  <c r="C16" i="10"/>
  <c r="C17" i="10" s="1"/>
  <c r="D16" i="10"/>
  <c r="D17" i="10" s="1"/>
  <c r="B14" i="10"/>
  <c r="C14" i="10"/>
  <c r="D14" i="10"/>
  <c r="D13" i="10"/>
  <c r="B12" i="10"/>
  <c r="B13" i="10" s="1"/>
  <c r="C12" i="10"/>
  <c r="D12" i="10"/>
  <c r="B10" i="10"/>
  <c r="B11" i="10" s="1"/>
  <c r="C10" i="10"/>
  <c r="C11" i="10" s="1"/>
  <c r="D10" i="10"/>
  <c r="D11" i="10" s="1"/>
  <c r="D8" i="10"/>
  <c r="B7" i="10"/>
  <c r="C7" i="10"/>
  <c r="D7" i="10"/>
  <c r="D5" i="10"/>
  <c r="B4" i="10"/>
  <c r="C4" i="10"/>
  <c r="D4" i="10"/>
  <c r="B2" i="10"/>
  <c r="B17" i="10" s="1"/>
  <c r="C2" i="10"/>
  <c r="C13" i="10" s="1"/>
  <c r="D2" i="10"/>
  <c r="D15" i="10" s="1"/>
  <c r="B85" i="9"/>
  <c r="C85" i="9"/>
  <c r="D85" i="9"/>
  <c r="B84" i="9"/>
  <c r="C84" i="9"/>
  <c r="D84" i="9"/>
  <c r="B83" i="9"/>
  <c r="C83" i="9"/>
  <c r="D83" i="9"/>
  <c r="B82" i="9"/>
  <c r="C82" i="9"/>
  <c r="D82" i="9"/>
  <c r="B81" i="9"/>
  <c r="C81" i="9"/>
  <c r="D81" i="9"/>
  <c r="B80" i="9"/>
  <c r="C80" i="9"/>
  <c r="D80" i="9"/>
  <c r="B79" i="9"/>
  <c r="C79" i="9"/>
  <c r="D79" i="9"/>
  <c r="B78" i="9"/>
  <c r="C78" i="9"/>
  <c r="D78" i="9"/>
  <c r="B77" i="9"/>
  <c r="C77" i="9"/>
  <c r="D77" i="9"/>
  <c r="B74" i="9"/>
  <c r="C74" i="9"/>
  <c r="D74" i="9"/>
  <c r="B81" i="5"/>
  <c r="C81" i="5"/>
  <c r="D81" i="5"/>
  <c r="B72" i="5"/>
  <c r="C72" i="5"/>
  <c r="D72" i="5"/>
  <c r="B10" i="9"/>
  <c r="B47" i="9" s="1"/>
  <c r="C10" i="9"/>
  <c r="D10" i="9"/>
  <c r="D67" i="9" s="1"/>
  <c r="B67" i="9"/>
  <c r="C67" i="9"/>
  <c r="B66" i="9"/>
  <c r="C66" i="9"/>
  <c r="D66" i="9"/>
  <c r="B62" i="9"/>
  <c r="C62" i="9"/>
  <c r="D62" i="9"/>
  <c r="B61" i="9"/>
  <c r="C61" i="9"/>
  <c r="D61" i="9"/>
  <c r="B60" i="9"/>
  <c r="C60" i="9"/>
  <c r="D60" i="9"/>
  <c r="B59" i="9"/>
  <c r="C59" i="9"/>
  <c r="D59" i="9"/>
  <c r="B58" i="9"/>
  <c r="C58" i="9"/>
  <c r="D58" i="9"/>
  <c r="B57" i="9"/>
  <c r="C57" i="9"/>
  <c r="D57" i="9"/>
  <c r="B56" i="9"/>
  <c r="C56" i="9"/>
  <c r="D56" i="9"/>
  <c r="B55" i="9"/>
  <c r="C55" i="9"/>
  <c r="D55" i="9"/>
  <c r="B54" i="9"/>
  <c r="C54" i="9"/>
  <c r="D54" i="9"/>
  <c r="B46" i="9"/>
  <c r="C44" i="9"/>
  <c r="D44" i="9"/>
  <c r="B41" i="9"/>
  <c r="C41" i="9"/>
  <c r="D39" i="9"/>
  <c r="B38" i="9"/>
  <c r="C38" i="9"/>
  <c r="D38" i="9"/>
  <c r="C16" i="9"/>
  <c r="D16" i="9"/>
  <c r="B14" i="9"/>
  <c r="B51" i="9" s="1"/>
  <c r="B11" i="9"/>
  <c r="C11" i="9"/>
  <c r="D11" i="9"/>
  <c r="B9" i="9"/>
  <c r="C9" i="9"/>
  <c r="C46" i="9" s="1"/>
  <c r="D9" i="9"/>
  <c r="B8" i="9"/>
  <c r="B45" i="9" s="1"/>
  <c r="C8" i="9"/>
  <c r="C45" i="9" s="1"/>
  <c r="D8" i="9"/>
  <c r="D45" i="9" s="1"/>
  <c r="B7" i="9"/>
  <c r="B44" i="9" s="1"/>
  <c r="C7" i="9"/>
  <c r="D7" i="9"/>
  <c r="B6" i="9"/>
  <c r="B43" i="9" s="1"/>
  <c r="C6" i="9"/>
  <c r="C43" i="9" s="1"/>
  <c r="D6" i="9"/>
  <c r="D43" i="9" s="1"/>
  <c r="B5" i="9"/>
  <c r="B42" i="9" s="1"/>
  <c r="C5" i="9"/>
  <c r="C42" i="9" s="1"/>
  <c r="D5" i="9"/>
  <c r="D42" i="9" s="1"/>
  <c r="B4" i="9"/>
  <c r="C4" i="9"/>
  <c r="D4" i="9"/>
  <c r="D41" i="9" s="1"/>
  <c r="B3" i="9"/>
  <c r="B40" i="9" s="1"/>
  <c r="C3" i="9"/>
  <c r="C40" i="9" s="1"/>
  <c r="D3" i="9"/>
  <c r="D40" i="9" s="1"/>
  <c r="B2" i="9"/>
  <c r="B39" i="9" s="1"/>
  <c r="C2" i="9"/>
  <c r="C39" i="9" s="1"/>
  <c r="D2" i="9"/>
  <c r="B12" i="8"/>
  <c r="C12" i="8"/>
  <c r="D12" i="8"/>
  <c r="B10" i="8"/>
  <c r="C10" i="8"/>
  <c r="D10" i="8"/>
  <c r="B9" i="8"/>
  <c r="C9" i="8"/>
  <c r="D9" i="8"/>
  <c r="B8" i="8"/>
  <c r="C8" i="8"/>
  <c r="D8" i="8"/>
  <c r="B6" i="8"/>
  <c r="C6" i="8"/>
  <c r="D6" i="8"/>
  <c r="B3" i="8"/>
  <c r="C3" i="8"/>
  <c r="D3" i="8"/>
  <c r="B45" i="7"/>
  <c r="B49" i="7" s="1"/>
  <c r="C45" i="7"/>
  <c r="D45" i="7"/>
  <c r="C49" i="7"/>
  <c r="D49" i="7"/>
  <c r="B23" i="7"/>
  <c r="C23" i="7"/>
  <c r="D23" i="7"/>
  <c r="B22" i="7"/>
  <c r="C22" i="7"/>
  <c r="D22" i="7"/>
  <c r="B5" i="7"/>
  <c r="C5" i="7"/>
  <c r="D5" i="7"/>
  <c r="B19" i="7"/>
  <c r="C19" i="7"/>
  <c r="D19" i="7"/>
  <c r="D21" i="7" s="1"/>
  <c r="B21" i="7"/>
  <c r="C21" i="7"/>
  <c r="B17" i="7"/>
  <c r="C17" i="7"/>
  <c r="D17" i="7"/>
  <c r="B13" i="7"/>
  <c r="C13" i="7"/>
  <c r="D13" i="7"/>
  <c r="B12" i="7"/>
  <c r="C12" i="7"/>
  <c r="D12" i="7"/>
  <c r="B11" i="7"/>
  <c r="C11" i="7"/>
  <c r="D11" i="7"/>
  <c r="C14" i="11" l="1"/>
  <c r="C4" i="11"/>
  <c r="C12" i="11"/>
  <c r="C24" i="11"/>
  <c r="D51" i="11"/>
  <c r="B4" i="11"/>
  <c r="B12" i="11"/>
  <c r="B14" i="11" s="1"/>
  <c r="C51" i="11"/>
  <c r="D57" i="11"/>
  <c r="C57" i="11"/>
  <c r="D55" i="11"/>
  <c r="D22" i="10"/>
  <c r="C15" i="10"/>
  <c r="C22" i="10" s="1"/>
  <c r="C56" i="10"/>
  <c r="C57" i="10" s="1"/>
  <c r="B15" i="10"/>
  <c r="B22" i="10" s="1"/>
  <c r="B56" i="10"/>
  <c r="B57" i="10" s="1"/>
  <c r="C21" i="10"/>
  <c r="D24" i="10"/>
  <c r="B5" i="10"/>
  <c r="C8" i="10"/>
  <c r="C5" i="10"/>
  <c r="B8" i="10"/>
  <c r="D55" i="10"/>
  <c r="C55" i="10"/>
  <c r="B55" i="10"/>
  <c r="D68" i="9"/>
  <c r="C68" i="9"/>
  <c r="B68" i="9"/>
  <c r="D14" i="9"/>
  <c r="B16" i="9"/>
  <c r="C14" i="9"/>
  <c r="D46" i="9"/>
  <c r="B48" i="9"/>
  <c r="CL27" i="12"/>
  <c r="C51" i="9" l="1"/>
  <c r="D51" i="9"/>
  <c r="D47" i="9"/>
  <c r="C48" i="9"/>
  <c r="D48" i="9"/>
  <c r="C47" i="9"/>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M87" i="11" l="1"/>
  <c r="BZ100" i="11"/>
  <c r="BZ101" i="11" s="1"/>
  <c r="BE87" i="11"/>
  <c r="CC87" i="11"/>
  <c r="BU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D72" i="11" s="1"/>
  <c r="D73" i="11" s="1"/>
  <c r="G71" i="11"/>
  <c r="C72" i="11" s="1"/>
  <c r="C73" i="11" s="1"/>
  <c r="F71" i="11"/>
  <c r="B72" i="11" s="1"/>
  <c r="B73" i="11" s="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D69" i="11" s="1"/>
  <c r="D70" i="11" s="1"/>
  <c r="G68" i="11"/>
  <c r="C69" i="11" s="1"/>
  <c r="C70" i="11" s="1"/>
  <c r="F68" i="11"/>
  <c r="B69" i="11" s="1"/>
  <c r="B70" i="11" s="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D65" i="11" s="1"/>
  <c r="D66" i="11" s="1"/>
  <c r="G64" i="11"/>
  <c r="C65" i="11" s="1"/>
  <c r="C66" i="11" s="1"/>
  <c r="F64" i="11"/>
  <c r="B65" i="11" s="1"/>
  <c r="B66" i="11" s="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1" i="10" s="1"/>
  <c r="CK32"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D6" i="10" s="1"/>
  <c r="G4" i="10"/>
  <c r="C6" i="10" s="1"/>
  <c r="F4" i="10"/>
  <c r="B6" i="10" s="1"/>
  <c r="E4" i="10"/>
  <c r="CJ2" i="10"/>
  <c r="CI2" i="10"/>
  <c r="CH2" i="10"/>
  <c r="CH3" i="10" s="1"/>
  <c r="CG2" i="10"/>
  <c r="CG3" i="10" s="1"/>
  <c r="CF2" i="10"/>
  <c r="CE2" i="10"/>
  <c r="CD2" i="10"/>
  <c r="CC2" i="10"/>
  <c r="CB2" i="10"/>
  <c r="CA2" i="10"/>
  <c r="BZ2" i="10"/>
  <c r="BY2" i="10"/>
  <c r="BX2" i="10"/>
  <c r="BW2" i="10"/>
  <c r="BV2" i="10"/>
  <c r="BU2" i="10"/>
  <c r="BT2" i="10"/>
  <c r="BS2" i="10"/>
  <c r="BR2" i="10"/>
  <c r="BQ2" i="10"/>
  <c r="BP2" i="10"/>
  <c r="BO2" i="10"/>
  <c r="BN2" i="10"/>
  <c r="BM2" i="10"/>
  <c r="BL2" i="10"/>
  <c r="BK2" i="10"/>
  <c r="BJ2" i="10"/>
  <c r="BI2" i="10"/>
  <c r="BH2" i="10"/>
  <c r="BG2" i="10"/>
  <c r="BF2" i="10"/>
  <c r="BE2" i="10"/>
  <c r="BD2" i="10"/>
  <c r="BC2" i="10"/>
  <c r="BB2" i="10"/>
  <c r="BA2" i="10"/>
  <c r="AZ2" i="10"/>
  <c r="AY2" i="10"/>
  <c r="AX2" i="10"/>
  <c r="AW2" i="10"/>
  <c r="AV2" i="10"/>
  <c r="AU2" i="10"/>
  <c r="AT2" i="10"/>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D3" i="10" s="1"/>
  <c r="G2" i="10"/>
  <c r="C3" i="10" s="1"/>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E11" i="7" s="1"/>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D24" i="6" s="1"/>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AX24" i="6"/>
  <c r="AV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B3" i="10"/>
  <c r="B12" i="9"/>
  <c r="B4" i="8"/>
  <c r="C12" i="9"/>
  <c r="C4" i="8"/>
  <c r="D12" i="9"/>
  <c r="D4" i="8"/>
  <c r="AT3" i="10"/>
  <c r="BB3" i="10"/>
  <c r="BJ3" i="10"/>
  <c r="BR3" i="10"/>
  <c r="BZ3" i="10"/>
  <c r="BZ6" i="10"/>
  <c r="CH65" i="11"/>
  <c r="CH66" i="11" s="1"/>
  <c r="CE27" i="6"/>
  <c r="CE32" i="10" s="1"/>
  <c r="T6" i="10"/>
  <c r="AB6" i="10"/>
  <c r="AR6" i="10"/>
  <c r="AZ6" i="10"/>
  <c r="BH6" i="10"/>
  <c r="BP6" i="10"/>
  <c r="BX6" i="10"/>
  <c r="CF6" i="10"/>
  <c r="BI5" i="10"/>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P13" i="12" s="1"/>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8"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AU7" i="10"/>
  <c r="AU8" i="10" s="1"/>
  <c r="AU7" i="6"/>
  <c r="BC7" i="10"/>
  <c r="BC7" i="6"/>
  <c r="BK7" i="10"/>
  <c r="BK7" i="6"/>
  <c r="BS7" i="10"/>
  <c r="BS8" i="10" s="1"/>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C26" i="12" s="1"/>
  <c r="AC27" i="12" s="1"/>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7" i="6"/>
  <c r="N7" i="10"/>
  <c r="N8" i="10" s="1"/>
  <c r="N7" i="6"/>
  <c r="V7" i="10"/>
  <c r="V8" i="10" s="1"/>
  <c r="V7" i="6"/>
  <c r="AD7" i="10"/>
  <c r="AD8" i="10" s="1"/>
  <c r="AD7" i="6"/>
  <c r="G7" i="10"/>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53" i="11" s="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53" i="11" s="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53" i="11" s="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53" i="11" s="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53" i="11" s="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13" i="12"/>
  <c r="BA13" i="12"/>
  <c r="CK18" i="12"/>
  <c r="AE13" i="12"/>
  <c r="X13" i="12"/>
  <c r="BL13" i="12"/>
  <c r="CJ13" i="12"/>
  <c r="Z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T57" i="11"/>
  <c r="AB57" i="11"/>
  <c r="AR57" i="11"/>
  <c r="AZ57" i="11"/>
  <c r="BP57" i="11"/>
  <c r="BX57" i="11"/>
  <c r="CF57" i="11"/>
  <c r="G63" i="11"/>
  <c r="G65" i="11" s="1"/>
  <c r="G66" i="11" s="1"/>
  <c r="R63" i="11"/>
  <c r="R65" i="11" s="1"/>
  <c r="R66" i="11" s="1"/>
  <c r="CJ53" i="11"/>
  <c r="AD63" i="11"/>
  <c r="AD65" i="11" s="1"/>
  <c r="AD66" i="11" s="1"/>
  <c r="AX63" i="11"/>
  <c r="AX65" i="11" s="1"/>
  <c r="AX66" i="11" s="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G8" i="10" l="1"/>
  <c r="C9" i="10"/>
  <c r="F8" i="10"/>
  <c r="B9" i="10"/>
  <c r="H8" i="10"/>
  <c r="D9" i="10"/>
  <c r="D5" i="8"/>
  <c r="D11" i="8"/>
  <c r="D69" i="9"/>
  <c r="D70" i="9" s="1"/>
  <c r="D13" i="9"/>
  <c r="D49" i="9"/>
  <c r="C5" i="8"/>
  <c r="C11" i="8"/>
  <c r="C69" i="9"/>
  <c r="C70" i="9" s="1"/>
  <c r="C13" i="9"/>
  <c r="C49" i="9"/>
  <c r="B11" i="8"/>
  <c r="B5" i="8"/>
  <c r="B69" i="9"/>
  <c r="B70" i="9" s="1"/>
  <c r="B13" i="9"/>
  <c r="B49" i="9"/>
  <c r="BX32" i="9"/>
  <c r="BZ32" i="9"/>
  <c r="AJ74" i="11"/>
  <c r="AJ75" i="11" s="1"/>
  <c r="AU32" i="9"/>
  <c r="CK27" i="12"/>
  <c r="CK28" i="12" s="1"/>
  <c r="CH27" i="12"/>
  <c r="CH28" i="12" s="1"/>
  <c r="CJ27" i="12"/>
  <c r="CJ28" i="12" s="1"/>
  <c r="CI27" i="12"/>
  <c r="CI28" i="12" s="1"/>
  <c r="BR74" i="11"/>
  <c r="BO9" i="10"/>
  <c r="CC9" i="10"/>
  <c r="D11" i="13"/>
  <c r="D12" i="13" s="1"/>
  <c r="BQ32" i="9"/>
  <c r="CD32" i="9"/>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50" i="9" l="1"/>
  <c r="B71" i="9"/>
  <c r="B17" i="9"/>
  <c r="B15" i="9"/>
  <c r="C13" i="8"/>
  <c r="C7" i="8"/>
  <c r="B7" i="8"/>
  <c r="B13" i="8"/>
  <c r="D71" i="9"/>
  <c r="D15" i="9"/>
  <c r="D17" i="9"/>
  <c r="D50" i="9"/>
  <c r="C71" i="9"/>
  <c r="C17" i="9"/>
  <c r="C15" i="9"/>
  <c r="C50" i="9"/>
  <c r="D13" i="8"/>
  <c r="D7" i="8"/>
  <c r="CE28" i="12"/>
  <c r="BE5" i="8"/>
  <c r="BQ5" i="8"/>
  <c r="X29" i="9"/>
  <c r="BP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C73" i="9" l="1"/>
  <c r="C72" i="9"/>
  <c r="B73" i="9"/>
  <c r="B72" i="9"/>
  <c r="D72" i="9"/>
  <c r="D73" i="9"/>
  <c r="AD31" i="10"/>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R17" i="12"/>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8" i="10"/>
  <c r="AB63" i="10"/>
  <c r="AB64" i="10" s="1"/>
  <c r="AZ42" i="10"/>
  <c r="P48" i="10"/>
  <c r="P63" i="10"/>
  <c r="P64" i="10" s="1"/>
  <c r="G48" i="10"/>
  <c r="G63" i="10"/>
  <c r="G64" i="10" s="1"/>
  <c r="M64" i="10"/>
  <c r="U48" i="10"/>
  <c r="U63" i="10"/>
  <c r="U64" i="10" s="1"/>
  <c r="Y48" i="10"/>
  <c r="Y63" i="10"/>
  <c r="Y64" i="10" s="1"/>
  <c r="V48" i="10"/>
  <c r="V63" i="10"/>
  <c r="V64" i="10" s="1"/>
  <c r="X48" i="10"/>
  <c r="X63" i="10"/>
  <c r="X64" i="10" s="1"/>
  <c r="AC48" i="10"/>
  <c r="AC63" i="10"/>
  <c r="AC64" i="10" s="1"/>
  <c r="Z48" i="10"/>
  <c r="Z63" i="10"/>
  <c r="Z64" i="10" s="1"/>
  <c r="Q48" i="10"/>
  <c r="Q63" i="10"/>
  <c r="Q64" i="10" s="1"/>
  <c r="N48" i="10"/>
  <c r="N63" i="10"/>
  <c r="N64" i="10" s="1"/>
  <c r="W48" i="10"/>
  <c r="W63" i="10"/>
  <c r="W64" i="10" s="1"/>
  <c r="T48" i="10"/>
  <c r="T63" i="10"/>
  <c r="T64" i="10" s="1"/>
  <c r="E64" i="10"/>
  <c r="R48" i="10"/>
  <c r="R63" i="10"/>
  <c r="R64" i="10" s="1"/>
  <c r="J48" i="10"/>
  <c r="J63" i="10"/>
  <c r="J64" i="10" s="1"/>
  <c r="H48" i="10"/>
  <c r="H63" i="10"/>
  <c r="H64" i="10" s="1"/>
  <c r="AA48" i="10"/>
  <c r="AA63" i="10"/>
  <c r="AA64" i="10" s="1"/>
  <c r="K48" i="10"/>
  <c r="K63" i="10"/>
  <c r="K64" i="10" s="1"/>
  <c r="S48" i="10"/>
  <c r="S63" i="10"/>
  <c r="S64" i="10" s="1"/>
  <c r="I64" i="10"/>
  <c r="L48" i="10"/>
  <c r="L63" i="10"/>
  <c r="L64" i="10" s="1"/>
  <c r="O48" i="10"/>
  <c r="O63" i="10"/>
  <c r="O64" i="10" s="1"/>
  <c r="F48" i="10"/>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0" i="10"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B49" i="10" s="1"/>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8" i="10"/>
  <c r="E65" i="13"/>
  <c r="I48" i="10"/>
  <c r="E66" i="13"/>
  <c r="E48" i="10"/>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D49" i="10" s="1"/>
  <c r="H47" i="6"/>
  <c r="BL17" i="12"/>
  <c r="BL18" i="12" s="1"/>
  <c r="BL47" i="10"/>
  <c r="BL2" i="11"/>
  <c r="BL48" i="10"/>
  <c r="BL47" i="6"/>
  <c r="AJ17" i="12"/>
  <c r="AJ18" i="12" s="1"/>
  <c r="AJ2" i="11"/>
  <c r="AJ47" i="10"/>
  <c r="AJ48" i="10"/>
  <c r="AJ47" i="6"/>
  <c r="AW17" i="12"/>
  <c r="AW18" i="12" s="1"/>
  <c r="AW2" i="11"/>
  <c r="AW47" i="10"/>
  <c r="AW47" i="6"/>
  <c r="AW48" i="10"/>
  <c r="AU42" i="10"/>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C49" i="10" s="1"/>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J33" i="6" l="1"/>
  <c r="BJ34" i="6" s="1"/>
  <c r="BJ23" i="10"/>
  <c r="BJ24" i="10" s="1"/>
  <c r="V33" i="6"/>
  <c r="V34" i="6" s="1"/>
  <c r="BR5" i="11"/>
  <c r="BJ50" i="10"/>
  <c r="AL13" i="11"/>
  <c r="BY49" i="10"/>
  <c r="AP49" i="10"/>
  <c r="J49" i="10"/>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D8" i="13" s="1"/>
  <c r="D9"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<sst xmlns="http://schemas.openxmlformats.org/spreadsheetml/2006/main" count="1662" uniqueCount="768">
  <si>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</si>
  <si>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</si>
  <si>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</si>
  <si>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</si>
  <si>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</si>
  <si>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</si>
  <si>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</si>
  <si>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</si>
  <si>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</si>
  <si>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</si>
  <si>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</si>
  <si>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</si>
  <si>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</si>
  <si>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</si>
  <si>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</si>
  <si>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</si>
  <si>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</si>
  <si>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</si>
  <si>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</si>
  <si>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</si>
  <si>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</si>
  <si>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</si>
  <si>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</si>
  <si>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</si>
  <si>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</si>
  <si>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</si>
  <si>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</si>
  <si>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</si>
  <si>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</si>
  <si>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</si>
  <si>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</si>
  <si>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</si>
  <si>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</si>
  <si>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</si>
  <si>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</si>
  <si>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</si>
  <si>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</si>
  <si>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</si>
  <si>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</si>
  <si>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</si>
  <si>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</si>
  <si>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</si>
  <si>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</si>
  <si>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</si>
  <si>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</si>
  <si>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</si>
  <si>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</si>
  <si>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</si>
  <si>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</si>
  <si>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</si>
  <si>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</si>
  <si>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</si>
  <si>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</si>
  <si>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</si>
  <si>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</si>
  <si>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</si>
  <si>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</si>
  <si>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</si>
  <si>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</si>
  <si>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</si>
  <si>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</si>
  <si>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</si>
  <si>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</si>
  <si>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</si>
  <si>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</si>
  <si>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</si>
  <si>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</si>
  <si>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</si>
  <si>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</si>
  <si>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</si>
  <si>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</si>
  <si>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</si>
  <si>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</si>
  <si>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</si>
  <si>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</si>
  <si>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</si>
  <si>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</si>
  <si>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</si>
  <si>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</si>
  <si>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</si>
  <si>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</si>
  <si>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</si>
  <si>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</si>
  <si>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</si>
  <si>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</si>
  <si>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</si>
  <si>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</si>
  <si>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</si>
  <si>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</si>
  <si>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</si>
  <si>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</si>
  <si>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</si>
  <si>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</si>
  <si>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</si>
  <si>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</si>
  <si>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</si>
  <si>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</si>
  <si>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</si>
  <si>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</si>
  <si>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</si>
  <si>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</si>
  <si>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</si>
  <si>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</si>
  <si>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</si>
  <si>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</si>
  <si>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</si>
  <si>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</si>
  <si>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少数股东权益</t>
  </si>
  <si>
    <t>一、营业总收入</t>
  </si>
  <si>
    <t>二、营业总成本</t>
  </si>
  <si>
    <t>营业税金及附加</t>
  </si>
  <si>
    <t>销售费用</t>
  </si>
  <si>
    <t>管理费用</t>
  </si>
  <si>
    <t>财务费用</t>
  </si>
  <si>
    <t>资产减值损失</t>
  </si>
  <si>
    <t>投资收益</t>
  </si>
  <si>
    <t>汇兑收益</t>
  </si>
  <si>
    <t>三、营业利润</t>
  </si>
  <si>
    <t>减：营业外支出</t>
  </si>
  <si>
    <t>其中：非流动资产处置损失</t>
  </si>
  <si>
    <t>四、利润总额</t>
  </si>
  <si>
    <t>五、净利润</t>
  </si>
  <si>
    <t>归属于母公司所有者的净利润</t>
  </si>
  <si>
    <t>少数股东损益</t>
  </si>
  <si>
    <t>七、其他综合收益</t>
  </si>
  <si>
    <t>八、综合收益总额</t>
  </si>
  <si>
    <t>一、经营活动产生的现金流量</t>
  </si>
  <si>
    <t>收到的税费返还</t>
  </si>
  <si>
    <t>经营活动现金流入小计</t>
  </si>
  <si>
    <t>购买商品、接受劳务支付的现金</t>
  </si>
  <si>
    <t>支付给职工以及为职工支付的现金</t>
  </si>
  <si>
    <t>支付的各项税费</t>
  </si>
  <si>
    <t>经营活动现金流出小计</t>
  </si>
  <si>
    <t>经营活动产生的现金流量净额</t>
  </si>
  <si>
    <t>二、投资活动产生的现金流量</t>
  </si>
  <si>
    <t>处置子公司及其他营业单位收到的现金净额</t>
  </si>
  <si>
    <t>投资活动现金流入小计</t>
  </si>
  <si>
    <t>取得子公司及其他营业单位支付的现金净额</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</si>
  <si>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</si>
  <si>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</si>
  <si>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</si>
  <si>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</si>
  <si>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</si>
  <si>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</si>
  <si>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</si>
  <si>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</si>
  <si>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</si>
  <si>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</si>
  <si>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</si>
  <si>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</si>
  <si>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</si>
  <si>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</si>
  <si>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五、现金及现金等价物净增加额</t>
  </si>
  <si>
    <t>附注</t>
  </si>
  <si>
    <t>净利润</t>
  </si>
  <si>
    <t>未确认的投资损失</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</si>
  <si>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</si>
  <si>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</si>
  <si>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</si>
  <si>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</si>
  <si>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</si>
  <si>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</si>
  <si>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</si>
  <si>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</si>
  <si>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</si>
  <si>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</si>
  <si>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</si>
  <si>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</si>
  <si>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</si>
  <si>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</si>
  <si>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</si>
  <si>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</si>
  <si>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</si>
  <si>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</si>
  <si>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债务转为资本</t>
  </si>
  <si>
    <t>一年内到期的可转换公司债券</t>
  </si>
  <si>
    <t>融资租入固定资产</t>
  </si>
  <si>
    <t>现金的期末余额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</si>
  <si>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</si>
  <si>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</si>
  <si>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</si>
  <si>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</si>
  <si>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</si>
  <si>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</si>
  <si>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</si>
  <si>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</si>
  <si>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</si>
  <si>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</si>
  <si>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</si>
  <si>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</si>
  <si>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</si>
  <si>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</si>
  <si>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</si>
  <si>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</si>
  <si>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</si>
  <si>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</si>
  <si>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</si>
  <si>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</si>
  <si>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</si>
  <si>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</si>
  <si>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</si>
  <si>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</si>
  <si>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</si>
  <si>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</si>
  <si>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</si>
  <si>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</si>
  <si>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</si>
  <si>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</si>
  <si>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</si>
  <si>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</si>
  <si>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</si>
  <si>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</si>
  <si>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</si>
  <si>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</si>
  <si>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</si>
  <si>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</si>
  <si>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</si>
  <si>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</si>
  <si>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</si>
  <si>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</si>
  <si>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</si>
  <si>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</si>
  <si>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</si>
  <si>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</si>
  <si>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</si>
  <si>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</si>
  <si>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</si>
  <si>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</si>
  <si>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</si>
  <si>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</si>
  <si>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</si>
  <si>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</si>
  <si>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</si>
  <si>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</si>
  <si>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</si>
  <si>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</si>
  <si>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</si>
  <si>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</si>
  <si>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</si>
  <si>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</si>
  <si>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</si>
  <si>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</si>
  <si>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</si>
  <si>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</si>
  <si>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</si>
  <si>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</si>
  <si>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</si>
  <si>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</si>
  <si>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</si>
  <si>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</si>
  <si>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</si>
  <si>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</si>
  <si>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</si>
  <si>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</si>
  <si>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</si>
  <si>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</si>
  <si>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</si>
  <si>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</si>
  <si>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</si>
  <si>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</si>
  <si>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</si>
  <si>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</si>
  <si>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</si>
  <si>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</si>
  <si>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</si>
  <si>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</si>
  <si>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</si>
  <si>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</si>
  <si>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</si>
  <si>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</si>
  <si>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</si>
  <si>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</si>
  <si>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</si>
  <si>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</si>
  <si>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</si>
  <si>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</si>
  <si>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</si>
  <si>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</si>
  <si>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</si>
  <si>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</si>
  <si>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</si>
  <si>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</si>
  <si>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</si>
  <si>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</si>
  <si>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</si>
  <si>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</si>
  <si>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</si>
  <si>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</si>
  <si>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</si>
  <si>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</si>
  <si>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</si>
  <si>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</si>
  <si>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</si>
  <si>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</si>
  <si>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</si>
  <si>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</si>
  <si>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</si>
  <si>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</si>
  <si>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</si>
  <si>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</si>
  <si>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</si>
  <si>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</si>
  <si>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</si>
  <si>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</si>
  <si>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</si>
  <si>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</si>
  <si>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</si>
  <si>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</si>
  <si>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</si>
  <si>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</si>
  <si>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</si>
  <si>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</si>
  <si>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</si>
  <si>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</si>
  <si>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</si>
  <si>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</si>
  <si>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</si>
  <si>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</si>
  <si>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</si>
  <si>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</si>
  <si>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</si>
  <si>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</si>
  <si>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</si>
  <si>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</si>
  <si>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</si>
  <si>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</si>
  <si>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</si>
  <si>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</si>
  <si>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</si>
  <si>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</si>
  <si>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</si>
  <si>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</si>
  <si>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</si>
  <si>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</si>
  <si>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</si>
  <si>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</si>
  <si>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</si>
  <si>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</si>
  <si>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</si>
  <si>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</si>
  <si>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</si>
  <si>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</si>
  <si>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</si>
  <si>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</si>
  <si>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</si>
  <si>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</si>
  <si>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</si>
  <si>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</si>
  <si>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</si>
  <si>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</si>
  <si>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</si>
  <si>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</si>
  <si>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</si>
  <si>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</si>
  <si>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</si>
  <si>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</si>
  <si>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</si>
  <si>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</si>
  <si>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</si>
  <si>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</si>
  <si>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</si>
  <si>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</si>
  <si>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</si>
  <si>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</si>
  <si>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</si>
  <si>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</si>
  <si>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</si>
  <si>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</si>
  <si>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</si>
  <si>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</si>
  <si>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</si>
  <si>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</si>
  <si>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</si>
  <si>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</si>
  <si>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</si>
  <si>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</si>
  <si>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</si>
  <si>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</si>
  <si>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</si>
  <si>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</si>
  <si>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</si>
  <si>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</si>
  <si>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</si>
  <si>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</si>
  <si>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</si>
  <si>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</si>
  <si>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</si>
  <si>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</si>
  <si>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</si>
  <si>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</si>
  <si>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</si>
  <si>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</si>
  <si>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</si>
  <si>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</si>
  <si>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</si>
  <si>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</si>
  <si>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</si>
  <si>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</si>
  <si>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</si>
  <si>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</si>
  <si>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</si>
  <si>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</si>
  <si>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</si>
  <si>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</si>
  <si>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</si>
  <si>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</si>
  <si>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</si>
  <si>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</si>
  <si>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</si>
  <si>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</si>
  <si>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</si>
  <si>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</si>
  <si>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</si>
  <si>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</si>
  <si>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</si>
  <si>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</si>
  <si>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</si>
  <si>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</si>
  <si>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</si>
  <si>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</si>
  <si>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</si>
  <si>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</si>
  <si>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</si>
  <si>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</si>
  <si>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</si>
  <si>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</si>
  <si>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</si>
  <si>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</si>
  <si>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</si>
  <si>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</si>
  <si>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</si>
  <si>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</si>
  <si>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</si>
  <si>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</si>
  <si>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</si>
  <si>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</si>
  <si>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</si>
  <si>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</si>
  <si>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</si>
  <si>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</si>
  <si>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</si>
  <si>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</si>
  <si>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</si>
  <si>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</si>
  <si>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</si>
  <si>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</si>
  <si>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</si>
  <si>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</si>
  <si>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</si>
  <si>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</si>
  <si>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</si>
  <si>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</si>
  <si>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</si>
  <si>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</si>
  <si>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</si>
  <si>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</si>
  <si>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</si>
  <si>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</si>
  <si>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</si>
  <si>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</si>
  <si>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</si>
  <si>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</si>
  <si>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</si>
  <si>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</si>
  <si>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</si>
  <si>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</si>
  <si>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</si>
  <si>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</si>
  <si>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</si>
  <si>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</si>
  <si>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</si>
  <si>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</si>
  <si>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</si>
  <si>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</si>
  <si>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</si>
  <si>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</si>
  <si>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</si>
  <si>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</si>
  <si>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</si>
  <si>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</si>
  <si>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</si>
  <si>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</si>
  <si>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</si>
  <si>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</si>
  <si>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</si>
  <si>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</si>
  <si>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</si>
  <si>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</si>
  <si>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</si>
  <si>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</si>
  <si>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</si>
  <si>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</si>
  <si>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</si>
  <si>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</si>
  <si>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</si>
  <si>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</si>
  <si>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</si>
  <si>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</si>
  <si>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</si>
  <si>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</si>
  <si>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</si>
  <si>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</si>
  <si>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</si>
  <si>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</si>
  <si>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</si>
  <si>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</si>
  <si>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</si>
  <si>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</si>
  <si>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</si>
  <si>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</si>
  <si>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</si>
  <si>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</si>
  <si>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</si>
  <si>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</si>
  <si>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</si>
  <si>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</si>
  <si>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</si>
  <si>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</si>
  <si>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</si>
  <si>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</si>
  <si>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</si>
  <si>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</si>
  <si>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</si>
  <si>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</si>
  <si>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</si>
  <si>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</si>
  <si>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</si>
  <si>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</si>
  <si>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</si>
  <si>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</si>
  <si>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</si>
  <si>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</si>
  <si>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</si>
  <si>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</si>
  <si>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</si>
  <si>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</si>
  <si>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</si>
  <si>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</si>
  <si>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</si>
  <si>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</si>
  <si>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</si>
  <si>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</si>
  <si>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</si>
  <si>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</si>
  <si>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</si>
  <si>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</si>
  <si>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</si>
  <si>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</si>
  <si>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</si>
  <si>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</si>
  <si>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</si>
  <si>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</si>
  <si>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</si>
  <si>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</si>
  <si>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</si>
  <si>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</si>
  <si>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</si>
  <si>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</si>
  <si>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</si>
  <si>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</si>
  <si>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</si>
  <si>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</si>
  <si>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</si>
  <si>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</si>
  <si>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</si>
  <si>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</si>
  <si>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</si>
  <si>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</si>
  <si>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</si>
  <si>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</si>
  <si>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</si>
  <si>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</si>
  <si>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</si>
  <si>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</si>
  <si>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</si>
  <si>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</si>
  <si>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</si>
  <si>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</si>
  <si>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</si>
  <si>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</si>
  <si>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</si>
  <si>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</si>
  <si>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</si>
  <si>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</si>
  <si>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</si>
  <si>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</si>
  <si>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</si>
  <si>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</si>
  <si>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</si>
  <si>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</si>
  <si>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</si>
  <si>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</si>
  <si>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</si>
  <si>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</si>
  <si>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</si>
  <si>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</si>
  <si>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</si>
  <si>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</si>
  <si>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</si>
  <si>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</si>
  <si>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</si>
  <si>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</si>
  <si>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</si>
  <si>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</si>
  <si>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</si>
  <si>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</si>
  <si>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</si>
  <si>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</si>
  <si>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</si>
  <si>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</si>
  <si>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</si>
  <si>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</si>
  <si>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</si>
  <si>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</si>
  <si>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</si>
  <si>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</si>
  <si>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</si>
  <si>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</si>
  <si>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</si>
  <si>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</si>
  <si>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</si>
  <si>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</si>
  <si>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</si>
  <si>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</si>
  <si>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</si>
  <si>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</si>
  <si>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</si>
  <si>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</si>
  <si>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</si>
  <si>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</si>
  <si>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</si>
  <si>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</si>
  <si>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</si>
  <si>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</si>
  <si>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</si>
  <si>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</si>
  <si>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</si>
  <si>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</si>
  <si>
    <t>2018-12-31</t>
  </si>
  <si>
    <t>2017-12-31</t>
  </si>
  <si>
    <t>2016-12-31</t>
  </si>
  <si>
    <t>2015-12-31</t>
  </si>
  <si>
    <t>2014-12-31</t>
  </si>
  <si>
    <t>2013-12-31</t>
  </si>
  <si>
    <t>2012-12-31</t>
  </si>
  <si>
    <t>2011-12-31</t>
  </si>
  <si>
    <t>2010-12-31</t>
  </si>
  <si>
    <t>2009-12-31</t>
  </si>
  <si>
    <t>2008-12-31</t>
  </si>
  <si>
    <t>2007-12-31</t>
  </si>
  <si>
    <t>2006-12-31</t>
  </si>
  <si>
    <t>2005-12-31</t>
  </si>
  <si>
    <t>2004-12-31</t>
  </si>
  <si>
    <t>2003-12-31</t>
  </si>
  <si>
    <t>2002-12-31</t>
  </si>
  <si>
    <t>2001-12-31</t>
  </si>
  <si>
    <t>流动资产</t>
  </si>
  <si>
    <t/>
  </si>
  <si>
    <t>货币资金（元）</t>
  </si>
  <si>
    <t>以公允价值计量且其变动计入当期损益的金融资产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</si>
  <si>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</si>
  <si>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</si>
  <si>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</si>
  <si>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</si>
  <si>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</si>
  <si>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</si>
  <si>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</si>
  <si>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</si>
  <si>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</si>
  <si>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</si>
  <si>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</si>
  <si>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长期待摊费用</t>
  </si>
  <si>
    <t>其他流动资产</t>
  </si>
  <si>
    <t>流动资产合计</t>
  </si>
  <si>
    <t>非流动资产</t>
  </si>
  <si>
    <t>发放贷款及垫款-流动资产</t>
  </si>
  <si>
    <t>可供出售金融资产</t>
  </si>
  <si>
    <t>持有至到期投资</t>
  </si>
  <si>
    <t>长期应收款</t>
  </si>
  <si>
    <t>长期股权投资</t>
  </si>
  <si>
    <t>投资性房地产</t>
  </si>
  <si>
    <t>固定资产</t>
  </si>
  <si>
    <t>在建工程</t>
  </si>
  <si>
    <t>工程物资</t>
  </si>
  <si>
    <t>固定资产清理</t>
  </si>
  <si>
    <t>生产性生物资产</t>
  </si>
  <si>
    <t>公益性生物资产</t>
  </si>
  <si>
    <t>油气资产</t>
  </si>
  <si>
    <t>无形资产</t>
  </si>
  <si>
    <t>开发支出</t>
  </si>
  <si>
    <t>商誉</t>
  </si>
  <si>
    <t>递延所得税资产</t>
  </si>
  <si>
    <t>其他非流动资产</t>
  </si>
  <si>
    <t>非流动资产合计</t>
  </si>
  <si>
    <t>资产总计</t>
  </si>
  <si>
    <t>流动负债</t>
  </si>
  <si>
    <t>短期借款</t>
  </si>
  <si>
    <t>以公允价值计量且其变动计入当期损益的金融负债</t>
  </si>
  <si>
    <t>应付票据</t>
  </si>
  <si>
    <t>应付账款</t>
  </si>
  <si>
    <t>预收款项</t>
  </si>
  <si>
    <t>应付手续费及佣金</t>
  </si>
  <si>
    <t>应付职工薪酬</t>
  </si>
  <si>
    <t>应交税费</t>
  </si>
  <si>
    <t>应付利息</t>
  </si>
  <si>
    <t>应付股利</t>
  </si>
  <si>
    <t>其他应付款</t>
  </si>
  <si>
    <t>预计负债-流动负债</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</si>
  <si>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</si>
  <si>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</si>
  <si>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</si>
  <si>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</si>
  <si>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</si>
  <si>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</si>
  <si>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</si>
  <si>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</si>
  <si>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</si>
  <si>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</si>
  <si>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</si>
  <si>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递延所得税负债</t>
  </si>
  <si>
    <t>递延收益-非流动负债</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</si>
  <si>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</si>
  <si>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</si>
  <si>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</si>
  <si>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</si>
  <si>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</si>
  <si>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</si>
  <si>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</si>
  <si>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</si>
  <si>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</si>
  <si>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</si>
  <si>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</si>
  <si>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</si>
  <si>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归属于母公司所有者权益</t>
  </si>
  <si>
    <t>所有者权益（或股东权益）合计</t>
  </si>
  <si>
    <t>负债和所有者（或股东权益）合计</t>
  </si>
  <si>
    <t>其中：营业收入（元）</t>
  </si>
  <si>
    <t>其中：营业成本</t>
  </si>
  <si>
    <t>加：公允价值变动净收益</t>
  </si>
  <si>
    <t>其中：对联营企业和合营企业的投资收益</t>
  </si>
  <si>
    <t>营业外收入</t>
  </si>
  <si>
    <t>减：所得税</t>
  </si>
  <si>
    <t>六、每股收益：</t>
  </si>
  <si>
    <t>（一）基本每股收益</t>
  </si>
  <si>
    <t>（二）稀释每股收益</t>
  </si>
  <si>
    <t>其中：归属于母公司</t>
  </si>
  <si>
    <t>其中：归属于少数股东</t>
  </si>
  <si>
    <t>销售商品、提供劳务收到的现金（元）</t>
  </si>
  <si>
    <t>收到其他与经营活动有关的现金</t>
  </si>
  <si>
    <t>支付其他与经营活动有关的现金</t>
  </si>
  <si>
    <t>收回投资收到的现金</t>
  </si>
  <si>
    <t>取得投资收益收到的现金</t>
  </si>
  <si>
    <t>处置固定资产、无形资产和其他长期资产收回的现金净额</t>
  </si>
  <si>
    <t>收到其他与投资活动有关的现金</t>
  </si>
  <si>
    <t>购建固定资产、无形资产和其他长期资产支付的现金</t>
  </si>
  <si>
    <t>投资支付的现金</t>
  </si>
  <si>
    <t>支付其他与投资活动有关的现金</t>
  </si>
  <si>
    <t>分配股利、利润或偿付利息支付的现金</t>
  </si>
  <si>
    <t>四、汇率变动对现金的影响</t>
  </si>
  <si>
    <t>期初现金及现金等价物余额</t>
  </si>
  <si>
    <t>期末现金及现金等价物余额</t>
  </si>
  <si>
    <t>加：资产减值准备</t>
  </si>
  <si>
    <t>固定资产折旧、油气资产折耗、生产性生物资产折旧</t>
  </si>
  <si>
    <t>经营活动产生的现金流量净额2</t>
  </si>
  <si>
    <t>减：现金的期初余额</t>
  </si>
  <si>
    <t>加：现金等价物的期末余额</t>
  </si>
  <si>
    <t>减：现金等价物的期初余额</t>
  </si>
  <si>
    <t>现金及现金等价物净增加额2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</si>
</sst>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6">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49" fontId="26" fillId="6" borderId="0" xfId="0" applyNumberFormat="1" applyFont="1" applyFill="1" applyAlignment="1">
      <alignment vertical="center" wrapText="1"/>
    </xf>
    <xf numFmtId="0" fontId="0" fillId="0" borderId="0" xfId="0" applyNumberFormat="1" applyAlignment="1"/>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0" fillId="0" borderId="0" xfId="0" applyNumberFormat="1" applyAlignment="1"/>
    <xf numFmtId="0" fontId="0" fillId="0" borderId="0" xfId="0" applyNumberFormat="1">
      <alignment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24"/>
                <c:pt idx="0">
                  <c:v>91.1420128768426</c:v>
                </c:pt>
                <c:pt idx="1">
                  <c:v>89.796196153766786</c:v>
                </c:pt>
                <c:pt idx="2">
                  <c:v>91.225136600612231</c:v>
                </c:pt>
                <c:pt idx="3">
                  <c:v>0.92227894052748705</c:v>
                </c:pt>
                <c:pt idx="4">
                  <c:v>0.9259341285314433</c:v>
                </c:pt>
                <c:pt idx="5">
                  <c:v>0.92904940156858784</c:v>
                </c:pt>
                <c:pt idx="6">
                  <c:v>0.92272611717304409</c:v>
                </c:pt>
                <c:pt idx="7">
                  <c:v>0.91570459549413308</c:v>
                </c:pt>
                <c:pt idx="8">
                  <c:v>0.90948973521781318</c:v>
                </c:pt>
                <c:pt idx="9">
                  <c:v>0.90168842325201826</c:v>
                </c:pt>
                <c:pt idx="10">
                  <c:v>0.90296726160938423</c:v>
                </c:pt>
                <c:pt idx="11">
                  <c:v>0.87956450309706191</c:v>
                </c:pt>
                <c:pt idx="12">
                  <c:v>0.83840897897617539</c:v>
                </c:pt>
                <c:pt idx="13">
                  <c:v>0.82518657856729138</c:v>
                </c:pt>
                <c:pt idx="14">
                  <c:v>0.82222825406168676</c:v>
                </c:pt>
                <c:pt idx="15">
                  <c:v>0.80117260978564153</c:v>
                </c:pt>
                <c:pt idx="16">
                  <c:v>0.81472667919376396</c:v>
                </c:pt>
                <c:pt idx="17">
                  <c:v>0.82241968853485858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820657152"/>
        <c:axId val="833534144"/>
      </c:lineChart>
      <c:catAx>
        <c:axId val="820657152"/>
        <c:scaling>
          <c:orientation val="minMax"/>
        </c:scaling>
        <c:delete val="0"/>
        <c:axPos val="b"/>
        <c:majorTickMark val="out"/>
        <c:minorTickMark val="none"/>
        <c:tickLblPos val="nextTo"/>
        <c:crossAx val="833534144"/>
        <c:crosses val="autoZero"/>
        <c:auto val="1"/>
        <c:lblAlgn val="ctr"/>
        <c:lblOffset val="100"/>
        <c:noMultiLvlLbl val="0"/>
      </c:catAx>
      <c:valAx>
        <c:axId val="833534144"/>
        <c:scaling>
          <c:orientation val="minMax"/>
        </c:scaling>
        <c:delete val="0"/>
        <c:axPos val="l"/>
        <c:majorGridlines/>
        <c:numFmt formatCode="0.00%" sourceLinked="1"/>
        <c:majorTickMark val="out"/>
        <c:minorTickMark val="none"/>
        <c:tickLblPos val="nextTo"/>
        <c:crossAx val="8206571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24"/>
                <c:pt idx="0">
                  <c:v>46.735374065434485</c:v>
                </c:pt>
                <c:pt idx="1">
                  <c:v>45.101548903921881</c:v>
                </c:pt>
                <c:pt idx="2">
                  <c:v>43.06719643924022</c:v>
                </c:pt>
                <c:pt idx="3">
                  <c:v>0.48016639139417799</c:v>
                </c:pt>
                <c:pt idx="4">
                  <c:v>0.49383236013224135</c:v>
                </c:pt>
                <c:pt idx="5">
                  <c:v>0.50224852729044966</c:v>
                </c:pt>
                <c:pt idx="6">
                  <c:v>0.51750522129822962</c:v>
                </c:pt>
                <c:pt idx="7">
                  <c:v>0.48819625145711748</c:v>
                </c:pt>
                <c:pt idx="8">
                  <c:v>0.4476611522091124</c:v>
                </c:pt>
                <c:pt idx="9">
                  <c:v>0.46038488939801481</c:v>
                </c:pt>
                <c:pt idx="10">
                  <c:v>0.47607116512508341</c:v>
                </c:pt>
                <c:pt idx="11">
                  <c:v>0.40537680421349237</c:v>
                </c:pt>
                <c:pt idx="12">
                  <c:v>0.31771567017973035</c:v>
                </c:pt>
                <c:pt idx="13">
                  <c:v>0.29237107558069764</c:v>
                </c:pt>
                <c:pt idx="14">
                  <c:v>0.27878823859083868</c:v>
                </c:pt>
                <c:pt idx="15">
                  <c:v>0.248334060429167</c:v>
                </c:pt>
                <c:pt idx="16">
                  <c:v>0.20777240997050414</c:v>
                </c:pt>
                <c:pt idx="17">
                  <c:v>0.20939942474863754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820855296"/>
        <c:axId val="834740224"/>
      </c:lineChart>
      <c:catAx>
        <c:axId val="820855296"/>
        <c:scaling>
          <c:orientation val="minMax"/>
        </c:scaling>
        <c:delete val="0"/>
        <c:axPos val="b"/>
        <c:majorTickMark val="out"/>
        <c:minorTickMark val="none"/>
        <c:tickLblPos val="nextTo"/>
        <c:crossAx val="834740224"/>
        <c:crosses val="autoZero"/>
        <c:auto val="1"/>
        <c:lblAlgn val="ctr"/>
        <c:lblOffset val="100"/>
        <c:noMultiLvlLbl val="0"/>
      </c:catAx>
      <c:valAx>
        <c:axId val="834740224"/>
        <c:scaling>
          <c:orientation val="minMax"/>
        </c:scaling>
        <c:delete val="0"/>
        <c:axPos val="l"/>
        <c:majorGridlines/>
        <c:numFmt formatCode="0.00%" sourceLinked="1"/>
        <c:majorTickMark val="out"/>
        <c:minorTickMark val="none"/>
        <c:tickLblPos val="nextTo"/>
        <c:crossAx val="82085529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24"/>
                <c:pt idx="0">
                  <c:v>64.385410227407192</c:v>
                </c:pt>
                <c:pt idx="1">
                  <c:v>61.799908844956079</c:v>
                </c:pt>
                <c:pt idx="2">
                  <c:v>58.557364457013705</c:v>
                </c:pt>
                <c:pt idx="3">
                  <c:v>0.65112841304892299</c:v>
                </c:pt>
                <c:pt idx="4">
                  <c:v>0.67063538623236385</c:v>
                </c:pt>
                <c:pt idx="5">
                  <c:v>0.67557875399274991</c:v>
                </c:pt>
                <c:pt idx="6">
                  <c:v>0.69095816034687563</c:v>
                </c:pt>
                <c:pt idx="7">
                  <c:v>0.65505820361124634</c:v>
                </c:pt>
                <c:pt idx="8">
                  <c:v>0.60050454046192714</c:v>
                </c:pt>
                <c:pt idx="9">
                  <c:v>0.61498493729380277</c:v>
                </c:pt>
                <c:pt idx="10">
                  <c:v>0.6409853702542313</c:v>
                </c:pt>
                <c:pt idx="11">
                  <c:v>0.63363770087953886</c:v>
                </c:pt>
                <c:pt idx="12">
                  <c:v>0.50285992934043011</c:v>
                </c:pt>
                <c:pt idx="13">
                  <c:v>0.48032705398643405</c:v>
                </c:pt>
                <c:pt idx="14">
                  <c:v>0.48663698262229338</c:v>
                </c:pt>
                <c:pt idx="15">
                  <c:v>0.45523206254678222</c:v>
                </c:pt>
                <c:pt idx="16">
                  <c:v>0.34371396135326249</c:v>
                </c:pt>
                <c:pt idx="17">
                  <c:v>0.37145892473233327</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24"/>
                <c:pt idx="0">
                  <c:v>46.735852353725392</c:v>
                </c:pt>
                <c:pt idx="1">
                  <c:v>45.10818009094907</c:v>
                </c:pt>
                <c:pt idx="2">
                  <c:v>43.071878266689765</c:v>
                </c:pt>
                <c:pt idx="3">
                  <c:v>0.48124749775018649</c:v>
                </c:pt>
                <c:pt idx="4">
                  <c:v>0.49388569016631745</c:v>
                </c:pt>
                <c:pt idx="5">
                  <c:v>0.50232147499057866</c:v>
                </c:pt>
                <c:pt idx="6">
                  <c:v>0.51759353884570636</c:v>
                </c:pt>
                <c:pt idx="7">
                  <c:v>0.49124753650428288</c:v>
                </c:pt>
                <c:pt idx="8">
                  <c:v>0.44769121152504138</c:v>
                </c:pt>
                <c:pt idx="9">
                  <c:v>0.46047853888837043</c:v>
                </c:pt>
                <c:pt idx="10">
                  <c:v>0.47619035243269703</c:v>
                </c:pt>
                <c:pt idx="11">
                  <c:v>0.41553208141227871</c:v>
                </c:pt>
                <c:pt idx="12">
                  <c:v>0.3181049431860416</c:v>
                </c:pt>
                <c:pt idx="13">
                  <c:v>0.29243736481659321</c:v>
                </c:pt>
                <c:pt idx="14">
                  <c:v>0.27884822107492557</c:v>
                </c:pt>
                <c:pt idx="15">
                  <c:v>0.28311924032068497</c:v>
                </c:pt>
                <c:pt idx="16">
                  <c:v>0.20777240997050414</c:v>
                </c:pt>
                <c:pt idx="17">
                  <c:v>0.20939942474863754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24"/>
                <c:pt idx="0">
                  <c:v>64.390157140439186</c:v>
                </c:pt>
                <c:pt idx="1">
                  <c:v>61.895574722974935</c:v>
                </c:pt>
                <c:pt idx="2">
                  <c:v>58.642639814694917</c:v>
                </c:pt>
                <c:pt idx="3">
                  <c:v>0.65132986705689022</c:v>
                </c:pt>
                <c:pt idx="4">
                  <c:v>0.6745352614005532</c:v>
                </c:pt>
                <c:pt idx="5">
                  <c:v>0.68945411174720483</c:v>
                </c:pt>
                <c:pt idx="6">
                  <c:v>0.70687022897332152</c:v>
                </c:pt>
                <c:pt idx="7">
                  <c:v>0.6702334184396842</c:v>
                </c:pt>
                <c:pt idx="8">
                  <c:v>0.61568314599186225</c:v>
                </c:pt>
                <c:pt idx="9">
                  <c:v>0.62880459899969654</c:v>
                </c:pt>
                <c:pt idx="10">
                  <c:v>0.65342223945200306</c:v>
                </c:pt>
                <c:pt idx="11">
                  <c:v>0.62458514682282873</c:v>
                </c:pt>
                <c:pt idx="12">
                  <c:v>0.50802075518303746</c:v>
                </c:pt>
                <c:pt idx="13">
                  <c:v>0.48853579813307141</c:v>
                </c:pt>
                <c:pt idx="14">
                  <c:v>0.49527338753444528</c:v>
                </c:pt>
                <c:pt idx="15">
                  <c:v>0.40598516108894395</c:v>
                </c:pt>
                <c:pt idx="16">
                  <c:v>0.35321356262997333</c:v>
                </c:pt>
                <c:pt idx="17">
                  <c:v>0.37500533341983816</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24"/>
                <c:pt idx="0">
                  <c:v>0.46739172994227818</c:v>
                </c:pt>
                <c:pt idx="1">
                  <c:v>0.45176223158215778</c:v>
                </c:pt>
                <c:pt idx="2">
                  <c:v>0.43133380433827884</c:v>
                </c:pt>
                <c:pt idx="3">
                  <c:v>0.48149554268898387</c:v>
                </c:pt>
                <c:pt idx="4">
                  <c:v>0.49676292869891542</c:v>
                </c:pt>
                <c:pt idx="5">
                  <c:v>0.51263839234780295</c:v>
                </c:pt>
                <c:pt idx="6">
                  <c:v>0.5295131953218426</c:v>
                </c:pt>
                <c:pt idx="7">
                  <c:v>0.50262787928801733</c:v>
                </c:pt>
                <c:pt idx="8">
                  <c:v>0.45900724303036539</c:v>
                </c:pt>
                <c:pt idx="9">
                  <c:v>0.47082620310639889</c:v>
                </c:pt>
                <c:pt idx="10">
                  <c:v>0.48542974759096302</c:v>
                </c:pt>
                <c:pt idx="11">
                  <c:v>0.40959552393777798</c:v>
                </c:pt>
                <c:pt idx="12">
                  <c:v>0.32136963801589008</c:v>
                </c:pt>
                <c:pt idx="13">
                  <c:v>0.2974350918585601</c:v>
                </c:pt>
                <c:pt idx="14">
                  <c:v>0.28379697390760017</c:v>
                </c:pt>
                <c:pt idx="15">
                  <c:v>0.25249146500343578</c:v>
                </c:pt>
                <c:pt idx="16">
                  <c:v>0.21351484488135292</c:v>
                </c:pt>
                <c:pt idx="17">
                  <c:v>0.21139861197942544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820856320"/>
        <c:axId val="834741952"/>
      </c:lineChart>
      <c:catAx>
        <c:axId val="820856320"/>
        <c:scaling>
          <c:orientation val="minMax"/>
        </c:scaling>
        <c:delete val="0"/>
        <c:axPos val="b"/>
        <c:majorTickMark val="out"/>
        <c:minorTickMark val="none"/>
        <c:tickLblPos val="nextTo"/>
        <c:crossAx val="834741952"/>
        <c:crosses val="autoZero"/>
        <c:auto val="1"/>
        <c:lblAlgn val="ctr"/>
        <c:lblOffset val="100"/>
        <c:noMultiLvlLbl val="0"/>
      </c:catAx>
      <c:valAx>
        <c:axId val="834741952"/>
        <c:scaling>
          <c:orientation val="minMax"/>
        </c:scaling>
        <c:delete val="0"/>
        <c:axPos val="l"/>
        <c:majorGridlines/>
        <c:numFmt formatCode="0.00%" sourceLinked="1"/>
        <c:majorTickMark val="out"/>
        <c:minorTickMark val="none"/>
        <c:tickLblPos val="nextTo"/>
        <c:crossAx val="82085632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Cache>
                <c:formatCode>General</c:formatCode>
                <c:ptCount val="1"/>
                <c:pt idx="0">
                  <c:v>50827603447.470001</c:v>
                </c:pt>
              </c:numCache>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Cache>
                <c:formatCode>General</c:formatCode>
                <c:ptCount val="1"/>
                <c:pt idx="0">
                  <c:v>38740072142.599998</c:v>
                </c:pt>
              </c:numCache>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Cache>
                <c:formatCode>General</c:formatCode>
                <c:ptCount val="1"/>
                <c:pt idx="0">
                  <c:v>23957880957.110001</c:v>
                </c:pt>
              </c:numCache>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22001714961.34</c:v>
                </c:pt>
              </c:numCache>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Cache>
                <c:formatCode>General</c:formatCode>
                <c:ptCount val="1"/>
                <c:pt idx="0">
                  <c:v>21882342437.330002</c:v>
                </c:pt>
              </c:numCache>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Cache>
                <c:formatCode>General</c:formatCode>
                <c:ptCount val="1"/>
                <c:pt idx="0">
                  <c:v>21432360425.970001</c:v>
                </c:pt>
              </c:numCache>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Cache>
                <c:formatCode>General</c:formatCode>
                <c:ptCount val="1"/>
                <c:pt idx="0">
                  <c:v>18700490469.16</c:v>
                </c:pt>
              </c:numCache>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12334660473.799999</c:v>
                </c:pt>
              </c:numCache>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Cache>
                <c:formatCode>General</c:formatCode>
                <c:ptCount val="1"/>
                <c:pt idx="0">
                  <c:v>7162416731.3699999</c:v>
                </c:pt>
              </c:numCache>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Cache>
                <c:formatCode>General</c:formatCode>
                <c:ptCount val="1"/>
                <c:pt idx="0">
                  <c:v>6080539884.6400003</c:v>
                </c:pt>
              </c:numCache>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Cache>
                <c:formatCode>General</c:formatCode>
                <c:ptCount val="1"/>
                <c:pt idx="0">
                  <c:v>5385300638.1599998</c:v>
                </c:pt>
              </c:numCache>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4522025015.9300003</c:v>
                </c:pt>
              </c:numCache>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Cache>
                <c:formatCode>General</c:formatCode>
                <c:ptCount val="1"/>
                <c:pt idx="0">
                  <c:v>2488186993.4299998</c:v>
                </c:pt>
              </c:numCache>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Cache>
                <c:formatCode>General</c:formatCode>
                <c:ptCount val="1"/>
                <c:pt idx="0">
                  <c:v>1920246363.6400001</c:v>
                </c:pt>
              </c:numCache>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Cache>
                <c:formatCode>General</c:formatCode>
                <c:ptCount val="1"/>
                <c:pt idx="0">
                  <c:v>1490672514.8099999</c:v>
                </c:pt>
              </c:numCache>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977294613.25999999</c:v>
                </c:pt>
              </c:numCache>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649370371.51999998</c:v>
                </c:pt>
              </c:numCache>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Cache>
                <c:formatCode>General</c:formatCode>
                <c:ptCount val="1"/>
                <c:pt idx="0">
                  <c:v>607278206.25</c:v>
                </c:pt>
              </c:numCache>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Cache>
                <c:formatCode>General</c:formatCode>
                <c:ptCount val="1"/>
                <c:pt idx="0">
                  <c:v>10223178946.360001</c:v>
                </c:pt>
              </c:numCache>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5312350104.96</c:v>
                </c:pt>
              </c:numCache>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21432360425.970001</c:v>
                </c:pt>
              </c:numCache>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Cache>
                <c:formatCode>General</c:formatCode>
                <c:ptCount val="1"/>
                <c:pt idx="0">
                  <c:v>15667387159.65</c:v>
                </c:pt>
              </c:numCache>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Cache>
                <c:formatCode>General</c:formatCode>
                <c:ptCount val="1"/>
                <c:pt idx="0">
                  <c:v>10125406166.1</c:v>
                </c:pt>
              </c:numCache>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5117888228.2200003</c:v>
                </c:pt>
              </c:numCache>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820858368"/>
        <c:axId val="834744256"/>
      </c:barChart>
      <c:catAx>
        <c:axId val="820858368"/>
        <c:scaling>
          <c:orientation val="minMax"/>
        </c:scaling>
        <c:delete val="0"/>
        <c:axPos val="b"/>
        <c:numFmt formatCode="General" sourceLinked="1"/>
        <c:majorTickMark val="out"/>
        <c:minorTickMark val="none"/>
        <c:tickLblPos val="nextTo"/>
        <c:crossAx val="834744256"/>
        <c:crosses val="autoZero"/>
        <c:auto val="1"/>
        <c:lblAlgn val="ctr"/>
        <c:lblOffset val="100"/>
        <c:noMultiLvlLbl val="0"/>
      </c:catAx>
      <c:valAx>
        <c:axId val="834744256"/>
        <c:scaling>
          <c:orientation val="minMax"/>
        </c:scaling>
        <c:delete val="0"/>
        <c:axPos val="l"/>
        <c:majorGridlines/>
        <c:numFmt formatCode="General" sourceLinked="1"/>
        <c:majorTickMark val="out"/>
        <c:minorTickMark val="none"/>
        <c:tickLblPos val="nextTo"/>
        <c:crossAx val="8208583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24"/>
                <c:pt idx="0">
                  <c:v>25025520922.637604</c:v>
                </c:pt>
                <c:pt idx="1">
                  <c:v>18619060747.22361</c:v>
                </c:pt>
                <c:pt idx="2">
                  <c:v>10690692826.582397</c:v>
                </c:pt>
                <c:pt idx="3">
                  <c:v>10426710356.096798</c:v>
                </c:pt>
                <c:pt idx="4">
                  <c:v>11259833140.270397</c:v>
                </c:pt>
                <c:pt idx="5">
                  <c:v>12321375133.579201</c:v>
                </c:pt>
                <c:pt idx="6">
                  <c:v>11172126138.390003</c:v>
                </c:pt>
                <c:pt idx="7">
                  <c:v>7217266402.8468018</c:v>
                </c:pt>
                <c:pt idx="8">
                  <c:v>3855810321.4003992</c:v>
                </c:pt>
                <c:pt idx="9">
                  <c:v>3380763712.4631991</c:v>
                </c:pt>
                <c:pt idx="10">
                  <c:v>3080485879.4340005</c:v>
                </c:pt>
                <c:pt idx="11">
                  <c:v>2294910777.1948004</c:v>
                </c:pt>
                <c:pt idx="12">
                  <c:v>1093883520.1456001</c:v>
                </c:pt>
                <c:pt idx="13">
                  <c:v>756081554.22840047</c:v>
                </c:pt>
                <c:pt idx="14">
                  <c:v>516833673.30160034</c:v>
                </c:pt>
                <c:pt idx="15">
                  <c:v>328594608.61559963</c:v>
                </c:pt>
                <c:pt idx="16">
                  <c:v>164240396.27719998</c:v>
                </c:pt>
                <c:pt idx="17">
                  <c:v>139823888.58599997</c:v>
                </c:pt>
                <c:pt idx="18">
                  <c:v>-6231675843.5276003</c:v>
                </c:pt>
                <c:pt idx="19">
                  <c:v>-5132014151.3903999</c:v>
                </c:pt>
                <c:pt idx="20">
                  <c:v>-8565703562.1007996</c:v>
                </c:pt>
                <c:pt idx="21">
                  <c:v>-6844004435.1652012</c:v>
                </c:pt>
                <c:pt idx="22">
                  <c:v>-5125019416.0615997</c:v>
                </c:pt>
                <c:pt idx="23">
                  <c:v>-4318259605.2035999</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835266048"/>
        <c:axId val="834747712"/>
      </c:barChart>
      <c:catAx>
        <c:axId val="835266048"/>
        <c:scaling>
          <c:orientation val="minMax"/>
        </c:scaling>
        <c:delete val="0"/>
        <c:axPos val="b"/>
        <c:majorTickMark val="out"/>
        <c:minorTickMark val="none"/>
        <c:tickLblPos val="nextTo"/>
        <c:crossAx val="834747712"/>
        <c:crosses val="autoZero"/>
        <c:auto val="1"/>
        <c:lblAlgn val="ctr"/>
        <c:lblOffset val="100"/>
        <c:noMultiLvlLbl val="0"/>
      </c:catAx>
      <c:valAx>
        <c:axId val="834747712"/>
        <c:scaling>
          <c:orientation val="minMax"/>
        </c:scaling>
        <c:delete val="0"/>
        <c:axPos val="l"/>
        <c:majorGridlines/>
        <c:numFmt formatCode="#,##0.00_ " sourceLinked="1"/>
        <c:majorTickMark val="out"/>
        <c:minorTickMark val="none"/>
        <c:tickLblPos val="nextTo"/>
        <c:crossAx val="8352660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Cache>
                <c:formatCode>General</c:formatCode>
                <c:ptCount val="1"/>
                <c:pt idx="0">
                  <c:v>117408487922.53</c:v>
                </c:pt>
              </c:numCache>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Cache>
                <c:formatCode>General</c:formatCode>
                <c:ptCount val="1"/>
                <c:pt idx="0">
                  <c:v>96019627475.080002</c:v>
                </c:pt>
              </c:numCache>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Cache>
                <c:formatCode>General</c:formatCode>
                <c:ptCount val="1"/>
                <c:pt idx="0">
                  <c:v>75898542854.720001</c:v>
                </c:pt>
              </c:numCache>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66234170421.290001</c:v>
                </c:pt>
              </c:numCache>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Cache>
                <c:formatCode>General</c:formatCode>
                <c:ptCount val="1"/>
                <c:pt idx="0">
                  <c:v>55311550841.120003</c:v>
                </c:pt>
              </c:numCache>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Cache>
                <c:formatCode>General</c:formatCode>
                <c:ptCount val="1"/>
                <c:pt idx="0">
                  <c:v>44129092273.260002</c:v>
                </c:pt>
              </c:numCache>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Cache>
                <c:formatCode>General</c:formatCode>
                <c:ptCount val="1"/>
                <c:pt idx="0">
                  <c:v>35454036397.25</c:v>
                </c:pt>
              </c:numCache>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25403379611.290001</c:v>
                </c:pt>
              </c:numCache>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Cache>
                <c:formatCode>General</c:formatCode>
                <c:ptCount val="1"/>
                <c:pt idx="0">
                  <c:v>18549389694.619999</c:v>
                </c:pt>
              </c:numCache>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Cache>
                <c:formatCode>General</c:formatCode>
                <c:ptCount val="1"/>
                <c:pt idx="0">
                  <c:v>14651565394.209999</c:v>
                </c:pt>
              </c:numCache>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Cache>
                <c:formatCode>General</c:formatCode>
                <c:ptCount val="1"/>
                <c:pt idx="0">
                  <c:v>11503418295.950001</c:v>
                </c:pt>
              </c:numCache>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8368855770.4399996</c:v>
                </c:pt>
              </c:numCache>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Cache>
                <c:formatCode>General</c:formatCode>
                <c:ptCount val="1"/>
                <c:pt idx="0">
                  <c:v>5995028649.4300003</c:v>
                </c:pt>
              </c:numCache>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Cache>
                <c:formatCode>General</c:formatCode>
                <c:ptCount val="1"/>
                <c:pt idx="0">
                  <c:v>5162395081.5200005</c:v>
                </c:pt>
              </c:numCache>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Cache>
                <c:formatCode>General</c:formatCode>
                <c:ptCount val="1"/>
                <c:pt idx="0">
                  <c:v>4216707746.73</c:v>
                </c:pt>
              </c:numCache>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3470524090.9299998</c:v>
                </c:pt>
              </c:numCache>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pt idx="0">
                  <c:v>2852845506.1599998</c:v>
                </c:pt>
              </c:numCache>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Cache>
                <c:formatCode>General</c:formatCode>
                <c:ptCount val="1"/>
                <c:pt idx="0">
                  <c:v>2530915664.8000002</c:v>
                </c:pt>
              </c:numCache>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Cache>
                <c:formatCode>General</c:formatCode>
                <c:ptCount val="1"/>
                <c:pt idx="0">
                  <c:v>46624176881.220001</c:v>
                </c:pt>
              </c:numCache>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47453571644.629997</c:v>
                </c:pt>
              </c:numCache>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44129092273.260002</c:v>
                </c:pt>
              </c:numCache>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Cache>
                <c:formatCode>General</c:formatCode>
                <c:ptCount val="1"/>
                <c:pt idx="0">
                  <c:v>39820367702.190002</c:v>
                </c:pt>
              </c:numCache>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Cache>
                <c:formatCode>General</c:formatCode>
                <c:ptCount val="1"/>
                <c:pt idx="0">
                  <c:v>35779107183.519997</c:v>
                </c:pt>
              </c:numCache>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38595633055.419998</c:v>
                </c:pt>
              </c:numCache>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835267072"/>
        <c:axId val="835126400"/>
      </c:barChart>
      <c:catAx>
        <c:axId val="835267072"/>
        <c:scaling>
          <c:orientation val="minMax"/>
        </c:scaling>
        <c:delete val="0"/>
        <c:axPos val="b"/>
        <c:numFmt formatCode="General" sourceLinked="0"/>
        <c:majorTickMark val="out"/>
        <c:minorTickMark val="none"/>
        <c:tickLblPos val="nextTo"/>
        <c:crossAx val="835126400"/>
        <c:crosses val="autoZero"/>
        <c:auto val="1"/>
        <c:lblAlgn val="ctr"/>
        <c:lblOffset val="100"/>
        <c:noMultiLvlLbl val="0"/>
      </c:catAx>
      <c:valAx>
        <c:axId val="835126400"/>
        <c:scaling>
          <c:orientation val="minMax"/>
        </c:scaling>
        <c:delete val="0"/>
        <c:axPos val="l"/>
        <c:majorGridlines/>
        <c:numFmt formatCode="General" sourceLinked="1"/>
        <c:majorTickMark val="out"/>
        <c:minorTickMark val="none"/>
        <c:tickLblPos val="nextTo"/>
        <c:crossAx val="835267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18,298,236,150.31  13,522,567,242.82  8,773,132,339.58  7,071,236,794.98  5,287,295,112.38  4,114,037,784.33  3,513,436,953.51  3,209,968,937.03  2,638,340,763.70  2,038,076,176.98  1,601,014,475.77  1,200,336,776.93  939,648,707.25  0.00  16</c:v>
                </c:pt>
              </c:strCache>
            </c:strRef>
          </c:tx>
          <c:invertIfNegative val="0"/>
          <c:cat>
            <c:numRef>
              <c:f>投资和筹资活动现金流表!$E$12</c:f>
              <c:numCache>
                <c:formatCode>#,##0.00_ </c:formatCode>
                <c:ptCount val="1"/>
                <c:pt idx="0">
                  <c:v>7071236794.9799995</c:v>
                </c:pt>
              </c:numCache>
            </c:numRef>
          </c:cat>
          <c:val>
            <c:numRef>
              <c:f>投资和筹资活动现金流表!$E$12:$U$12</c:f>
              <c:numCache>
                <c:formatCode>#,##0.00_ </c:formatCode>
                <c:ptCount val="17"/>
                <c:pt idx="0">
                  <c:v>7071236794.9799995</c:v>
                </c:pt>
                <c:pt idx="1">
                  <c:v>5287295112.3800001</c:v>
                </c:pt>
                <c:pt idx="2">
                  <c:v>4114037784.3299999</c:v>
                </c:pt>
                <c:pt idx="3">
                  <c:v>3513436953.5100002</c:v>
                </c:pt>
                <c:pt idx="4">
                  <c:v>3209968937.0300002</c:v>
                </c:pt>
                <c:pt idx="5">
                  <c:v>2638340763.6999998</c:v>
                </c:pt>
                <c:pt idx="6">
                  <c:v>2038076176.98</c:v>
                </c:pt>
                <c:pt idx="7">
                  <c:v>1601014475.77</c:v>
                </c:pt>
                <c:pt idx="8">
                  <c:v>1200336776.9300001</c:v>
                </c:pt>
                <c:pt idx="9">
                  <c:v>939648707.25</c:v>
                </c:pt>
                <c:pt idx="10">
                  <c:v>0</c:v>
                </c:pt>
                <c:pt idx="11">
                  <c:v>16579774564.629999</c:v>
                </c:pt>
                <c:pt idx="12">
                  <c:v>15583608259.01</c:v>
                </c:pt>
                <c:pt idx="13">
                  <c:v>13522567242.82</c:v>
                </c:pt>
                <c:pt idx="14">
                  <c:v>9433590713.1000004</c:v>
                </c:pt>
                <c:pt idx="15">
                  <c:v>8937733311.7900009</c:v>
                </c:pt>
                <c:pt idx="16">
                  <c:v>9046122215.5200005</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835555840"/>
        <c:axId val="835129856"/>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20"/>
                <c:pt idx="0">
                  <c:v>2.3473071142035912E-2</c:v>
                </c:pt>
                <c:pt idx="1">
                  <c:v>-3.0509696612457908E-4</c:v>
                </c:pt>
                <c:pt idx="2">
                  <c:v>9.4631549914559396E-3</c:v>
                </c:pt>
                <c:pt idx="3">
                  <c:v>0.17034760692997084</c:v>
                </c:pt>
                <c:pt idx="4">
                  <c:v>0.67689026366243454</c:v>
                </c:pt>
                <c:pt idx="5">
                  <c:v>1.1765680053807042</c:v>
                </c:pt>
                <c:pt idx="6">
                  <c:v>1.0749771021867434</c:v>
                </c:pt>
                <c:pt idx="7">
                  <c:v>0.57236272321373838</c:v>
                </c:pt>
                <c:pt idx="8">
                  <c:v>0.54796790673185025</c:v>
                </c:pt>
                <c:pt idx="9">
                  <c:v>0.56367230610697283</c:v>
                </c:pt>
                <c:pt idx="10">
                  <c:v>0.52641150294076078</c:v>
                </c:pt>
                <c:pt idx="11">
                  <c:v>0.49179463893442438</c:v>
                </c:pt>
                <c:pt idx="12">
                  <c:v>0.68150964292192928</c:v>
                </c:pt>
                <c:pt idx="13">
                  <c:v>0</c:v>
                </c:pt>
                <c:pt idx="14">
                  <c:v>1.739142024253662E-2</c:v>
                </c:pt>
                <c:pt idx="15">
                  <c:v>1.7391475339050746E-2</c:v>
                </c:pt>
                <c:pt idx="16">
                  <c:v>3.3462666493321518E-2</c:v>
                </c:pt>
                <c:pt idx="17">
                  <c:v>3.3575875047255975E-2</c:v>
                </c:pt>
                <c:pt idx="18">
                  <c:v>0.27724261659959226</c:v>
                </c:pt>
                <c:pt idx="19">
                  <c:v>0.22383010598797312</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835558400"/>
        <c:axId val="835130432"/>
      </c:lineChart>
      <c:valAx>
        <c:axId val="835129856"/>
        <c:scaling>
          <c:orientation val="minMax"/>
        </c:scaling>
        <c:delete val="0"/>
        <c:axPos val="r"/>
        <c:numFmt formatCode="#,##0.00_ " sourceLinked="1"/>
        <c:majorTickMark val="out"/>
        <c:minorTickMark val="none"/>
        <c:tickLblPos val="nextTo"/>
        <c:crossAx val="835555840"/>
        <c:crosses val="max"/>
        <c:crossBetween val="between"/>
      </c:valAx>
      <c:catAx>
        <c:axId val="835555840"/>
        <c:scaling>
          <c:orientation val="minMax"/>
        </c:scaling>
        <c:delete val="1"/>
        <c:axPos val="b"/>
        <c:numFmt formatCode="#,##0.00_ " sourceLinked="1"/>
        <c:majorTickMark val="out"/>
        <c:minorTickMark val="none"/>
        <c:tickLblPos val="nextTo"/>
        <c:crossAx val="835129856"/>
        <c:crosses val="autoZero"/>
        <c:auto val="1"/>
        <c:lblAlgn val="ctr"/>
        <c:lblOffset val="100"/>
        <c:noMultiLvlLbl val="0"/>
      </c:catAx>
      <c:valAx>
        <c:axId val="835130432"/>
        <c:scaling>
          <c:orientation val="minMax"/>
        </c:scaling>
        <c:delete val="0"/>
        <c:axPos val="l"/>
        <c:numFmt formatCode="0.00%" sourceLinked="1"/>
        <c:majorTickMark val="out"/>
        <c:minorTickMark val="none"/>
        <c:tickLblPos val="nextTo"/>
        <c:crossAx val="835558400"/>
        <c:crosses val="autoZero"/>
        <c:crossBetween val="between"/>
      </c:valAx>
      <c:catAx>
        <c:axId val="835558400"/>
        <c:scaling>
          <c:orientation val="minMax"/>
        </c:scaling>
        <c:delete val="1"/>
        <c:axPos val="b"/>
        <c:majorTickMark val="out"/>
        <c:minorTickMark val="none"/>
        <c:tickLblPos val="nextTo"/>
        <c:crossAx val="83513043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24"/>
                <c:pt idx="0">
                  <c:v>25.757105074468502</c:v>
                </c:pt>
                <c:pt idx="1">
                  <c:v>19.691574634773701</c:v>
                </c:pt>
                <c:pt idx="2">
                  <c:v>36.749840269244572</c:v>
                </c:pt>
                <c:pt idx="3">
                  <c:v>8.4943542672814765</c:v>
                </c:pt>
                <c:pt idx="4">
                  <c:v>2.8574949081304712</c:v>
                </c:pt>
                <c:pt idx="5">
                  <c:v>2.3410346780486413</c:v>
                </c:pt>
                <c:pt idx="6">
                  <c:v>2.8304404015528903</c:v>
                </c:pt>
                <c:pt idx="7">
                  <c:v>4.6457437005617175</c:v>
                </c:pt>
                <c:pt idx="8">
                  <c:v>3.5807074004933277</c:v>
                </c:pt>
                <c:pt idx="9">
                  <c:v>3.1136166740942528</c:v>
                </c:pt>
                <c:pt idx="10">
                  <c:v>5.1920078507291088</c:v>
                </c:pt>
                <c:pt idx="11">
                  <c:v>2.2568298243797806</c:v>
                </c:pt>
                <c:pt idx="12">
                  <c:v>2.8561358753817205</c:v>
                </c:pt>
                <c:pt idx="13">
                  <c:v>3.1316023608580208</c:v>
                </c:pt>
                <c:pt idx="14">
                  <c:v>2.7472181739216275</c:v>
                </c:pt>
                <c:pt idx="15">
                  <c:v>2.8120660356418337</c:v>
                </c:pt>
                <c:pt idx="16">
                  <c:v>0.9296835864914097</c:v>
                </c:pt>
                <c:pt idx="17">
                  <c:v>0.12747698149683978</c:v>
                </c:pt>
                <c:pt idx="18">
                  <c:v>1.5074311545901438</c:v>
                </c:pt>
                <c:pt idx="19">
                  <c:v>8.5893015914112789E-2</c:v>
                </c:pt>
                <c:pt idx="20">
                  <c:v>2.3410346780486413</c:v>
                </c:pt>
                <c:pt idx="21">
                  <c:v>2.3437028896412353</c:v>
                </c:pt>
                <c:pt idx="22">
                  <c:v>2.0635616042047893</c:v>
                </c:pt>
                <c:pt idx="23">
                  <c:v>0.70246373561997577</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835552768"/>
        <c:axId val="835132736"/>
      </c:lineChart>
      <c:catAx>
        <c:axId val="835552768"/>
        <c:scaling>
          <c:orientation val="minMax"/>
        </c:scaling>
        <c:delete val="0"/>
        <c:axPos val="b"/>
        <c:majorTickMark val="out"/>
        <c:minorTickMark val="none"/>
        <c:tickLblPos val="nextTo"/>
        <c:crossAx val="835132736"/>
        <c:crosses val="autoZero"/>
        <c:auto val="1"/>
        <c:lblAlgn val="ctr"/>
        <c:lblOffset val="100"/>
        <c:noMultiLvlLbl val="0"/>
      </c:catAx>
      <c:valAx>
        <c:axId val="835132736"/>
        <c:scaling>
          <c:orientation val="minMax"/>
        </c:scaling>
        <c:delete val="0"/>
        <c:axPos val="l"/>
        <c:majorGridlines/>
        <c:numFmt formatCode="#,##0.00_ " sourceLinked="1"/>
        <c:majorTickMark val="out"/>
        <c:minorTickMark val="none"/>
        <c:tickLblPos val="nextTo"/>
        <c:crossAx val="8355527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24"/>
                <c:pt idx="0">
                  <c:v>1606750226.28</c:v>
                </c:pt>
                <c:pt idx="1">
                  <c:v>1125000742.45</c:v>
                </c:pt>
                <c:pt idx="2">
                  <c:v>1019086052.42</c:v>
                </c:pt>
                <c:pt idx="3">
                  <c:v>2052697543.9299998</c:v>
                </c:pt>
                <c:pt idx="4">
                  <c:v>4420838126.6599998</c:v>
                </c:pt>
                <c:pt idx="5">
                  <c:v>5405740026.2299995</c:v>
                </c:pt>
                <c:pt idx="6">
                  <c:v>4211821807.9099998</c:v>
                </c:pt>
                <c:pt idx="7">
                  <c:v>2184486563.1100001</c:v>
                </c:pt>
                <c:pt idx="8">
                  <c:v>1731913788.52</c:v>
                </c:pt>
                <c:pt idx="9">
                  <c:v>1356601530.0899999</c:v>
                </c:pt>
                <c:pt idx="10">
                  <c:v>1010685786.04</c:v>
                </c:pt>
                <c:pt idx="11">
                  <c:v>772456652.49000001</c:v>
                </c:pt>
                <c:pt idx="12">
                  <c:v>737069637.27999997</c:v>
                </c:pt>
                <c:pt idx="13">
                  <c:v>540843725.72000003</c:v>
                </c:pt>
                <c:pt idx="14">
                  <c:v>355190020.75</c:v>
                </c:pt>
                <c:pt idx="15">
                  <c:v>334880557.62</c:v>
                </c:pt>
                <c:pt idx="16">
                  <c:v>467451921.25</c:v>
                </c:pt>
                <c:pt idx="17">
                  <c:v>331691548.18000001</c:v>
                </c:pt>
                <c:pt idx="18">
                  <c:v>2845067474.8499999</c:v>
                </c:pt>
                <c:pt idx="19">
                  <c:v>2024794494.28</c:v>
                </c:pt>
                <c:pt idx="20">
                  <c:v>5405740026.2299995</c:v>
                </c:pt>
                <c:pt idx="21">
                  <c:v>3944662952.02</c:v>
                </c:pt>
                <c:pt idx="22">
                  <c:v>2527195939.4299998</c:v>
                </c:pt>
                <c:pt idx="23">
                  <c:v>1124939088.24</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24"/>
                <c:pt idx="0">
                  <c:v>41385234406.720001</c:v>
                </c:pt>
                <c:pt idx="1">
                  <c:v>22153036084.130001</c:v>
                </c:pt>
                <c:pt idx="2">
                  <c:v>37451249647.050003</c:v>
                </c:pt>
                <c:pt idx="3">
                  <c:v>17436340141.720001</c:v>
                </c:pt>
                <c:pt idx="4">
                  <c:v>12632522436.6</c:v>
                </c:pt>
                <c:pt idx="5">
                  <c:v>12655024861.92</c:v>
                </c:pt>
                <c:pt idx="6">
                  <c:v>11921310609.25</c:v>
                </c:pt>
                <c:pt idx="7">
                  <c:v>10148564689.530001</c:v>
                </c:pt>
                <c:pt idx="8">
                  <c:v>6201476519.5699997</c:v>
                </c:pt>
                <c:pt idx="9">
                  <c:v>4223937144.1900001</c:v>
                </c:pt>
                <c:pt idx="10">
                  <c:v>5247488535.7399998</c:v>
                </c:pt>
                <c:pt idx="11">
                  <c:v>1743303211.3800001</c:v>
                </c:pt>
                <c:pt idx="12">
                  <c:v>2105171033.6900001</c:v>
                </c:pt>
                <c:pt idx="13">
                  <c:v>1693707488.3199999</c:v>
                </c:pt>
                <c:pt idx="14">
                  <c:v>975784480.20000005</c:v>
                </c:pt>
                <c:pt idx="15">
                  <c:v>941706242.08000004</c:v>
                </c:pt>
                <c:pt idx="16">
                  <c:v>434582378.66000003</c:v>
                </c:pt>
                <c:pt idx="17">
                  <c:v>42283037.350000001</c:v>
                </c:pt>
                <c:pt idx="18">
                  <c:v>4288743348.5</c:v>
                </c:pt>
                <c:pt idx="19">
                  <c:v>173915705.72</c:v>
                </c:pt>
                <c:pt idx="20">
                  <c:v>12655024861.92</c:v>
                </c:pt>
                <c:pt idx="21">
                  <c:v>9245117959.3099995</c:v>
                </c:pt>
                <c:pt idx="22">
                  <c:v>5215024506.9099998</c:v>
                </c:pt>
                <c:pt idx="23">
                  <c:v>790228914.26999998</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24"/>
                <c:pt idx="0">
                  <c:v>-16441093160.059999</c:v>
                </c:pt>
                <c:pt idx="1">
                  <c:v>-8899177880.7999992</c:v>
                </c:pt>
                <c:pt idx="2">
                  <c:v>-8334512252.2299995</c:v>
                </c:pt>
                <c:pt idx="3">
                  <c:v>-5588019638.6099997</c:v>
                </c:pt>
                <c:pt idx="4">
                  <c:v>-5041426729.3299999</c:v>
                </c:pt>
                <c:pt idx="5">
                  <c:v>-7385971074.4700003</c:v>
                </c:pt>
                <c:pt idx="6">
                  <c:v>-3914524622.8499999</c:v>
                </c:pt>
                <c:pt idx="7">
                  <c:v>-2661850366.8699999</c:v>
                </c:pt>
                <c:pt idx="8">
                  <c:v>-1292845230.8</c:v>
                </c:pt>
                <c:pt idx="9">
                  <c:v>-1234985747.28</c:v>
                </c:pt>
                <c:pt idx="10">
                  <c:v>-883910258.55999994</c:v>
                </c:pt>
                <c:pt idx="11">
                  <c:v>-705361407.20000005</c:v>
                </c:pt>
                <c:pt idx="12">
                  <c:v>-755992791.29999995</c:v>
                </c:pt>
                <c:pt idx="13">
                  <c:v>-159201747.91999999</c:v>
                </c:pt>
                <c:pt idx="14">
                  <c:v>-62314427.450000003</c:v>
                </c:pt>
                <c:pt idx="15">
                  <c:v>-47085988.25</c:v>
                </c:pt>
                <c:pt idx="16">
                  <c:v>-139259336.87</c:v>
                </c:pt>
                <c:pt idx="17">
                  <c:v>1784861497.47</c:v>
                </c:pt>
                <c:pt idx="18">
                  <c:v>-5105391867.6199999</c:v>
                </c:pt>
                <c:pt idx="19">
                  <c:v>0</c:v>
                </c:pt>
                <c:pt idx="20">
                  <c:v>-7385971074.4700003</c:v>
                </c:pt>
                <c:pt idx="21">
                  <c:v>-7344303718.8999996</c:v>
                </c:pt>
                <c:pt idx="22">
                  <c:v>-6790393654.46</c:v>
                </c:pt>
                <c:pt idx="23">
                  <c:v>-98380859.950000003</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835553792"/>
        <c:axId val="835650688"/>
      </c:barChart>
      <c:catAx>
        <c:axId val="835553792"/>
        <c:scaling>
          <c:orientation val="minMax"/>
        </c:scaling>
        <c:delete val="0"/>
        <c:axPos val="b"/>
        <c:majorTickMark val="none"/>
        <c:minorTickMark val="none"/>
        <c:tickLblPos val="nextTo"/>
        <c:crossAx val="835650688"/>
        <c:crosses val="autoZero"/>
        <c:auto val="1"/>
        <c:lblAlgn val="ctr"/>
        <c:lblOffset val="100"/>
        <c:noMultiLvlLbl val="0"/>
      </c:catAx>
      <c:valAx>
        <c:axId val="835650688"/>
        <c:scaling>
          <c:orientation val="minMax"/>
        </c:scaling>
        <c:delete val="0"/>
        <c:axPos val="l"/>
        <c:majorGridlines/>
        <c:numFmt formatCode="#,##0.00_ " sourceLinked="1"/>
        <c:majorTickMark val="none"/>
        <c:minorTickMark val="none"/>
        <c:tickLblPos val="nextTo"/>
        <c:crossAx val="835553792"/>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24"/>
                <c:pt idx="3">
                  <c:v>-8525814475.1899996</c:v>
                </c:pt>
                <c:pt idx="4">
                  <c:v>34800000</c:v>
                </c:pt>
                <c:pt idx="5">
                  <c:v>6000000</c:v>
                </c:pt>
                <c:pt idx="6">
                  <c:v>392000000</c:v>
                </c:pt>
                <c:pt idx="7">
                  <c:v>-7751996623.8100004</c:v>
                </c:pt>
                <c:pt idx="8">
                  <c:v>0</c:v>
                </c:pt>
                <c:pt idx="9">
                  <c:v>0</c:v>
                </c:pt>
                <c:pt idx="10">
                  <c:v>0</c:v>
                </c:pt>
                <c:pt idx="11">
                  <c:v>-4995099252</c:v>
                </c:pt>
                <c:pt idx="12">
                  <c:v>0</c:v>
                </c:pt>
                <c:pt idx="13">
                  <c:v>0</c:v>
                </c:pt>
                <c:pt idx="14">
                  <c:v>0</c:v>
                </c:pt>
                <c:pt idx="15">
                  <c:v>-4540999320</c:v>
                </c:pt>
                <c:pt idx="16">
                  <c:v>0</c:v>
                </c:pt>
                <c:pt idx="17">
                  <c:v>2016922206.52</c:v>
                </c:pt>
                <c:pt idx="18">
                  <c:v>0</c:v>
                </c:pt>
                <c:pt idx="19">
                  <c:v>-6664077420.2200003</c:v>
                </c:pt>
                <c:pt idx="20">
                  <c:v>6000000</c:v>
                </c:pt>
                <c:pt idx="21">
                  <c:v>0</c:v>
                </c:pt>
                <c:pt idx="22">
                  <c:v>0</c:v>
                </c:pt>
                <c:pt idx="23">
                  <c:v>-4149605460.23</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24"/>
                <c:pt idx="0">
                  <c:v>-42770668.840000004</c:v>
                </c:pt>
                <c:pt idx="1">
                  <c:v>-23414782.670000002</c:v>
                </c:pt>
                <c:pt idx="2">
                  <c:v>-34481635.329999998</c:v>
                </c:pt>
                <c:pt idx="3">
                  <c:v>-84208094.390000001</c:v>
                </c:pt>
                <c:pt idx="4">
                  <c:v>52017409.090000004</c:v>
                </c:pt>
                <c:pt idx="5">
                  <c:v>-27383888.890000001</c:v>
                </c:pt>
                <c:pt idx="6">
                  <c:v>0</c:v>
                </c:pt>
                <c:pt idx="7">
                  <c:v>-37529578.909999996</c:v>
                </c:pt>
                <c:pt idx="8">
                  <c:v>0</c:v>
                </c:pt>
                <c:pt idx="9">
                  <c:v>0</c:v>
                </c:pt>
                <c:pt idx="10">
                  <c:v>0</c:v>
                </c:pt>
                <c:pt idx="11">
                  <c:v>-41360986.93</c:v>
                </c:pt>
                <c:pt idx="12">
                  <c:v>0</c:v>
                </c:pt>
                <c:pt idx="13">
                  <c:v>0</c:v>
                </c:pt>
                <c:pt idx="14">
                  <c:v>0</c:v>
                </c:pt>
                <c:pt idx="15">
                  <c:v>-10292572.550000001</c:v>
                </c:pt>
                <c:pt idx="16">
                  <c:v>0</c:v>
                </c:pt>
                <c:pt idx="17">
                  <c:v>-129000000</c:v>
                </c:pt>
                <c:pt idx="18">
                  <c:v>-33684820.810000002</c:v>
                </c:pt>
                <c:pt idx="19">
                  <c:v>-24308411.109999999</c:v>
                </c:pt>
                <c:pt idx="20">
                  <c:v>-27383888.890000001</c:v>
                </c:pt>
                <c:pt idx="21">
                  <c:v>-13514111.109999999</c:v>
                </c:pt>
                <c:pt idx="22">
                  <c:v>0</c:v>
                </c:pt>
                <c:pt idx="23">
                  <c:v>-132222.22</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835554816"/>
        <c:axId val="835652992"/>
      </c:barChart>
      <c:catAx>
        <c:axId val="835554816"/>
        <c:scaling>
          <c:orientation val="minMax"/>
        </c:scaling>
        <c:delete val="0"/>
        <c:axPos val="b"/>
        <c:majorTickMark val="out"/>
        <c:minorTickMark val="none"/>
        <c:tickLblPos val="nextTo"/>
        <c:crossAx val="835652992"/>
        <c:crosses val="autoZero"/>
        <c:auto val="1"/>
        <c:lblAlgn val="ctr"/>
        <c:lblOffset val="100"/>
        <c:noMultiLvlLbl val="0"/>
      </c:catAx>
      <c:valAx>
        <c:axId val="835652992"/>
        <c:scaling>
          <c:orientation val="minMax"/>
        </c:scaling>
        <c:delete val="0"/>
        <c:axPos val="l"/>
        <c:majorGridlines/>
        <c:numFmt formatCode="#,##0.00_ " sourceLinked="1"/>
        <c:majorTickMark val="out"/>
        <c:minorTickMark val="none"/>
        <c:tickLblPos val="nextTo"/>
        <c:crossAx val="8355548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24"/>
                <c:pt idx="0">
                  <c:v>0</c:v>
                </c:pt>
                <c:pt idx="1">
                  <c:v>0</c:v>
                </c:pt>
                <c:pt idx="2">
                  <c:v>0</c:v>
                </c:pt>
                <c:pt idx="3">
                  <c:v>0</c:v>
                </c:pt>
                <c:pt idx="4">
                  <c:v>67382607</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836362752"/>
        <c:axId val="835654720"/>
      </c:barChart>
      <c:catAx>
        <c:axId val="836362752"/>
        <c:scaling>
          <c:orientation val="minMax"/>
        </c:scaling>
        <c:delete val="0"/>
        <c:axPos val="b"/>
        <c:majorTickMark val="out"/>
        <c:minorTickMark val="none"/>
        <c:tickLblPos val="nextTo"/>
        <c:crossAx val="835654720"/>
        <c:crosses val="autoZero"/>
        <c:auto val="1"/>
        <c:lblAlgn val="ctr"/>
        <c:lblOffset val="100"/>
        <c:noMultiLvlLbl val="0"/>
      </c:catAx>
      <c:valAx>
        <c:axId val="835654720"/>
        <c:scaling>
          <c:orientation val="minMax"/>
        </c:scaling>
        <c:delete val="0"/>
        <c:axPos val="l"/>
        <c:majorGridlines/>
        <c:numFmt formatCode="General" sourceLinked="1"/>
        <c:majorTickMark val="out"/>
        <c:minorTickMark val="none"/>
        <c:tickLblPos val="nextTo"/>
        <c:crossAx val="8363627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24"/>
                <c:pt idx="3">
                  <c:v>-35000000</c:v>
                </c:pt>
                <c:pt idx="4">
                  <c:v>10000000</c:v>
                </c:pt>
                <c:pt idx="5">
                  <c:v>0</c:v>
                </c:pt>
                <c:pt idx="6">
                  <c:v>-10000000</c:v>
                </c:pt>
                <c:pt idx="7">
                  <c:v>0</c:v>
                </c:pt>
                <c:pt idx="8">
                  <c:v>33000000</c:v>
                </c:pt>
                <c:pt idx="9">
                  <c:v>-15000000</c:v>
                </c:pt>
                <c:pt idx="10">
                  <c:v>-16000000</c:v>
                </c:pt>
                <c:pt idx="11">
                  <c:v>17000000</c:v>
                </c:pt>
                <c:pt idx="12">
                  <c:v>41000000</c:v>
                </c:pt>
                <c:pt idx="13">
                  <c:v>0</c:v>
                </c:pt>
                <c:pt idx="14">
                  <c:v>0</c:v>
                </c:pt>
                <c:pt idx="15">
                  <c:v>0</c:v>
                </c:pt>
                <c:pt idx="16">
                  <c:v>4000000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836364800"/>
        <c:axId val="835656448"/>
      </c:barChart>
      <c:catAx>
        <c:axId val="836364800"/>
        <c:scaling>
          <c:orientation val="minMax"/>
        </c:scaling>
        <c:delete val="0"/>
        <c:axPos val="b"/>
        <c:majorTickMark val="out"/>
        <c:minorTickMark val="none"/>
        <c:tickLblPos val="nextTo"/>
        <c:crossAx val="835656448"/>
        <c:crosses val="autoZero"/>
        <c:auto val="1"/>
        <c:lblAlgn val="ctr"/>
        <c:lblOffset val="100"/>
        <c:noMultiLvlLbl val="0"/>
      </c:catAx>
      <c:valAx>
        <c:axId val="835656448"/>
        <c:scaling>
          <c:orientation val="minMax"/>
        </c:scaling>
        <c:delete val="0"/>
        <c:axPos val="l"/>
        <c:majorGridlines/>
        <c:numFmt formatCode="#,##0.00_ " sourceLinked="1"/>
        <c:majorTickMark val="out"/>
        <c:minorTickMark val="none"/>
        <c:tickLblPos val="nextTo"/>
        <c:crossAx val="836364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24"/>
                <c:pt idx="0">
                  <c:v>217</c:v>
                </c:pt>
                <c:pt idx="1">
                  <c:v>189</c:v>
                </c:pt>
                <c:pt idx="2">
                  <c:v>0</c:v>
                </c:pt>
                <c:pt idx="3">
                  <c:v>880974.99</c:v>
                </c:pt>
                <c:pt idx="4">
                  <c:v>0</c:v>
                </c:pt>
                <c:pt idx="5">
                  <c:v>0</c:v>
                </c:pt>
                <c:pt idx="6">
                  <c:v>0</c:v>
                </c:pt>
                <c:pt idx="7">
                  <c:v>37529578.909999996</c:v>
                </c:pt>
                <c:pt idx="8">
                  <c:v>0</c:v>
                </c:pt>
                <c:pt idx="9">
                  <c:v>0</c:v>
                </c:pt>
                <c:pt idx="10">
                  <c:v>0</c:v>
                </c:pt>
                <c:pt idx="11">
                  <c:v>41360986.93</c:v>
                </c:pt>
                <c:pt idx="12">
                  <c:v>0</c:v>
                </c:pt>
                <c:pt idx="13">
                  <c:v>0</c:v>
                </c:pt>
                <c:pt idx="14">
                  <c:v>0</c:v>
                </c:pt>
                <c:pt idx="15">
                  <c:v>10292572.550000001</c:v>
                </c:pt>
                <c:pt idx="16">
                  <c:v>0</c:v>
                </c:pt>
                <c:pt idx="17">
                  <c:v>0</c:v>
                </c:pt>
                <c:pt idx="18">
                  <c:v>0</c:v>
                </c:pt>
                <c:pt idx="19">
                  <c:v>0</c:v>
                </c:pt>
                <c:pt idx="20">
                  <c:v>0</c:v>
                </c:pt>
                <c:pt idx="21">
                  <c:v>0</c:v>
                </c:pt>
                <c:pt idx="22">
                  <c:v>0</c:v>
                </c:pt>
                <c:pt idx="23">
                  <c:v>132222.22</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24"/>
                <c:pt idx="0">
                  <c:v>42770451.840000004</c:v>
                </c:pt>
                <c:pt idx="1">
                  <c:v>23414593.670000002</c:v>
                </c:pt>
                <c:pt idx="2">
                  <c:v>34481635.329999998</c:v>
                </c:pt>
                <c:pt idx="3">
                  <c:v>27409447.399999999</c:v>
                </c:pt>
                <c:pt idx="4">
                  <c:v>77917681.909999996</c:v>
                </c:pt>
                <c:pt idx="5">
                  <c:v>27383888.890000001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24"/>
                <c:pt idx="0">
                  <c:v>117408487922.53</c:v>
                </c:pt>
                <c:pt idx="1">
                  <c:v>96019627475.080002</c:v>
                </c:pt>
                <c:pt idx="2">
                  <c:v>75898542854.720001</c:v>
                </c:pt>
                <c:pt idx="3">
                  <c:v>66234170421.290001</c:v>
                </c:pt>
                <c:pt idx="4">
                  <c:v>55311550841.119995</c:v>
                </c:pt>
                <c:pt idx="5">
                  <c:v>44129092273.259995</c:v>
                </c:pt>
                <c:pt idx="6">
                  <c:v>35454036397.25</c:v>
                </c:pt>
                <c:pt idx="7">
                  <c:v>25403379611.289997</c:v>
                </c:pt>
                <c:pt idx="8">
                  <c:v>18549389694.619999</c:v>
                </c:pt>
                <c:pt idx="9">
                  <c:v>14651565394.209999</c:v>
                </c:pt>
                <c:pt idx="10">
                  <c:v>11503418295.949999</c:v>
                </c:pt>
                <c:pt idx="11">
                  <c:v>8368855770.4400005</c:v>
                </c:pt>
                <c:pt idx="12">
                  <c:v>5995028649.4300003</c:v>
                </c:pt>
                <c:pt idx="13">
                  <c:v>5162395081.5200005</c:v>
                </c:pt>
                <c:pt idx="14">
                  <c:v>4216707746.73</c:v>
                </c:pt>
                <c:pt idx="15">
                  <c:v>3470524090.9299998</c:v>
                </c:pt>
                <c:pt idx="16">
                  <c:v>2852845506.1599998</c:v>
                </c:pt>
                <c:pt idx="17">
                  <c:v>2530915664.8000002</c:v>
                </c:pt>
                <c:pt idx="18">
                  <c:v>46624176881.220001</c:v>
                </c:pt>
                <c:pt idx="19">
                  <c:v>47453571644.629997</c:v>
                </c:pt>
                <c:pt idx="20">
                  <c:v>44129092273.259995</c:v>
                </c:pt>
                <c:pt idx="21">
                  <c:v>39820367702.190002</c:v>
                </c:pt>
                <c:pt idx="22">
                  <c:v>35779107183.520004</c:v>
                </c:pt>
                <c:pt idx="23">
                  <c:v>38595633055.419998</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24"/>
                <c:pt idx="0">
                  <c:v>129189314752.36</c:v>
                </c:pt>
                <c:pt idx="1">
                  <c:v>106472505822.89</c:v>
                </c:pt>
                <c:pt idx="2">
                  <c:v>86261009305.149994</c:v>
                </c:pt>
                <c:pt idx="3">
                  <c:v>72209702167.820007</c:v>
                </c:pt>
                <c:pt idx="4">
                  <c:v>55389468523.029999</c:v>
                </c:pt>
                <c:pt idx="5">
                  <c:v>44156476162.149994</c:v>
                </c:pt>
                <c:pt idx="6">
                  <c:v>35454036397.25</c:v>
                </c:pt>
                <c:pt idx="7">
                  <c:v>25403379611.290001</c:v>
                </c:pt>
                <c:pt idx="8">
                  <c:v>18867973890.910004</c:v>
                </c:pt>
                <c:pt idx="9">
                  <c:v>14788773056.830002</c:v>
                </c:pt>
                <c:pt idx="10">
                  <c:v>11503418295.949999</c:v>
                </c:pt>
                <c:pt idx="11">
                  <c:v>8410662728.4800005</c:v>
                </c:pt>
                <c:pt idx="12">
                  <c:v>5995028649.4299994</c:v>
                </c:pt>
                <c:pt idx="13">
                  <c:v>5199576891.5199995</c:v>
                </c:pt>
                <c:pt idx="14">
                  <c:v>4234148606.4099998</c:v>
                </c:pt>
                <c:pt idx="15">
                  <c:v>3471736886.29</c:v>
                </c:pt>
                <c:pt idx="16">
                  <c:v>2930926516.1800003</c:v>
                </c:pt>
                <c:pt idx="17">
                  <c:v>2722401373.5699997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836093440"/>
        <c:axId val="836379200"/>
      </c:barChart>
      <c:catAx>
        <c:axId val="836093440"/>
        <c:scaling>
          <c:orientation val="minMax"/>
        </c:scaling>
        <c:delete val="0"/>
        <c:axPos val="b"/>
        <c:majorTickMark val="out"/>
        <c:minorTickMark val="none"/>
        <c:tickLblPos val="nextTo"/>
        <c:crossAx val="836379200"/>
        <c:crosses val="autoZero"/>
        <c:auto val="1"/>
        <c:lblAlgn val="ctr"/>
        <c:lblOffset val="100"/>
        <c:noMultiLvlLbl val="0"/>
      </c:catAx>
      <c:valAx>
        <c:axId val="836379200"/>
        <c:scaling>
          <c:orientation val="minMax"/>
        </c:scaling>
        <c:delete val="0"/>
        <c:axPos val="l"/>
        <c:majorGridlines/>
        <c:numFmt formatCode="#,##0.00_ " sourceLinked="1"/>
        <c:majorTickMark val="out"/>
        <c:minorTickMark val="none"/>
        <c:tickLblPos val="nextTo"/>
        <c:crossAx val="836093440"/>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73"/>
                <c:pt idx="0">
                  <c:v>7.2704767909403042E-2</c:v>
                </c:pt>
                <c:pt idx="1">
                  <c:v>7.2146046209828438E-2</c:v>
                </c:pt>
                <c:pt idx="2">
                  <c:v>7.038966361845124E-2</c:v>
                </c:pt>
                <c:pt idx="3">
                  <c:v>7.3397839846255461E-2</c:v>
                </c:pt>
                <c:pt idx="4">
                  <c:v>7.9887462098499673E-2</c:v>
                </c:pt>
                <c:pt idx="5">
                  <c:v>7.9950387546706511E-2</c:v>
                </c:pt>
                <c:pt idx="6">
                  <c:v>0.08</c:v>
                </c:pt>
                <c:pt idx="7">
                  <c:v>7.9999999999999988E-2</c:v>
                </c:pt>
                <c:pt idx="8">
                  <c:v>7.864920654170085E-2</c:v>
                </c:pt>
                <c:pt idx="9">
                  <c:v>7.9257773923000943E-2</c:v>
                </c:pt>
                <c:pt idx="10">
                  <c:v>0.08</c:v>
                </c:pt>
                <c:pt idx="11">
                  <c:v>7.9602343269350853E-2</c:v>
                </c:pt>
                <c:pt idx="12">
                  <c:v>8.0000000000000016E-2</c:v>
                </c:pt>
                <c:pt idx="13">
                  <c:v>7.9427925605860136E-2</c:v>
                </c:pt>
                <c:pt idx="14">
                  <c:v>7.9670472412733048E-2</c:v>
                </c:pt>
                <c:pt idx="15">
                  <c:v>7.9972053288605155E-2</c:v>
                </c:pt>
                <c:pt idx="16">
                  <c:v>7.7868769221228609E-2</c:v>
                </c:pt>
                <c:pt idx="17">
                  <c:v>7.4373035199614343E-2</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836116480"/>
        <c:axId val="836381504"/>
      </c:lineChart>
      <c:catAx>
        <c:axId val="836116480"/>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836381504"/>
        <c:crosses val="autoZero"/>
        <c:auto val="1"/>
        <c:lblAlgn val="ctr"/>
        <c:lblOffset val="100"/>
        <c:noMultiLvlLbl val="0"/>
      </c:catAx>
      <c:valAx>
        <c:axId val="83638150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836116480"/>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24"/>
                <c:pt idx="3">
                  <c:v>0.99111920031265022</c:v>
                </c:pt>
                <c:pt idx="4">
                  <c:v>1.1441812283739818</c:v>
                </c:pt>
                <c:pt idx="5">
                  <c:v>1.6061957677168195</c:v>
                </c:pt>
                <c:pt idx="6">
                  <c:v>1.74947443669714</c:v>
                </c:pt>
                <c:pt idx="7">
                  <c:v>2.8751560230260456</c:v>
                </c:pt>
                <c:pt idx="8">
                  <c:v>1.8831567611303841</c:v>
                </c:pt>
                <c:pt idx="9">
                  <c:v>1.5064468755230513</c:v>
                </c:pt>
                <c:pt idx="10">
                  <c:v>1.8080007069695392</c:v>
                </c:pt>
                <c:pt idx="11">
                  <c:v>1.0445272719285661</c:v>
                </c:pt>
                <c:pt idx="12">
                  <c:v>1.5309487300030662</c:v>
                </c:pt>
                <c:pt idx="13">
                  <c:v>0.98932564081597996</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24"/>
                <c:pt idx="3">
                  <c:v>-1</c:v>
                </c:pt>
                <c:pt idx="4">
                  <c:v>-1</c:v>
                </c:pt>
                <c:pt idx="5">
                  <c:v>0</c:v>
                </c:pt>
                <c:pt idx="6">
                  <c:v>0</c:v>
                </c:pt>
                <c:pt idx="7">
                  <c:v>0</c:v>
                </c:pt>
                <c:pt idx="8">
                  <c:v>-0.65176500309477747</c:v>
                </c:pt>
                <c:pt idx="9">
                  <c:v>-0.60949006809890849</c:v>
                </c:pt>
                <c:pt idx="10">
                  <c:v>-0.59246316579953584</c:v>
                </c:pt>
                <c:pt idx="11">
                  <c:v>0</c:v>
                </c:pt>
                <c:pt idx="12">
                  <c:v>1.8716240724999997</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24"/>
                <c:pt idx="3">
                  <c:v>-96.079846778337142</c:v>
                </c:pt>
                <c:pt idx="4">
                  <c:v>13.311168138280751</c:v>
                </c:pt>
                <c:pt idx="5">
                  <c:v>4.6582416487978726</c:v>
                </c:pt>
                <c:pt idx="6">
                  <c:v>-41.876115795406072</c:v>
                </c:pt>
                <c:pt idx="7">
                  <c:v>-1.3114020723066868</c:v>
                </c:pt>
                <c:pt idx="8">
                  <c:v>-1.5870846920480475</c:v>
                </c:pt>
                <c:pt idx="9">
                  <c:v>-2.2726692323810238</c:v>
                </c:pt>
                <c:pt idx="10">
                  <c:v>-0.59831525360609294</c:v>
                </c:pt>
                <c:pt idx="11">
                  <c:v>-7.9107342457842895</c:v>
                </c:pt>
                <c:pt idx="12">
                  <c:v>-6.2443927219547115</c:v>
                </c:pt>
                <c:pt idx="13">
                  <c:v>-5.2346838449279183</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24"/>
                <c:pt idx="3">
                  <c:v>2.007394768157087</c:v>
                </c:pt>
                <c:pt idx="4">
                  <c:v>1.6841053423725474</c:v>
                </c:pt>
                <c:pt idx="5">
                  <c:v>1.8014410325358232</c:v>
                </c:pt>
                <c:pt idx="6">
                  <c:v>2.3536778036138277</c:v>
                </c:pt>
                <c:pt idx="7">
                  <c:v>2.6734694442570266</c:v>
                </c:pt>
                <c:pt idx="8">
                  <c:v>2.221525324881843</c:v>
                </c:pt>
                <c:pt idx="9">
                  <c:v>1.7781127577140894</c:v>
                </c:pt>
                <c:pt idx="10">
                  <c:v>1.2110766276272904</c:v>
                </c:pt>
                <c:pt idx="11">
                  <c:v>0.79748954279643702</c:v>
                </c:pt>
                <c:pt idx="12">
                  <c:v>0.88899518247963771</c:v>
                </c:pt>
                <c:pt idx="13">
                  <c:v>1.329017103443368</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24"/>
                <c:pt idx="3">
                  <c:v>0.48168223363458096</c:v>
                </c:pt>
                <c:pt idx="4">
                  <c:v>0.56016537635316244</c:v>
                </c:pt>
                <c:pt idx="5">
                  <c:v>1.268222152592688</c:v>
                </c:pt>
                <c:pt idx="6">
                  <c:v>1.2452811109848803</c:v>
                </c:pt>
                <c:pt idx="7">
                  <c:v>3.58636641553352</c:v>
                </c:pt>
                <c:pt idx="8">
                  <c:v>0.97991486684625939</c:v>
                </c:pt>
                <c:pt idx="9">
                  <c:v>0.74276276405613184</c:v>
                </c:pt>
                <c:pt idx="10">
                  <c:v>0.98680104877491059</c:v>
                </c:pt>
                <c:pt idx="11">
                  <c:v>0.39483279472257793</c:v>
                </c:pt>
                <c:pt idx="12">
                  <c:v>2.3939591531510978</c:v>
                </c:pt>
                <c:pt idx="13">
                  <c:v>2.8570422680780552</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24"/>
                <c:pt idx="3">
                  <c:v>2.0323578353171166</c:v>
                </c:pt>
                <c:pt idx="4">
                  <c:v>2.4917108372993555</c:v>
                </c:pt>
                <c:pt idx="5">
                  <c:v>2.2849861272731999</c:v>
                </c:pt>
                <c:pt idx="6">
                  <c:v>1.5145755947354254</c:v>
                </c:pt>
                <c:pt idx="7">
                  <c:v>1.2259548728556027</c:v>
                </c:pt>
                <c:pt idx="8">
                  <c:v>1.0213326889228245</c:v>
                </c:pt>
                <c:pt idx="9">
                  <c:v>1.0218812207596302</c:v>
                </c:pt>
                <c:pt idx="10">
                  <c:v>1.1791341344605992</c:v>
                </c:pt>
                <c:pt idx="11">
                  <c:v>1.6313401023315639</c:v>
                </c:pt>
                <c:pt idx="12">
                  <c:v>1.7618109204735393</c:v>
                </c:pt>
                <c:pt idx="13">
                  <c:v>2.4169470406221927</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836117504"/>
        <c:axId val="836383232"/>
      </c:lineChart>
      <c:catAx>
        <c:axId val="836117504"/>
        <c:scaling>
          <c:orientation val="minMax"/>
        </c:scaling>
        <c:delete val="0"/>
        <c:axPos val="b"/>
        <c:majorTickMark val="out"/>
        <c:minorTickMark val="none"/>
        <c:tickLblPos val="nextTo"/>
        <c:crossAx val="836383232"/>
        <c:crosses val="autoZero"/>
        <c:auto val="1"/>
        <c:lblAlgn val="ctr"/>
        <c:lblOffset val="100"/>
        <c:noMultiLvlLbl val="0"/>
      </c:catAx>
      <c:valAx>
        <c:axId val="836383232"/>
        <c:scaling>
          <c:orientation val="minMax"/>
        </c:scaling>
        <c:delete val="0"/>
        <c:axPos val="l"/>
        <c:majorGridlines/>
        <c:numFmt formatCode="0.00%" sourceLinked="1"/>
        <c:majorTickMark val="out"/>
        <c:minorTickMark val="none"/>
        <c:tickLblPos val="nextTo"/>
        <c:crossAx val="83611750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24"/>
                <c:pt idx="3">
                  <c:v>0.51122073403289947</c:v>
                </c:pt>
                <c:pt idx="4">
                  <c:v>0.50289922155433275</c:v>
                </c:pt>
                <c:pt idx="5">
                  <c:v>0.57576171580246216</c:v>
                </c:pt>
                <c:pt idx="6">
                  <c:v>0.63114429095372748</c:v>
                </c:pt>
                <c:pt idx="7">
                  <c:v>0.7298191502775615</c:v>
                </c:pt>
                <c:pt idx="8">
                  <c:v>0.68852768133671816</c:v>
                </c:pt>
                <c:pt idx="9">
                  <c:v>0.65962637453110085</c:v>
                </c:pt>
                <c:pt idx="10">
                  <c:v>0.70748583001848397</c:v>
                </c:pt>
                <c:pt idx="11">
                  <c:v>0.56883635148268885</c:v>
                </c:pt>
                <c:pt idx="12">
                  <c:v>0.75160065983478053</c:v>
                </c:pt>
                <c:pt idx="13">
                  <c:v>0.74852041131990055</c:v>
                </c:pt>
                <c:pt idx="14">
                  <c:v>0.68451244589343774</c:v>
                </c:pt>
                <c:pt idx="15">
                  <c:v>0.67402786083557253</c:v>
                </c:pt>
                <c:pt idx="16">
                  <c:v>0.60742146922207718</c:v>
                </c:pt>
                <c:pt idx="17">
                  <c:v>0.71864369049095878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24"/>
                <c:pt idx="3">
                  <c:v>0</c:v>
                </c:pt>
                <c:pt idx="4">
                  <c:v>0</c:v>
                </c:pt>
                <c:pt idx="5">
                  <c:v>9.0586938715655856E-5</c:v>
                </c:pt>
                <c:pt idx="6">
                  <c:v>1.1282213272365967E-4</c:v>
                </c:pt>
                <c:pt idx="7">
                  <c:v>1.5745936411635101E-4</c:v>
                </c:pt>
                <c:pt idx="8">
                  <c:v>2.1199944536318626E-4</c:v>
                </c:pt>
                <c:pt idx="9">
                  <c:v>2.7047544678851179E-4</c:v>
                </c:pt>
                <c:pt idx="10">
                  <c:v>3.47722728765612E-4</c:v>
                </c:pt>
                <c:pt idx="11">
                  <c:v>4.7558677944073164E-4</c:v>
                </c:pt>
                <c:pt idx="12">
                  <c:v>1.9160035692393435E-3</c:v>
                </c:pt>
                <c:pt idx="13">
                  <c:v>1.9699713156863508E-3</c:v>
                </c:pt>
                <c:pt idx="14">
                  <c:v>2.318072567207763E-3</c:v>
                </c:pt>
                <c:pt idx="15">
                  <c:v>1.1521610453246408E-3</c:v>
                </c:pt>
                <c:pt idx="16">
                  <c:v>1.3647561540414764E-3</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24"/>
                <c:pt idx="3">
                  <c:v>0.29426031075155568</c:v>
                </c:pt>
                <c:pt idx="4">
                  <c:v>0.32927263316720312</c:v>
                </c:pt>
                <c:pt idx="5">
                  <c:v>0.30501906885325625</c:v>
                </c:pt>
                <c:pt idx="6">
                  <c:v>0.245927776512812</c:v>
                </c:pt>
                <c:pt idx="7">
                  <c:v>0.27583876248756206</c:v>
                </c:pt>
                <c:pt idx="8">
                  <c:v>0.2768339166982004</c:v>
                </c:pt>
                <c:pt idx="9">
                  <c:v>0.27723988789160919</c:v>
                </c:pt>
                <c:pt idx="10">
                  <c:v>0.30142665982430439</c:v>
                </c:pt>
                <c:pt idx="11">
                  <c:v>0.37428310213539023</c:v>
                </c:pt>
                <c:pt idx="12">
                  <c:v>0.4310379430222892</c:v>
                </c:pt>
                <c:pt idx="13">
                  <c:v>0.38999964842470108</c:v>
                </c:pt>
                <c:pt idx="14">
                  <c:v>0.37580150343120039</c:v>
                </c:pt>
                <c:pt idx="15">
                  <c:v>0.34459315786699513</c:v>
                </c:pt>
                <c:pt idx="16">
                  <c:v>0.31923308281009727</c:v>
                </c:pt>
                <c:pt idx="17">
                  <c:v>0.21799263328381532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24"/>
                <c:pt idx="3">
                  <c:v>1</c:v>
                </c:pt>
                <c:pt idx="4">
                  <c:v>1</c:v>
                </c:pt>
                <c:pt idx="5">
                  <c:v>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836542976"/>
        <c:axId val="836385536"/>
      </c:lineChart>
      <c:catAx>
        <c:axId val="836542976"/>
        <c:scaling>
          <c:orientation val="minMax"/>
        </c:scaling>
        <c:delete val="0"/>
        <c:axPos val="b"/>
        <c:majorTickMark val="out"/>
        <c:minorTickMark val="none"/>
        <c:tickLblPos val="nextTo"/>
        <c:crossAx val="836385536"/>
        <c:crosses val="autoZero"/>
        <c:auto val="1"/>
        <c:lblAlgn val="ctr"/>
        <c:lblOffset val="100"/>
        <c:noMultiLvlLbl val="0"/>
      </c:catAx>
      <c:valAx>
        <c:axId val="836385536"/>
        <c:scaling>
          <c:orientation val="minMax"/>
        </c:scaling>
        <c:delete val="0"/>
        <c:axPos val="l"/>
        <c:majorGridlines/>
        <c:numFmt formatCode="0.00%" sourceLinked="1"/>
        <c:majorTickMark val="out"/>
        <c:minorTickMark val="none"/>
        <c:tickLblPos val="nextTo"/>
        <c:crossAx val="8365429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24"/>
                <c:pt idx="0">
                  <c:v>-20.707621925969711</c:v>
                </c:pt>
                <c:pt idx="1">
                  <c:v>-21.220050812733422</c:v>
                </c:pt>
                <c:pt idx="2">
                  <c:v>-18.54204172272917</c:v>
                </c:pt>
                <c:pt idx="3">
                  <c:v>3.6261767252407409</c:v>
                </c:pt>
                <c:pt idx="4">
                  <c:v>3.9881310846490683</c:v>
                </c:pt>
                <c:pt idx="5">
                  <c:v>5.8279038198799675</c:v>
                </c:pt>
                <c:pt idx="6">
                  <c:v>6.1389791442954333</c:v>
                </c:pt>
                <c:pt idx="7">
                  <c:v>-124.49827148773274</c:v>
                </c:pt>
                <c:pt idx="8">
                  <c:v>20.999989279807998</c:v>
                </c:pt>
                <c:pt idx="9">
                  <c:v>11.493034439761415</c:v>
                </c:pt>
                <c:pt idx="10">
                  <c:v>-75.400603609443792</c:v>
                </c:pt>
                <c:pt idx="11">
                  <c:v>11.084864088045135</c:v>
                </c:pt>
                <c:pt idx="12">
                  <c:v>-3.0725109732489275</c:v>
                </c:pt>
                <c:pt idx="13">
                  <c:v>-4.3279254454623253</c:v>
                </c:pt>
                <c:pt idx="14">
                  <c:v>-9.929113019462557</c:v>
                </c:pt>
                <c:pt idx="15">
                  <c:v>-33.087985312904493</c:v>
                </c:pt>
                <c:pt idx="16">
                  <c:v>9.4386722871946525</c:v>
                </c:pt>
                <c:pt idx="17">
                  <c:v>12.341571911587682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836544512"/>
        <c:axId val="822830208"/>
      </c:lineChart>
      <c:catAx>
        <c:axId val="836544512"/>
        <c:scaling>
          <c:orientation val="minMax"/>
        </c:scaling>
        <c:delete val="0"/>
        <c:axPos val="b"/>
        <c:majorTickMark val="out"/>
        <c:minorTickMark val="none"/>
        <c:tickLblPos val="nextTo"/>
        <c:crossAx val="822830208"/>
        <c:crosses val="autoZero"/>
        <c:auto val="1"/>
        <c:lblAlgn val="ctr"/>
        <c:lblOffset val="100"/>
        <c:noMultiLvlLbl val="0"/>
      </c:catAx>
      <c:valAx>
        <c:axId val="822830208"/>
        <c:scaling>
          <c:orientation val="minMax"/>
        </c:scaling>
        <c:delete val="0"/>
        <c:axPos val="l"/>
        <c:majorGridlines/>
        <c:numFmt formatCode="0.00%" sourceLinked="1"/>
        <c:majorTickMark val="out"/>
        <c:minorTickMark val="none"/>
        <c:tickLblPos val="nextTo"/>
        <c:crossAx val="8365445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24"/>
                <c:pt idx="0">
                  <c:v>112447681364.53</c:v>
                </c:pt>
                <c:pt idx="1">
                  <c:v>88139328529.229996</c:v>
                </c:pt>
                <c:pt idx="2">
                  <c:v>67024866975.099998</c:v>
                </c:pt>
                <c:pt idx="3">
                  <c:v>36915096946.529999</c:v>
                </c:pt>
                <c:pt idx="4">
                  <c:v>27855320602.540001</c:v>
                </c:pt>
                <c:pt idx="5">
                  <c:v>25423608478.91</c:v>
                </c:pt>
                <c:pt idx="6">
                  <c:v>22376612663.389999</c:v>
                </c:pt>
                <c:pt idx="7">
                  <c:v>18539872922.09</c:v>
                </c:pt>
                <c:pt idx="8">
                  <c:v>12991122314.630001</c:v>
                </c:pt>
                <c:pt idx="9">
                  <c:v>9755064755.2399998</c:v>
                </c:pt>
                <c:pt idx="10">
                  <c:v>8138505441.1599998</c:v>
                </c:pt>
                <c:pt idx="11">
                  <c:v>4784290700.0200005</c:v>
                </c:pt>
                <c:pt idx="12">
                  <c:v>4505867488.6400003</c:v>
                </c:pt>
                <c:pt idx="13">
                  <c:v>3891989433.5300002</c:v>
                </c:pt>
                <c:pt idx="14">
                  <c:v>2898327418.8499999</c:v>
                </c:pt>
                <c:pt idx="15">
                  <c:v>2340047386.8499999</c:v>
                </c:pt>
                <c:pt idx="16">
                  <c:v>1780307690.6400001</c:v>
                </c:pt>
                <c:pt idx="17">
                  <c:v>1956436570.0999999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24"/>
                <c:pt idx="0">
                  <c:v>0</c:v>
                </c:pt>
                <c:pt idx="1">
                  <c:v>0</c:v>
                </c:pt>
                <c:pt idx="2">
                  <c:v>0</c:v>
                </c:pt>
                <c:pt idx="3">
                  <c:v>0</c:v>
                </c:pt>
                <c:pt idx="4">
                  <c:v>0</c:v>
                </c:pt>
                <c:pt idx="5">
                  <c:v>4000000</c:v>
                </c:pt>
                <c:pt idx="6">
                  <c:v>4000000</c:v>
                </c:pt>
                <c:pt idx="7">
                  <c:v>4000000</c:v>
                </c:pt>
                <c:pt idx="8">
                  <c:v>4000000</c:v>
                </c:pt>
                <c:pt idx="9">
                  <c:v>4000000</c:v>
                </c:pt>
                <c:pt idx="10">
                  <c:v>4000000</c:v>
                </c:pt>
                <c:pt idx="11">
                  <c:v>4000000</c:v>
                </c:pt>
                <c:pt idx="12">
                  <c:v>11486496.289999999</c:v>
                </c:pt>
                <c:pt idx="13">
                  <c:v>10243017.33</c:v>
                </c:pt>
                <c:pt idx="14">
                  <c:v>9815063.7300000004</c:v>
                </c:pt>
                <c:pt idx="15">
                  <c:v>4000000</c:v>
                </c:pt>
                <c:pt idx="16">
                  <c:v>4000000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24"/>
                <c:pt idx="0">
                  <c:v>21919764428.440002</c:v>
                </c:pt>
                <c:pt idx="1">
                  <c:v>22298780913.480003</c:v>
                </c:pt>
                <c:pt idx="2">
                  <c:v>22664155957.809998</c:v>
                </c:pt>
                <c:pt idx="3">
                  <c:v>21248449399.18</c:v>
                </c:pt>
                <c:pt idx="4">
                  <c:v>18238236150.310001</c:v>
                </c:pt>
                <c:pt idx="5">
                  <c:v>13468567242.819998</c:v>
                </c:pt>
                <c:pt idx="6">
                  <c:v>8719132339.5799999</c:v>
                </c:pt>
                <c:pt idx="7">
                  <c:v>7007236794.9799995</c:v>
                </c:pt>
                <c:pt idx="8">
                  <c:v>5223295112.3800001</c:v>
                </c:pt>
                <c:pt idx="9">
                  <c:v>4100037784.3299999</c:v>
                </c:pt>
                <c:pt idx="10">
                  <c:v>3467436953.5099998</c:v>
                </c:pt>
                <c:pt idx="11">
                  <c:v>3147968937.0299997</c:v>
                </c:pt>
                <c:pt idx="12">
                  <c:v>2584084817.4099994</c:v>
                </c:pt>
                <c:pt idx="13">
                  <c:v>2027833159.6499999</c:v>
                </c:pt>
                <c:pt idx="14">
                  <c:v>1591199412.04</c:v>
                </c:pt>
                <c:pt idx="15">
                  <c:v>1196336776.9300001</c:v>
                </c:pt>
                <c:pt idx="16">
                  <c:v>935648707.24999988</c:v>
                </c:pt>
                <c:pt idx="17">
                  <c:v>593463444.28000009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24"/>
                <c:pt idx="0">
                  <c:v>129189314752.36</c:v>
                </c:pt>
                <c:pt idx="1">
                  <c:v>106472505822.89</c:v>
                </c:pt>
                <c:pt idx="2">
                  <c:v>86261009305.149994</c:v>
                </c:pt>
                <c:pt idx="3">
                  <c:v>72209702167.820007</c:v>
                </c:pt>
                <c:pt idx="4">
                  <c:v>55389468523.029999</c:v>
                </c:pt>
                <c:pt idx="5">
                  <c:v>44156476162.149994</c:v>
                </c:pt>
                <c:pt idx="6">
                  <c:v>35454036397.25</c:v>
                </c:pt>
                <c:pt idx="7">
                  <c:v>25403379611.290001</c:v>
                </c:pt>
                <c:pt idx="8">
                  <c:v>18867973890.910004</c:v>
                </c:pt>
                <c:pt idx="9">
                  <c:v>14788773056.830002</c:v>
                </c:pt>
                <c:pt idx="10">
                  <c:v>11503418295.949999</c:v>
                </c:pt>
                <c:pt idx="11">
                  <c:v>8410662728.4800005</c:v>
                </c:pt>
                <c:pt idx="12">
                  <c:v>5995028649.4299994</c:v>
                </c:pt>
                <c:pt idx="13">
                  <c:v>5199576891.5199995</c:v>
                </c:pt>
                <c:pt idx="14">
                  <c:v>4234148606.4099998</c:v>
                </c:pt>
                <c:pt idx="15">
                  <c:v>3471736886.29</c:v>
                </c:pt>
                <c:pt idx="16">
                  <c:v>2930926516.1800003</c:v>
                </c:pt>
                <c:pt idx="17">
                  <c:v>2722401373.5699997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835878912"/>
        <c:axId val="822831936"/>
      </c:barChart>
      <c:catAx>
        <c:axId val="835878912"/>
        <c:scaling>
          <c:orientation val="minMax"/>
        </c:scaling>
        <c:delete val="0"/>
        <c:axPos val="b"/>
        <c:majorTickMark val="out"/>
        <c:minorTickMark val="none"/>
        <c:tickLblPos val="nextTo"/>
        <c:crossAx val="822831936"/>
        <c:crosses val="autoZero"/>
        <c:auto val="1"/>
        <c:lblAlgn val="ctr"/>
        <c:lblOffset val="100"/>
        <c:noMultiLvlLbl val="0"/>
      </c:catAx>
      <c:valAx>
        <c:axId val="822831936"/>
        <c:scaling>
          <c:orientation val="minMax"/>
        </c:scaling>
        <c:delete val="0"/>
        <c:axPos val="l"/>
        <c:majorGridlines/>
        <c:numFmt formatCode="#,##0.00_ " sourceLinked="1"/>
        <c:majorTickMark val="out"/>
        <c:minorTickMark val="none"/>
        <c:tickLblPos val="nextTo"/>
        <c:crossAx val="835878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24"/>
                <c:pt idx="0">
                  <c:v>42770451.840000004</c:v>
                </c:pt>
                <c:pt idx="1">
                  <c:v>23414593.670000002</c:v>
                </c:pt>
                <c:pt idx="2">
                  <c:v>34481635.329999998</c:v>
                </c:pt>
                <c:pt idx="3">
                  <c:v>27409447.399999999</c:v>
                </c:pt>
                <c:pt idx="4">
                  <c:v>77917681.909999996</c:v>
                </c:pt>
                <c:pt idx="5">
                  <c:v>27383888.890000001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836545536"/>
        <c:axId val="822834240"/>
      </c:barChart>
      <c:catAx>
        <c:axId val="836545536"/>
        <c:scaling>
          <c:orientation val="minMax"/>
        </c:scaling>
        <c:delete val="0"/>
        <c:axPos val="b"/>
        <c:majorTickMark val="out"/>
        <c:minorTickMark val="none"/>
        <c:tickLblPos val="nextTo"/>
        <c:crossAx val="822834240"/>
        <c:crosses val="autoZero"/>
        <c:auto val="1"/>
        <c:lblAlgn val="ctr"/>
        <c:lblOffset val="100"/>
        <c:noMultiLvlLbl val="0"/>
      </c:catAx>
      <c:valAx>
        <c:axId val="822834240"/>
        <c:scaling>
          <c:orientation val="minMax"/>
        </c:scaling>
        <c:delete val="0"/>
        <c:axPos val="l"/>
        <c:majorGridlines/>
        <c:numFmt formatCode="#,##0.00_ " sourceLinked="1"/>
        <c:majorTickMark val="out"/>
        <c:minorTickMark val="none"/>
        <c:tickLblPos val="nextTo"/>
        <c:crossAx val="8365455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24"/>
                <c:pt idx="0">
                  <c:v>112404910912.69</c:v>
                </c:pt>
                <c:pt idx="1">
                  <c:v>88115913935.559998</c:v>
                </c:pt>
                <c:pt idx="2">
                  <c:v>66990385339.769989</c:v>
                </c:pt>
                <c:pt idx="3">
                  <c:v>36887687499.130013</c:v>
                </c:pt>
                <c:pt idx="4">
                  <c:v>27777402920.629993</c:v>
                </c:pt>
                <c:pt idx="5">
                  <c:v>25396224590.019997</c:v>
                </c:pt>
                <c:pt idx="6">
                  <c:v>22376612663.389999</c:v>
                </c:pt>
                <c:pt idx="7">
                  <c:v>18539872922.09</c:v>
                </c:pt>
                <c:pt idx="8">
                  <c:v>12991122314.630001</c:v>
                </c:pt>
                <c:pt idx="9">
                  <c:v>9755064755.2399998</c:v>
                </c:pt>
                <c:pt idx="10">
                  <c:v>8138505441.1599979</c:v>
                </c:pt>
                <c:pt idx="11">
                  <c:v>4784290700.0200005</c:v>
                </c:pt>
                <c:pt idx="12">
                  <c:v>4505867488.6399994</c:v>
                </c:pt>
                <c:pt idx="13">
                  <c:v>3891989433.5300007</c:v>
                </c:pt>
                <c:pt idx="14">
                  <c:v>2898327418.8500004</c:v>
                </c:pt>
                <c:pt idx="15">
                  <c:v>2340047386.8499994</c:v>
                </c:pt>
                <c:pt idx="16">
                  <c:v>1780307690.6400003</c:v>
                </c:pt>
                <c:pt idx="17">
                  <c:v>1956436570.0999999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24"/>
                <c:pt idx="0">
                  <c:v>-112404910912.69</c:v>
                </c:pt>
                <c:pt idx="1">
                  <c:v>-88115913935.559998</c:v>
                </c:pt>
                <c:pt idx="2">
                  <c:v>-66990385339.769997</c:v>
                </c:pt>
                <c:pt idx="3">
                  <c:v>-36887687499.129997</c:v>
                </c:pt>
                <c:pt idx="4">
                  <c:v>-27777402920.630001</c:v>
                </c:pt>
                <c:pt idx="5">
                  <c:v>-25396224590.02</c:v>
                </c:pt>
                <c:pt idx="6">
                  <c:v>-22376612663.389999</c:v>
                </c:pt>
                <c:pt idx="7">
                  <c:v>-18539872922.09</c:v>
                </c:pt>
                <c:pt idx="8">
                  <c:v>-12991122314.630001</c:v>
                </c:pt>
                <c:pt idx="9">
                  <c:v>-9755064755.2399998</c:v>
                </c:pt>
                <c:pt idx="10">
                  <c:v>-8138505441.1599998</c:v>
                </c:pt>
                <c:pt idx="11">
                  <c:v>-4784290700.0200005</c:v>
                </c:pt>
                <c:pt idx="12">
                  <c:v>-4505867488.6400003</c:v>
                </c:pt>
                <c:pt idx="13">
                  <c:v>-3891989433.5300002</c:v>
                </c:pt>
                <c:pt idx="14">
                  <c:v>-2898327418.8499999</c:v>
                </c:pt>
                <c:pt idx="15">
                  <c:v>-2340047386.8499999</c:v>
                </c:pt>
                <c:pt idx="16">
                  <c:v>-1780307690.6400001</c:v>
                </c:pt>
                <c:pt idx="17">
                  <c:v>-1956436570.0999999</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835880448"/>
        <c:axId val="822835968"/>
      </c:barChart>
      <c:catAx>
        <c:axId val="835880448"/>
        <c:scaling>
          <c:orientation val="minMax"/>
        </c:scaling>
        <c:delete val="0"/>
        <c:axPos val="b"/>
        <c:majorTickMark val="out"/>
        <c:minorTickMark val="none"/>
        <c:tickLblPos val="nextTo"/>
        <c:crossAx val="822835968"/>
        <c:crosses val="autoZero"/>
        <c:auto val="1"/>
        <c:lblAlgn val="ctr"/>
        <c:lblOffset val="100"/>
        <c:noMultiLvlLbl val="0"/>
      </c:catAx>
      <c:valAx>
        <c:axId val="822835968"/>
        <c:scaling>
          <c:orientation val="minMax"/>
        </c:scaling>
        <c:delete val="0"/>
        <c:axPos val="l"/>
        <c:majorGridlines/>
        <c:numFmt formatCode="#,##0.00_ " sourceLinked="1"/>
        <c:majorTickMark val="out"/>
        <c:minorTickMark val="none"/>
        <c:tickLblPos val="nextTo"/>
        <c:crossAx val="8358804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24"/>
                <c:pt idx="0">
                  <c:v>8.8579871231573903E-2</c:v>
                </c:pt>
                <c:pt idx="1">
                  <c:v>0.1020380384623322</c:v>
                </c:pt>
                <c:pt idx="2">
                  <c:v>8.7748633993877639E-2</c:v>
                </c:pt>
                <c:pt idx="3">
                  <c:v>7.7721059472512857E-2</c:v>
                </c:pt>
                <c:pt idx="4">
                  <c:v>7.4065871468556782E-2</c:v>
                </c:pt>
                <c:pt idx="5">
                  <c:v>7.0950598431412201E-2</c:v>
                </c:pt>
                <c:pt idx="6">
                  <c:v>7.727388282695602E-2</c:v>
                </c:pt>
                <c:pt idx="7">
                  <c:v>8.4295404505866922E-2</c:v>
                </c:pt>
                <c:pt idx="8">
                  <c:v>9.0510264782186781E-2</c:v>
                </c:pt>
                <c:pt idx="9">
                  <c:v>9.8311576747981674E-2</c:v>
                </c:pt>
                <c:pt idx="10">
                  <c:v>9.7032738390615755E-2</c:v>
                </c:pt>
                <c:pt idx="11">
                  <c:v>0.12043549690293814</c:v>
                </c:pt>
                <c:pt idx="12">
                  <c:v>0.16159102102382467</c:v>
                </c:pt>
                <c:pt idx="13">
                  <c:v>0.17481342143270864</c:v>
                </c:pt>
                <c:pt idx="14">
                  <c:v>0.1777717459383133</c:v>
                </c:pt>
                <c:pt idx="15">
                  <c:v>0.19882739021435838</c:v>
                </c:pt>
                <c:pt idx="16">
                  <c:v>0.18527332080623612</c:v>
                </c:pt>
                <c:pt idx="17">
                  <c:v>0.1775803114651415</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24"/>
                <c:pt idx="0">
                  <c:v>0.91142012876842604</c:v>
                </c:pt>
                <c:pt idx="1">
                  <c:v>0.89796196153766783</c:v>
                </c:pt>
                <c:pt idx="2">
                  <c:v>0.91225136600612233</c:v>
                </c:pt>
                <c:pt idx="3">
                  <c:v>0.92227894052748705</c:v>
                </c:pt>
                <c:pt idx="4">
                  <c:v>0.9259341285314433</c:v>
                </c:pt>
                <c:pt idx="5">
                  <c:v>0.92904940156858784</c:v>
                </c:pt>
                <c:pt idx="6">
                  <c:v>0.92272611717304409</c:v>
                </c:pt>
                <c:pt idx="7">
                  <c:v>0.91570459549413308</c:v>
                </c:pt>
                <c:pt idx="8">
                  <c:v>0.90948973521781318</c:v>
                </c:pt>
                <c:pt idx="9">
                  <c:v>0.90168842325201826</c:v>
                </c:pt>
                <c:pt idx="10">
                  <c:v>0.90296726160938423</c:v>
                </c:pt>
                <c:pt idx="11">
                  <c:v>0.87956450309706191</c:v>
                </c:pt>
                <c:pt idx="12">
                  <c:v>0.83840897897617539</c:v>
                </c:pt>
                <c:pt idx="13">
                  <c:v>0.82518657856729138</c:v>
                </c:pt>
                <c:pt idx="14">
                  <c:v>0.82222825406168676</c:v>
                </c:pt>
                <c:pt idx="15">
                  <c:v>0.80117260978564153</c:v>
                </c:pt>
                <c:pt idx="16">
                  <c:v>0.81472667919376396</c:v>
                </c:pt>
                <c:pt idx="17">
                  <c:v>0.82241968853485858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24"/>
                <c:pt idx="0">
                  <c:v>0.15330119108131557</c:v>
                </c:pt>
                <c:pt idx="1">
                  <c:v>0.14435800767975732</c:v>
                </c:pt>
                <c:pt idx="2">
                  <c:v>0.1674873789740548</c:v>
                </c:pt>
                <c:pt idx="3">
                  <c:v>0.10560975505423192</c:v>
                </c:pt>
                <c:pt idx="4">
                  <c:v>8.8332195764521421E-2</c:v>
                </c:pt>
                <c:pt idx="5">
                  <c:v>9.0251789050588727E-2</c:v>
                </c:pt>
                <c:pt idx="6">
                  <c:v>9.7244837025972725E-2</c:v>
                </c:pt>
                <c:pt idx="7">
                  <c:v>0.13462362670987069</c:v>
                </c:pt>
                <c:pt idx="8">
                  <c:v>0.13556044364783965</c:v>
                </c:pt>
                <c:pt idx="9">
                  <c:v>9.7260459209989436E-2</c:v>
                </c:pt>
                <c:pt idx="10">
                  <c:v>8.2721137491444913E-2</c:v>
                </c:pt>
                <c:pt idx="11">
                  <c:v>8.3465935567035562E-2</c:v>
                </c:pt>
                <c:pt idx="12">
                  <c:v>0.11737697135662321</c:v>
                </c:pt>
                <c:pt idx="13">
                  <c:v>0.13490471258990011</c:v>
                </c:pt>
                <c:pt idx="14">
                  <c:v>0.10793285520085598</c:v>
                </c:pt>
                <c:pt idx="15">
                  <c:v>0.1283576457620193</c:v>
                </c:pt>
                <c:pt idx="16">
                  <c:v>0.17410445402083172</c:v>
                </c:pt>
                <c:pt idx="17">
                  <c:v>0.19632187284245181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24"/>
                <c:pt idx="0">
                  <c:v>3.4928249017812107E-2</c:v>
                </c:pt>
                <c:pt idx="1">
                  <c:v>5.1291278614235221E-2</c:v>
                </c:pt>
                <c:pt idx="2">
                  <c:v>4.3256749636766789E-2</c:v>
                </c:pt>
                <c:pt idx="3">
                  <c:v>4.5467864247778898E-2</c:v>
                </c:pt>
                <c:pt idx="4">
                  <c:v>5.3041655852830959E-2</c:v>
                </c:pt>
                <c:pt idx="5">
                  <c:v>6.0091347967897453E-2</c:v>
                </c:pt>
                <c:pt idx="6">
                  <c:v>4.6287580064227611E-2</c:v>
                </c:pt>
                <c:pt idx="7">
                  <c:v>3.9143235731275004E-2</c:v>
                </c:pt>
                <c:pt idx="8">
                  <c:v>5.8154832049126325E-2</c:v>
                </c:pt>
                <c:pt idx="9">
                  <c:v>6.4248644756714157E-2</c:v>
                </c:pt>
                <c:pt idx="10">
                  <c:v>6.4552894630778374E-2</c:v>
                </c:pt>
                <c:pt idx="11">
                  <c:v>7.7428745995669082E-2</c:v>
                </c:pt>
                <c:pt idx="12">
                  <c:v>0.11832755637592668</c:v>
                </c:pt>
                <c:pt idx="13">
                  <c:v>0.12108829645942322</c:v>
                </c:pt>
                <c:pt idx="14">
                  <c:v>0.12509904691402482</c:v>
                </c:pt>
                <c:pt idx="15">
                  <c:v>0.15212563395976833</c:v>
                </c:pt>
                <c:pt idx="16">
                  <c:v>0.16765759906360206</c:v>
                </c:pt>
                <c:pt idx="17">
                  <c:v>0.14100738704139998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24"/>
                <c:pt idx="0">
                  <c:v>7.2325126519804397E-2</c:v>
                </c:pt>
                <c:pt idx="1">
                  <c:v>8.108409882434206E-2</c:v>
                </c:pt>
                <c:pt idx="2">
                  <c:v>0.10774456717657206</c:v>
                </c:pt>
                <c:pt idx="3">
                  <c:v>0.11674527477944184</c:v>
                </c:pt>
                <c:pt idx="4">
                  <c:v>0.10700282485530214</c:v>
                </c:pt>
                <c:pt idx="5">
                  <c:v>9.1674501332437042E-2</c:v>
                </c:pt>
                <c:pt idx="6">
                  <c:v>8.3317431753680921E-2</c:v>
                </c:pt>
                <c:pt idx="7">
                  <c:v>9.0959684719377348E-2</c:v>
                </c:pt>
                <c:pt idx="8">
                  <c:v>0.11570371978386675</c:v>
                </c:pt>
                <c:pt idx="9">
                  <c:v>0.12586955332770872</c:v>
                </c:pt>
                <c:pt idx="10">
                  <c:v>0.11419679325531697</c:v>
                </c:pt>
                <c:pt idx="11">
                  <c:v>9.991882485200515E-2</c:v>
                </c:pt>
                <c:pt idx="12">
                  <c:v>0.10065550605476413</c:v>
                </c:pt>
                <c:pt idx="13">
                  <c:v>8.9221152513134269E-2</c:v>
                </c:pt>
                <c:pt idx="14">
                  <c:v>0.10351641925864778</c:v>
                </c:pt>
                <c:pt idx="15">
                  <c:v>0.12156521467154704</c:v>
                </c:pt>
                <c:pt idx="16">
                  <c:v>0.12931987102637363</c:v>
                </c:pt>
                <c:pt idx="17">
                  <c:v>0.11182065763796342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24"/>
                <c:pt idx="0">
                  <c:v>1.7513644196018926E-5</c:v>
                </c:pt>
                <c:pt idx="1">
                  <c:v>-1.3833733785819714E-4</c:v>
                </c:pt>
                <c:pt idx="2">
                  <c:v>3.1721053862260513E-4</c:v>
                </c:pt>
                <c:pt idx="3">
                  <c:v>-1.6543792919864222E-5</c:v>
                </c:pt>
                <c:pt idx="4">
                  <c:v>1.3705797793769712E-5</c:v>
                </c:pt>
                <c:pt idx="5">
                  <c:v>-6.4809688138192623E-5</c:v>
                </c:pt>
                <c:pt idx="6">
                  <c:v>1.1261465722399975E-4</c:v>
                </c:pt>
                <c:pt idx="7">
                  <c:v>-1.3588752862503278E-4</c:v>
                </c:pt>
                <c:pt idx="8">
                  <c:v>-2.6363794767654699E-4</c:v>
                </c:pt>
                <c:pt idx="9">
                  <c:v>-3.1032579007586218E-5</c:v>
                </c:pt>
                <c:pt idx="10">
                  <c:v>5.4609972256154965E-5</c:v>
                </c:pt>
                <c:pt idx="11">
                  <c:v>-8.4938795475814917E-5</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24"/>
                <c:pt idx="0">
                  <c:v>6.2874401112538038E-9</c:v>
                </c:pt>
                <c:pt idx="1">
                  <c:v>1.0357646028010861E-8</c:v>
                </c:pt>
                <c:pt idx="2">
                  <c:v>1.6802964529366624E-8</c:v>
                </c:pt>
                <c:pt idx="3">
                  <c:v>1.2504984093960573E-4</c:v>
                </c:pt>
                <c:pt idx="4">
                  <c:v>3.8132727095400041E-8</c:v>
                </c:pt>
                <c:pt idx="5">
                  <c:v>2.8070809689021081E-8</c:v>
                </c:pt>
                <c:pt idx="6">
                  <c:v>2.434291594779568E-8</c:v>
                </c:pt>
                <c:pt idx="7">
                  <c:v>4.2768214238566165E-5</c:v>
                </c:pt>
                <c:pt idx="8">
                  <c:v>0</c:v>
                </c:pt>
                <c:pt idx="9">
                  <c:v>0</c:v>
                </c:pt>
                <c:pt idx="10">
                  <c:v>0</c:v>
                </c:pt>
                <c:pt idx="11">
                  <c:v>2.2566987886549786E-4</c:v>
                </c:pt>
                <c:pt idx="12">
                  <c:v>0</c:v>
                </c:pt>
                <c:pt idx="13">
                  <c:v>0</c:v>
                </c:pt>
                <c:pt idx="14">
                  <c:v>0</c:v>
                </c:pt>
                <c:pt idx="15">
                  <c:v>3.4633362287826616E-4</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24"/>
                <c:pt idx="0">
                  <c:v>-6.9988067035336044E-3</c:v>
                </c:pt>
                <c:pt idx="1">
                  <c:v>-3.4342620346539E-3</c:v>
                </c:pt>
                <c:pt idx="2">
                  <c:v>-7.9188592397592666E-3</c:v>
                </c:pt>
                <c:pt idx="3">
                  <c:v>-4.8156462388790483E-3</c:v>
                </c:pt>
                <c:pt idx="4">
                  <c:v>-6.9877529922764891E-3</c:v>
                </c:pt>
                <c:pt idx="5">
                  <c:v>-1.161589916293706E-2</c:v>
                </c:pt>
                <c:pt idx="6">
                  <c:v>-4.9233679232099665E-3</c:v>
                </c:pt>
                <c:pt idx="7">
                  <c:v>-8.172602164550113E-5</c:v>
                </c:pt>
                <c:pt idx="8">
                  <c:v>1.2984312114582949E-4</c:v>
                </c:pt>
                <c:pt idx="9">
                  <c:v>5.1906663961994544E-4</c:v>
                </c:pt>
                <c:pt idx="10">
                  <c:v>-6.1689042010292135E-4</c:v>
                </c:pt>
                <c:pt idx="11">
                  <c:v>-4.5817168907896414E-4</c:v>
                </c:pt>
                <c:pt idx="12">
                  <c:v>1.9562182966571345E-4</c:v>
                </c:pt>
                <c:pt idx="13">
                  <c:v>2.4575721034155297E-4</c:v>
                </c:pt>
                <c:pt idx="14">
                  <c:v>8.523704244230647E-4</c:v>
                </c:pt>
                <c:pt idx="15">
                  <c:v>5.2262042767147571E-4</c:v>
                </c:pt>
                <c:pt idx="16">
                  <c:v>6.9206270305919792E-5</c:v>
                </c:pt>
                <c:pt idx="17">
                  <c:v>-1.810846280710002E-3</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24"/>
                <c:pt idx="0">
                  <c:v>0.25357327984703459</c:v>
                </c:pt>
                <c:pt idx="1">
                  <c:v>0.2731607961034685</c:v>
                </c:pt>
                <c:pt idx="2">
                  <c:v>0.31088706388922149</c:v>
                </c:pt>
                <c:pt idx="3">
                  <c:v>0.26311575389059333</c:v>
                </c:pt>
                <c:pt idx="4">
                  <c:v>0.24140266741089891</c:v>
                </c:pt>
                <c:pt idx="5">
                  <c:v>0.23033695757065764</c:v>
                </c:pt>
                <c:pt idx="6">
                  <c:v>0.22203911992081127</c:v>
                </c:pt>
                <c:pt idx="7">
                  <c:v>0.264551701824491</c:v>
                </c:pt>
                <c:pt idx="8">
                  <c:v>0.30928520065430204</c:v>
                </c:pt>
                <c:pt idx="9">
                  <c:v>0.28786669135502463</c:v>
                </c:pt>
                <c:pt idx="10">
                  <c:v>0.26090854492969345</c:v>
                </c:pt>
                <c:pt idx="11">
                  <c:v>0.26049606580902052</c:v>
                </c:pt>
                <c:pt idx="12">
                  <c:v>0.33655565561697975</c:v>
                </c:pt>
                <c:pt idx="13">
                  <c:v>0.34545991877279913</c:v>
                </c:pt>
                <c:pt idx="14">
                  <c:v>0.33740069179795162</c:v>
                </c:pt>
                <c:pt idx="15">
                  <c:v>0.40291744844388444</c:v>
                </c:pt>
                <c:pt idx="16">
                  <c:v>0.47115113038111334</c:v>
                </c:pt>
                <c:pt idx="17">
                  <c:v>0.44733907124110522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24"/>
                <c:pt idx="0">
                  <c:v>0.46735374065434487</c:v>
                </c:pt>
                <c:pt idx="1">
                  <c:v>0.45101548903921884</c:v>
                </c:pt>
                <c:pt idx="2">
                  <c:v>0.43067196439240218</c:v>
                </c:pt>
                <c:pt idx="3">
                  <c:v>0.48016639139417799</c:v>
                </c:pt>
                <c:pt idx="4">
                  <c:v>0.49383236013224135</c:v>
                </c:pt>
                <c:pt idx="5">
                  <c:v>0.50224852729044966</c:v>
                </c:pt>
                <c:pt idx="6">
                  <c:v>0.51750522129822962</c:v>
                </c:pt>
                <c:pt idx="7">
                  <c:v>0.48819625145711748</c:v>
                </c:pt>
                <c:pt idx="8">
                  <c:v>0.4476611522091124</c:v>
                </c:pt>
                <c:pt idx="9">
                  <c:v>0.46038488939801481</c:v>
                </c:pt>
                <c:pt idx="10">
                  <c:v>0.47607116512508341</c:v>
                </c:pt>
                <c:pt idx="11">
                  <c:v>0.40537680421349237</c:v>
                </c:pt>
                <c:pt idx="12">
                  <c:v>0.31771567017973035</c:v>
                </c:pt>
                <c:pt idx="13">
                  <c:v>0.29237107558069764</c:v>
                </c:pt>
                <c:pt idx="14">
                  <c:v>0.27878823859083868</c:v>
                </c:pt>
                <c:pt idx="15">
                  <c:v>0.248334060429167</c:v>
                </c:pt>
                <c:pt idx="16">
                  <c:v>0.20777240997050414</c:v>
                </c:pt>
                <c:pt idx="17">
                  <c:v>0.20939942474863754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822359040"/>
        <c:axId val="822641216"/>
      </c:lineChart>
      <c:catAx>
        <c:axId val="822359040"/>
        <c:scaling>
          <c:orientation val="minMax"/>
        </c:scaling>
        <c:delete val="0"/>
        <c:axPos val="b"/>
        <c:majorTickMark val="out"/>
        <c:minorTickMark val="none"/>
        <c:tickLblPos val="nextTo"/>
        <c:crossAx val="822641216"/>
        <c:crosses val="autoZero"/>
        <c:auto val="1"/>
        <c:lblAlgn val="ctr"/>
        <c:lblOffset val="100"/>
        <c:noMultiLvlLbl val="0"/>
      </c:catAx>
      <c:valAx>
        <c:axId val="822641216"/>
        <c:scaling>
          <c:orientation val="minMax"/>
        </c:scaling>
        <c:delete val="0"/>
        <c:axPos val="l"/>
        <c:majorGridlines/>
        <c:numFmt formatCode="0.00%" sourceLinked="1"/>
        <c:majorTickMark val="out"/>
        <c:minorTickMark val="none"/>
        <c:tickLblPos val="nextTo"/>
        <c:crossAx val="82235904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24"/>
                <c:pt idx="3">
                  <c:v>0.99754807368593923</c:v>
                </c:pt>
                <c:pt idx="4">
                  <c:v>0.99988155844740212</c:v>
                </c:pt>
                <c:pt idx="5">
                  <c:v>0.99985477885425789</c:v>
                </c:pt>
                <c:pt idx="6">
                  <c:v>0.99982936891431506</c:v>
                </c:pt>
                <c:pt idx="7">
                  <c:v>0.99378870158031052</c:v>
                </c:pt>
                <c:pt idx="8">
                  <c:v>0.99993285703369827</c:v>
                </c:pt>
                <c:pt idx="9">
                  <c:v>0.99979662572205497</c:v>
                </c:pt>
                <c:pt idx="10">
                  <c:v>0.99974970658896234</c:v>
                </c:pt>
                <c:pt idx="11">
                  <c:v>0.97556078663223433</c:v>
                </c:pt>
                <c:pt idx="12">
                  <c:v>0.99877627489088217</c:v>
                </c:pt>
                <c:pt idx="13">
                  <c:v>0.9997733215933704</c:v>
                </c:pt>
                <c:pt idx="14">
                  <c:v>0.9997848919966007</c:v>
                </c:pt>
                <c:pt idx="15">
                  <c:v>0.87713593801637324</c:v>
                </c:pt>
                <c:pt idx="16">
                  <c:v>1</c:v>
                </c:pt>
                <c:pt idx="17">
                  <c:v>1</c:v>
                </c:pt>
                <c:pt idx="18">
                  <c:v>0</c:v>
                </c:pt>
                <c:pt idx="19">
                  <c:v>-1.0138013729261511E-3</c:v>
                </c:pt>
                <c:pt idx="20">
                  <c:v>0</c:v>
                </c:pt>
                <c:pt idx="21">
                  <c:v>0</c:v>
                </c:pt>
                <c:pt idx="22">
                  <c:v>0</c:v>
                </c:pt>
                <c:pt idx="23">
                  <c:v>-1.4323875649932926E-3</c:v>
                </c:pt>
              </c:numCache>
            </c:numRef>
          </c:val>
          <c:smooth val="0"/>
          <c:extLst xmlns:c16r2="http://schemas.microsoft.com/office/drawing/2015/06/char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24"/>
                <c:pt idx="3">
                  <c:v>2.4519263140608222E-3</c:v>
                </c:pt>
                <c:pt idx="4">
                  <c:v>1.1844155259799189E-4</c:v>
                </c:pt>
                <c:pt idx="5">
                  <c:v>1.4522114574207955E-4</c:v>
                </c:pt>
                <c:pt idx="6">
                  <c:v>1.7063108568491389E-4</c:v>
                </c:pt>
                <c:pt idx="7">
                  <c:v>6.2112984196894963E-3</c:v>
                </c:pt>
                <c:pt idx="8">
                  <c:v>6.7142966301711216E-5</c:v>
                </c:pt>
                <c:pt idx="9">
                  <c:v>2.0337427794494929E-4</c:v>
                </c:pt>
                <c:pt idx="10">
                  <c:v>2.5029341103767185E-4</c:v>
                </c:pt>
                <c:pt idx="11">
                  <c:v>2.4439213367765514E-2</c:v>
                </c:pt>
                <c:pt idx="12">
                  <c:v>1.2237251091177729E-3</c:v>
                </c:pt>
                <c:pt idx="13">
                  <c:v>2.2667840662962742E-4</c:v>
                </c:pt>
                <c:pt idx="14">
                  <c:v>2.1510800339929602E-4</c:v>
                </c:pt>
                <c:pt idx="15">
                  <c:v>0.12286406198362687</c:v>
                </c:pt>
                <c:pt idx="16">
                  <c:v>0</c:v>
                </c:pt>
                <c:pt idx="17">
                  <c:v>0</c:v>
                </c:pt>
                <c:pt idx="18">
                  <c:v>1</c:v>
                </c:pt>
                <c:pt idx="19">
                  <c:v>1.0010138013729262</c:v>
                </c:pt>
                <c:pt idx="20">
                  <c:v>1</c:v>
                </c:pt>
                <c:pt idx="21">
                  <c:v>1</c:v>
                </c:pt>
                <c:pt idx="22">
                  <c:v>1</c:v>
                </c:pt>
                <c:pt idx="23">
                  <c:v>1.0014323875649933</c:v>
                </c:pt>
              </c:numCache>
            </c:numRef>
          </c:val>
          <c:smooth val="0"/>
          <c:extLst xmlns:c16r2="http://schemas.microsoft.com/office/drawing/2015/06/char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822360064"/>
        <c:axId val="822643520"/>
      </c:lineChart>
      <c:catAx>
        <c:axId val="822360064"/>
        <c:scaling>
          <c:orientation val="minMax"/>
        </c:scaling>
        <c:delete val="0"/>
        <c:axPos val="b"/>
        <c:majorTickMark val="out"/>
        <c:minorTickMark val="none"/>
        <c:tickLblPos val="nextTo"/>
        <c:crossAx val="822643520"/>
        <c:crosses val="autoZero"/>
        <c:auto val="1"/>
        <c:lblAlgn val="ctr"/>
        <c:lblOffset val="100"/>
        <c:noMultiLvlLbl val="0"/>
      </c:catAx>
      <c:valAx>
        <c:axId val="822643520"/>
        <c:scaling>
          <c:orientation val="minMax"/>
        </c:scaling>
        <c:delete val="0"/>
        <c:axPos val="l"/>
        <c:majorGridlines/>
        <c:numFmt formatCode="0.00%" sourceLinked="1"/>
        <c:majorTickMark val="out"/>
        <c:minorTickMark val="none"/>
        <c:tickLblPos val="nextTo"/>
        <c:crossAx val="82236006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28"/>
                <c:pt idx="0">
                  <c:v>0.46739172994227818</c:v>
                </c:pt>
                <c:pt idx="1">
                  <c:v>0.45176223158215778</c:v>
                </c:pt>
                <c:pt idx="2">
                  <c:v>0.43133380433827884</c:v>
                </c:pt>
                <c:pt idx="3">
                  <c:v>0.48149554268898387</c:v>
                </c:pt>
                <c:pt idx="4">
                  <c:v>0.49676292869891542</c:v>
                </c:pt>
                <c:pt idx="5">
                  <c:v>0.51263839234780295</c:v>
                </c:pt>
                <c:pt idx="6">
                  <c:v>0.5295131953218426</c:v>
                </c:pt>
                <c:pt idx="7">
                  <c:v>0.50262787928801733</c:v>
                </c:pt>
                <c:pt idx="8">
                  <c:v>0.45900724303036539</c:v>
                </c:pt>
                <c:pt idx="9">
                  <c:v>0.47082620310639889</c:v>
                </c:pt>
                <c:pt idx="10">
                  <c:v>0.48542974759096302</c:v>
                </c:pt>
                <c:pt idx="11">
                  <c:v>0.40959552393777798</c:v>
                </c:pt>
                <c:pt idx="12">
                  <c:v>0.32136963801589008</c:v>
                </c:pt>
                <c:pt idx="13">
                  <c:v>0.2974350918585601</c:v>
                </c:pt>
                <c:pt idx="14">
                  <c:v>0.28379697390760017</c:v>
                </c:pt>
                <c:pt idx="15">
                  <c:v>0.25249146500343578</c:v>
                </c:pt>
                <c:pt idx="16">
                  <c:v>0.21351484488135292</c:v>
                </c:pt>
                <c:pt idx="17">
                  <c:v>0.21139861197942544</c:v>
                </c:pt>
                <c:pt idx="18">
                  <c:v>0</c:v>
                </c:pt>
                <c:pt idx="19">
                  <c:v>0</c:v>
                </c:pt>
                <c:pt idx="20">
                  <c:v>0</c:v>
                </c:pt>
                <c:pt idx="21">
                  <c:v>0</c:v>
                </c:pt>
                <c:pt idx="22">
                  <c:v>0</c:v>
                </c:pt>
                <c:pt idx="23">
                  <c:v>0</c:v>
                </c:pt>
                <c:pt idx="24">
                  <c:v>0</c:v>
                </c:pt>
                <c:pt idx="25">
                  <c:v>0</c:v>
                </c:pt>
                <c:pt idx="26">
                  <c:v>0</c:v>
                </c:pt>
                <c:pt idx="27">
                  <c:v>0</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176467968"/>
        <c:axId val="822645824"/>
      </c:lineChart>
      <c:catAx>
        <c:axId val="176467968"/>
        <c:scaling>
          <c:orientation val="minMax"/>
        </c:scaling>
        <c:delete val="0"/>
        <c:axPos val="b"/>
        <c:majorTickMark val="out"/>
        <c:minorTickMark val="none"/>
        <c:tickLblPos val="nextTo"/>
        <c:crossAx val="822645824"/>
        <c:crosses val="autoZero"/>
        <c:auto val="1"/>
        <c:lblAlgn val="ctr"/>
        <c:lblOffset val="100"/>
        <c:noMultiLvlLbl val="0"/>
      </c:catAx>
      <c:valAx>
        <c:axId val="822645824"/>
        <c:scaling>
          <c:orientation val="minMax"/>
        </c:scaling>
        <c:delete val="0"/>
        <c:axPos val="l"/>
        <c:majorGridlines/>
        <c:numFmt formatCode="0.00%" sourceLinked="1"/>
        <c:majorTickMark val="out"/>
        <c:minorTickMark val="none"/>
        <c:tickLblPos val="nextTo"/>
        <c:crossAx val="1764679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24"/>
                <c:pt idx="3">
                  <c:v>0.99754807368593923</c:v>
                </c:pt>
                <c:pt idx="4">
                  <c:v>0.99988155844740212</c:v>
                </c:pt>
                <c:pt idx="5">
                  <c:v>0.99985477885425789</c:v>
                </c:pt>
                <c:pt idx="6">
                  <c:v>0.99982936891431506</c:v>
                </c:pt>
                <c:pt idx="7">
                  <c:v>0.99378870158031052</c:v>
                </c:pt>
                <c:pt idx="8">
                  <c:v>0.99993285703369827</c:v>
                </c:pt>
                <c:pt idx="9">
                  <c:v>0.99979662572205497</c:v>
                </c:pt>
                <c:pt idx="10">
                  <c:v>0.99974970658896234</c:v>
                </c:pt>
                <c:pt idx="11">
                  <c:v>0.97556078663223433</c:v>
                </c:pt>
                <c:pt idx="12">
                  <c:v>0.99877627489088217</c:v>
                </c:pt>
                <c:pt idx="13">
                  <c:v>0.9997733215933704</c:v>
                </c:pt>
                <c:pt idx="14">
                  <c:v>0.9997848919966007</c:v>
                </c:pt>
                <c:pt idx="15">
                  <c:v>0.87713593801637324</c:v>
                </c:pt>
                <c:pt idx="16">
                  <c:v>1</c:v>
                </c:pt>
                <c:pt idx="17">
                  <c:v>1</c:v>
                </c:pt>
                <c:pt idx="18">
                  <c:v>0</c:v>
                </c:pt>
                <c:pt idx="19">
                  <c:v>-1.0138013729261511E-3</c:v>
                </c:pt>
                <c:pt idx="20">
                  <c:v>0</c:v>
                </c:pt>
                <c:pt idx="21">
                  <c:v>0</c:v>
                </c:pt>
                <c:pt idx="22">
                  <c:v>0</c:v>
                </c:pt>
                <c:pt idx="23">
                  <c:v>-1.4323875649932926E-3</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24"/>
                <c:pt idx="3">
                  <c:v>2.4519263140608222E-3</c:v>
                </c:pt>
                <c:pt idx="4">
                  <c:v>1.1844155259799189E-4</c:v>
                </c:pt>
                <c:pt idx="5">
                  <c:v>1.4522114574207955E-4</c:v>
                </c:pt>
                <c:pt idx="6">
                  <c:v>1.7063108568491389E-4</c:v>
                </c:pt>
                <c:pt idx="7">
                  <c:v>6.2112984196894963E-3</c:v>
                </c:pt>
                <c:pt idx="8">
                  <c:v>6.7142966301711216E-5</c:v>
                </c:pt>
                <c:pt idx="9">
                  <c:v>2.0337427794494929E-4</c:v>
                </c:pt>
                <c:pt idx="10">
                  <c:v>2.5029341103767185E-4</c:v>
                </c:pt>
                <c:pt idx="11">
                  <c:v>2.4439213367765514E-2</c:v>
                </c:pt>
                <c:pt idx="12">
                  <c:v>1.2237251091177729E-3</c:v>
                </c:pt>
                <c:pt idx="13">
                  <c:v>2.2667840662962742E-4</c:v>
                </c:pt>
                <c:pt idx="14">
                  <c:v>2.1510800339929602E-4</c:v>
                </c:pt>
                <c:pt idx="15">
                  <c:v>0.12286406198362687</c:v>
                </c:pt>
                <c:pt idx="16">
                  <c:v>0</c:v>
                </c:pt>
                <c:pt idx="17">
                  <c:v>0</c:v>
                </c:pt>
                <c:pt idx="18">
                  <c:v>1</c:v>
                </c:pt>
                <c:pt idx="19">
                  <c:v>1.0010138013729262</c:v>
                </c:pt>
                <c:pt idx="20">
                  <c:v>1</c:v>
                </c:pt>
                <c:pt idx="21">
                  <c:v>1</c:v>
                </c:pt>
                <c:pt idx="22">
                  <c:v>1</c:v>
                </c:pt>
                <c:pt idx="23">
                  <c:v>1.0014323875649933</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822361088"/>
        <c:axId val="822647552"/>
      </c:lineChart>
      <c:catAx>
        <c:axId val="822361088"/>
        <c:scaling>
          <c:orientation val="minMax"/>
        </c:scaling>
        <c:delete val="0"/>
        <c:axPos val="b"/>
        <c:majorTickMark val="out"/>
        <c:minorTickMark val="none"/>
        <c:tickLblPos val="nextTo"/>
        <c:crossAx val="822647552"/>
        <c:crosses val="autoZero"/>
        <c:auto val="1"/>
        <c:lblAlgn val="ctr"/>
        <c:lblOffset val="100"/>
        <c:noMultiLvlLbl val="0"/>
      </c:catAx>
      <c:valAx>
        <c:axId val="822647552"/>
        <c:scaling>
          <c:orientation val="minMax"/>
        </c:scaling>
        <c:delete val="0"/>
        <c:axPos val="l"/>
        <c:majorGridlines/>
        <c:numFmt formatCode="0.00%" sourceLinked="1"/>
        <c:majorTickMark val="out"/>
        <c:minorTickMark val="none"/>
        <c:tickLblPos val="nextTo"/>
        <c:crossAx val="822361088"/>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24"/>
                <c:pt idx="0">
                  <c:v>-7.3726532381135357E-5</c:v>
                </c:pt>
                <c:pt idx="1">
                  <c:v>-1.5479938369953317E-3</c:v>
                </c:pt>
                <c:pt idx="2">
                  <c:v>-1.4562704191343201E-3</c:v>
                </c:pt>
                <c:pt idx="3">
                  <c:v>-3.0939213207425986E-4</c:v>
                </c:pt>
                <c:pt idx="4">
                  <c:v>-5.815194438365312E-3</c:v>
                </c:pt>
                <c:pt idx="5">
                  <c:v>-2.0538475599550576E-2</c:v>
                </c:pt>
                <c:pt idx="6">
                  <c:v>-2.3028990088860946E-2</c:v>
                </c:pt>
                <c:pt idx="7">
                  <c:v>-2.3166208353363249E-2</c:v>
                </c:pt>
                <c:pt idx="8">
                  <c:v>-2.5276420921412468E-2</c:v>
                </c:pt>
                <c:pt idx="9">
                  <c:v>-2.2471545021421679E-2</c:v>
                </c:pt>
                <c:pt idx="10">
                  <c:v>-1.9402734874961247E-2</c:v>
                </c:pt>
                <c:pt idx="11">
                  <c:v>1.4286640526825489E-2</c:v>
                </c:pt>
                <c:pt idx="12">
                  <c:v>-1.026294906690306E-2</c:v>
                </c:pt>
                <c:pt idx="13">
                  <c:v>-1.708990588497894E-2</c:v>
                </c:pt>
                <c:pt idx="14">
                  <c:v>-1.7747119969414804E-2</c:v>
                </c:pt>
                <c:pt idx="15">
                  <c:v>0.10817977359135889</c:v>
                </c:pt>
                <c:pt idx="16">
                  <c:v>-2.7638101284304106E-2</c:v>
                </c:pt>
                <c:pt idx="17">
                  <c:v>-9.5472431845871064E-3</c:v>
                </c:pt>
                <c:pt idx="18">
                  <c:v>-17.903400578073089</c:v>
                </c:pt>
                <c:pt idx="19">
                  <c:v>0.94479226425548291</c:v>
                </c:pt>
                <c:pt idx="20">
                  <c:v>-142.54962281727575</c:v>
                </c:pt>
                <c:pt idx="21">
                  <c:v>-114.22818295016612</c:v>
                </c:pt>
                <c:pt idx="22">
                  <c:v>-79.33240312624585</c:v>
                </c:pt>
                <c:pt idx="23">
                  <c:v>0.72948510758810114</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176469504"/>
        <c:axId val="176571520"/>
      </c:lineChart>
      <c:catAx>
        <c:axId val="176469504"/>
        <c:scaling>
          <c:orientation val="minMax"/>
        </c:scaling>
        <c:delete val="0"/>
        <c:axPos val="b"/>
        <c:majorTickMark val="out"/>
        <c:minorTickMark val="none"/>
        <c:tickLblPos val="nextTo"/>
        <c:crossAx val="176571520"/>
        <c:crosses val="autoZero"/>
        <c:auto val="1"/>
        <c:lblAlgn val="ctr"/>
        <c:lblOffset val="100"/>
        <c:noMultiLvlLbl val="0"/>
      </c:catAx>
      <c:valAx>
        <c:axId val="176571520"/>
        <c:scaling>
          <c:orientation val="minMax"/>
        </c:scaling>
        <c:delete val="0"/>
        <c:axPos val="l"/>
        <c:majorGridlines/>
        <c:numFmt formatCode="0.00%" sourceLinked="1"/>
        <c:majorTickMark val="out"/>
        <c:minorTickMark val="none"/>
        <c:tickLblPos val="nextTo"/>
        <c:crossAx val="176469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24"/>
                <c:pt idx="0">
                  <c:v>73638872388.029999</c:v>
                </c:pt>
                <c:pt idx="1">
                  <c:v>58217861314.169998</c:v>
                </c:pt>
                <c:pt idx="2">
                  <c:v>38862189993.839996</c:v>
                </c:pt>
                <c:pt idx="3">
                  <c:v>32659583725.279999</c:v>
                </c:pt>
                <c:pt idx="4">
                  <c:v>31573928530.939999</c:v>
                </c:pt>
                <c:pt idx="5">
                  <c:v>30921801316.599998</c:v>
                </c:pt>
                <c:pt idx="6">
                  <c:v>26455335152.990002</c:v>
                </c:pt>
                <c:pt idx="7">
                  <c:v>18402355207.299999</c:v>
                </c:pt>
                <c:pt idx="8">
                  <c:v>11633283740.18</c:v>
                </c:pt>
                <c:pt idx="9">
                  <c:v>9669999065.3899994</c:v>
                </c:pt>
                <c:pt idx="10">
                  <c:v>8241685564.1099997</c:v>
                </c:pt>
                <c:pt idx="11">
                  <c:v>7237430747.1199999</c:v>
                </c:pt>
                <c:pt idx="12">
                  <c:v>4896186901.21</c:v>
                </c:pt>
                <c:pt idx="13">
                  <c:v>3930515237.6100001</c:v>
                </c:pt>
                <c:pt idx="14">
                  <c:v>3009793519.9200001</c:v>
                </c:pt>
                <c:pt idx="15">
                  <c:v>2401017934.9299998</c:v>
                </c:pt>
                <c:pt idx="16">
                  <c:v>1838129976.3399999</c:v>
                </c:pt>
                <c:pt idx="17">
                  <c:v>1619202408.97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24"/>
                <c:pt idx="0">
                  <c:v>6522921833.7700005</c:v>
                </c:pt>
                <c:pt idx="1">
                  <c:v>5940436371.9700003</c:v>
                </c:pt>
                <c:pt idx="2">
                  <c:v>3410104085.9699998</c:v>
                </c:pt>
                <c:pt idx="3">
                  <c:v>2538337449.0599999</c:v>
                </c:pt>
                <c:pt idx="4">
                  <c:v>2338550532.3299999</c:v>
                </c:pt>
                <c:pt idx="5">
                  <c:v>2193920307.9899998</c:v>
                </c:pt>
                <c:pt idx="6">
                  <c:v>2044306468.76</c:v>
                </c:pt>
                <c:pt idx="7">
                  <c:v>1551233976.0599999</c:v>
                </c:pt>
                <c:pt idx="8">
                  <c:v>1052931591.61</c:v>
                </c:pt>
                <c:pt idx="9">
                  <c:v>950672855.26999998</c:v>
                </c:pt>
                <c:pt idx="10">
                  <c:v>799713319.24000001</c:v>
                </c:pt>
                <c:pt idx="11">
                  <c:v>871643568.33000004</c:v>
                </c:pt>
                <c:pt idx="12">
                  <c:v>791179840.49000001</c:v>
                </c:pt>
                <c:pt idx="13">
                  <c:v>687106816.67999995</c:v>
                </c:pt>
                <c:pt idx="14">
                  <c:v>535056248.94999999</c:v>
                </c:pt>
                <c:pt idx="15">
                  <c:v>477388129.86000001</c:v>
                </c:pt>
                <c:pt idx="16">
                  <c:v>340556444.79000002</c:v>
                </c:pt>
                <c:pt idx="17">
                  <c:v>287538468.11000001</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24"/>
                <c:pt idx="0">
                  <c:v>67115950554.259995</c:v>
                </c:pt>
                <c:pt idx="1">
                  <c:v>52277424942.199997</c:v>
                </c:pt>
                <c:pt idx="2">
                  <c:v>35452085907.869995</c:v>
                </c:pt>
                <c:pt idx="3">
                  <c:v>30121246276.219997</c:v>
                </c:pt>
                <c:pt idx="4">
                  <c:v>29235377998.610001</c:v>
                </c:pt>
                <c:pt idx="5">
                  <c:v>28727881008.610001</c:v>
                </c:pt>
                <c:pt idx="6">
                  <c:v>24411028684.230003</c:v>
                </c:pt>
                <c:pt idx="7">
                  <c:v>16851121231.24</c:v>
                </c:pt>
                <c:pt idx="8">
                  <c:v>10580352148.57</c:v>
                </c:pt>
                <c:pt idx="9">
                  <c:v>8719326210.1199989</c:v>
                </c:pt>
                <c:pt idx="10">
                  <c:v>7441972244.8699999</c:v>
                </c:pt>
                <c:pt idx="11">
                  <c:v>6365787178.79</c:v>
                </c:pt>
                <c:pt idx="12">
                  <c:v>4105007060.7200003</c:v>
                </c:pt>
                <c:pt idx="13">
                  <c:v>3243408420.9300003</c:v>
                </c:pt>
                <c:pt idx="14">
                  <c:v>2474737270.9700003</c:v>
                </c:pt>
                <c:pt idx="15">
                  <c:v>1923629805.0699997</c:v>
                </c:pt>
                <c:pt idx="16">
                  <c:v>1497573531.55</c:v>
                </c:pt>
                <c:pt idx="17">
                  <c:v>1331663940.8600001</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176470528"/>
        <c:axId val="176573248"/>
      </c:barChart>
      <c:catAx>
        <c:axId val="176470528"/>
        <c:scaling>
          <c:orientation val="minMax"/>
        </c:scaling>
        <c:delete val="0"/>
        <c:axPos val="b"/>
        <c:majorTickMark val="out"/>
        <c:minorTickMark val="none"/>
        <c:tickLblPos val="nextTo"/>
        <c:crossAx val="176573248"/>
        <c:crosses val="autoZero"/>
        <c:auto val="1"/>
        <c:lblAlgn val="ctr"/>
        <c:lblOffset val="100"/>
        <c:noMultiLvlLbl val="0"/>
      </c:catAx>
      <c:valAx>
        <c:axId val="176573248"/>
        <c:scaling>
          <c:orientation val="minMax"/>
        </c:scaling>
        <c:delete val="0"/>
        <c:axPos val="l"/>
        <c:majorGridlines/>
        <c:numFmt formatCode="#,##0.00_ " sourceLinked="1"/>
        <c:majorTickMark val="out"/>
        <c:minorTickMark val="none"/>
        <c:tickLblPos val="nextTo"/>
        <c:crossAx val="1764705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24"/>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835888640"/>
        <c:axId val="176575552"/>
      </c:lineChart>
      <c:catAx>
        <c:axId val="835888640"/>
        <c:scaling>
          <c:orientation val="minMax"/>
        </c:scaling>
        <c:delete val="0"/>
        <c:axPos val="b"/>
        <c:majorTickMark val="out"/>
        <c:minorTickMark val="none"/>
        <c:tickLblPos val="nextTo"/>
        <c:crossAx val="176575552"/>
        <c:crosses val="autoZero"/>
        <c:auto val="1"/>
        <c:lblAlgn val="ctr"/>
        <c:lblOffset val="100"/>
        <c:noMultiLvlLbl val="0"/>
      </c:catAx>
      <c:valAx>
        <c:axId val="176575552"/>
        <c:scaling>
          <c:orientation val="minMax"/>
        </c:scaling>
        <c:delete val="0"/>
        <c:axPos val="l"/>
        <c:majorGridlines/>
        <c:numFmt formatCode="0.00%" sourceLinked="1"/>
        <c:majorTickMark val="out"/>
        <c:minorTickMark val="none"/>
        <c:tickLblPos val="nextTo"/>
        <c:crossAx val="8358886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24"/>
                <c:pt idx="3">
                  <c:v>9.5647814771105517E-4</c:v>
                </c:pt>
                <c:pt idx="4">
                  <c:v>6.0449445493633957E-5</c:v>
                </c:pt>
                <c:pt idx="5">
                  <c:v>8.8723608679016407E-5</c:v>
                </c:pt>
                <c:pt idx="6">
                  <c:v>1.0441572875817395E-4</c:v>
                </c:pt>
                <c:pt idx="7">
                  <c:v>3.0286524353550491E-3</c:v>
                </c:pt>
                <c:pt idx="8">
                  <c:v>2.6917501257296643E-5</c:v>
                </c:pt>
                <c:pt idx="9">
                  <c:v>9.2832852157761857E-5</c:v>
                </c:pt>
                <c:pt idx="10">
                  <c:v>1.2069836651042704E-4</c:v>
                </c:pt>
                <c:pt idx="11">
                  <c:v>1.5362384949500674E-2</c:v>
                </c:pt>
                <c:pt idx="12">
                  <c:v>4.2299366310725902E-4</c:v>
                </c:pt>
                <c:pt idx="13">
                  <c:v>6.6945416021037976E-5</c:v>
                </c:pt>
                <c:pt idx="14">
                  <c:v>6.2289336511541139E-5</c:v>
                </c:pt>
                <c:pt idx="15">
                  <c:v>3.5691516872113152E-2</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175767552"/>
        <c:axId val="176577280"/>
      </c:lineChart>
      <c:catAx>
        <c:axId val="175767552"/>
        <c:scaling>
          <c:orientation val="minMax"/>
        </c:scaling>
        <c:delete val="0"/>
        <c:axPos val="b"/>
        <c:majorTickMark val="out"/>
        <c:minorTickMark val="none"/>
        <c:tickLblPos val="nextTo"/>
        <c:crossAx val="176577280"/>
        <c:crosses val="autoZero"/>
        <c:auto val="1"/>
        <c:lblAlgn val="ctr"/>
        <c:lblOffset val="100"/>
        <c:noMultiLvlLbl val="0"/>
      </c:catAx>
      <c:valAx>
        <c:axId val="176577280"/>
        <c:scaling>
          <c:orientation val="minMax"/>
        </c:scaling>
        <c:delete val="0"/>
        <c:axPos val="l"/>
        <c:majorGridlines/>
        <c:numFmt formatCode="0.00%" sourceLinked="1"/>
        <c:majorTickMark val="out"/>
        <c:minorTickMark val="none"/>
        <c:tickLblPos val="nextTo"/>
        <c:crossAx val="1757675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24"/>
                <c:pt idx="0">
                  <c:v>-14.221129556303215</c:v>
                </c:pt>
                <c:pt idx="1">
                  <c:v>-14.68070611575963</c:v>
                </c:pt>
                <c:pt idx="2">
                  <c:v>-11.336649796002753</c:v>
                </c:pt>
                <c:pt idx="3">
                  <c:v>2.325161712492942</c:v>
                </c:pt>
                <c:pt idx="4">
                  <c:v>3.3965391788920374</c:v>
                </c:pt>
                <c:pt idx="5">
                  <c:v>5.878333693451756</c:v>
                </c:pt>
                <c:pt idx="6">
                  <c:v>6.0756924049095495</c:v>
                </c:pt>
                <c:pt idx="7">
                  <c:v>-124.56740019332784</c:v>
                </c:pt>
                <c:pt idx="8">
                  <c:v>17.909580439447289</c:v>
                </c:pt>
                <c:pt idx="9">
                  <c:v>10.401533538882344</c:v>
                </c:pt>
                <c:pt idx="10">
                  <c:v>-77.369211879213907</c:v>
                </c:pt>
                <c:pt idx="11">
                  <c:v>15.255867589952055</c:v>
                </c:pt>
                <c:pt idx="12">
                  <c:v>-4.4252910083411665</c:v>
                </c:pt>
                <c:pt idx="13">
                  <c:v>-5.380665211427865</c:v>
                </c:pt>
                <c:pt idx="14">
                  <c:v>-11.349433238810388</c:v>
                </c:pt>
                <c:pt idx="15">
                  <c:v>-34.976156705992615</c:v>
                </c:pt>
                <c:pt idx="16">
                  <c:v>8.7127503707103333</c:v>
                </c:pt>
                <c:pt idx="17">
                  <c:v>9.3866066712352474</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24"/>
                <c:pt idx="0">
                  <c:v>3.3594737127962269</c:v>
                </c:pt>
                <c:pt idx="1">
                  <c:v>2.6108091532024642</c:v>
                </c:pt>
                <c:pt idx="2">
                  <c:v>1.7146983133271374</c:v>
                </c:pt>
                <c:pt idx="3">
                  <c:v>1.5370337435794428</c:v>
                </c:pt>
                <c:pt idx="4">
                  <c:v>1.73119419392995</c:v>
                </c:pt>
                <c:pt idx="5">
                  <c:v>2.2958493475305772</c:v>
                </c:pt>
                <c:pt idx="6">
                  <c:v>3.0341706172869438</c:v>
                </c:pt>
                <c:pt idx="7">
                  <c:v>2.6261928554324707</c:v>
                </c:pt>
                <c:pt idx="8">
                  <c:v>2.2271925077729873</c:v>
                </c:pt>
                <c:pt idx="9">
                  <c:v>2.3585146220720024</c:v>
                </c:pt>
                <c:pt idx="10">
                  <c:v>2.3768811587957344</c:v>
                </c:pt>
                <c:pt idx="11">
                  <c:v>2.2990794673940673</c:v>
                </c:pt>
                <c:pt idx="12">
                  <c:v>1.8947469789778015</c:v>
                </c:pt>
                <c:pt idx="13">
                  <c:v>1.9382833439257889</c:v>
                </c:pt>
                <c:pt idx="14">
                  <c:v>1.891525032718111</c:v>
                </c:pt>
                <c:pt idx="15">
                  <c:v>2.0069749432023753</c:v>
                </c:pt>
                <c:pt idx="16">
                  <c:v>1.9645513985077974</c:v>
                </c:pt>
                <c:pt idx="17">
                  <c:v>2.728394519622761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24"/>
                <c:pt idx="0">
                  <c:v>0.65487230589761469</c:v>
                </c:pt>
                <c:pt idx="1">
                  <c:v>0.6605208172746968</c:v>
                </c:pt>
                <c:pt idx="2">
                  <c:v>0.57981748786278764</c:v>
                </c:pt>
                <c:pt idx="3">
                  <c:v>0.88472160245403297</c:v>
                </c:pt>
                <c:pt idx="4">
                  <c:v>1.1334972223604891</c:v>
                </c:pt>
                <c:pt idx="5">
                  <c:v>1.2162632752251117</c:v>
                </c:pt>
                <c:pt idx="6">
                  <c:v>1.1822761358457587</c:v>
                </c:pt>
                <c:pt idx="7">
                  <c:v>0.99258259668942228</c:v>
                </c:pt>
                <c:pt idx="8">
                  <c:v>0.89547950195797432</c:v>
                </c:pt>
                <c:pt idx="9">
                  <c:v>0.99127984365205712</c:v>
                </c:pt>
                <c:pt idx="10">
                  <c:v>1.0126780185497171</c:v>
                </c:pt>
                <c:pt idx="11">
                  <c:v>1.5127489529617721</c:v>
                </c:pt>
                <c:pt idx="12">
                  <c:v>1.0866246984746126</c:v>
                </c:pt>
                <c:pt idx="13">
                  <c:v>1.0098987432360671</c:v>
                </c:pt>
                <c:pt idx="14">
                  <c:v>1.0384587677517221</c:v>
                </c:pt>
                <c:pt idx="15">
                  <c:v>1.0260552621381203</c:v>
                </c:pt>
                <c:pt idx="16">
                  <c:v>1.0324788158833451</c:v>
                </c:pt>
                <c:pt idx="17">
                  <c:v>0.82762836971874698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24"/>
                <c:pt idx="0">
                  <c:v>0</c:v>
                </c:pt>
                <c:pt idx="1">
                  <c:v>0</c:v>
                </c:pt>
                <c:pt idx="2">
                  <c:v>0</c:v>
                </c:pt>
                <c:pt idx="3">
                  <c:v>0</c:v>
                </c:pt>
                <c:pt idx="4">
                  <c:v>0</c:v>
                </c:pt>
                <c:pt idx="5">
                  <c:v>7730.4503291499996</c:v>
                </c:pt>
                <c:pt idx="6">
                  <c:v>6613.8337882475007</c:v>
                </c:pt>
                <c:pt idx="7">
                  <c:v>4600.5888018249998</c:v>
                </c:pt>
                <c:pt idx="8">
                  <c:v>2908.3209350450002</c:v>
                </c:pt>
                <c:pt idx="9">
                  <c:v>2417.4997663474996</c:v>
                </c:pt>
                <c:pt idx="10">
                  <c:v>2060.4213910274998</c:v>
                </c:pt>
                <c:pt idx="11">
                  <c:v>1809.35768678</c:v>
                </c:pt>
                <c:pt idx="12">
                  <c:v>426.25590759756386</c:v>
                </c:pt>
                <c:pt idx="13">
                  <c:v>383.72630944382092</c:v>
                </c:pt>
                <c:pt idx="14">
                  <c:v>306.65043067631717</c:v>
                </c:pt>
                <c:pt idx="15">
                  <c:v>600.25448373249992</c:v>
                </c:pt>
                <c:pt idx="16">
                  <c:v>459.532494085</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175768576"/>
        <c:axId val="835797568"/>
      </c:lineChart>
      <c:catAx>
        <c:axId val="175768576"/>
        <c:scaling>
          <c:orientation val="minMax"/>
        </c:scaling>
        <c:delete val="0"/>
        <c:axPos val="b"/>
        <c:majorTickMark val="out"/>
        <c:minorTickMark val="none"/>
        <c:tickLblPos val="nextTo"/>
        <c:crossAx val="835797568"/>
        <c:crosses val="autoZero"/>
        <c:auto val="1"/>
        <c:lblAlgn val="ctr"/>
        <c:lblOffset val="100"/>
        <c:noMultiLvlLbl val="0"/>
      </c:catAx>
      <c:valAx>
        <c:axId val="835797568"/>
        <c:scaling>
          <c:orientation val="minMax"/>
        </c:scaling>
        <c:delete val="0"/>
        <c:axPos val="l"/>
        <c:majorGridlines/>
        <c:numFmt formatCode="#,##0.00_ " sourceLinked="1"/>
        <c:majorTickMark val="out"/>
        <c:minorTickMark val="none"/>
        <c:tickLblPos val="nextTo"/>
        <c:crossAx val="1757685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24"/>
                <c:pt idx="0">
                  <c:v>3.3539538594294673</c:v>
                </c:pt>
                <c:pt idx="1">
                  <c:v>2.6069336117741853</c:v>
                </c:pt>
                <c:pt idx="2">
                  <c:v>1.7101081625083399</c:v>
                </c:pt>
                <c:pt idx="3">
                  <c:v>1.5356244794591813</c:v>
                </c:pt>
                <c:pt idx="4">
                  <c:v>1.7255176002526935</c:v>
                </c:pt>
                <c:pt idx="5">
                  <c:v>2.2866812759254995</c:v>
                </c:pt>
                <c:pt idx="6">
                  <c:v>3.0154948231701368</c:v>
                </c:pt>
                <c:pt idx="7">
                  <c:v>2.6024238391173902</c:v>
                </c:pt>
                <c:pt idx="8">
                  <c:v>2.2002334828901664</c:v>
                </c:pt>
                <c:pt idx="9">
                  <c:v>2.3504886372755633</c:v>
                </c:pt>
                <c:pt idx="10">
                  <c:v>2.3457616212171888</c:v>
                </c:pt>
                <c:pt idx="11">
                  <c:v>2.2546731414218542</c:v>
                </c:pt>
                <c:pt idx="12">
                  <c:v>1.8557826072260677</c:v>
                </c:pt>
                <c:pt idx="13">
                  <c:v>1.9285418680641253</c:v>
                </c:pt>
                <c:pt idx="14">
                  <c:v>1.8799289859465229</c:v>
                </c:pt>
                <c:pt idx="15">
                  <c:v>2.0002869037062085</c:v>
                </c:pt>
                <c:pt idx="16">
                  <c:v>1.9561884799687728</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24"/>
                <c:pt idx="0">
                  <c:v>4.8292356051832437</c:v>
                </c:pt>
                <c:pt idx="1">
                  <c:v>3.8190430511890248</c:v>
                </c:pt>
                <c:pt idx="2">
                  <c:v>2.6888336600684966</c:v>
                </c:pt>
                <c:pt idx="3">
                  <c:v>2.8608722532858462</c:v>
                </c:pt>
                <c:pt idx="4">
                  <c:v>3.0430479610263252</c:v>
                </c:pt>
                <c:pt idx="5">
                  <c:v>3.62793254518997</c:v>
                </c:pt>
                <c:pt idx="6">
                  <c:v>3.8862994148964169</c:v>
                </c:pt>
                <c:pt idx="7">
                  <c:v>3.391506325750012</c:v>
                </c:pt>
                <c:pt idx="8">
                  <c:v>2.7752139638167703</c:v>
                </c:pt>
                <c:pt idx="9">
                  <c:v>3.051700159666674</c:v>
                </c:pt>
                <c:pt idx="10">
                  <c:v>3.7630313489856926</c:v>
                </c:pt>
                <c:pt idx="11">
                  <c:v>3.9614103162101331</c:v>
                </c:pt>
                <c:pt idx="12">
                  <c:v>4.0060353396968527</c:v>
                </c:pt>
                <c:pt idx="13">
                  <c:v>4.005081706643896</c:v>
                </c:pt>
                <c:pt idx="14">
                  <c:v>4.2064264556541806</c:v>
                </c:pt>
                <c:pt idx="15">
                  <c:v>5.4467844735324755</c:v>
                </c:pt>
                <c:pt idx="16">
                  <c:v>3.9100938259843199</c:v>
                </c:pt>
                <c:pt idx="17">
                  <c:v>3.9088519132531601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24"/>
                <c:pt idx="0">
                  <c:v>37.679991264579769</c:v>
                </c:pt>
                <c:pt idx="1">
                  <c:v>28.872107115176732</c:v>
                </c:pt>
                <c:pt idx="2">
                  <c:v>14.154455544907542</c:v>
                </c:pt>
                <c:pt idx="3">
                  <c:v>6.6718239369276588</c:v>
                </c:pt>
                <c:pt idx="4">
                  <c:v>9.2273552832245151</c:v>
                </c:pt>
                <c:pt idx="5">
                  <c:v>67.762183169197215</c:v>
                </c:pt>
                <c:pt idx="6">
                  <c:v>67.372548405928981</c:v>
                </c:pt>
                <c:pt idx="7">
                  <c:v>73.186017344433225</c:v>
                </c:pt>
                <c:pt idx="8">
                  <c:v>44.156047970921549</c:v>
                </c:pt>
                <c:pt idx="9">
                  <c:v>49.85657774881399</c:v>
                </c:pt>
                <c:pt idx="10">
                  <c:v>14.140053307344589</c:v>
                </c:pt>
                <c:pt idx="11">
                  <c:v>7.2777994948409503</c:v>
                </c:pt>
                <c:pt idx="12">
                  <c:v>4.1497199337752066</c:v>
                </c:pt>
                <c:pt idx="13">
                  <c:v>4.3197675776539031</c:v>
                </c:pt>
                <c:pt idx="14">
                  <c:v>3.8783648715413701</c:v>
                </c:pt>
                <c:pt idx="15">
                  <c:v>3.3271109404361057</c:v>
                </c:pt>
                <c:pt idx="16">
                  <c:v>4.1501816703209276</c:v>
                </c:pt>
                <c:pt idx="17">
                  <c:v>9.992067589196818</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24"/>
                <c:pt idx="0">
                  <c:v>21.044636094620273</c:v>
                </c:pt>
                <c:pt idx="1">
                  <c:v>16.832674193584744</c:v>
                </c:pt>
                <c:pt idx="2">
                  <c:v>11.003693111590771</c:v>
                </c:pt>
                <c:pt idx="3">
                  <c:v>9.116518136325249</c:v>
                </c:pt>
                <c:pt idx="4">
                  <c:v>8.8130742526657766</c:v>
                </c:pt>
                <c:pt idx="5">
                  <c:v>8.677835415185104</c:v>
                </c:pt>
                <c:pt idx="6">
                  <c:v>30.668731213423015</c:v>
                </c:pt>
                <c:pt idx="7">
                  <c:v>22.76320443458264</c:v>
                </c:pt>
                <c:pt idx="8">
                  <c:v>25.719302342441367</c:v>
                </c:pt>
                <c:pt idx="9">
                  <c:v>20.771092096891707</c:v>
                </c:pt>
                <c:pt idx="10">
                  <c:v>18.512005732474879</c:v>
                </c:pt>
                <c:pt idx="11">
                  <c:v>29.034026955646727</c:v>
                </c:pt>
                <c:pt idx="12">
                  <c:v>74.079234526809344</c:v>
                </c:pt>
                <c:pt idx="13">
                  <c:v>68.865901475830199</c:v>
                </c:pt>
                <c:pt idx="14">
                  <c:v>79.836431058603665</c:v>
                </c:pt>
                <c:pt idx="15">
                  <c:v>9371.4761987749789</c:v>
                </c:pt>
                <c:pt idx="16">
                  <c:v>4325.0125231552984</c:v>
                </c:pt>
                <c:pt idx="17">
                  <c:v>2721.3487694520181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175769088"/>
        <c:axId val="835799872"/>
      </c:lineChart>
      <c:catAx>
        <c:axId val="175769088"/>
        <c:scaling>
          <c:orientation val="minMax"/>
        </c:scaling>
        <c:delete val="0"/>
        <c:axPos val="b"/>
        <c:majorTickMark val="out"/>
        <c:minorTickMark val="none"/>
        <c:tickLblPos val="nextTo"/>
        <c:crossAx val="835799872"/>
        <c:crosses val="autoZero"/>
        <c:auto val="1"/>
        <c:lblAlgn val="ctr"/>
        <c:lblOffset val="100"/>
        <c:noMultiLvlLbl val="0"/>
      </c:catAx>
      <c:valAx>
        <c:axId val="835799872"/>
        <c:scaling>
          <c:orientation val="minMax"/>
        </c:scaling>
        <c:delete val="0"/>
        <c:axPos val="l"/>
        <c:majorGridlines/>
        <c:numFmt formatCode="#,##0.00_ " sourceLinked="1"/>
        <c:majorTickMark val="out"/>
        <c:minorTickMark val="none"/>
        <c:tickLblPos val="nextTo"/>
        <c:crossAx val="175769088"/>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24"/>
                <c:pt idx="0">
                  <c:v>-11.654610528462751</c:v>
                </c:pt>
                <c:pt idx="1">
                  <c:v>-7.2975274430741006</c:v>
                </c:pt>
                <c:pt idx="2">
                  <c:v>-3.5995267591834113</c:v>
                </c:pt>
                <c:pt idx="3">
                  <c:v>-10.119569322414108</c:v>
                </c:pt>
                <c:pt idx="4">
                  <c:v>-15.192214272714725</c:v>
                </c:pt>
                <c:pt idx="5">
                  <c:v>-10.549231953585027</c:v>
                </c:pt>
                <c:pt idx="6">
                  <c:v>-6.9616393107974126</c:v>
                </c:pt>
                <c:pt idx="7">
                  <c:v>-4.7488988093238937</c:v>
                </c:pt>
                <c:pt idx="8">
                  <c:v>-3.6265886103829028</c:v>
                </c:pt>
                <c:pt idx="9">
                  <c:v>-4.3420426741442437</c:v>
                </c:pt>
                <c:pt idx="10">
                  <c:v>-4.5520717773950183</c:v>
                </c:pt>
                <c:pt idx="11">
                  <c:v>-8.7770224121326859</c:v>
                </c:pt>
                <c:pt idx="12">
                  <c:v>-4.3341367404381987</c:v>
                </c:pt>
                <c:pt idx="13">
                  <c:v>-4.950934489153946</c:v>
                </c:pt>
                <c:pt idx="14">
                  <c:v>-6.7617464928332724</c:v>
                </c:pt>
                <c:pt idx="15">
                  <c:v>-7.15289107718504</c:v>
                </c:pt>
                <c:pt idx="16">
                  <c:v>-9.7691594419037067</c:v>
                </c:pt>
                <c:pt idx="17">
                  <c:v>-13.061237777719763</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24"/>
                <c:pt idx="0">
                  <c:v>0.33894714926304542</c:v>
                </c:pt>
                <c:pt idx="1">
                  <c:v>0.35052724744099195</c:v>
                </c:pt>
                <c:pt idx="2">
                  <c:v>0.22517871125032393</c:v>
                </c:pt>
                <c:pt idx="3">
                  <c:v>0.20145203892968838</c:v>
                </c:pt>
                <c:pt idx="4">
                  <c:v>0.22752429826225731</c:v>
                </c:pt>
                <c:pt idx="5">
                  <c:v>0.2737429097510049</c:v>
                </c:pt>
                <c:pt idx="6">
                  <c:v>0.31991537029422429</c:v>
                </c:pt>
                <c:pt idx="7">
                  <c:v>0.32685300326914901</c:v>
                </c:pt>
                <c:pt idx="8">
                  <c:v>0.27896527105687652</c:v>
                </c:pt>
                <c:pt idx="9">
                  <c:v>0.31412684153460302</c:v>
                </c:pt>
                <c:pt idx="10">
                  <c:v>0.33263807206910678</c:v>
                </c:pt>
                <c:pt idx="11">
                  <c:v>0.49527657052907165</c:v>
                </c:pt>
                <c:pt idx="12">
                  <c:v>0.5185815292008914</c:v>
                </c:pt>
                <c:pt idx="13">
                  <c:v>0.51917490404575606</c:v>
                </c:pt>
                <c:pt idx="14">
                  <c:v>0.63180402117485346</c:v>
                </c:pt>
                <c:pt idx="15">
                  <c:v>0.78581979980890082</c:v>
                </c:pt>
                <c:pt idx="16">
                  <c:v>0.63264436701071247</c:v>
                </c:pt>
                <c:pt idx="17">
                  <c:v>0.73130688375945552</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24"/>
                <c:pt idx="0">
                  <c:v>-6.0376241041296446</c:v>
                </c:pt>
                <c:pt idx="1">
                  <c:v>-3.1113307059387547</c:v>
                </c:pt>
                <c:pt idx="2">
                  <c:v>-1.930384949668809</c:v>
                </c:pt>
                <c:pt idx="3">
                  <c:v>-2.221309272275461</c:v>
                </c:pt>
                <c:pt idx="4">
                  <c:v>-1.3539031495952805</c:v>
                </c:pt>
                <c:pt idx="5">
                  <c:v>-0.86309645622676412</c:v>
                </c:pt>
                <c:pt idx="6">
                  <c:v>-0.9856974856692311</c:v>
                </c:pt>
                <c:pt idx="7">
                  <c:v>-1.8965740298692144</c:v>
                </c:pt>
                <c:pt idx="8">
                  <c:v>-1.6696183096606889</c:v>
                </c:pt>
                <c:pt idx="9">
                  <c:v>-1.8176233053713287</c:v>
                </c:pt>
                <c:pt idx="10">
                  <c:v>-2.714060802667785</c:v>
                </c:pt>
                <c:pt idx="11">
                  <c:v>20.110770227521979</c:v>
                </c:pt>
                <c:pt idx="12">
                  <c:v>28.949045935449792</c:v>
                </c:pt>
                <c:pt idx="13">
                  <c:v>824.9589158147146</c:v>
                </c:pt>
                <c:pt idx="14">
                  <c:v>34.47728931666218</c:v>
                </c:pt>
                <c:pt idx="15">
                  <c:v>28.224507880861363</c:v>
                </c:pt>
                <c:pt idx="16">
                  <c:v>37.654205812960221</c:v>
                </c:pt>
                <c:pt idx="17">
                  <c:v>-35.329634880961109</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175771136"/>
        <c:axId val="835802176"/>
      </c:lineChart>
      <c:catAx>
        <c:axId val="175771136"/>
        <c:scaling>
          <c:orientation val="minMax"/>
        </c:scaling>
        <c:delete val="0"/>
        <c:axPos val="b"/>
        <c:majorTickMark val="out"/>
        <c:minorTickMark val="none"/>
        <c:tickLblPos val="nextTo"/>
        <c:crossAx val="835802176"/>
        <c:crosses val="autoZero"/>
        <c:auto val="1"/>
        <c:lblAlgn val="ctr"/>
        <c:lblOffset val="100"/>
        <c:noMultiLvlLbl val="0"/>
      </c:catAx>
      <c:valAx>
        <c:axId val="835802176"/>
        <c:scaling>
          <c:orientation val="minMax"/>
        </c:scaling>
        <c:delete val="0"/>
        <c:axPos val="l"/>
        <c:majorGridlines/>
        <c:numFmt formatCode="#,##0.00_ " sourceLinked="1"/>
        <c:majorTickMark val="out"/>
        <c:minorTickMark val="none"/>
        <c:tickLblPos val="nextTo"/>
        <c:crossAx val="1757711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24"/>
                <c:pt idx="0">
                  <c:v>2.8320015492416322</c:v>
                </c:pt>
                <c:pt idx="1">
                  <c:v>1.962273982312974</c:v>
                </c:pt>
                <c:pt idx="2">
                  <c:v>1.1829214480396728</c:v>
                </c:pt>
                <c:pt idx="3">
                  <c:v>0.60103919980195364</c:v>
                </c:pt>
                <c:pt idx="4">
                  <c:v>0.76893920467770982</c:v>
                </c:pt>
                <c:pt idx="5">
                  <c:v>1.1152344429968573</c:v>
                </c:pt>
                <c:pt idx="6">
                  <c:v>1.3979819689722388</c:v>
                </c:pt>
                <c:pt idx="7">
                  <c:v>1.7464432187042824</c:v>
                </c:pt>
                <c:pt idx="8">
                  <c:v>1.1894342238570066</c:v>
                </c:pt>
                <c:pt idx="9">
                  <c:v>1.1821151377149317</c:v>
                </c:pt>
                <c:pt idx="10">
                  <c:v>1.5714414062544935</c:v>
                </c:pt>
                <c:pt idx="11">
                  <c:v>1.235056182995645</c:v>
                </c:pt>
                <c:pt idx="12">
                  <c:v>1.6641574287748113</c:v>
                </c:pt>
                <c:pt idx="13">
                  <c:v>1.4548987855297453</c:v>
                </c:pt>
                <c:pt idx="14">
                  <c:v>1.1043401284681689</c:v>
                </c:pt>
                <c:pt idx="15">
                  <c:v>0.85016968551724104</c:v>
                </c:pt>
                <c:pt idx="16">
                  <c:v>0.55100345605476886</c:v>
                </c:pt>
                <c:pt idx="17">
                  <c:v>0.78524128397964599</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177398272"/>
        <c:axId val="835804480"/>
      </c:lineChart>
      <c:catAx>
        <c:axId val="177398272"/>
        <c:scaling>
          <c:orientation val="minMax"/>
        </c:scaling>
        <c:delete val="0"/>
        <c:axPos val="b"/>
        <c:majorTickMark val="out"/>
        <c:minorTickMark val="none"/>
        <c:tickLblPos val="nextTo"/>
        <c:crossAx val="835804480"/>
        <c:crosses val="autoZero"/>
        <c:auto val="1"/>
        <c:lblAlgn val="ctr"/>
        <c:lblOffset val="100"/>
        <c:noMultiLvlLbl val="0"/>
      </c:catAx>
      <c:valAx>
        <c:axId val="835804480"/>
        <c:scaling>
          <c:orientation val="minMax"/>
        </c:scaling>
        <c:delete val="0"/>
        <c:axPos val="l"/>
        <c:majorGridlines/>
        <c:numFmt formatCode="0.00%" sourceLinked="1"/>
        <c:majorTickMark val="out"/>
        <c:minorTickMark val="none"/>
        <c:tickLblPos val="nextTo"/>
        <c:crossAx val="17739827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24"/>
                <c:pt idx="0">
                  <c:v>0.64384923551432427</c:v>
                </c:pt>
                <c:pt idx="1">
                  <c:v>0.61793264136489157</c:v>
                </c:pt>
                <c:pt idx="2">
                  <c:v>0.5855265836373823</c:v>
                </c:pt>
                <c:pt idx="3">
                  <c:v>0.6495318941591357</c:v>
                </c:pt>
                <c:pt idx="4">
                  <c:v>0.67055595513599131</c:v>
                </c:pt>
                <c:pt idx="5">
                  <c:v>0.67548064567205601</c:v>
                </c:pt>
                <c:pt idx="6">
                  <c:v>0.69084026140581278</c:v>
                </c:pt>
                <c:pt idx="7">
                  <c:v>0.6509894416263512</c:v>
                </c:pt>
                <c:pt idx="8">
                  <c:v>0.60046422080580286</c:v>
                </c:pt>
                <c:pt idx="9">
                  <c:v>0.61485986517623359</c:v>
                </c:pt>
                <c:pt idx="10">
                  <c:v>0.64082493583948508</c:v>
                </c:pt>
                <c:pt idx="11">
                  <c:v>0.61815209390988335</c:v>
                </c:pt>
                <c:pt idx="12">
                  <c:v>0.50224456701852704</c:v>
                </c:pt>
                <c:pt idx="13">
                  <c:v>0.48021817421517532</c:v>
                </c:pt>
                <c:pt idx="14">
                  <c:v>0.48653230311258128</c:v>
                </c:pt>
                <c:pt idx="15">
                  <c:v>0.39930040219710011</c:v>
                </c:pt>
                <c:pt idx="16">
                  <c:v>0.34371396135326249</c:v>
                </c:pt>
                <c:pt idx="17">
                  <c:v>0.37145892473233327</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177399808"/>
        <c:axId val="177071232"/>
      </c:lineChart>
      <c:catAx>
        <c:axId val="177399808"/>
        <c:scaling>
          <c:orientation val="minMax"/>
        </c:scaling>
        <c:delete val="0"/>
        <c:axPos val="b"/>
        <c:majorTickMark val="out"/>
        <c:minorTickMark val="none"/>
        <c:tickLblPos val="nextTo"/>
        <c:crossAx val="177071232"/>
        <c:crosses val="autoZero"/>
        <c:auto val="1"/>
        <c:lblAlgn val="ctr"/>
        <c:lblOffset val="100"/>
        <c:noMultiLvlLbl val="0"/>
      </c:catAx>
      <c:valAx>
        <c:axId val="177071232"/>
        <c:scaling>
          <c:orientation val="minMax"/>
        </c:scaling>
        <c:delete val="0"/>
        <c:axPos val="l"/>
        <c:majorGridlines/>
        <c:numFmt formatCode="0.00%" sourceLinked="1"/>
        <c:majorTickMark val="out"/>
        <c:minorTickMark val="none"/>
        <c:tickLblPos val="nextTo"/>
        <c:crossAx val="17739980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24"/>
                <c:pt idx="0">
                  <c:v>34418199956.440002</c:v>
                </c:pt>
                <c:pt idx="1">
                  <c:v>26300630945.230011</c:v>
                </c:pt>
                <c:pt idx="2">
                  <c:v>16762576254.959999</c:v>
                </c:pt>
                <c:pt idx="3">
                  <c:v>15725443989.799999</c:v>
                </c:pt>
                <c:pt idx="4">
                  <c:v>15684757207.559998</c:v>
                </c:pt>
                <c:pt idx="5">
                  <c:v>15851702515.440001</c:v>
                </c:pt>
                <c:pt idx="6">
                  <c:v>14008449050.170004</c:v>
                </c:pt>
                <c:pt idx="7">
                  <c:v>9249536771.7500019</c:v>
                </c:pt>
                <c:pt idx="8">
                  <c:v>5339761496.9699993</c:v>
                </c:pt>
                <c:pt idx="9">
                  <c:v>4552888943.999999</c:v>
                </c:pt>
                <c:pt idx="10">
                  <c:v>4000759343.1100006</c:v>
                </c:pt>
                <c:pt idx="11">
                  <c:v>2964419238.8300004</c:v>
                </c:pt>
                <c:pt idx="12">
                  <c:v>1573485812.1000001</c:v>
                </c:pt>
                <c:pt idx="13">
                  <c:v>1169073160.7500005</c:v>
                </c:pt>
                <c:pt idx="14">
                  <c:v>854170293.04000032</c:v>
                </c:pt>
                <c:pt idx="15">
                  <c:v>606236535.88999963</c:v>
                </c:pt>
                <c:pt idx="16">
                  <c:v>392468036.76999998</c:v>
                </c:pt>
                <c:pt idx="17">
                  <c:v>342297141.76999998</c:v>
                </c:pt>
                <c:pt idx="18">
                  <c:v>-2501741693.0300002</c:v>
                </c:pt>
                <c:pt idx="19">
                  <c:v>-1335728419.8200002</c:v>
                </c:pt>
                <c:pt idx="20">
                  <c:v>-5035376180.2399998</c:v>
                </c:pt>
                <c:pt idx="21">
                  <c:v>-3658375018.9900002</c:v>
                </c:pt>
                <c:pt idx="22">
                  <c:v>-2262690841.3800001</c:v>
                </c:pt>
                <c:pt idx="23">
                  <c:v>-1230608960.77</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24"/>
                <c:pt idx="0">
                  <c:v>117408487922.53</c:v>
                </c:pt>
                <c:pt idx="1">
                  <c:v>96019627475.080002</c:v>
                </c:pt>
                <c:pt idx="2">
                  <c:v>75898542854.720001</c:v>
                </c:pt>
                <c:pt idx="3">
                  <c:v>66234170421.290001</c:v>
                </c:pt>
                <c:pt idx="4">
                  <c:v>55311550841.119995</c:v>
                </c:pt>
                <c:pt idx="5">
                  <c:v>44129092273.259995</c:v>
                </c:pt>
                <c:pt idx="6">
                  <c:v>35454036397.25</c:v>
                </c:pt>
                <c:pt idx="7">
                  <c:v>25403379611.289997</c:v>
                </c:pt>
                <c:pt idx="8">
                  <c:v>18549389694.619999</c:v>
                </c:pt>
                <c:pt idx="9">
                  <c:v>14651565394.209999</c:v>
                </c:pt>
                <c:pt idx="10">
                  <c:v>11503418295.949999</c:v>
                </c:pt>
                <c:pt idx="11">
                  <c:v>8368855770.4400005</c:v>
                </c:pt>
                <c:pt idx="12">
                  <c:v>5995028649.4300003</c:v>
                </c:pt>
                <c:pt idx="13">
                  <c:v>5162395081.5200005</c:v>
                </c:pt>
                <c:pt idx="14">
                  <c:v>4216707746.73</c:v>
                </c:pt>
                <c:pt idx="15">
                  <c:v>3470524090.9299998</c:v>
                </c:pt>
                <c:pt idx="16">
                  <c:v>2852845506.1599998</c:v>
                </c:pt>
                <c:pt idx="17">
                  <c:v>2530915664.8000002</c:v>
                </c:pt>
                <c:pt idx="18">
                  <c:v>46624176881.220001</c:v>
                </c:pt>
                <c:pt idx="19">
                  <c:v>47453571644.629997</c:v>
                </c:pt>
                <c:pt idx="20">
                  <c:v>44129092273.259995</c:v>
                </c:pt>
                <c:pt idx="21">
                  <c:v>39820367702.190002</c:v>
                </c:pt>
                <c:pt idx="22">
                  <c:v>35779107183.520004</c:v>
                </c:pt>
                <c:pt idx="23">
                  <c:v>38595633055.419998</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180277248"/>
        <c:axId val="177074112"/>
      </c:barChart>
      <c:catAx>
        <c:axId val="180277248"/>
        <c:scaling>
          <c:orientation val="minMax"/>
        </c:scaling>
        <c:delete val="0"/>
        <c:axPos val="b"/>
        <c:majorTickMark val="out"/>
        <c:minorTickMark val="none"/>
        <c:tickLblPos val="nextTo"/>
        <c:crossAx val="177074112"/>
        <c:crosses val="autoZero"/>
        <c:auto val="1"/>
        <c:lblAlgn val="ctr"/>
        <c:lblOffset val="100"/>
        <c:noMultiLvlLbl val="0"/>
      </c:catAx>
      <c:valAx>
        <c:axId val="177074112"/>
        <c:scaling>
          <c:orientation val="minMax"/>
        </c:scaling>
        <c:delete val="0"/>
        <c:axPos val="l"/>
        <c:majorGridlines/>
        <c:numFmt formatCode="#,##0.00_ " sourceLinked="1"/>
        <c:majorTickMark val="out"/>
        <c:minorTickMark val="none"/>
        <c:tickLblPos val="nextTo"/>
        <c:crossAx val="1802772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24"/>
                <c:pt idx="0">
                  <c:v>73638872388.029999</c:v>
                </c:pt>
                <c:pt idx="1">
                  <c:v>58217861314.169998</c:v>
                </c:pt>
                <c:pt idx="2">
                  <c:v>38862189993.839996</c:v>
                </c:pt>
                <c:pt idx="3">
                  <c:v>32659583725.279999</c:v>
                </c:pt>
                <c:pt idx="4">
                  <c:v>31573928530.939999</c:v>
                </c:pt>
                <c:pt idx="5">
                  <c:v>30921801316.599998</c:v>
                </c:pt>
                <c:pt idx="6">
                  <c:v>26455335152.990002</c:v>
                </c:pt>
                <c:pt idx="7">
                  <c:v>18402355207.299999</c:v>
                </c:pt>
                <c:pt idx="8">
                  <c:v>11633283740.18</c:v>
                </c:pt>
                <c:pt idx="9">
                  <c:v>9669999065.3899994</c:v>
                </c:pt>
                <c:pt idx="10">
                  <c:v>8241685564.1099997</c:v>
                </c:pt>
                <c:pt idx="11">
                  <c:v>7237430747.1199999</c:v>
                </c:pt>
                <c:pt idx="12">
                  <c:v>4896186901.21</c:v>
                </c:pt>
                <c:pt idx="13">
                  <c:v>3930515237.6100001</c:v>
                </c:pt>
                <c:pt idx="14">
                  <c:v>3009793519.9200001</c:v>
                </c:pt>
                <c:pt idx="15">
                  <c:v>2401017934.9299998</c:v>
                </c:pt>
                <c:pt idx="16">
                  <c:v>1838129976.3399999</c:v>
                </c:pt>
                <c:pt idx="17">
                  <c:v>1619202408.97</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24"/>
                <c:pt idx="0">
                  <c:v>47412331691.169998</c:v>
                </c:pt>
                <c:pt idx="1">
                  <c:v>35974716816.480003</c:v>
                </c:pt>
                <c:pt idx="2">
                  <c:v>22754845339.759998</c:v>
                </c:pt>
                <c:pt idx="3">
                  <c:v>21213441279.529999</c:v>
                </c:pt>
                <c:pt idx="4">
                  <c:v>21172085803.459999</c:v>
                </c:pt>
                <c:pt idx="5">
                  <c:v>20887078318.68</c:v>
                </c:pt>
                <c:pt idx="6">
                  <c:v>18276410652.670002</c:v>
                </c:pt>
                <c:pt idx="7">
                  <c:v>11979738941.010002</c:v>
                </c:pt>
                <c:pt idx="8">
                  <c:v>6985370656.46</c:v>
                </c:pt>
                <c:pt idx="9">
                  <c:v>5945694321.5999994</c:v>
                </c:pt>
                <c:pt idx="10">
                  <c:v>5281477622.8300009</c:v>
                </c:pt>
                <c:pt idx="11">
                  <c:v>4473832970.8599997</c:v>
                </c:pt>
                <c:pt idx="12">
                  <c:v>2459083270.2400002</c:v>
                </c:pt>
                <c:pt idx="13">
                  <c:v>1887504851.1300004</c:v>
                </c:pt>
                <c:pt idx="14">
                  <c:v>1464361773.1400003</c:v>
                </c:pt>
                <c:pt idx="15">
                  <c:v>958727427.09999967</c:v>
                </c:pt>
                <c:pt idx="16">
                  <c:v>631790935.64999998</c:v>
                </c:pt>
                <c:pt idx="17">
                  <c:v>601467185.75999999</c:v>
                </c:pt>
                <c:pt idx="18">
                  <c:v>0</c:v>
                </c:pt>
                <c:pt idx="19">
                  <c:v>-434996.18</c:v>
                </c:pt>
                <c:pt idx="20">
                  <c:v>0</c:v>
                </c:pt>
                <c:pt idx="21">
                  <c:v>0</c:v>
                </c:pt>
                <c:pt idx="22">
                  <c:v>0</c:v>
                </c:pt>
                <c:pt idx="23">
                  <c:v>-603190.06999999995</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180278784"/>
        <c:axId val="177075840"/>
      </c:barChart>
      <c:catAx>
        <c:axId val="180278784"/>
        <c:scaling>
          <c:orientation val="minMax"/>
        </c:scaling>
        <c:delete val="0"/>
        <c:axPos val="b"/>
        <c:majorTickMark val="out"/>
        <c:minorTickMark val="none"/>
        <c:tickLblPos val="nextTo"/>
        <c:crossAx val="177075840"/>
        <c:crosses val="autoZero"/>
        <c:auto val="1"/>
        <c:lblAlgn val="ctr"/>
        <c:lblOffset val="100"/>
        <c:noMultiLvlLbl val="0"/>
      </c:catAx>
      <c:valAx>
        <c:axId val="177075840"/>
        <c:scaling>
          <c:orientation val="minMax"/>
        </c:scaling>
        <c:delete val="0"/>
        <c:axPos val="l"/>
        <c:majorGridlines/>
        <c:numFmt formatCode="#,##0.00_ " sourceLinked="1"/>
        <c:majorTickMark val="out"/>
        <c:minorTickMark val="none"/>
        <c:tickLblPos val="nextTo"/>
        <c:crossAx val="1802787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24"/>
                <c:pt idx="0">
                  <c:v>0</c:v>
                </c:pt>
                <c:pt idx="1">
                  <c:v>0</c:v>
                </c:pt>
                <c:pt idx="2">
                  <c:v>0</c:v>
                </c:pt>
                <c:pt idx="3">
                  <c:v>0</c:v>
                </c:pt>
                <c:pt idx="4">
                  <c:v>0</c:v>
                </c:pt>
                <c:pt idx="5">
                  <c:v>4000000</c:v>
                </c:pt>
                <c:pt idx="6">
                  <c:v>4000000</c:v>
                </c:pt>
                <c:pt idx="7">
                  <c:v>4000000</c:v>
                </c:pt>
                <c:pt idx="8">
                  <c:v>4000000</c:v>
                </c:pt>
                <c:pt idx="9">
                  <c:v>4000000</c:v>
                </c:pt>
                <c:pt idx="10">
                  <c:v>4000000</c:v>
                </c:pt>
                <c:pt idx="11">
                  <c:v>4000000</c:v>
                </c:pt>
                <c:pt idx="12">
                  <c:v>11486496.289999999</c:v>
                </c:pt>
                <c:pt idx="13">
                  <c:v>10243017.33</c:v>
                </c:pt>
                <c:pt idx="14">
                  <c:v>9815063.7300000004</c:v>
                </c:pt>
                <c:pt idx="15">
                  <c:v>4000000</c:v>
                </c:pt>
                <c:pt idx="16">
                  <c:v>4000000</c:v>
                </c:pt>
                <c:pt idx="17">
                  <c:v>0</c:v>
                </c:pt>
                <c:pt idx="18">
                  <c:v>0</c:v>
                </c:pt>
                <c:pt idx="19">
                  <c:v>0</c:v>
                </c:pt>
                <c:pt idx="20">
                  <c:v>0</c:v>
                </c:pt>
                <c:pt idx="21">
                  <c:v>0</c:v>
                </c:pt>
                <c:pt idx="22">
                  <c:v>0</c:v>
                </c:pt>
                <c:pt idx="23">
                  <c:v>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180279808"/>
        <c:axId val="177077568"/>
      </c:barChart>
      <c:catAx>
        <c:axId val="180279808"/>
        <c:scaling>
          <c:orientation val="minMax"/>
        </c:scaling>
        <c:delete val="0"/>
        <c:axPos val="b"/>
        <c:majorTickMark val="out"/>
        <c:minorTickMark val="none"/>
        <c:tickLblPos val="nextTo"/>
        <c:crossAx val="177077568"/>
        <c:crosses val="autoZero"/>
        <c:auto val="1"/>
        <c:lblAlgn val="ctr"/>
        <c:lblOffset val="100"/>
        <c:noMultiLvlLbl val="0"/>
      </c:catAx>
      <c:valAx>
        <c:axId val="177077568"/>
        <c:scaling>
          <c:orientation val="minMax"/>
        </c:scaling>
        <c:delete val="0"/>
        <c:axPos val="l"/>
        <c:majorGridlines/>
        <c:numFmt formatCode="#,##0.00_ " sourceLinked="1"/>
        <c:majorTickMark val="out"/>
        <c:minorTickMark val="none"/>
        <c:tickLblPos val="nextTo"/>
        <c:crossAx val="180279808"/>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股东权益回报率分析表!$A$68</c:f>
              <c:strCache>
                <c:ptCount val="1"/>
                <c:pt idx="0">
                  <c:v>存货</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股东权益回报率分析表!$B$68:$CK$68</c:f>
              <c:numCache>
                <c:formatCode>#,##0.00_ </c:formatCode>
                <c:ptCount val="88"/>
                <c:pt idx="0">
                  <c:v>23506950842.220001</c:v>
                </c:pt>
                <c:pt idx="1">
                  <c:v>22057481376.459999</c:v>
                </c:pt>
                <c:pt idx="2">
                  <c:v>20622251825.549999</c:v>
                </c:pt>
                <c:pt idx="3">
                  <c:v>18013297022.700001</c:v>
                </c:pt>
                <c:pt idx="4">
                  <c:v>14982364367.85</c:v>
                </c:pt>
                <c:pt idx="5">
                  <c:v>11836810239.030001</c:v>
                </c:pt>
                <c:pt idx="6">
                  <c:v>9665727593.4200001</c:v>
                </c:pt>
                <c:pt idx="7">
                  <c:v>7187117552.8599997</c:v>
                </c:pt>
                <c:pt idx="8">
                  <c:v>5574126083.4200001</c:v>
                </c:pt>
                <c:pt idx="9">
                  <c:v>4192246440.3600001</c:v>
                </c:pt>
                <c:pt idx="10">
                  <c:v>3114567813.3299999</c:v>
                </c:pt>
                <c:pt idx="11">
                  <c:v>2304818947.9200001</c:v>
                </c:pt>
                <c:pt idx="12">
                  <c:v>1974710283.3499999</c:v>
                </c:pt>
                <c:pt idx="13">
                  <c:v>1860549625.24</c:v>
                </c:pt>
                <c:pt idx="14">
                  <c:v>1693741195.1099999</c:v>
                </c:pt>
                <c:pt idx="15">
                  <c:v>1215006621.05</c:v>
                </c:pt>
                <c:pt idx="16">
                  <c:v>1076612588.52</c:v>
                </c:pt>
                <c:pt idx="17">
                  <c:v>786368826.80999994</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numCache>
            </c:numRef>
          </c:val>
          <c:smooth val="0"/>
          <c:extLst xmlns:c16r2="http://schemas.microsoft.com/office/drawing/2015/06/chart">
            <c:ext xmlns:c16="http://schemas.microsoft.com/office/drawing/2014/chart" uri="{C3380CC4-5D6E-409C-BE32-E72D297353CC}">
              <c16:uniqueId val="{00000000-293F-49F2-A2A0-1BABABB09BF2}"/>
            </c:ext>
          </c:extLst>
        </c:ser>
        <c:dLbls>
          <c:showLegendKey val="0"/>
          <c:showVal val="0"/>
          <c:showCatName val="0"/>
          <c:showSerName val="0"/>
          <c:showPercent val="0"/>
          <c:showBubbleSize val="0"/>
        </c:dLbls>
        <c:marker val="1"/>
        <c:smooth val="0"/>
        <c:axId val="179974144"/>
        <c:axId val="179897472"/>
      </c:lineChart>
      <c:catAx>
        <c:axId val="1799741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9897472"/>
        <c:crosses val="autoZero"/>
        <c:auto val="1"/>
        <c:lblAlgn val="ctr"/>
        <c:lblOffset val="100"/>
        <c:noMultiLvlLbl val="0"/>
      </c:catAx>
      <c:valAx>
        <c:axId val="179897472"/>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7997414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24"/>
                <c:pt idx="0">
                  <c:v>0.93296762788113552</c:v>
                </c:pt>
                <c:pt idx="1">
                  <c:v>0.90171319281011075</c:v>
                </c:pt>
                <c:pt idx="2">
                  <c:v>1.2986607631058005</c:v>
                </c:pt>
                <c:pt idx="3">
                  <c:v>0.94762061662085728</c:v>
                </c:pt>
                <c:pt idx="4">
                  <c:v>0.88567707462715783</c:v>
                </c:pt>
                <c:pt idx="5">
                  <c:v>0.91420896486158842</c:v>
                </c:pt>
                <c:pt idx="6">
                  <c:v>0.93408097945975643</c:v>
                </c:pt>
                <c:pt idx="7">
                  <c:v>1.0988528098510555</c:v>
                </c:pt>
                <c:pt idx="8">
                  <c:v>1.0975421034002921</c:v>
                </c:pt>
                <c:pt idx="9">
                  <c:v>1.0390974780647297</c:v>
                </c:pt>
                <c:pt idx="10">
                  <c:v>1.1692934949843827</c:v>
                </c:pt>
                <c:pt idx="11">
                  <c:v>0.87835796478548833</c:v>
                </c:pt>
                <c:pt idx="12">
                  <c:v>1.0719788831182775</c:v>
                </c:pt>
                <c:pt idx="13">
                  <c:v>1.08218964814049</c:v>
                </c:pt>
                <c:pt idx="14">
                  <c:v>1.0354999629283492</c:v>
                </c:pt>
                <c:pt idx="15">
                  <c:v>1.0884943006401064</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24"/>
                <c:pt idx="0">
                  <c:v>0.43492196683044043</c:v>
                </c:pt>
                <c:pt idx="1">
                  <c:v>0.4379309238315427</c:v>
                </c:pt>
                <c:pt idx="2">
                  <c:v>0.44619849552870239</c:v>
                </c:pt>
                <c:pt idx="3">
                  <c:v>0.62677885098930086</c:v>
                </c:pt>
                <c:pt idx="4">
                  <c:v>0.57159433992406183</c:v>
                </c:pt>
                <c:pt idx="5">
                  <c:v>0.60241427387601931</c:v>
                </c:pt>
                <c:pt idx="6">
                  <c:v>0.65475146383297367</c:v>
                </c:pt>
                <c:pt idx="7">
                  <c:v>0.6130122377140047</c:v>
                </c:pt>
                <c:pt idx="8">
                  <c:v>0.62762008886462017</c:v>
                </c:pt>
                <c:pt idx="9">
                  <c:v>0.68643354798425182</c:v>
                </c:pt>
                <c:pt idx="10">
                  <c:v>0.62531684407447585</c:v>
                </c:pt>
                <c:pt idx="11">
                  <c:v>0.56611408720274081</c:v>
                </c:pt>
                <c:pt idx="12">
                  <c:v>0.44767393145739548</c:v>
                </c:pt>
                <c:pt idx="13">
                  <c:v>0.52026891995669367</c:v>
                </c:pt>
                <c:pt idx="14">
                  <c:v>0.58050045045891441</c:v>
                </c:pt>
                <c:pt idx="15">
                  <c:v>0.52091749982884994</c:v>
                </c:pt>
                <c:pt idx="16">
                  <c:v>0.53019050339184204</c:v>
                </c:pt>
                <c:pt idx="17">
                  <c:v>0.59283648080870521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24"/>
                <c:pt idx="0">
                  <c:v>1.202520715690129</c:v>
                </c:pt>
                <c:pt idx="1">
                  <c:v>0.84369514653179289</c:v>
                </c:pt>
                <c:pt idx="2">
                  <c:v>2.2376514625342425</c:v>
                </c:pt>
                <c:pt idx="3">
                  <c:v>1.1118672251479353</c:v>
                </c:pt>
                <c:pt idx="4">
                  <c:v>0.81018073389824008</c:v>
                </c:pt>
                <c:pt idx="5">
                  <c:v>0.81485351894752001</c:v>
                </c:pt>
                <c:pt idx="6">
                  <c:v>0.8707550461208956</c:v>
                </c:pt>
                <c:pt idx="7">
                  <c:v>1.1296314489073338</c:v>
                </c:pt>
                <c:pt idx="8">
                  <c:v>1.1908124722334295</c:v>
                </c:pt>
                <c:pt idx="9">
                  <c:v>0.94878968360991245</c:v>
                </c:pt>
                <c:pt idx="10">
                  <c:v>1.337406961145954</c:v>
                </c:pt>
                <c:pt idx="11">
                  <c:v>0.594195850269708</c:v>
                </c:pt>
                <c:pt idx="12">
                  <c:v>1.3532896570933644</c:v>
                </c:pt>
                <c:pt idx="13">
                  <c:v>1.4738541816421309</c:v>
                </c:pt>
                <c:pt idx="14">
                  <c:v>1.1629010311471542</c:v>
                </c:pt>
                <c:pt idx="15">
                  <c:v>1.5793695310451936</c:v>
                </c:pt>
                <c:pt idx="16">
                  <c:v>1.1379102719631111</c:v>
                </c:pt>
                <c:pt idx="17">
                  <c:v>0.12470663228279587</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24"/>
                <c:pt idx="0">
                  <c:v>1.2024229756087634</c:v>
                </c:pt>
                <c:pt idx="1">
                  <c:v>0.84230055660120073</c:v>
                </c:pt>
                <c:pt idx="2">
                  <c:v>2.2342180030929484</c:v>
                </c:pt>
                <c:pt idx="3">
                  <c:v>1.1087979552774307</c:v>
                </c:pt>
                <c:pt idx="4">
                  <c:v>0.80540121019604749</c:v>
                </c:pt>
                <c:pt idx="5">
                  <c:v>0.79833852859613363</c:v>
                </c:pt>
                <c:pt idx="6">
                  <c:v>0.85100859963546971</c:v>
                </c:pt>
                <c:pt idx="7">
                  <c:v>1.0971970748336086</c:v>
                </c:pt>
                <c:pt idx="8">
                  <c:v>1.1613770620820749</c:v>
                </c:pt>
                <c:pt idx="9">
                  <c:v>0.92774877580892756</c:v>
                </c:pt>
                <c:pt idx="10">
                  <c:v>1.3116231409362531</c:v>
                </c:pt>
                <c:pt idx="11">
                  <c:v>0.58807579864042736</c:v>
                </c:pt>
                <c:pt idx="12">
                  <c:v>1.3379027745286143</c:v>
                </c:pt>
                <c:pt idx="13">
                  <c:v>1.4487609032384496</c:v>
                </c:pt>
                <c:pt idx="14">
                  <c:v>1.1423769805048754</c:v>
                </c:pt>
                <c:pt idx="15">
                  <c:v>1.5533643822662491</c:v>
                </c:pt>
                <c:pt idx="16">
                  <c:v>1.1073064248406057</c:v>
                </c:pt>
                <c:pt idx="17">
                  <c:v>0.12352728723166283</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179976704"/>
        <c:axId val="179899200"/>
      </c:lineChart>
      <c:catAx>
        <c:axId val="179976704"/>
        <c:scaling>
          <c:orientation val="minMax"/>
        </c:scaling>
        <c:delete val="0"/>
        <c:axPos val="b"/>
        <c:majorTickMark val="out"/>
        <c:minorTickMark val="none"/>
        <c:tickLblPos val="nextTo"/>
        <c:crossAx val="179899200"/>
        <c:crosses val="autoZero"/>
        <c:auto val="1"/>
        <c:lblAlgn val="ctr"/>
        <c:lblOffset val="100"/>
        <c:noMultiLvlLbl val="0"/>
      </c:catAx>
      <c:valAx>
        <c:axId val="179899200"/>
        <c:scaling>
          <c:orientation val="minMax"/>
        </c:scaling>
        <c:delete val="0"/>
        <c:axPos val="l"/>
        <c:majorGridlines/>
        <c:numFmt formatCode="#,##0.00_ " sourceLinked="1"/>
        <c:majorTickMark val="out"/>
        <c:minorTickMark val="none"/>
        <c:tickLblPos val="nextTo"/>
        <c:crossAx val="1799767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24"/>
                <c:pt idx="0">
                  <c:v>2.4101891485830014</c:v>
                </c:pt>
                <c:pt idx="1">
                  <c:v>0.73936700732927207</c:v>
                </c:pt>
                <c:pt idx="2">
                  <c:v>2.1787572353336588</c:v>
                </c:pt>
                <c:pt idx="3">
                  <c:v>0.69206577656597457</c:v>
                </c:pt>
                <c:pt idx="4">
                  <c:v>0.99213609348341314</c:v>
                </c:pt>
                <c:pt idx="5">
                  <c:v>2.0105580252638284</c:v>
                </c:pt>
                <c:pt idx="6">
                  <c:v>1.2608871323599304</c:v>
                </c:pt>
                <c:pt idx="7">
                  <c:v>5.2773516547772203</c:v>
                </c:pt>
                <c:pt idx="8">
                  <c:v>1.946682403412525</c:v>
                </c:pt>
                <c:pt idx="9">
                  <c:v>1.4845003720880896</c:v>
                </c:pt>
                <c:pt idx="10">
                  <c:v>4.5926736936443602</c:v>
                </c:pt>
                <c:pt idx="11">
                  <c:v>0.78327158946455777</c:v>
                </c:pt>
                <c:pt idx="12">
                  <c:v>3.8554554950804292</c:v>
                </c:pt>
                <c:pt idx="13">
                  <c:v>77.32316425634906</c:v>
                </c:pt>
                <c:pt idx="14">
                  <c:v>0</c:v>
                </c:pt>
                <c:pt idx="15">
                  <c:v>0</c:v>
                </c:pt>
                <c:pt idx="16">
                  <c:v>0</c:v>
                </c:pt>
                <c:pt idx="17">
                  <c:v>0</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80088832"/>
        <c:axId val="179901504"/>
      </c:lineChart>
      <c:catAx>
        <c:axId val="180088832"/>
        <c:scaling>
          <c:orientation val="minMax"/>
        </c:scaling>
        <c:delete val="0"/>
        <c:axPos val="b"/>
        <c:majorTickMark val="out"/>
        <c:minorTickMark val="none"/>
        <c:tickLblPos val="nextTo"/>
        <c:crossAx val="179901504"/>
        <c:crosses val="autoZero"/>
        <c:auto val="1"/>
        <c:lblAlgn val="ctr"/>
        <c:lblOffset val="100"/>
        <c:noMultiLvlLbl val="0"/>
      </c:catAx>
      <c:valAx>
        <c:axId val="179901504"/>
        <c:scaling>
          <c:orientation val="minMax"/>
        </c:scaling>
        <c:delete val="0"/>
        <c:axPos val="l"/>
        <c:majorGridlines/>
        <c:numFmt formatCode="0.00%" sourceLinked="1"/>
        <c:majorTickMark val="out"/>
        <c:minorTickMark val="none"/>
        <c:tickLblPos val="nextTo"/>
        <c:crossAx val="1800888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24"/>
                <c:pt idx="0">
                  <c:v>41385234406.720001</c:v>
                </c:pt>
                <c:pt idx="1">
                  <c:v>22153036084.130001</c:v>
                </c:pt>
                <c:pt idx="2">
                  <c:v>37451249647.050003</c:v>
                </c:pt>
                <c:pt idx="3">
                  <c:v>17436340141.720001</c:v>
                </c:pt>
                <c:pt idx="4">
                  <c:v>12632522436.6</c:v>
                </c:pt>
                <c:pt idx="5">
                  <c:v>12655024861.92</c:v>
                </c:pt>
                <c:pt idx="6">
                  <c:v>11921310609.25</c:v>
                </c:pt>
                <c:pt idx="7">
                  <c:v>10148564689.530001</c:v>
                </c:pt>
                <c:pt idx="8">
                  <c:v>6201476519.5699997</c:v>
                </c:pt>
                <c:pt idx="9">
                  <c:v>4223937144.1900001</c:v>
                </c:pt>
                <c:pt idx="10">
                  <c:v>5247488535.7399998</c:v>
                </c:pt>
                <c:pt idx="11">
                  <c:v>1743303211.3800001</c:v>
                </c:pt>
                <c:pt idx="12">
                  <c:v>2105171033.6900001</c:v>
                </c:pt>
                <c:pt idx="13">
                  <c:v>1693707488.3199999</c:v>
                </c:pt>
                <c:pt idx="14">
                  <c:v>975784480.20000005</c:v>
                </c:pt>
                <c:pt idx="15">
                  <c:v>941706242.08000004</c:v>
                </c:pt>
                <c:pt idx="16">
                  <c:v>434582378.66000003</c:v>
                </c:pt>
                <c:pt idx="17">
                  <c:v>42283037.350000001</c:v>
                </c:pt>
                <c:pt idx="18">
                  <c:v>0</c:v>
                </c:pt>
                <c:pt idx="19">
                  <c:v>0</c:v>
                </c:pt>
                <c:pt idx="20">
                  <c:v>0</c:v>
                </c:pt>
                <c:pt idx="21">
                  <c:v>0</c:v>
                </c:pt>
                <c:pt idx="22">
                  <c:v>0</c:v>
                </c:pt>
                <c:pt idx="23">
                  <c:v>0</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24"/>
                <c:pt idx="0">
                  <c:v>34415402468.11377</c:v>
                </c:pt>
                <c:pt idx="1">
                  <c:v>26257157191.427803</c:v>
                </c:pt>
                <c:pt idx="2">
                  <c:v>16736855705.237827</c:v>
                </c:pt>
                <c:pt idx="3">
                  <c:v>15682034461.803722</c:v>
                </c:pt>
                <c:pt idx="4">
                  <c:v>15592227645.080812</c:v>
                </c:pt>
                <c:pt idx="5">
                  <c:v>15530429172.430237</c:v>
                </c:pt>
                <c:pt idx="6">
                  <c:v>13690774072.866924</c:v>
                </c:pt>
                <c:pt idx="7">
                  <c:v>8983960830.1862259</c:v>
                </c:pt>
                <c:pt idx="8">
                  <c:v>5207769203.1045113</c:v>
                </c:pt>
                <c:pt idx="9">
                  <c:v>4451921450.1984816</c:v>
                </c:pt>
                <c:pt idx="10">
                  <c:v>3923628849.1004276</c:v>
                </c:pt>
                <c:pt idx="11">
                  <c:v>2933886546.983974</c:v>
                </c:pt>
                <c:pt idx="12">
                  <c:v>1555595302.6431525</c:v>
                </c:pt>
                <c:pt idx="13">
                  <c:v>1149168967.6063571</c:v>
                </c:pt>
                <c:pt idx="14">
                  <c:v>839095033.9406172</c:v>
                </c:pt>
                <c:pt idx="15">
                  <c:v>596254532.94442034</c:v>
                </c:pt>
                <c:pt idx="16">
                  <c:v>381912695.02318752</c:v>
                </c:pt>
                <c:pt idx="17">
                  <c:v>339060052.98992616</c:v>
                </c:pt>
                <c:pt idx="18">
                  <c:v>0</c:v>
                </c:pt>
                <c:pt idx="19">
                  <c:v>24528506.514677748</c:v>
                </c:pt>
                <c:pt idx="20">
                  <c:v>0</c:v>
                </c:pt>
                <c:pt idx="21">
                  <c:v>0</c:v>
                </c:pt>
                <c:pt idx="22">
                  <c:v>0</c:v>
                </c:pt>
                <c:pt idx="23">
                  <c:v>6516125.4415978026</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24"/>
                <c:pt idx="0">
                  <c:v>34418199956.440002</c:v>
                </c:pt>
                <c:pt idx="1">
                  <c:v>26300630945.230011</c:v>
                </c:pt>
                <c:pt idx="2">
                  <c:v>16762576254.959999</c:v>
                </c:pt>
                <c:pt idx="3">
                  <c:v>15725443989.799999</c:v>
                </c:pt>
                <c:pt idx="4">
                  <c:v>15684757207.559998</c:v>
                </c:pt>
                <c:pt idx="5">
                  <c:v>15851702515.440001</c:v>
                </c:pt>
                <c:pt idx="6">
                  <c:v>14008449050.170004</c:v>
                </c:pt>
                <c:pt idx="7">
                  <c:v>9249536771.7500019</c:v>
                </c:pt>
                <c:pt idx="8">
                  <c:v>5339761496.9699993</c:v>
                </c:pt>
                <c:pt idx="9">
                  <c:v>4552888943.999999</c:v>
                </c:pt>
                <c:pt idx="10">
                  <c:v>4000759343.1100006</c:v>
                </c:pt>
                <c:pt idx="11">
                  <c:v>2964419238.8300004</c:v>
                </c:pt>
                <c:pt idx="12">
                  <c:v>1573485812.1000001</c:v>
                </c:pt>
                <c:pt idx="13">
                  <c:v>1169073160.7500005</c:v>
                </c:pt>
                <c:pt idx="14">
                  <c:v>854170293.04000032</c:v>
                </c:pt>
                <c:pt idx="15">
                  <c:v>606236535.88999963</c:v>
                </c:pt>
                <c:pt idx="16">
                  <c:v>392468036.76999998</c:v>
                </c:pt>
                <c:pt idx="17">
                  <c:v>342297141.76999998</c:v>
                </c:pt>
                <c:pt idx="18">
                  <c:v>-2501741693.0300002</c:v>
                </c:pt>
                <c:pt idx="19">
                  <c:v>-1335728419.8200002</c:v>
                </c:pt>
                <c:pt idx="20">
                  <c:v>-5035376180.2399998</c:v>
                </c:pt>
                <c:pt idx="21">
                  <c:v>-3658375018.9900002</c:v>
                </c:pt>
                <c:pt idx="22">
                  <c:v>-2262690841.3800001</c:v>
                </c:pt>
                <c:pt idx="23">
                  <c:v>-1230608960.77</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80090368"/>
        <c:axId val="179903232"/>
      </c:lineChart>
      <c:catAx>
        <c:axId val="180090368"/>
        <c:scaling>
          <c:orientation val="minMax"/>
        </c:scaling>
        <c:delete val="0"/>
        <c:axPos val="b"/>
        <c:majorTickMark val="out"/>
        <c:minorTickMark val="none"/>
        <c:tickLblPos val="nextTo"/>
        <c:crossAx val="179903232"/>
        <c:crosses val="autoZero"/>
        <c:auto val="1"/>
        <c:lblAlgn val="ctr"/>
        <c:lblOffset val="100"/>
        <c:noMultiLvlLbl val="0"/>
      </c:catAx>
      <c:valAx>
        <c:axId val="179903232"/>
        <c:scaling>
          <c:orientation val="minMax"/>
        </c:scaling>
        <c:delete val="0"/>
        <c:axPos val="l"/>
        <c:majorGridlines/>
        <c:numFmt formatCode="#,##0.00_ " sourceLinked="1"/>
        <c:majorTickMark val="out"/>
        <c:minorTickMark val="none"/>
        <c:tickLblPos val="nextTo"/>
        <c:crossAx val="18009036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11" Type="http://schemas.openxmlformats.org/officeDocument/2006/relationships/chart" Target="../charts/chart37.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image" Target="../media/image1.png"/><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79</xdr:col>
      <xdr:colOff>960119</xdr:colOff>
      <xdr:row>57</xdr:row>
      <xdr:rowOff>315277</xdr:rowOff>
    </xdr:from>
    <xdr:to>
      <xdr:col>83</xdr:col>
      <xdr:colOff>876300</xdr:colOff>
      <xdr:row>72</xdr:row>
      <xdr:rowOff>5715</xdr:rowOff>
    </xdr:to>
    <xdr:graphicFrame macro="">
      <xdr:nvGraphicFramePr>
        <xdr:cNvPr id="7" name="图表 6">
          <a:extLst>
            <a:ext uri="{FF2B5EF4-FFF2-40B4-BE49-F238E27FC236}">
              <a16:creationId xmlns=""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175260</xdr:colOff>
      <xdr:row>58</xdr:row>
      <xdr:rowOff>144780</xdr:rowOff>
    </xdr:from>
    <xdr:to>
      <xdr:col>32</xdr:col>
      <xdr:colOff>666750</xdr:colOff>
      <xdr:row>72</xdr:row>
      <xdr:rowOff>121920</xdr:rowOff>
    </xdr:to>
    <xdr:graphicFrame macro="">
      <xdr:nvGraphicFramePr>
        <xdr:cNvPr id="6" name="图表 5">
          <a:extLst>
            <a:ext uri="{FF2B5EF4-FFF2-40B4-BE49-F238E27FC236}">
              <a16:creationId xmlns="" xmlns:a16="http://schemas.microsoft.com/office/drawing/2014/main" id="{B4EEC7A9-63C9-4E95-8155-E3C59806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1</xdr:col>
      <xdr:colOff>222248</xdr:colOff>
      <xdr:row>37</xdr:row>
      <xdr:rowOff>9439</xdr:rowOff>
    </xdr:to>
    <xdr:pic>
      <xdr:nvPicPr>
        <xdr:cNvPr id="2" name="图片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186201</xdr:colOff>
      <xdr:row>27</xdr:row>
      <xdr:rowOff>38002</xdr:rowOff>
    </xdr:to>
    <xdr:pic>
      <xdr:nvPicPr>
        <xdr:cNvPr id="2" name="图片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833795</xdr:colOff>
      <xdr:row>47</xdr:row>
      <xdr:rowOff>38016</xdr:rowOff>
    </xdr:to>
    <xdr:pic>
      <xdr:nvPicPr>
        <xdr:cNvPr id="4" name="图片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S85"/>
  <sheetViews>
    <sheetView workbookViewId="0">
      <selection activeCell="A35" sqref="A35"/>
    </sheetView>
  </sheetViews>
  <sheetFormatPr defaultRowHeight="13.5"/>
  <cols>
    <col min="1" max="1" width="46.375" style="271" bestFit="1" customWidth="1"/>
    <col min="2" max="4" width="12.75" style="271" bestFit="1" customWidth="1"/>
    <col min="5" max="5" width="13.875" style="271" bestFit="1" customWidth="1"/>
    <col min="6" max="19" width="12.75" style="271" bestFit="1" customWidth="1"/>
    <col min="20" max="16384" width="9" style="271"/>
  </cols>
  <sheetData>
    <row r="1" spans="1:19">
      <c r="A1" s="271">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row>
    <row r="2" spans="1:19">
      <c r="A2" s="271" t="s">
        <v>105</v>
      </c>
      <c r="B2" s="271" t="s">
        <v>106</v>
      </c>
      <c r="C2" s="271" t="s">
        <v>106</v>
      </c>
      <c r="D2" s="271" t="s">
        <v>106</v>
      </c>
      <c r="E2" s="271" t="s">
        <v>106</v>
      </c>
      <c r="F2" s="271" t="s">
        <v>106</v>
      </c>
      <c r="G2" s="271" t="s">
        <v>106</v>
      </c>
      <c r="H2" s="271" t="s">
        <v>106</v>
      </c>
      <c r="I2" s="271" t="s">
        <v>106</v>
      </c>
      <c r="J2" s="271" t="s">
        <v>106</v>
      </c>
      <c r="K2" s="271" t="s">
        <v>106</v>
      </c>
      <c r="L2" s="271" t="s">
        <v>106</v>
      </c>
      <c r="M2" s="271" t="s">
        <v>106</v>
      </c>
      <c r="N2" s="271" t="s">
        <v>106</v>
      </c>
      <c r="O2" s="271" t="s">
        <v>106</v>
      </c>
      <c r="P2" s="271" t="s">
        <v>106</v>
      </c>
      <c r="Q2" s="271" t="s">
        <v>106</v>
      </c>
      <c r="R2" s="271" t="s">
        <v>106</v>
      </c>
      <c r="S2" s="271" t="s">
        <v>106</v>
      </c>
    </row>
    <row r="3" spans="1:19">
      <c r="A3" s="271" t="s">
        <v>656</v>
      </c>
      <c r="B3" s="271" t="s">
        <v>657</v>
      </c>
      <c r="C3" s="271" t="s">
        <v>657</v>
      </c>
      <c r="D3" s="271" t="s">
        <v>657</v>
      </c>
      <c r="E3" s="271" t="s">
        <v>657</v>
      </c>
      <c r="F3" s="271" t="s">
        <v>657</v>
      </c>
      <c r="G3" s="271" t="s">
        <v>657</v>
      </c>
      <c r="H3" s="271" t="s">
        <v>657</v>
      </c>
      <c r="I3" s="271" t="s">
        <v>657</v>
      </c>
      <c r="J3" s="271" t="s">
        <v>657</v>
      </c>
      <c r="K3" s="271" t="s">
        <v>657</v>
      </c>
      <c r="L3" s="271" t="s">
        <v>657</v>
      </c>
      <c r="M3" s="271" t="s">
        <v>657</v>
      </c>
      <c r="N3" s="271" t="s">
        <v>657</v>
      </c>
      <c r="O3" s="271" t="s">
        <v>657</v>
      </c>
      <c r="P3" s="271" t="s">
        <v>657</v>
      </c>
      <c r="Q3" s="271" t="s">
        <v>657</v>
      </c>
      <c r="R3" s="271" t="s">
        <v>657</v>
      </c>
      <c r="S3" s="271" t="s">
        <v>657</v>
      </c>
    </row>
    <row r="4" spans="1:19">
      <c r="A4" s="271" t="s">
        <v>658</v>
      </c>
      <c r="B4" s="271">
        <v>112074791420.06</v>
      </c>
      <c r="C4" s="271">
        <v>87868869913.339996</v>
      </c>
      <c r="D4" s="271">
        <v>66854962118.220001</v>
      </c>
      <c r="E4" s="271">
        <v>36800749895.059998</v>
      </c>
      <c r="F4" s="271">
        <v>27710717680.209999</v>
      </c>
      <c r="G4" s="271">
        <v>25185009331.68</v>
      </c>
      <c r="H4" s="271">
        <v>22061999850.169998</v>
      </c>
      <c r="I4" s="271">
        <v>18254690162.040001</v>
      </c>
      <c r="J4" s="271">
        <v>12888393889.290001</v>
      </c>
      <c r="K4" s="271">
        <v>9743152155.2399998</v>
      </c>
      <c r="L4" s="271">
        <v>8093721891.1599998</v>
      </c>
      <c r="M4" s="271">
        <v>4722706300.0200005</v>
      </c>
      <c r="N4" s="271">
        <v>4463098038.6400003</v>
      </c>
      <c r="O4" s="271">
        <v>3891989433.5300002</v>
      </c>
      <c r="P4" s="271">
        <v>2898327418.8499999</v>
      </c>
      <c r="Q4" s="271">
        <v>2340047386.8499999</v>
      </c>
      <c r="R4" s="271">
        <v>1780307690.6400001</v>
      </c>
      <c r="S4" s="271">
        <v>1956436570.0999999</v>
      </c>
    </row>
    <row r="5" spans="1:19">
      <c r="A5" s="271" t="s">
        <v>659</v>
      </c>
      <c r="B5" s="271">
        <v>0</v>
      </c>
      <c r="C5" s="271">
        <v>0</v>
      </c>
      <c r="D5" s="271">
        <v>0</v>
      </c>
      <c r="E5" s="271">
        <v>0</v>
      </c>
      <c r="F5" s="271">
        <v>0</v>
      </c>
      <c r="G5" s="271">
        <v>0</v>
      </c>
      <c r="H5" s="271">
        <v>0</v>
      </c>
      <c r="I5" s="271">
        <v>0</v>
      </c>
      <c r="J5" s="271">
        <v>0</v>
      </c>
      <c r="K5" s="271">
        <v>0</v>
      </c>
      <c r="L5" s="271">
        <v>0</v>
      </c>
      <c r="M5" s="271">
        <v>0</v>
      </c>
      <c r="N5" s="271">
        <v>0</v>
      </c>
      <c r="O5" s="271">
        <v>0</v>
      </c>
      <c r="P5" s="271">
        <v>0</v>
      </c>
      <c r="Q5" s="271">
        <v>0</v>
      </c>
      <c r="R5" s="271">
        <v>0</v>
      </c>
      <c r="S5" s="271">
        <v>0</v>
      </c>
    </row>
    <row r="6" spans="1:19">
      <c r="A6" s="271" t="s">
        <v>660</v>
      </c>
      <c r="B6" s="271">
        <v>0</v>
      </c>
      <c r="C6" s="271">
        <v>0</v>
      </c>
      <c r="D6" s="271">
        <v>0</v>
      </c>
      <c r="E6" s="271">
        <v>0</v>
      </c>
      <c r="F6" s="271">
        <v>0</v>
      </c>
      <c r="G6" s="271">
        <v>0</v>
      </c>
      <c r="H6" s="271">
        <v>0</v>
      </c>
      <c r="I6" s="271">
        <v>0</v>
      </c>
      <c r="J6" s="271">
        <v>0</v>
      </c>
      <c r="K6" s="271">
        <v>0</v>
      </c>
      <c r="L6" s="271">
        <v>0</v>
      </c>
      <c r="M6" s="271">
        <v>0</v>
      </c>
      <c r="N6" s="271">
        <v>0</v>
      </c>
      <c r="O6" s="271">
        <v>0</v>
      </c>
      <c r="P6" s="271">
        <v>0</v>
      </c>
      <c r="Q6" s="271">
        <v>0</v>
      </c>
      <c r="R6" s="271">
        <v>0</v>
      </c>
      <c r="S6" s="271">
        <v>0</v>
      </c>
    </row>
    <row r="7" spans="1:19">
      <c r="A7" s="271" t="s">
        <v>661</v>
      </c>
      <c r="B7" s="271">
        <v>563739710</v>
      </c>
      <c r="C7" s="271">
        <v>1221706039</v>
      </c>
      <c r="D7" s="271">
        <v>817627172</v>
      </c>
      <c r="E7" s="271">
        <v>8578935406.8199997</v>
      </c>
      <c r="F7" s="271">
        <v>1847838617.8299999</v>
      </c>
      <c r="G7" s="271">
        <v>296084005</v>
      </c>
      <c r="H7" s="271">
        <v>204079117.80000001</v>
      </c>
      <c r="I7" s="271">
        <v>252101396.08000001</v>
      </c>
      <c r="J7" s="271">
        <v>204811101.19999999</v>
      </c>
      <c r="K7" s="271">
        <v>380760283.19999999</v>
      </c>
      <c r="L7" s="271">
        <v>170612609</v>
      </c>
      <c r="M7" s="271">
        <v>101046224</v>
      </c>
      <c r="N7" s="271">
        <v>185653838.47</v>
      </c>
      <c r="O7" s="271">
        <v>159665200.08000001</v>
      </c>
      <c r="P7" s="271">
        <v>115374909.92</v>
      </c>
      <c r="Q7" s="271">
        <v>46540363.600000001</v>
      </c>
      <c r="R7" s="271">
        <v>37016763.100000001</v>
      </c>
      <c r="S7" s="271">
        <v>11740000</v>
      </c>
    </row>
    <row r="8" spans="1:19">
      <c r="A8" s="271" t="s">
        <v>662</v>
      </c>
      <c r="B8" s="271">
        <v>0</v>
      </c>
      <c r="C8" s="271">
        <v>0</v>
      </c>
      <c r="D8" s="271">
        <v>0</v>
      </c>
      <c r="E8" s="271">
        <v>230768.89</v>
      </c>
      <c r="F8" s="271">
        <v>4306161.24</v>
      </c>
      <c r="G8" s="271">
        <v>927222.79</v>
      </c>
      <c r="H8" s="271">
        <v>17818147.27</v>
      </c>
      <c r="I8" s="271">
        <v>2225396.48</v>
      </c>
      <c r="J8" s="271">
        <v>1254599.9099999999</v>
      </c>
      <c r="K8" s="271">
        <v>21386314.280000001</v>
      </c>
      <c r="L8" s="271">
        <v>34825094.840000004</v>
      </c>
      <c r="M8" s="271">
        <v>46407153.340000004</v>
      </c>
      <c r="N8" s="271">
        <v>67438863.700000003</v>
      </c>
      <c r="O8" s="271">
        <v>43685990.329999998</v>
      </c>
      <c r="P8" s="271">
        <v>31277360.66</v>
      </c>
      <c r="Q8" s="271">
        <v>27486075.27</v>
      </c>
      <c r="R8" s="271">
        <v>42735776.909999996</v>
      </c>
      <c r="S8" s="271">
        <v>46700450.369999997</v>
      </c>
    </row>
    <row r="9" spans="1:19">
      <c r="A9" s="271" t="s">
        <v>663</v>
      </c>
      <c r="B9" s="271">
        <v>1182378508.0599999</v>
      </c>
      <c r="C9" s="271">
        <v>790807322.07000005</v>
      </c>
      <c r="D9" s="271">
        <v>1046100696.92</v>
      </c>
      <c r="E9" s="271">
        <v>1477734859.9000001</v>
      </c>
      <c r="F9" s="271">
        <v>2864210404.2800002</v>
      </c>
      <c r="G9" s="271">
        <v>4304579299.6800003</v>
      </c>
      <c r="H9" s="271">
        <v>3872870407.8899999</v>
      </c>
      <c r="I9" s="271">
        <v>1861027424.03</v>
      </c>
      <c r="J9" s="271">
        <v>1529868837.52</v>
      </c>
      <c r="K9" s="271">
        <v>1203126087.1600001</v>
      </c>
      <c r="L9" s="271">
        <v>741638536.34000003</v>
      </c>
      <c r="M9" s="271">
        <v>6825624.6200000001</v>
      </c>
      <c r="N9" s="271">
        <v>4242010.29</v>
      </c>
      <c r="O9" s="271">
        <v>12385914.41</v>
      </c>
      <c r="P9" s="271">
        <v>4744646.4000000004</v>
      </c>
      <c r="Q9" s="271">
        <v>6176790.79</v>
      </c>
      <c r="R9" s="271">
        <v>6120132.5</v>
      </c>
      <c r="S9" s="271">
        <v>26362454.199999999</v>
      </c>
    </row>
    <row r="10" spans="1:19">
      <c r="A10" s="271" t="s">
        <v>664</v>
      </c>
      <c r="B10" s="271">
        <v>343889944.47000003</v>
      </c>
      <c r="C10" s="271">
        <v>241458615.88999999</v>
      </c>
      <c r="D10" s="271">
        <v>140904856.88</v>
      </c>
      <c r="E10" s="271">
        <v>85347051.469999999</v>
      </c>
      <c r="F10" s="271">
        <v>80602922.329999998</v>
      </c>
      <c r="G10" s="271">
        <v>188599147.22999999</v>
      </c>
      <c r="H10" s="271">
        <v>264612813.22</v>
      </c>
      <c r="I10" s="271">
        <v>225182760.05000001</v>
      </c>
      <c r="J10" s="271">
        <v>42728425.340000004</v>
      </c>
      <c r="K10" s="271">
        <v>1912600</v>
      </c>
      <c r="L10" s="271">
        <v>2783550</v>
      </c>
      <c r="M10" s="271">
        <v>3584400</v>
      </c>
      <c r="N10" s="271">
        <v>0</v>
      </c>
      <c r="O10" s="271">
        <v>0</v>
      </c>
      <c r="P10" s="271">
        <v>0</v>
      </c>
      <c r="Q10" s="271">
        <v>0</v>
      </c>
      <c r="R10" s="271">
        <v>0</v>
      </c>
      <c r="S10" s="271">
        <v>0</v>
      </c>
    </row>
    <row r="11" spans="1:19">
      <c r="A11" s="271" t="s">
        <v>665</v>
      </c>
      <c r="B11" s="271">
        <v>0</v>
      </c>
      <c r="C11" s="271">
        <v>0</v>
      </c>
      <c r="D11" s="271">
        <v>0</v>
      </c>
      <c r="E11" s="271">
        <v>0</v>
      </c>
      <c r="F11" s="271">
        <v>0</v>
      </c>
      <c r="G11" s="271">
        <v>0</v>
      </c>
      <c r="H11" s="271">
        <v>0</v>
      </c>
      <c r="I11" s="271">
        <v>0</v>
      </c>
      <c r="J11" s="271">
        <v>0</v>
      </c>
      <c r="K11" s="271">
        <v>0</v>
      </c>
      <c r="L11" s="271">
        <v>0</v>
      </c>
      <c r="M11" s="271">
        <v>0</v>
      </c>
      <c r="N11" s="271">
        <v>0</v>
      </c>
      <c r="O11" s="271">
        <v>0</v>
      </c>
      <c r="P11" s="271">
        <v>0</v>
      </c>
      <c r="Q11" s="271">
        <v>0</v>
      </c>
      <c r="R11" s="271">
        <v>0</v>
      </c>
      <c r="S11" s="271">
        <v>0</v>
      </c>
    </row>
    <row r="12" spans="1:19">
      <c r="A12" s="271" t="s">
        <v>666</v>
      </c>
      <c r="B12" s="271">
        <v>393890493.12</v>
      </c>
      <c r="C12" s="271">
        <v>31323463.350000001</v>
      </c>
      <c r="D12" s="271">
        <v>77227565.370000005</v>
      </c>
      <c r="E12" s="271">
        <v>48219018.75</v>
      </c>
      <c r="F12" s="271">
        <v>80888920.579999998</v>
      </c>
      <c r="G12" s="271">
        <v>119574188.81999999</v>
      </c>
      <c r="H12" s="271">
        <v>137968684.11000001</v>
      </c>
      <c r="I12" s="271">
        <v>47287488.890000001</v>
      </c>
      <c r="J12" s="271">
        <v>59101891.630000003</v>
      </c>
      <c r="K12" s="271">
        <v>96001483.150000006</v>
      </c>
      <c r="L12" s="271">
        <v>82601388.170000002</v>
      </c>
      <c r="M12" s="271">
        <v>86114253.519999996</v>
      </c>
      <c r="N12" s="271">
        <v>55431205.840000004</v>
      </c>
      <c r="O12" s="271">
        <v>51244124.020000003</v>
      </c>
      <c r="P12" s="271">
        <v>29172976.859999999</v>
      </c>
      <c r="Q12" s="271">
        <v>120120496.11</v>
      </c>
      <c r="R12" s="271">
        <v>48463407.799999997</v>
      </c>
      <c r="S12" s="271">
        <v>42316989.219999999</v>
      </c>
    </row>
    <row r="13" spans="1:19">
      <c r="A13" s="271" t="s">
        <v>667</v>
      </c>
      <c r="B13" s="271">
        <v>0</v>
      </c>
      <c r="C13" s="271">
        <v>0</v>
      </c>
      <c r="D13" s="271">
        <v>0</v>
      </c>
      <c r="E13" s="271">
        <v>0</v>
      </c>
      <c r="F13" s="271">
        <v>0</v>
      </c>
      <c r="G13" s="271">
        <v>0</v>
      </c>
      <c r="H13" s="271">
        <v>0</v>
      </c>
      <c r="I13" s="271">
        <v>0</v>
      </c>
      <c r="J13" s="271">
        <v>0</v>
      </c>
      <c r="K13" s="271">
        <v>0</v>
      </c>
      <c r="L13" s="271">
        <v>0</v>
      </c>
      <c r="M13" s="271">
        <v>0</v>
      </c>
      <c r="N13" s="271">
        <v>0</v>
      </c>
      <c r="O13" s="271">
        <v>0</v>
      </c>
      <c r="P13" s="271">
        <v>0</v>
      </c>
      <c r="Q13" s="271">
        <v>0</v>
      </c>
      <c r="R13" s="271">
        <v>0</v>
      </c>
      <c r="S13" s="271">
        <v>0</v>
      </c>
    </row>
    <row r="14" spans="1:19">
      <c r="A14" s="271" t="s">
        <v>668</v>
      </c>
      <c r="B14" s="271">
        <v>23506950842.220001</v>
      </c>
      <c r="C14" s="271">
        <v>22057481376.459999</v>
      </c>
      <c r="D14" s="271">
        <v>20622251825.549999</v>
      </c>
      <c r="E14" s="271">
        <v>18013297022.700001</v>
      </c>
      <c r="F14" s="271">
        <v>14982364367.85</v>
      </c>
      <c r="G14" s="271">
        <v>11836810239.030001</v>
      </c>
      <c r="H14" s="271">
        <v>9665727593.4200001</v>
      </c>
      <c r="I14" s="271">
        <v>7187117552.8599997</v>
      </c>
      <c r="J14" s="271">
        <v>5574126083.4200001</v>
      </c>
      <c r="K14" s="271">
        <v>4192246440.3600001</v>
      </c>
      <c r="L14" s="271">
        <v>3114567813.3299999</v>
      </c>
      <c r="M14" s="271">
        <v>2304818947.9200001</v>
      </c>
      <c r="N14" s="271">
        <v>1974710283.3499999</v>
      </c>
      <c r="O14" s="271">
        <v>1860549625.24</v>
      </c>
      <c r="P14" s="271">
        <v>1693741195.1099999</v>
      </c>
      <c r="Q14" s="271">
        <v>1215006621.05</v>
      </c>
      <c r="R14" s="271">
        <v>1076612588.52</v>
      </c>
      <c r="S14" s="271">
        <v>786368826.80999994</v>
      </c>
    </row>
    <row r="15" spans="1:19">
      <c r="A15" s="271" t="s">
        <v>669</v>
      </c>
      <c r="B15" s="271">
        <v>0</v>
      </c>
      <c r="C15" s="271">
        <v>0</v>
      </c>
      <c r="D15" s="271">
        <v>0</v>
      </c>
      <c r="E15" s="271">
        <v>0</v>
      </c>
      <c r="F15" s="271">
        <v>0</v>
      </c>
      <c r="G15" s="271">
        <v>0</v>
      </c>
      <c r="H15" s="271">
        <v>0</v>
      </c>
      <c r="I15" s="271">
        <v>0</v>
      </c>
      <c r="J15" s="271">
        <v>0</v>
      </c>
      <c r="K15" s="271">
        <v>0</v>
      </c>
      <c r="L15" s="271">
        <v>0</v>
      </c>
      <c r="M15" s="271">
        <v>0</v>
      </c>
      <c r="N15" s="271">
        <v>0</v>
      </c>
      <c r="O15" s="271">
        <v>0</v>
      </c>
      <c r="P15" s="271">
        <v>0</v>
      </c>
      <c r="Q15" s="271">
        <v>0</v>
      </c>
      <c r="R15" s="271">
        <v>0</v>
      </c>
      <c r="S15" s="271">
        <v>0</v>
      </c>
    </row>
    <row r="16" spans="1:19">
      <c r="A16" s="271" t="s">
        <v>670</v>
      </c>
      <c r="B16" s="271">
        <v>0</v>
      </c>
      <c r="C16" s="271">
        <v>0</v>
      </c>
      <c r="D16" s="271">
        <v>0</v>
      </c>
      <c r="E16" s="271">
        <v>0</v>
      </c>
      <c r="F16" s="271">
        <v>0</v>
      </c>
      <c r="G16" s="271">
        <v>0</v>
      </c>
      <c r="H16" s="271">
        <v>0</v>
      </c>
      <c r="I16" s="271">
        <v>0</v>
      </c>
      <c r="J16" s="271">
        <v>0</v>
      </c>
      <c r="K16" s="271">
        <v>17000000</v>
      </c>
      <c r="L16" s="271">
        <v>0</v>
      </c>
      <c r="M16" s="271">
        <v>0</v>
      </c>
      <c r="N16" s="271">
        <v>0</v>
      </c>
      <c r="O16" s="271">
        <v>0</v>
      </c>
      <c r="P16" s="271">
        <v>0</v>
      </c>
      <c r="Q16" s="271">
        <v>0</v>
      </c>
      <c r="R16" s="271">
        <v>0</v>
      </c>
      <c r="S16" s="271">
        <v>0</v>
      </c>
    </row>
    <row r="17" spans="1:19">
      <c r="A17" s="271" t="s">
        <v>671</v>
      </c>
      <c r="B17" s="271">
        <v>168414678.77000001</v>
      </c>
      <c r="C17" s="271">
        <v>177859674.53999999</v>
      </c>
      <c r="D17" s="271">
        <v>188118776.50999999</v>
      </c>
      <c r="E17" s="271">
        <v>198603537.81</v>
      </c>
      <c r="F17" s="271">
        <v>5408286.8300000001</v>
      </c>
      <c r="G17" s="271">
        <v>8048744.96</v>
      </c>
      <c r="H17" s="271">
        <v>10177029.43</v>
      </c>
      <c r="I17" s="271">
        <v>13805361.439999999</v>
      </c>
      <c r="J17" s="271">
        <v>18701578.16</v>
      </c>
      <c r="K17" s="271">
        <v>21469624.809999999</v>
      </c>
      <c r="L17" s="271">
        <v>10146520.77</v>
      </c>
      <c r="M17" s="271">
        <v>12477325.460000001</v>
      </c>
      <c r="N17" s="271">
        <v>68459874.909999996</v>
      </c>
      <c r="O17" s="271">
        <v>60377239.579999998</v>
      </c>
      <c r="P17" s="271">
        <v>50939036</v>
      </c>
      <c r="Q17" s="271">
        <v>33607508.119999997</v>
      </c>
      <c r="R17" s="271">
        <v>22221522.309999999</v>
      </c>
      <c r="S17" s="271">
        <v>16579763.939999999</v>
      </c>
    </row>
    <row r="18" spans="1:19">
      <c r="A18" s="271" t="s">
        <v>659</v>
      </c>
      <c r="B18" s="271">
        <v>0</v>
      </c>
      <c r="C18" s="271">
        <v>0</v>
      </c>
      <c r="D18" s="271">
        <v>0</v>
      </c>
      <c r="E18" s="271">
        <v>0</v>
      </c>
      <c r="F18" s="271">
        <v>0</v>
      </c>
      <c r="G18" s="271">
        <v>0</v>
      </c>
      <c r="H18" s="271">
        <v>0</v>
      </c>
      <c r="I18" s="271">
        <v>0</v>
      </c>
      <c r="J18" s="271">
        <v>0</v>
      </c>
      <c r="K18" s="271">
        <v>0</v>
      </c>
      <c r="L18" s="271">
        <v>0</v>
      </c>
      <c r="M18" s="271">
        <v>0</v>
      </c>
      <c r="N18" s="271">
        <v>0</v>
      </c>
      <c r="O18" s="271">
        <v>0</v>
      </c>
      <c r="P18" s="271">
        <v>0</v>
      </c>
      <c r="Q18" s="271">
        <v>0</v>
      </c>
      <c r="R18" s="271">
        <v>0</v>
      </c>
      <c r="S18" s="271">
        <v>0</v>
      </c>
    </row>
    <row r="19" spans="1:19">
      <c r="A19" s="271" t="s">
        <v>672</v>
      </c>
      <c r="B19" s="271">
        <v>140084334.11000001</v>
      </c>
      <c r="C19" s="271">
        <v>37539231.490000002</v>
      </c>
      <c r="D19" s="271">
        <v>231474570.63</v>
      </c>
      <c r="E19" s="271">
        <v>0</v>
      </c>
      <c r="F19" s="271">
        <v>0</v>
      </c>
      <c r="G19" s="271">
        <v>0</v>
      </c>
      <c r="H19" s="271">
        <v>0</v>
      </c>
      <c r="I19" s="271">
        <v>0</v>
      </c>
      <c r="J19" s="271">
        <v>0</v>
      </c>
      <c r="K19" s="271">
        <v>0</v>
      </c>
      <c r="L19" s="271">
        <v>0</v>
      </c>
      <c r="M19" s="271">
        <v>0</v>
      </c>
      <c r="N19" s="271">
        <v>0</v>
      </c>
      <c r="O19" s="271">
        <v>0</v>
      </c>
      <c r="P19" s="271">
        <v>0</v>
      </c>
      <c r="Q19" s="271">
        <v>651300.25</v>
      </c>
      <c r="R19" s="271">
        <v>0</v>
      </c>
      <c r="S19" s="271">
        <v>0</v>
      </c>
    </row>
    <row r="20" spans="1:19">
      <c r="A20" s="271" t="s">
        <v>673</v>
      </c>
      <c r="B20" s="271">
        <v>137861835307.57001</v>
      </c>
      <c r="C20" s="271">
        <v>112249185961.60001</v>
      </c>
      <c r="D20" s="271">
        <v>90180548805.570007</v>
      </c>
      <c r="E20" s="271">
        <v>65004514023.589996</v>
      </c>
      <c r="F20" s="271">
        <v>47570929074.32</v>
      </c>
      <c r="G20" s="271">
        <v>41931583434.230003</v>
      </c>
      <c r="H20" s="271">
        <v>36225076613.879997</v>
      </c>
      <c r="I20" s="271">
        <v>27829632180.43</v>
      </c>
      <c r="J20" s="271">
        <v>20300284828.310001</v>
      </c>
      <c r="K20" s="271">
        <v>15655585363.389999</v>
      </c>
      <c r="L20" s="271">
        <v>12240750882.84</v>
      </c>
      <c r="M20" s="271">
        <v>7271502903.4200001</v>
      </c>
      <c r="N20" s="271">
        <v>6750574240.29</v>
      </c>
      <c r="O20" s="271">
        <v>6019520287.6099997</v>
      </c>
      <c r="P20" s="271">
        <v>4772638507.8000002</v>
      </c>
      <c r="Q20" s="271">
        <v>3756029033.9200001</v>
      </c>
      <c r="R20" s="271">
        <v>2991256359.4699998</v>
      </c>
      <c r="S20" s="271">
        <v>2869925290.6999998</v>
      </c>
    </row>
    <row r="21" spans="1:19">
      <c r="A21" s="271" t="s">
        <v>674</v>
      </c>
      <c r="B21" s="271" t="s">
        <v>657</v>
      </c>
      <c r="C21" s="271" t="s">
        <v>657</v>
      </c>
      <c r="D21" s="271" t="s">
        <v>657</v>
      </c>
      <c r="E21" s="271" t="s">
        <v>657</v>
      </c>
      <c r="F21" s="271" t="s">
        <v>657</v>
      </c>
      <c r="G21" s="271" t="s">
        <v>657</v>
      </c>
      <c r="H21" s="271" t="s">
        <v>657</v>
      </c>
      <c r="I21" s="271" t="s">
        <v>657</v>
      </c>
      <c r="J21" s="271" t="s">
        <v>657</v>
      </c>
      <c r="K21" s="271" t="s">
        <v>657</v>
      </c>
      <c r="L21" s="271" t="s">
        <v>657</v>
      </c>
      <c r="M21" s="271" t="s">
        <v>657</v>
      </c>
      <c r="N21" s="271" t="s">
        <v>657</v>
      </c>
      <c r="O21" s="271" t="s">
        <v>657</v>
      </c>
      <c r="P21" s="271" t="s">
        <v>657</v>
      </c>
      <c r="Q21" s="271" t="s">
        <v>657</v>
      </c>
      <c r="R21" s="271" t="s">
        <v>657</v>
      </c>
      <c r="S21" s="271" t="s">
        <v>657</v>
      </c>
    </row>
    <row r="22" spans="1:19">
      <c r="A22" s="271" t="s">
        <v>675</v>
      </c>
      <c r="B22" s="271">
        <v>0</v>
      </c>
      <c r="C22" s="271">
        <v>0</v>
      </c>
      <c r="D22" s="271">
        <v>0</v>
      </c>
      <c r="E22" s="271">
        <v>0</v>
      </c>
      <c r="F22" s="271">
        <v>0</v>
      </c>
      <c r="G22" s="271">
        <v>0</v>
      </c>
      <c r="H22" s="271">
        <v>0</v>
      </c>
      <c r="I22" s="271">
        <v>0</v>
      </c>
      <c r="J22" s="271">
        <v>0</v>
      </c>
      <c r="K22" s="271">
        <v>0</v>
      </c>
      <c r="L22" s="271">
        <v>0</v>
      </c>
      <c r="M22" s="271">
        <v>0</v>
      </c>
      <c r="N22" s="271">
        <v>0</v>
      </c>
      <c r="O22" s="271">
        <v>0</v>
      </c>
      <c r="P22" s="271">
        <v>0</v>
      </c>
      <c r="Q22" s="271">
        <v>0</v>
      </c>
      <c r="R22" s="271">
        <v>0</v>
      </c>
      <c r="S22" s="271">
        <v>0</v>
      </c>
    </row>
    <row r="23" spans="1:19">
      <c r="A23" s="271" t="s">
        <v>676</v>
      </c>
      <c r="B23" s="271">
        <v>29000000</v>
      </c>
      <c r="C23" s="271">
        <v>29000000</v>
      </c>
      <c r="D23" s="271">
        <v>29000000</v>
      </c>
      <c r="E23" s="271">
        <v>29000000</v>
      </c>
      <c r="F23" s="271">
        <v>4000000</v>
      </c>
      <c r="G23" s="271">
        <v>0</v>
      </c>
      <c r="H23" s="271">
        <v>0</v>
      </c>
      <c r="I23" s="271">
        <v>0</v>
      </c>
      <c r="J23" s="271">
        <v>0</v>
      </c>
      <c r="K23" s="271">
        <v>0</v>
      </c>
      <c r="L23" s="271">
        <v>0</v>
      </c>
      <c r="M23" s="271">
        <v>0</v>
      </c>
      <c r="N23" s="271">
        <v>0</v>
      </c>
      <c r="O23" s="271">
        <v>0</v>
      </c>
      <c r="P23" s="271">
        <v>0</v>
      </c>
      <c r="Q23" s="271">
        <v>0</v>
      </c>
      <c r="R23" s="271">
        <v>0</v>
      </c>
      <c r="S23" s="271">
        <v>0</v>
      </c>
    </row>
    <row r="24" spans="1:19">
      <c r="A24" s="271" t="s">
        <v>677</v>
      </c>
      <c r="B24" s="271">
        <v>0</v>
      </c>
      <c r="C24" s="271">
        <v>0</v>
      </c>
      <c r="D24" s="271">
        <v>0</v>
      </c>
      <c r="E24" s="271">
        <v>0</v>
      </c>
      <c r="F24" s="271">
        <v>60000000</v>
      </c>
      <c r="G24" s="271">
        <v>50000000</v>
      </c>
      <c r="H24" s="271">
        <v>50000000</v>
      </c>
      <c r="I24" s="271">
        <v>60000000</v>
      </c>
      <c r="J24" s="271">
        <v>60000000</v>
      </c>
      <c r="K24" s="271">
        <v>10000000</v>
      </c>
      <c r="L24" s="271">
        <v>42000000</v>
      </c>
      <c r="M24" s="271">
        <v>58000000</v>
      </c>
      <c r="N24" s="271">
        <v>42769450</v>
      </c>
      <c r="O24" s="271">
        <v>0</v>
      </c>
      <c r="P24" s="271">
        <v>0</v>
      </c>
      <c r="Q24" s="271">
        <v>0</v>
      </c>
      <c r="R24" s="271">
        <v>0</v>
      </c>
      <c r="S24" s="271">
        <v>0</v>
      </c>
    </row>
    <row r="25" spans="1:19">
      <c r="A25" s="271" t="s">
        <v>678</v>
      </c>
      <c r="B25" s="271">
        <v>0</v>
      </c>
      <c r="C25" s="271">
        <v>0</v>
      </c>
      <c r="D25" s="271">
        <v>0</v>
      </c>
      <c r="E25" s="271">
        <v>0</v>
      </c>
      <c r="F25" s="271">
        <v>0</v>
      </c>
      <c r="G25" s="271">
        <v>0</v>
      </c>
      <c r="H25" s="271">
        <v>0</v>
      </c>
      <c r="I25" s="271">
        <v>0</v>
      </c>
      <c r="J25" s="271">
        <v>0</v>
      </c>
      <c r="K25" s="271">
        <v>0</v>
      </c>
      <c r="L25" s="271">
        <v>0</v>
      </c>
      <c r="M25" s="271">
        <v>0</v>
      </c>
      <c r="N25" s="271">
        <v>0</v>
      </c>
      <c r="O25" s="271">
        <v>0</v>
      </c>
      <c r="P25" s="271">
        <v>0</v>
      </c>
      <c r="Q25" s="271">
        <v>0</v>
      </c>
      <c r="R25" s="271">
        <v>0</v>
      </c>
      <c r="S25" s="271">
        <v>0</v>
      </c>
    </row>
    <row r="26" spans="1:19">
      <c r="A26" s="271" t="s">
        <v>679</v>
      </c>
      <c r="B26" s="271">
        <v>0</v>
      </c>
      <c r="C26" s="271">
        <v>0</v>
      </c>
      <c r="D26" s="271">
        <v>0</v>
      </c>
      <c r="E26" s="271">
        <v>0</v>
      </c>
      <c r="F26" s="271">
        <v>0</v>
      </c>
      <c r="G26" s="271">
        <v>4000000</v>
      </c>
      <c r="H26" s="271">
        <v>4000000</v>
      </c>
      <c r="I26" s="271">
        <v>4000000</v>
      </c>
      <c r="J26" s="271">
        <v>4000000</v>
      </c>
      <c r="K26" s="271">
        <v>4000000</v>
      </c>
      <c r="L26" s="271">
        <v>4000000</v>
      </c>
      <c r="M26" s="271">
        <v>4000000</v>
      </c>
      <c r="N26" s="271">
        <v>11486496.289999999</v>
      </c>
      <c r="O26" s="271">
        <v>10243017.33</v>
      </c>
      <c r="P26" s="271">
        <v>9815063.7300000004</v>
      </c>
      <c r="Q26" s="271">
        <v>4000000</v>
      </c>
      <c r="R26" s="271">
        <v>4000000</v>
      </c>
      <c r="S26" s="271">
        <v>0</v>
      </c>
    </row>
    <row r="27" spans="1:19">
      <c r="A27" s="271" t="s">
        <v>680</v>
      </c>
      <c r="B27" s="271">
        <v>0</v>
      </c>
      <c r="C27" s="271">
        <v>0</v>
      </c>
      <c r="D27" s="271">
        <v>0</v>
      </c>
      <c r="E27" s="271">
        <v>0</v>
      </c>
      <c r="F27" s="271">
        <v>0</v>
      </c>
      <c r="G27" s="271">
        <v>0</v>
      </c>
      <c r="H27" s="271">
        <v>0</v>
      </c>
      <c r="I27" s="271">
        <v>0</v>
      </c>
      <c r="J27" s="271">
        <v>0</v>
      </c>
      <c r="K27" s="271">
        <v>0</v>
      </c>
      <c r="L27" s="271">
        <v>0</v>
      </c>
      <c r="M27" s="271">
        <v>0</v>
      </c>
      <c r="N27" s="271">
        <v>0</v>
      </c>
      <c r="O27" s="271">
        <v>0</v>
      </c>
      <c r="P27" s="271">
        <v>0</v>
      </c>
      <c r="Q27" s="271">
        <v>0</v>
      </c>
      <c r="R27" s="271">
        <v>0</v>
      </c>
      <c r="S27" s="271">
        <v>0</v>
      </c>
    </row>
    <row r="28" spans="1:19">
      <c r="A28" s="271" t="s">
        <v>681</v>
      </c>
      <c r="B28" s="271">
        <v>15248556585.02</v>
      </c>
      <c r="C28" s="271">
        <v>15244096632.02</v>
      </c>
      <c r="D28" s="271">
        <v>14453177439.34</v>
      </c>
      <c r="E28" s="271">
        <v>11415953189.719999</v>
      </c>
      <c r="F28" s="271">
        <v>10375757771.59</v>
      </c>
      <c r="G28" s="271">
        <v>8523256960.1099997</v>
      </c>
      <c r="H28" s="271">
        <v>6807333231.0900002</v>
      </c>
      <c r="I28" s="271">
        <v>5426012349.6099997</v>
      </c>
      <c r="J28" s="271">
        <v>4191851111.9699998</v>
      </c>
      <c r="K28" s="271">
        <v>3168725156.29</v>
      </c>
      <c r="L28" s="271">
        <v>2190171911.8899999</v>
      </c>
      <c r="M28" s="271">
        <v>1826983364.3599999</v>
      </c>
      <c r="N28" s="271">
        <v>1222202623.3</v>
      </c>
      <c r="O28" s="271">
        <v>981382035.5</v>
      </c>
      <c r="P28" s="271">
        <v>715522677.41999996</v>
      </c>
      <c r="Q28" s="271">
        <v>440813831.82999998</v>
      </c>
      <c r="R28" s="271">
        <v>470098687.69</v>
      </c>
      <c r="S28" s="271">
        <v>414239895.73000002</v>
      </c>
    </row>
    <row r="29" spans="1:19">
      <c r="A29" s="271" t="s">
        <v>682</v>
      </c>
      <c r="B29" s="271">
        <v>1954322968.6800001</v>
      </c>
      <c r="C29" s="271">
        <v>2016405005.77</v>
      </c>
      <c r="D29" s="271">
        <v>2745579995.6799998</v>
      </c>
      <c r="E29" s="271">
        <v>4895150716.5100002</v>
      </c>
      <c r="F29" s="271">
        <v>3421774448.02</v>
      </c>
      <c r="G29" s="271">
        <v>456328292.13</v>
      </c>
      <c r="H29" s="271">
        <v>392672323.94999999</v>
      </c>
      <c r="I29" s="271">
        <v>251446326.43000001</v>
      </c>
      <c r="J29" s="271">
        <v>263458445.09999999</v>
      </c>
      <c r="K29" s="271">
        <v>193956334.38999999</v>
      </c>
      <c r="L29" s="271">
        <v>582860996.70000005</v>
      </c>
      <c r="M29" s="271">
        <v>994453165.72000003</v>
      </c>
      <c r="N29" s="271">
        <v>1179883698.02</v>
      </c>
      <c r="O29" s="271">
        <v>909890443.63</v>
      </c>
      <c r="P29" s="271">
        <v>776047024.87</v>
      </c>
      <c r="Q29" s="271">
        <v>721652502.10000002</v>
      </c>
      <c r="R29" s="271">
        <v>442903497.32999998</v>
      </c>
      <c r="S29" s="271">
        <v>162048784.65000001</v>
      </c>
    </row>
    <row r="30" spans="1:19">
      <c r="A30" s="271" t="s">
        <v>683</v>
      </c>
      <c r="B30" s="271">
        <v>0</v>
      </c>
      <c r="C30" s="271">
        <v>0</v>
      </c>
      <c r="D30" s="271">
        <v>0</v>
      </c>
      <c r="E30" s="271">
        <v>260855.92</v>
      </c>
      <c r="F30" s="271">
        <v>260855.92</v>
      </c>
      <c r="G30" s="271">
        <v>1725110.46</v>
      </c>
      <c r="H30" s="271">
        <v>2676942.59</v>
      </c>
      <c r="I30" s="271">
        <v>4918294.6399999997</v>
      </c>
      <c r="J30" s="271">
        <v>18528802.460000001</v>
      </c>
      <c r="K30" s="271">
        <v>24915041.530000001</v>
      </c>
      <c r="L30" s="271">
        <v>62368950.890000001</v>
      </c>
      <c r="M30" s="271">
        <v>11931427.66</v>
      </c>
      <c r="N30" s="271">
        <v>47444702.520000003</v>
      </c>
      <c r="O30" s="271">
        <v>19108529.359999999</v>
      </c>
      <c r="P30" s="271">
        <v>10991173.91</v>
      </c>
      <c r="Q30" s="271">
        <v>0</v>
      </c>
      <c r="R30" s="271">
        <v>0</v>
      </c>
      <c r="S30" s="271">
        <v>0</v>
      </c>
    </row>
    <row r="31" spans="1:19">
      <c r="A31" s="271" t="s">
        <v>684</v>
      </c>
      <c r="B31" s="271">
        <v>0</v>
      </c>
      <c r="C31" s="271">
        <v>0</v>
      </c>
      <c r="D31" s="271">
        <v>0</v>
      </c>
      <c r="E31" s="271">
        <v>682594.04</v>
      </c>
      <c r="F31" s="271">
        <v>0</v>
      </c>
      <c r="G31" s="271">
        <v>0</v>
      </c>
      <c r="H31" s="271">
        <v>0</v>
      </c>
      <c r="I31" s="271">
        <v>0</v>
      </c>
      <c r="J31" s="271">
        <v>0</v>
      </c>
      <c r="K31" s="271">
        <v>0</v>
      </c>
      <c r="L31" s="271">
        <v>0</v>
      </c>
      <c r="M31" s="271">
        <v>0</v>
      </c>
      <c r="N31" s="271">
        <v>0</v>
      </c>
      <c r="O31" s="271">
        <v>0</v>
      </c>
      <c r="P31" s="271">
        <v>0</v>
      </c>
      <c r="Q31" s="271">
        <v>6730</v>
      </c>
      <c r="R31" s="271">
        <v>0</v>
      </c>
      <c r="S31" s="271">
        <v>0</v>
      </c>
    </row>
    <row r="32" spans="1:19">
      <c r="A32" s="271" t="s">
        <v>685</v>
      </c>
      <c r="B32" s="271">
        <v>0</v>
      </c>
      <c r="C32" s="271">
        <v>0</v>
      </c>
      <c r="D32" s="271">
        <v>0</v>
      </c>
      <c r="E32" s="271">
        <v>0</v>
      </c>
      <c r="F32" s="271">
        <v>0</v>
      </c>
      <c r="G32" s="271">
        <v>0</v>
      </c>
      <c r="H32" s="271">
        <v>0</v>
      </c>
      <c r="I32" s="271">
        <v>0</v>
      </c>
      <c r="J32" s="271">
        <v>0</v>
      </c>
      <c r="K32" s="271">
        <v>0</v>
      </c>
      <c r="L32" s="271">
        <v>0</v>
      </c>
      <c r="M32" s="271">
        <v>0</v>
      </c>
      <c r="N32" s="271">
        <v>0</v>
      </c>
      <c r="O32" s="271">
        <v>0</v>
      </c>
      <c r="P32" s="271">
        <v>0</v>
      </c>
      <c r="Q32" s="271">
        <v>0</v>
      </c>
      <c r="R32" s="271">
        <v>0</v>
      </c>
      <c r="S32" s="271">
        <v>0</v>
      </c>
    </row>
    <row r="33" spans="1:19">
      <c r="A33" s="271" t="s">
        <v>686</v>
      </c>
      <c r="B33" s="271" t="s">
        <v>657</v>
      </c>
      <c r="C33" s="271" t="s">
        <v>657</v>
      </c>
      <c r="D33" s="271" t="s">
        <v>657</v>
      </c>
      <c r="E33" s="271" t="s">
        <v>657</v>
      </c>
      <c r="F33" s="271" t="s">
        <v>657</v>
      </c>
      <c r="G33" s="271" t="s">
        <v>657</v>
      </c>
      <c r="H33" s="271" t="s">
        <v>657</v>
      </c>
      <c r="I33" s="271" t="s">
        <v>657</v>
      </c>
      <c r="J33" s="271" t="s">
        <v>657</v>
      </c>
      <c r="K33" s="271" t="s">
        <v>657</v>
      </c>
      <c r="L33" s="271" t="s">
        <v>657</v>
      </c>
      <c r="M33" s="271" t="s">
        <v>657</v>
      </c>
      <c r="N33" s="271" t="s">
        <v>657</v>
      </c>
      <c r="O33" s="271" t="s">
        <v>657</v>
      </c>
      <c r="P33" s="271" t="s">
        <v>657</v>
      </c>
      <c r="Q33" s="271" t="s">
        <v>657</v>
      </c>
      <c r="R33" s="271" t="s">
        <v>657</v>
      </c>
      <c r="S33" s="271" t="s">
        <v>657</v>
      </c>
    </row>
    <row r="34" spans="1:19">
      <c r="A34" s="271" t="s">
        <v>687</v>
      </c>
      <c r="B34" s="271">
        <v>0</v>
      </c>
      <c r="C34" s="271">
        <v>0</v>
      </c>
      <c r="D34" s="271">
        <v>0</v>
      </c>
      <c r="E34" s="271">
        <v>0</v>
      </c>
      <c r="F34" s="271">
        <v>0</v>
      </c>
      <c r="G34" s="271">
        <v>0</v>
      </c>
      <c r="H34" s="271">
        <v>0</v>
      </c>
      <c r="I34" s="271">
        <v>0</v>
      </c>
      <c r="J34" s="271">
        <v>0</v>
      </c>
      <c r="K34" s="271">
        <v>0</v>
      </c>
      <c r="L34" s="271">
        <v>0</v>
      </c>
      <c r="M34" s="271">
        <v>0</v>
      </c>
      <c r="N34" s="271">
        <v>0</v>
      </c>
      <c r="O34" s="271">
        <v>0</v>
      </c>
      <c r="P34" s="271">
        <v>0</v>
      </c>
      <c r="Q34" s="271">
        <v>0</v>
      </c>
      <c r="R34" s="271">
        <v>0</v>
      </c>
      <c r="S34" s="271">
        <v>0</v>
      </c>
    </row>
    <row r="35" spans="1:19">
      <c r="A35" s="271" t="s">
        <v>688</v>
      </c>
      <c r="B35" s="271">
        <v>3499175374.52</v>
      </c>
      <c r="C35" s="271">
        <v>3458622239.3800001</v>
      </c>
      <c r="D35" s="271">
        <v>3531740625.5999999</v>
      </c>
      <c r="E35" s="271">
        <v>3582462431.04</v>
      </c>
      <c r="F35" s="271">
        <v>3582623682.2399998</v>
      </c>
      <c r="G35" s="271">
        <v>3563308110.5100002</v>
      </c>
      <c r="H35" s="271">
        <v>862615899.20000005</v>
      </c>
      <c r="I35" s="271">
        <v>808425512.33000004</v>
      </c>
      <c r="J35" s="271">
        <v>452317235.72000003</v>
      </c>
      <c r="K35" s="271">
        <v>465550825.17000002</v>
      </c>
      <c r="L35" s="271">
        <v>445207595.72000003</v>
      </c>
      <c r="M35" s="271">
        <v>249274093.40000001</v>
      </c>
      <c r="N35" s="271">
        <v>66093918.659999996</v>
      </c>
      <c r="O35" s="271">
        <v>57074911.579999998</v>
      </c>
      <c r="P35" s="271">
        <v>37699499.840000004</v>
      </c>
      <c r="Q35" s="271">
        <v>256204.88</v>
      </c>
      <c r="R35" s="271">
        <v>424999.92</v>
      </c>
      <c r="S35" s="271">
        <v>594999.96</v>
      </c>
    </row>
    <row r="36" spans="1:19">
      <c r="A36" s="271" t="s">
        <v>689</v>
      </c>
      <c r="B36" s="271">
        <v>0</v>
      </c>
      <c r="C36" s="271">
        <v>0</v>
      </c>
      <c r="D36" s="271">
        <v>0</v>
      </c>
      <c r="E36" s="271">
        <v>0</v>
      </c>
      <c r="F36" s="271">
        <v>0</v>
      </c>
      <c r="G36" s="271">
        <v>0</v>
      </c>
      <c r="H36" s="271">
        <v>0</v>
      </c>
      <c r="I36" s="271">
        <v>0</v>
      </c>
      <c r="J36" s="271">
        <v>0</v>
      </c>
      <c r="K36" s="271">
        <v>0</v>
      </c>
      <c r="L36" s="271">
        <v>0</v>
      </c>
      <c r="M36" s="271">
        <v>0</v>
      </c>
      <c r="N36" s="271">
        <v>0</v>
      </c>
      <c r="O36" s="271">
        <v>0</v>
      </c>
      <c r="P36" s="271">
        <v>0</v>
      </c>
      <c r="Q36" s="271">
        <v>0</v>
      </c>
      <c r="R36" s="271">
        <v>0</v>
      </c>
      <c r="S36" s="271">
        <v>0</v>
      </c>
    </row>
    <row r="37" spans="1:19">
      <c r="A37" s="271" t="s">
        <v>690</v>
      </c>
      <c r="B37" s="271">
        <v>0</v>
      </c>
      <c r="C37" s="271">
        <v>0</v>
      </c>
      <c r="D37" s="271">
        <v>0</v>
      </c>
      <c r="E37" s="271">
        <v>0</v>
      </c>
      <c r="F37" s="271">
        <v>0</v>
      </c>
      <c r="G37" s="271">
        <v>0</v>
      </c>
      <c r="H37" s="271">
        <v>0</v>
      </c>
      <c r="I37" s="271">
        <v>0</v>
      </c>
      <c r="J37" s="271">
        <v>0</v>
      </c>
      <c r="K37" s="271">
        <v>0</v>
      </c>
      <c r="L37" s="271">
        <v>0</v>
      </c>
      <c r="M37" s="271">
        <v>0</v>
      </c>
      <c r="N37" s="271">
        <v>0</v>
      </c>
      <c r="O37" s="271">
        <v>0</v>
      </c>
      <c r="P37" s="271">
        <v>0</v>
      </c>
      <c r="Q37" s="271">
        <v>0</v>
      </c>
      <c r="R37" s="271">
        <v>0</v>
      </c>
      <c r="S37" s="271">
        <v>0</v>
      </c>
    </row>
    <row r="38" spans="1:19">
      <c r="A38" s="271" t="s">
        <v>671</v>
      </c>
      <c r="B38" s="271">
        <v>168414678.77000001</v>
      </c>
      <c r="C38" s="271">
        <v>177859674.53999999</v>
      </c>
      <c r="D38" s="271">
        <v>188118776.50999999</v>
      </c>
      <c r="E38" s="271">
        <v>198603537.81</v>
      </c>
      <c r="F38" s="271">
        <v>5408286.8300000001</v>
      </c>
      <c r="G38" s="271">
        <v>8048744.96</v>
      </c>
      <c r="H38" s="271">
        <v>10177029.43</v>
      </c>
      <c r="I38" s="271">
        <v>13805361.439999999</v>
      </c>
      <c r="J38" s="271">
        <v>18701578.16</v>
      </c>
      <c r="K38" s="271">
        <v>21469624.809999999</v>
      </c>
      <c r="L38" s="271">
        <v>10146520.77</v>
      </c>
      <c r="M38" s="271">
        <v>12477325.460000001</v>
      </c>
      <c r="N38" s="271">
        <v>68459874.909999996</v>
      </c>
      <c r="O38" s="271">
        <v>60377239.579999998</v>
      </c>
      <c r="P38" s="271">
        <v>50939036</v>
      </c>
      <c r="Q38" s="271">
        <v>33607508.119999997</v>
      </c>
      <c r="R38" s="271">
        <v>22221522.309999999</v>
      </c>
      <c r="S38" s="271">
        <v>16579763.939999999</v>
      </c>
    </row>
    <row r="39" spans="1:19">
      <c r="A39" s="271" t="s">
        <v>691</v>
      </c>
      <c r="B39" s="271">
        <v>1049294821.45</v>
      </c>
      <c r="C39" s="271">
        <v>1401797361.77</v>
      </c>
      <c r="D39" s="271">
        <v>1745539120.6800001</v>
      </c>
      <c r="E39" s="271">
        <v>1155336074.1400001</v>
      </c>
      <c r="F39" s="271">
        <v>821601105.71000004</v>
      </c>
      <c r="G39" s="271">
        <v>825372524.64999998</v>
      </c>
      <c r="H39" s="271">
        <v>643656913.32000005</v>
      </c>
      <c r="I39" s="271">
        <v>502628950.52999997</v>
      </c>
      <c r="J39" s="271">
        <v>278437938.97000003</v>
      </c>
      <c r="K39" s="271">
        <v>225420802.13999999</v>
      </c>
      <c r="L39" s="271">
        <v>176680977.53999999</v>
      </c>
      <c r="M39" s="271">
        <v>52849560.43</v>
      </c>
      <c r="N39" s="271">
        <v>0</v>
      </c>
      <c r="O39" s="271">
        <v>0</v>
      </c>
      <c r="P39" s="271">
        <v>0</v>
      </c>
      <c r="Q39" s="271">
        <v>0</v>
      </c>
      <c r="R39" s="271">
        <v>0</v>
      </c>
      <c r="S39" s="271">
        <v>0</v>
      </c>
    </row>
    <row r="40" spans="1:19">
      <c r="A40" s="271" t="s">
        <v>692</v>
      </c>
      <c r="B40" s="271">
        <v>0</v>
      </c>
      <c r="C40" s="271">
        <v>0</v>
      </c>
      <c r="D40" s="271">
        <v>0</v>
      </c>
      <c r="E40" s="271">
        <v>0</v>
      </c>
      <c r="F40" s="271">
        <v>30810000</v>
      </c>
      <c r="G40" s="271">
        <v>90527500</v>
      </c>
      <c r="H40" s="271">
        <v>0</v>
      </c>
      <c r="I40" s="271">
        <v>0</v>
      </c>
      <c r="J40" s="271">
        <v>0</v>
      </c>
      <c r="K40" s="271">
        <v>0</v>
      </c>
      <c r="L40" s="271">
        <v>0</v>
      </c>
      <c r="M40" s="271">
        <v>0</v>
      </c>
      <c r="N40" s="271">
        <v>0</v>
      </c>
      <c r="O40" s="271">
        <v>0</v>
      </c>
      <c r="P40" s="271">
        <v>0</v>
      </c>
      <c r="Q40" s="271">
        <v>0</v>
      </c>
      <c r="R40" s="271">
        <v>0</v>
      </c>
      <c r="S40" s="271">
        <v>0</v>
      </c>
    </row>
    <row r="41" spans="1:19">
      <c r="A41" s="271" t="s">
        <v>693</v>
      </c>
      <c r="B41" s="271">
        <v>21984839428.439999</v>
      </c>
      <c r="C41" s="271">
        <v>22360930913.48</v>
      </c>
      <c r="D41" s="271">
        <v>22753989474.84</v>
      </c>
      <c r="E41" s="271">
        <v>21296949399.18</v>
      </c>
      <c r="F41" s="271">
        <v>18302236150.310001</v>
      </c>
      <c r="G41" s="271">
        <v>13522567242.82</v>
      </c>
      <c r="H41" s="271">
        <v>8773132339.5799999</v>
      </c>
      <c r="I41" s="271">
        <v>7071236794.9799995</v>
      </c>
      <c r="J41" s="271">
        <v>5287295112.3800001</v>
      </c>
      <c r="K41" s="271">
        <v>4114037784.3299999</v>
      </c>
      <c r="L41" s="271">
        <v>3513436953.5100002</v>
      </c>
      <c r="M41" s="271">
        <v>3209968937.0300002</v>
      </c>
      <c r="N41" s="271">
        <v>2638340763.6999998</v>
      </c>
      <c r="O41" s="271">
        <v>2038076176.98</v>
      </c>
      <c r="P41" s="271">
        <v>1601014475.77</v>
      </c>
      <c r="Q41" s="271">
        <v>1200336776.9300001</v>
      </c>
      <c r="R41" s="271">
        <v>939648707.25</v>
      </c>
      <c r="S41" s="271">
        <v>0</v>
      </c>
    </row>
    <row r="42" spans="1:19">
      <c r="A42" s="271" t="s">
        <v>694</v>
      </c>
      <c r="B42" s="271">
        <v>159846674736.01001</v>
      </c>
      <c r="C42" s="271">
        <v>134610116875.08</v>
      </c>
      <c r="D42" s="271">
        <v>112934538280.41</v>
      </c>
      <c r="E42" s="271">
        <v>86301463422.770004</v>
      </c>
      <c r="F42" s="271">
        <v>65873165224.629997</v>
      </c>
      <c r="G42" s="271">
        <v>55454150677.050003</v>
      </c>
      <c r="H42" s="271">
        <v>44998208953.459999</v>
      </c>
      <c r="I42" s="271">
        <v>34900868975.410004</v>
      </c>
      <c r="J42" s="271">
        <v>25587579940.689999</v>
      </c>
      <c r="K42" s="271">
        <v>19769623147.720001</v>
      </c>
      <c r="L42" s="271">
        <v>15754187836.35</v>
      </c>
      <c r="M42" s="271">
        <v>10481471840.450001</v>
      </c>
      <c r="N42" s="271">
        <v>9388915003.9899998</v>
      </c>
      <c r="O42" s="271">
        <v>8057596464.5900002</v>
      </c>
      <c r="P42" s="271">
        <v>6373652983.5699997</v>
      </c>
      <c r="Q42" s="271">
        <v>4956365810.8500004</v>
      </c>
      <c r="R42" s="271">
        <v>3930905066.7199998</v>
      </c>
      <c r="S42" s="271">
        <v>3463388734.98</v>
      </c>
    </row>
    <row r="43" spans="1:19">
      <c r="A43" s="271" t="s">
        <v>695</v>
      </c>
      <c r="B43" s="271" t="s">
        <v>657</v>
      </c>
      <c r="C43" s="271" t="s">
        <v>657</v>
      </c>
      <c r="D43" s="271" t="s">
        <v>657</v>
      </c>
      <c r="E43" s="271" t="s">
        <v>657</v>
      </c>
      <c r="F43" s="271" t="s">
        <v>657</v>
      </c>
      <c r="G43" s="271" t="s">
        <v>657</v>
      </c>
      <c r="H43" s="271" t="s">
        <v>657</v>
      </c>
      <c r="I43" s="271" t="s">
        <v>657</v>
      </c>
      <c r="J43" s="271" t="s">
        <v>657</v>
      </c>
      <c r="K43" s="271" t="s">
        <v>657</v>
      </c>
      <c r="L43" s="271" t="s">
        <v>657</v>
      </c>
      <c r="M43" s="271" t="s">
        <v>657</v>
      </c>
      <c r="N43" s="271" t="s">
        <v>657</v>
      </c>
      <c r="O43" s="271" t="s">
        <v>657</v>
      </c>
      <c r="P43" s="271" t="s">
        <v>657</v>
      </c>
      <c r="Q43" s="271" t="s">
        <v>657</v>
      </c>
      <c r="R43" s="271" t="s">
        <v>657</v>
      </c>
      <c r="S43" s="271" t="s">
        <v>657</v>
      </c>
    </row>
    <row r="44" spans="1:19">
      <c r="A44" s="271" t="s">
        <v>696</v>
      </c>
      <c r="B44" s="271">
        <v>0</v>
      </c>
      <c r="C44" s="271">
        <v>0</v>
      </c>
      <c r="D44" s="271">
        <v>0</v>
      </c>
      <c r="E44" s="271">
        <v>0</v>
      </c>
      <c r="F44" s="271">
        <v>62552484</v>
      </c>
      <c r="G44" s="271">
        <v>0</v>
      </c>
      <c r="H44" s="271">
        <v>0</v>
      </c>
      <c r="I44" s="271">
        <v>0</v>
      </c>
      <c r="J44" s="271">
        <v>0</v>
      </c>
      <c r="K44" s="271">
        <v>0</v>
      </c>
      <c r="L44" s="271">
        <v>0</v>
      </c>
      <c r="M44" s="271">
        <v>0</v>
      </c>
      <c r="N44" s="271">
        <v>0</v>
      </c>
      <c r="O44" s="271">
        <v>0</v>
      </c>
      <c r="P44" s="271">
        <v>0</v>
      </c>
      <c r="Q44" s="271">
        <v>0</v>
      </c>
      <c r="R44" s="271">
        <v>0</v>
      </c>
      <c r="S44" s="271">
        <v>0</v>
      </c>
    </row>
    <row r="45" spans="1:19">
      <c r="A45" s="271" t="s">
        <v>697</v>
      </c>
      <c r="B45" s="271">
        <v>0</v>
      </c>
      <c r="C45" s="271">
        <v>0</v>
      </c>
      <c r="D45" s="271">
        <v>0</v>
      </c>
      <c r="E45" s="271">
        <v>0</v>
      </c>
      <c r="F45" s="271">
        <v>0</v>
      </c>
      <c r="G45" s="271">
        <v>0</v>
      </c>
      <c r="H45" s="271">
        <v>0</v>
      </c>
      <c r="I45" s="271">
        <v>0</v>
      </c>
      <c r="J45" s="271">
        <v>0</v>
      </c>
      <c r="K45" s="271">
        <v>0</v>
      </c>
      <c r="L45" s="271">
        <v>0</v>
      </c>
      <c r="M45" s="271">
        <v>0</v>
      </c>
      <c r="N45" s="271">
        <v>0</v>
      </c>
      <c r="O45" s="271">
        <v>0</v>
      </c>
      <c r="P45" s="271">
        <v>0</v>
      </c>
      <c r="Q45" s="271">
        <v>0</v>
      </c>
      <c r="R45" s="271">
        <v>0</v>
      </c>
      <c r="S45" s="271">
        <v>0</v>
      </c>
    </row>
    <row r="46" spans="1:19">
      <c r="A46" s="271" t="s">
        <v>698</v>
      </c>
      <c r="B46" s="271">
        <v>0</v>
      </c>
      <c r="C46" s="271">
        <v>0</v>
      </c>
      <c r="D46" s="271">
        <v>0</v>
      </c>
      <c r="E46" s="271">
        <v>0</v>
      </c>
      <c r="F46" s="271">
        <v>0</v>
      </c>
      <c r="G46" s="271">
        <v>0</v>
      </c>
      <c r="H46" s="271">
        <v>0</v>
      </c>
      <c r="I46" s="271">
        <v>0</v>
      </c>
      <c r="J46" s="271">
        <v>0</v>
      </c>
      <c r="K46" s="271">
        <v>0</v>
      </c>
      <c r="L46" s="271">
        <v>0</v>
      </c>
      <c r="M46" s="271">
        <v>0</v>
      </c>
      <c r="N46" s="271">
        <v>0</v>
      </c>
      <c r="O46" s="271">
        <v>0</v>
      </c>
      <c r="P46" s="271">
        <v>0</v>
      </c>
      <c r="Q46" s="271">
        <v>0</v>
      </c>
      <c r="R46" s="271">
        <v>0</v>
      </c>
      <c r="S46" s="271">
        <v>0</v>
      </c>
    </row>
    <row r="47" spans="1:19">
      <c r="A47" s="271" t="s">
        <v>699</v>
      </c>
      <c r="B47" s="271">
        <v>1178296416.5899999</v>
      </c>
      <c r="C47" s="271">
        <v>992055910.47000003</v>
      </c>
      <c r="D47" s="271">
        <v>1040608203.1799999</v>
      </c>
      <c r="E47" s="271">
        <v>880976072.09000003</v>
      </c>
      <c r="F47" s="271">
        <v>707534647.53999996</v>
      </c>
      <c r="G47" s="271">
        <v>284748288.88999999</v>
      </c>
      <c r="H47" s="271">
        <v>345280977.68000001</v>
      </c>
      <c r="I47" s="271">
        <v>172343585.06</v>
      </c>
      <c r="J47" s="271">
        <v>232013104.28</v>
      </c>
      <c r="K47" s="271">
        <v>139121352.44999999</v>
      </c>
      <c r="L47" s="271">
        <v>121289073.56999999</v>
      </c>
      <c r="M47" s="271">
        <v>59681964.5</v>
      </c>
      <c r="N47" s="271">
        <v>40813549.990000002</v>
      </c>
      <c r="O47" s="271">
        <v>30329177.02</v>
      </c>
      <c r="P47" s="271">
        <v>35782831.799999997</v>
      </c>
      <c r="Q47" s="271">
        <v>40004706.009999998</v>
      </c>
      <c r="R47" s="271">
        <v>24208759.649999999</v>
      </c>
      <c r="S47" s="271">
        <v>10084988.039999999</v>
      </c>
    </row>
    <row r="48" spans="1:19">
      <c r="A48" s="271" t="s">
        <v>700</v>
      </c>
      <c r="B48" s="271">
        <v>13576516813.440001</v>
      </c>
      <c r="C48" s="271">
        <v>14429106902.379999</v>
      </c>
      <c r="D48" s="271">
        <v>17541082237.009998</v>
      </c>
      <c r="E48" s="271">
        <v>8261582073.04</v>
      </c>
      <c r="F48" s="271">
        <v>1476233096.0899999</v>
      </c>
      <c r="G48" s="271">
        <v>3045113586.0999999</v>
      </c>
      <c r="H48" s="271">
        <v>5091386269.5500002</v>
      </c>
      <c r="I48" s="271">
        <v>7026648776.8000002</v>
      </c>
      <c r="J48" s="271">
        <v>4738570750.1599998</v>
      </c>
      <c r="K48" s="271">
        <v>3516423880.1999998</v>
      </c>
      <c r="L48" s="271">
        <v>2936266375.0999999</v>
      </c>
      <c r="M48" s="271">
        <v>1125288196.26</v>
      </c>
      <c r="N48" s="271">
        <v>2136139561.53</v>
      </c>
      <c r="O48" s="271">
        <v>1543198286.97</v>
      </c>
      <c r="P48" s="271">
        <v>1036893726.13</v>
      </c>
      <c r="Q48" s="271">
        <v>745368392.5</v>
      </c>
      <c r="R48" s="271">
        <v>456065361.44999999</v>
      </c>
      <c r="S48" s="271">
        <v>306380567</v>
      </c>
    </row>
    <row r="49" spans="1:19">
      <c r="A49" s="271" t="s">
        <v>701</v>
      </c>
      <c r="B49" s="271">
        <v>0</v>
      </c>
      <c r="C49" s="271">
        <v>0</v>
      </c>
      <c r="D49" s="271">
        <v>0</v>
      </c>
      <c r="E49" s="271">
        <v>0</v>
      </c>
      <c r="F49" s="271">
        <v>0</v>
      </c>
      <c r="G49" s="271">
        <v>0</v>
      </c>
      <c r="H49" s="271">
        <v>0</v>
      </c>
      <c r="I49" s="271">
        <v>0</v>
      </c>
      <c r="J49" s="271">
        <v>0</v>
      </c>
      <c r="K49" s="271">
        <v>0</v>
      </c>
      <c r="L49" s="271">
        <v>0</v>
      </c>
      <c r="M49" s="271">
        <v>0</v>
      </c>
      <c r="N49" s="271">
        <v>0</v>
      </c>
      <c r="O49" s="271">
        <v>0</v>
      </c>
      <c r="P49" s="271">
        <v>0</v>
      </c>
      <c r="Q49" s="271">
        <v>0</v>
      </c>
      <c r="R49" s="271">
        <v>0</v>
      </c>
      <c r="S49" s="271">
        <v>0</v>
      </c>
    </row>
    <row r="50" spans="1:19">
      <c r="A50" s="271" t="s">
        <v>702</v>
      </c>
      <c r="B50" s="271">
        <v>2034514658.9100001</v>
      </c>
      <c r="C50" s="271">
        <v>1901644193.6400001</v>
      </c>
      <c r="D50" s="271">
        <v>1628507252.03</v>
      </c>
      <c r="E50" s="271">
        <v>975477747.05999994</v>
      </c>
      <c r="F50" s="271">
        <v>988643842.55999994</v>
      </c>
      <c r="G50" s="271">
        <v>260284491.74000001</v>
      </c>
      <c r="H50" s="271">
        <v>269657755.57999998</v>
      </c>
      <c r="I50" s="271">
        <v>577522908.05999994</v>
      </c>
      <c r="J50" s="271">
        <v>500258690.69</v>
      </c>
      <c r="K50" s="271">
        <v>463948636.85000002</v>
      </c>
      <c r="L50" s="271">
        <v>361007478.76999998</v>
      </c>
      <c r="M50" s="271">
        <v>54596365.240000002</v>
      </c>
      <c r="N50" s="271">
        <v>97946613.019999996</v>
      </c>
      <c r="O50" s="271">
        <v>94549201.409999996</v>
      </c>
      <c r="P50" s="271">
        <v>62895093.140000001</v>
      </c>
      <c r="Q50" s="271">
        <v>55513753.5</v>
      </c>
      <c r="R50" s="271">
        <v>61785500.240000002</v>
      </c>
      <c r="S50" s="271">
        <v>10173700</v>
      </c>
    </row>
    <row r="51" spans="1:19">
      <c r="A51" s="271" t="s">
        <v>703</v>
      </c>
      <c r="B51" s="271">
        <v>10771075966.85</v>
      </c>
      <c r="C51" s="271">
        <v>7726135741.8999996</v>
      </c>
      <c r="D51" s="271">
        <v>4272289194.5700002</v>
      </c>
      <c r="E51" s="271">
        <v>2515516156.8299999</v>
      </c>
      <c r="F51" s="271">
        <v>2105178165.8699999</v>
      </c>
      <c r="G51" s="271">
        <v>3311880890.4899998</v>
      </c>
      <c r="H51" s="271">
        <v>2430093461.3800001</v>
      </c>
      <c r="I51" s="271">
        <v>788080887.25</v>
      </c>
      <c r="J51" s="271">
        <v>419882954.10000002</v>
      </c>
      <c r="K51" s="271">
        <v>140524984.34</v>
      </c>
      <c r="L51" s="271">
        <v>256300257.22999999</v>
      </c>
      <c r="M51" s="271">
        <v>407747376.14999998</v>
      </c>
      <c r="N51" s="271">
        <v>808722547.76999998</v>
      </c>
      <c r="O51" s="271">
        <v>919289026.87</v>
      </c>
      <c r="P51" s="271">
        <v>600137530.19000006</v>
      </c>
      <c r="Q51" s="271">
        <v>425108388.79000002</v>
      </c>
      <c r="R51" s="271">
        <v>330465029.19999999</v>
      </c>
      <c r="S51" s="271">
        <v>237655974.44</v>
      </c>
    </row>
    <row r="52" spans="1:19">
      <c r="A52" s="271" t="s">
        <v>704</v>
      </c>
      <c r="B52" s="271">
        <v>42770451.840000004</v>
      </c>
      <c r="C52" s="271">
        <v>23414593.670000002</v>
      </c>
      <c r="D52" s="271">
        <v>34481635.329999998</v>
      </c>
      <c r="E52" s="271">
        <v>27409447.399999999</v>
      </c>
      <c r="F52" s="271">
        <v>15365197.91</v>
      </c>
      <c r="G52" s="271">
        <v>27383888.890000001</v>
      </c>
      <c r="H52" s="271">
        <v>0</v>
      </c>
      <c r="I52" s="271">
        <v>0</v>
      </c>
      <c r="J52" s="271">
        <v>0</v>
      </c>
      <c r="K52" s="271">
        <v>0</v>
      </c>
      <c r="L52" s="271">
        <v>0</v>
      </c>
      <c r="M52" s="271">
        <v>0</v>
      </c>
      <c r="N52" s="271">
        <v>0</v>
      </c>
      <c r="O52" s="271">
        <v>0</v>
      </c>
      <c r="P52" s="271">
        <v>0</v>
      </c>
      <c r="Q52" s="271">
        <v>0</v>
      </c>
      <c r="R52" s="271">
        <v>0</v>
      </c>
      <c r="S52" s="271">
        <v>0</v>
      </c>
    </row>
    <row r="53" spans="1:19">
      <c r="A53" s="271" t="s">
        <v>705</v>
      </c>
      <c r="B53" s="271">
        <v>0</v>
      </c>
      <c r="C53" s="271">
        <v>0</v>
      </c>
      <c r="D53" s="271">
        <v>0</v>
      </c>
      <c r="E53" s="271">
        <v>0</v>
      </c>
      <c r="F53" s="271">
        <v>0</v>
      </c>
      <c r="G53" s="271">
        <v>0</v>
      </c>
      <c r="H53" s="271">
        <v>0</v>
      </c>
      <c r="I53" s="271">
        <v>0</v>
      </c>
      <c r="J53" s="271">
        <v>318584196.29000002</v>
      </c>
      <c r="K53" s="271">
        <v>137207662.62</v>
      </c>
      <c r="L53" s="271">
        <v>0</v>
      </c>
      <c r="M53" s="271">
        <v>41806958.039999999</v>
      </c>
      <c r="N53" s="271">
        <v>0</v>
      </c>
      <c r="O53" s="271">
        <v>37181810</v>
      </c>
      <c r="P53" s="271">
        <v>17440859.68</v>
      </c>
      <c r="Q53" s="271">
        <v>1212795.3600000001</v>
      </c>
      <c r="R53" s="271">
        <v>55577521.600000001</v>
      </c>
      <c r="S53" s="271">
        <v>165107825.69999999</v>
      </c>
    </row>
    <row r="54" spans="1:19">
      <c r="A54" s="271" t="s">
        <v>706</v>
      </c>
      <c r="B54" s="271">
        <v>3404771072.3299999</v>
      </c>
      <c r="C54" s="271">
        <v>3039948303.8000002</v>
      </c>
      <c r="D54" s="271">
        <v>1724638571.4400001</v>
      </c>
      <c r="E54" s="271">
        <v>1423139205.9300001</v>
      </c>
      <c r="F54" s="271">
        <v>1231886240.3499999</v>
      </c>
      <c r="G54" s="271">
        <v>1604688158.1400001</v>
      </c>
      <c r="H54" s="271">
        <v>1389984092.02</v>
      </c>
      <c r="I54" s="271">
        <v>916123206.95000005</v>
      </c>
      <c r="J54" s="271">
        <v>818880550.54999995</v>
      </c>
      <c r="K54" s="271">
        <v>710831237.04999995</v>
      </c>
      <c r="L54" s="271">
        <v>575906355.73000002</v>
      </c>
      <c r="M54" s="271">
        <v>423495209.81999999</v>
      </c>
      <c r="N54" s="271">
        <v>310137150.24000001</v>
      </c>
      <c r="O54" s="271">
        <v>269348761.11000001</v>
      </c>
      <c r="P54" s="271">
        <v>396044896.51999998</v>
      </c>
      <c r="Q54" s="271">
        <v>213109026.88999999</v>
      </c>
      <c r="R54" s="271">
        <v>127453900</v>
      </c>
      <c r="S54" s="271">
        <v>176692131.93000001</v>
      </c>
    </row>
    <row r="55" spans="1:19">
      <c r="A55" s="271" t="s">
        <v>707</v>
      </c>
      <c r="B55" s="271">
        <v>0</v>
      </c>
      <c r="C55" s="271">
        <v>0</v>
      </c>
      <c r="D55" s="271">
        <v>0</v>
      </c>
      <c r="E55" s="271">
        <v>0</v>
      </c>
      <c r="F55" s="271">
        <v>0</v>
      </c>
      <c r="G55" s="271">
        <v>0</v>
      </c>
      <c r="H55" s="271">
        <v>0</v>
      </c>
      <c r="I55" s="271">
        <v>0</v>
      </c>
      <c r="J55" s="271">
        <v>0</v>
      </c>
      <c r="K55" s="271">
        <v>0</v>
      </c>
      <c r="L55" s="271">
        <v>0</v>
      </c>
      <c r="M55" s="271">
        <v>0</v>
      </c>
      <c r="N55" s="271">
        <v>0</v>
      </c>
      <c r="O55" s="271">
        <v>0</v>
      </c>
      <c r="P55" s="271">
        <v>0</v>
      </c>
      <c r="Q55" s="271">
        <v>0</v>
      </c>
      <c r="R55" s="271">
        <v>0</v>
      </c>
      <c r="S55" s="271">
        <v>0</v>
      </c>
    </row>
    <row r="56" spans="1:19">
      <c r="A56" s="271" t="s">
        <v>708</v>
      </c>
      <c r="B56" s="271" t="s">
        <v>657</v>
      </c>
      <c r="C56" s="271" t="s">
        <v>657</v>
      </c>
      <c r="D56" s="271" t="s">
        <v>657</v>
      </c>
      <c r="E56" s="271" t="s">
        <v>657</v>
      </c>
      <c r="F56" s="271" t="s">
        <v>657</v>
      </c>
      <c r="G56" s="271" t="s">
        <v>657</v>
      </c>
      <c r="H56" s="271" t="s">
        <v>657</v>
      </c>
      <c r="I56" s="271" t="s">
        <v>657</v>
      </c>
      <c r="J56" s="271" t="s">
        <v>657</v>
      </c>
      <c r="K56" s="271" t="s">
        <v>657</v>
      </c>
      <c r="L56" s="271" t="s">
        <v>657</v>
      </c>
      <c r="M56" s="271" t="s">
        <v>657</v>
      </c>
      <c r="N56" s="271" t="s">
        <v>657</v>
      </c>
      <c r="O56" s="271" t="s">
        <v>657</v>
      </c>
      <c r="P56" s="271" t="s">
        <v>657</v>
      </c>
      <c r="Q56" s="271" t="s">
        <v>657</v>
      </c>
      <c r="R56" s="271" t="s">
        <v>657</v>
      </c>
      <c r="S56" s="271" t="s">
        <v>657</v>
      </c>
    </row>
    <row r="57" spans="1:19">
      <c r="A57" s="271" t="s">
        <v>709</v>
      </c>
      <c r="B57" s="271" t="s">
        <v>657</v>
      </c>
      <c r="C57" s="271" t="s">
        <v>657</v>
      </c>
      <c r="D57" s="271" t="s">
        <v>657</v>
      </c>
      <c r="E57" s="271" t="s">
        <v>657</v>
      </c>
      <c r="F57" s="271" t="s">
        <v>657</v>
      </c>
      <c r="G57" s="271" t="s">
        <v>657</v>
      </c>
      <c r="H57" s="271" t="s">
        <v>657</v>
      </c>
      <c r="I57" s="271" t="s">
        <v>657</v>
      </c>
      <c r="J57" s="271" t="s">
        <v>657</v>
      </c>
      <c r="K57" s="271" t="s">
        <v>657</v>
      </c>
      <c r="L57" s="271" t="s">
        <v>657</v>
      </c>
      <c r="M57" s="271" t="s">
        <v>657</v>
      </c>
      <c r="N57" s="271" t="s">
        <v>657</v>
      </c>
      <c r="O57" s="271" t="s">
        <v>657</v>
      </c>
      <c r="P57" s="271" t="s">
        <v>657</v>
      </c>
      <c r="Q57" s="271" t="s">
        <v>657</v>
      </c>
      <c r="R57" s="271" t="s">
        <v>657</v>
      </c>
      <c r="S57" s="271" t="s">
        <v>657</v>
      </c>
    </row>
    <row r="58" spans="1:19">
      <c r="A58" s="271" t="s">
        <v>710</v>
      </c>
      <c r="B58" s="271">
        <v>0</v>
      </c>
      <c r="C58" s="271">
        <v>0</v>
      </c>
      <c r="D58" s="271">
        <v>0</v>
      </c>
      <c r="E58" s="271">
        <v>0</v>
      </c>
      <c r="F58" s="271">
        <v>0</v>
      </c>
      <c r="G58" s="271">
        <v>0</v>
      </c>
      <c r="H58" s="271">
        <v>0</v>
      </c>
      <c r="I58" s="271">
        <v>0</v>
      </c>
      <c r="J58" s="271">
        <v>0</v>
      </c>
      <c r="K58" s="271">
        <v>0</v>
      </c>
      <c r="L58" s="271">
        <v>0</v>
      </c>
      <c r="M58" s="271">
        <v>0</v>
      </c>
      <c r="N58" s="271">
        <v>0</v>
      </c>
      <c r="O58" s="271">
        <v>0</v>
      </c>
      <c r="P58" s="271">
        <v>0</v>
      </c>
      <c r="Q58" s="271">
        <v>0</v>
      </c>
      <c r="R58" s="271">
        <v>0</v>
      </c>
      <c r="S58" s="271">
        <v>0</v>
      </c>
    </row>
    <row r="59" spans="1:19">
      <c r="A59" s="271" t="s">
        <v>711</v>
      </c>
      <c r="B59" s="271">
        <v>0</v>
      </c>
      <c r="C59" s="271">
        <v>0</v>
      </c>
      <c r="D59" s="271">
        <v>0</v>
      </c>
      <c r="E59" s="271">
        <v>0</v>
      </c>
      <c r="F59" s="271">
        <v>3956450709.1900001</v>
      </c>
      <c r="G59" s="271">
        <v>2773189099.54</v>
      </c>
      <c r="H59" s="271">
        <v>0</v>
      </c>
      <c r="I59" s="271">
        <v>0</v>
      </c>
      <c r="J59" s="271">
        <v>0</v>
      </c>
      <c r="K59" s="271">
        <v>0</v>
      </c>
      <c r="L59" s="271">
        <v>0</v>
      </c>
      <c r="M59" s="271">
        <v>0</v>
      </c>
      <c r="N59" s="271">
        <v>126932.01</v>
      </c>
      <c r="O59" s="271">
        <v>1305119.69</v>
      </c>
      <c r="P59" s="271">
        <v>7450299.3799999999</v>
      </c>
      <c r="Q59" s="271">
        <v>5224656.87</v>
      </c>
      <c r="R59" s="271">
        <v>0</v>
      </c>
      <c r="S59" s="271">
        <v>0</v>
      </c>
    </row>
    <row r="60" spans="1:19">
      <c r="A60" s="271" t="s">
        <v>712</v>
      </c>
      <c r="B60" s="271">
        <v>42438186813.480003</v>
      </c>
      <c r="C60" s="271">
        <v>38574919400</v>
      </c>
      <c r="D60" s="271">
        <v>37020425425.690002</v>
      </c>
      <c r="E60" s="271">
        <v>20051723001.48</v>
      </c>
      <c r="F60" s="271">
        <v>10543844383.51</v>
      </c>
      <c r="G60" s="271">
        <v>11307288403.790001</v>
      </c>
      <c r="H60" s="271">
        <v>9526402556.2099991</v>
      </c>
      <c r="I60" s="271">
        <v>9480719364.1200008</v>
      </c>
      <c r="J60" s="271">
        <v>7028190246.0699997</v>
      </c>
      <c r="K60" s="271">
        <v>5108057753.5100002</v>
      </c>
      <c r="L60" s="271">
        <v>4250769540.4000001</v>
      </c>
      <c r="M60" s="271">
        <v>2112616070.01</v>
      </c>
      <c r="N60" s="271">
        <v>3393886354.5599999</v>
      </c>
      <c r="O60" s="271">
        <v>2895201383.0700002</v>
      </c>
      <c r="P60" s="271">
        <v>2156645236.8400002</v>
      </c>
      <c r="Q60" s="271">
        <v>1485541719.9200001</v>
      </c>
      <c r="R60" s="271">
        <v>1055556072.14</v>
      </c>
      <c r="S60" s="271">
        <v>925757031.16999996</v>
      </c>
    </row>
    <row r="61" spans="1:19">
      <c r="A61" s="271" t="s">
        <v>713</v>
      </c>
      <c r="B61" s="271" t="s">
        <v>657</v>
      </c>
      <c r="C61" s="271" t="s">
        <v>657</v>
      </c>
      <c r="D61" s="271" t="s">
        <v>657</v>
      </c>
      <c r="E61" s="271" t="s">
        <v>657</v>
      </c>
      <c r="F61" s="271" t="s">
        <v>657</v>
      </c>
      <c r="G61" s="271" t="s">
        <v>657</v>
      </c>
      <c r="H61" s="271" t="s">
        <v>657</v>
      </c>
      <c r="I61" s="271" t="s">
        <v>657</v>
      </c>
      <c r="J61" s="271" t="s">
        <v>657</v>
      </c>
      <c r="K61" s="271" t="s">
        <v>657</v>
      </c>
      <c r="L61" s="271" t="s">
        <v>657</v>
      </c>
      <c r="M61" s="271" t="s">
        <v>657</v>
      </c>
      <c r="N61" s="271" t="s">
        <v>657</v>
      </c>
      <c r="O61" s="271" t="s">
        <v>657</v>
      </c>
      <c r="P61" s="271" t="s">
        <v>657</v>
      </c>
      <c r="Q61" s="271" t="s">
        <v>657</v>
      </c>
      <c r="R61" s="271" t="s">
        <v>657</v>
      </c>
      <c r="S61" s="271" t="s">
        <v>657</v>
      </c>
    </row>
    <row r="62" spans="1:19">
      <c r="A62" s="271" t="s">
        <v>714</v>
      </c>
      <c r="B62" s="271">
        <v>0</v>
      </c>
      <c r="C62" s="271">
        <v>0</v>
      </c>
      <c r="D62" s="271">
        <v>0</v>
      </c>
      <c r="E62" s="271">
        <v>0</v>
      </c>
      <c r="F62" s="271">
        <v>0</v>
      </c>
      <c r="G62" s="271">
        <v>0</v>
      </c>
      <c r="H62" s="271">
        <v>0</v>
      </c>
      <c r="I62" s="271">
        <v>0</v>
      </c>
      <c r="J62" s="271">
        <v>0</v>
      </c>
      <c r="K62" s="271">
        <v>0</v>
      </c>
      <c r="L62" s="271">
        <v>0</v>
      </c>
      <c r="M62" s="271">
        <v>0</v>
      </c>
      <c r="N62" s="271">
        <v>0</v>
      </c>
      <c r="O62" s="271">
        <v>0</v>
      </c>
      <c r="P62" s="271">
        <v>0</v>
      </c>
      <c r="Q62" s="271">
        <v>0</v>
      </c>
      <c r="R62" s="271">
        <v>0</v>
      </c>
      <c r="S62" s="271">
        <v>0</v>
      </c>
    </row>
    <row r="63" spans="1:19">
      <c r="A63" s="271" t="s">
        <v>715</v>
      </c>
      <c r="B63" s="271">
        <v>0</v>
      </c>
      <c r="C63" s="271">
        <v>0</v>
      </c>
      <c r="D63" s="271">
        <v>0</v>
      </c>
      <c r="E63" s="271">
        <v>0</v>
      </c>
      <c r="F63" s="271">
        <v>0</v>
      </c>
      <c r="G63" s="271">
        <v>0</v>
      </c>
      <c r="H63" s="271">
        <v>0</v>
      </c>
      <c r="I63" s="271">
        <v>0</v>
      </c>
      <c r="J63" s="271">
        <v>0</v>
      </c>
      <c r="K63" s="271">
        <v>0</v>
      </c>
      <c r="L63" s="271">
        <v>0</v>
      </c>
      <c r="M63" s="271">
        <v>0</v>
      </c>
      <c r="N63" s="271">
        <v>0</v>
      </c>
      <c r="O63" s="271">
        <v>0</v>
      </c>
      <c r="P63" s="271">
        <v>0</v>
      </c>
      <c r="Q63" s="271">
        <v>0</v>
      </c>
      <c r="R63" s="271">
        <v>0</v>
      </c>
      <c r="S63" s="271">
        <v>0</v>
      </c>
    </row>
    <row r="64" spans="1:19">
      <c r="A64" s="271" t="s">
        <v>716</v>
      </c>
      <c r="B64" s="271">
        <v>0</v>
      </c>
      <c r="C64" s="271">
        <v>0</v>
      </c>
      <c r="D64" s="271">
        <v>0</v>
      </c>
      <c r="E64" s="271">
        <v>0</v>
      </c>
      <c r="F64" s="271">
        <v>0</v>
      </c>
      <c r="G64" s="271">
        <v>0</v>
      </c>
      <c r="H64" s="271">
        <v>0</v>
      </c>
      <c r="I64" s="271">
        <v>0</v>
      </c>
      <c r="J64" s="271">
        <v>0</v>
      </c>
      <c r="K64" s="271">
        <v>0</v>
      </c>
      <c r="L64" s="271">
        <v>0</v>
      </c>
      <c r="M64" s="271">
        <v>0</v>
      </c>
      <c r="N64" s="271">
        <v>0</v>
      </c>
      <c r="O64" s="271">
        <v>0</v>
      </c>
      <c r="P64" s="271">
        <v>0</v>
      </c>
      <c r="Q64" s="271">
        <v>0</v>
      </c>
      <c r="R64" s="271">
        <v>0</v>
      </c>
      <c r="S64" s="271">
        <v>0</v>
      </c>
    </row>
    <row r="65" spans="1:19">
      <c r="A65" s="271" t="s">
        <v>717</v>
      </c>
      <c r="B65" s="271">
        <v>0</v>
      </c>
      <c r="C65" s="271">
        <v>0</v>
      </c>
      <c r="D65" s="271">
        <v>0</v>
      </c>
      <c r="E65" s="271">
        <v>0</v>
      </c>
      <c r="F65" s="271">
        <v>0</v>
      </c>
      <c r="G65" s="271">
        <v>0</v>
      </c>
      <c r="H65" s="271">
        <v>0</v>
      </c>
      <c r="I65" s="271">
        <v>0</v>
      </c>
      <c r="J65" s="271">
        <v>0</v>
      </c>
      <c r="K65" s="271">
        <v>0</v>
      </c>
      <c r="L65" s="271">
        <v>0</v>
      </c>
      <c r="M65" s="271">
        <v>0</v>
      </c>
      <c r="N65" s="271">
        <v>0</v>
      </c>
      <c r="O65" s="271">
        <v>0</v>
      </c>
      <c r="P65" s="271">
        <v>0</v>
      </c>
      <c r="Q65" s="271">
        <v>0</v>
      </c>
      <c r="R65" s="271">
        <v>0</v>
      </c>
      <c r="S65" s="271">
        <v>0</v>
      </c>
    </row>
    <row r="66" spans="1:19">
      <c r="A66" s="271" t="s">
        <v>718</v>
      </c>
      <c r="B66" s="271">
        <v>0</v>
      </c>
      <c r="C66" s="271">
        <v>15570000</v>
      </c>
      <c r="D66" s="271">
        <v>15570000</v>
      </c>
      <c r="E66" s="271">
        <v>15570000</v>
      </c>
      <c r="F66" s="271">
        <v>17770000</v>
      </c>
      <c r="G66" s="271">
        <v>17770000</v>
      </c>
      <c r="H66" s="271">
        <v>17770000</v>
      </c>
      <c r="I66" s="271">
        <v>16770000</v>
      </c>
      <c r="J66" s="271">
        <v>10000000</v>
      </c>
      <c r="K66" s="271">
        <v>10000000</v>
      </c>
      <c r="L66" s="271">
        <v>0</v>
      </c>
      <c r="M66" s="271">
        <v>0</v>
      </c>
      <c r="N66" s="271">
        <v>0</v>
      </c>
      <c r="O66" s="271">
        <v>0</v>
      </c>
      <c r="P66" s="271">
        <v>300000</v>
      </c>
      <c r="Q66" s="271">
        <v>300000</v>
      </c>
      <c r="R66" s="271">
        <v>0</v>
      </c>
      <c r="S66" s="271">
        <v>0</v>
      </c>
    </row>
    <row r="67" spans="1:19">
      <c r="A67" s="271" t="s">
        <v>164</v>
      </c>
      <c r="B67" s="271">
        <v>0</v>
      </c>
      <c r="C67" s="271">
        <v>0</v>
      </c>
      <c r="D67" s="271">
        <v>0</v>
      </c>
      <c r="E67" s="271">
        <v>0</v>
      </c>
      <c r="F67" s="271">
        <v>0</v>
      </c>
      <c r="G67" s="271">
        <v>0</v>
      </c>
      <c r="H67" s="271">
        <v>0</v>
      </c>
      <c r="I67" s="271">
        <v>0</v>
      </c>
      <c r="J67" s="271">
        <v>0</v>
      </c>
      <c r="K67" s="271">
        <v>0</v>
      </c>
      <c r="L67" s="271">
        <v>0</v>
      </c>
      <c r="M67" s="271">
        <v>0</v>
      </c>
      <c r="N67" s="271">
        <v>0</v>
      </c>
      <c r="O67" s="271">
        <v>0</v>
      </c>
      <c r="P67" s="271">
        <v>0</v>
      </c>
      <c r="Q67" s="271">
        <v>0</v>
      </c>
      <c r="R67" s="271">
        <v>0</v>
      </c>
      <c r="S67" s="271">
        <v>0</v>
      </c>
    </row>
    <row r="68" spans="1:19">
      <c r="A68" s="271" t="s">
        <v>719</v>
      </c>
      <c r="B68" s="271">
        <v>0</v>
      </c>
      <c r="C68" s="271">
        <v>0</v>
      </c>
      <c r="D68" s="271">
        <v>0</v>
      </c>
      <c r="E68" s="271">
        <v>0</v>
      </c>
      <c r="F68" s="271">
        <v>0</v>
      </c>
      <c r="G68" s="271">
        <v>0</v>
      </c>
      <c r="H68" s="271">
        <v>0</v>
      </c>
      <c r="I68" s="271">
        <v>0</v>
      </c>
      <c r="J68" s="271">
        <v>0</v>
      </c>
      <c r="K68" s="271">
        <v>0</v>
      </c>
      <c r="L68" s="271">
        <v>0</v>
      </c>
      <c r="M68" s="271">
        <v>0</v>
      </c>
      <c r="N68" s="271">
        <v>0</v>
      </c>
      <c r="O68" s="271">
        <v>0</v>
      </c>
      <c r="P68" s="271">
        <v>0</v>
      </c>
      <c r="Q68" s="271">
        <v>0</v>
      </c>
      <c r="R68" s="271">
        <v>0</v>
      </c>
      <c r="S68" s="271">
        <v>0</v>
      </c>
    </row>
    <row r="69" spans="1:19">
      <c r="A69" s="271" t="s">
        <v>720</v>
      </c>
      <c r="B69" s="271">
        <v>0</v>
      </c>
      <c r="C69" s="271">
        <v>0</v>
      </c>
      <c r="D69" s="271">
        <v>0</v>
      </c>
      <c r="E69" s="271">
        <v>0</v>
      </c>
      <c r="F69" s="271">
        <v>0</v>
      </c>
      <c r="G69" s="271">
        <v>0</v>
      </c>
      <c r="H69" s="271">
        <v>0</v>
      </c>
      <c r="I69" s="271">
        <v>0</v>
      </c>
      <c r="J69" s="271">
        <v>0</v>
      </c>
      <c r="K69" s="271">
        <v>0</v>
      </c>
      <c r="L69" s="271">
        <v>0</v>
      </c>
      <c r="M69" s="271">
        <v>0</v>
      </c>
      <c r="N69" s="271">
        <v>0</v>
      </c>
      <c r="O69" s="271">
        <v>0</v>
      </c>
      <c r="P69" s="271">
        <v>0</v>
      </c>
      <c r="Q69" s="271">
        <v>0</v>
      </c>
      <c r="R69" s="271">
        <v>0</v>
      </c>
      <c r="S69" s="271">
        <v>0</v>
      </c>
    </row>
    <row r="70" spans="1:19">
      <c r="A70" s="271" t="s">
        <v>721</v>
      </c>
      <c r="B70" s="271">
        <v>0</v>
      </c>
      <c r="C70" s="271">
        <v>0</v>
      </c>
      <c r="D70" s="271">
        <v>0</v>
      </c>
      <c r="E70" s="271">
        <v>0</v>
      </c>
      <c r="F70" s="271">
        <v>0</v>
      </c>
      <c r="G70" s="271">
        <v>0</v>
      </c>
      <c r="H70" s="271">
        <v>0</v>
      </c>
      <c r="I70" s="271">
        <v>0</v>
      </c>
      <c r="J70" s="271">
        <v>0</v>
      </c>
      <c r="K70" s="271">
        <v>0</v>
      </c>
      <c r="L70" s="271">
        <v>0</v>
      </c>
      <c r="M70" s="271">
        <v>0</v>
      </c>
      <c r="N70" s="271">
        <v>0</v>
      </c>
      <c r="O70" s="271">
        <v>0</v>
      </c>
      <c r="P70" s="271">
        <v>0</v>
      </c>
      <c r="Q70" s="271">
        <v>0</v>
      </c>
      <c r="R70" s="271">
        <v>0</v>
      </c>
      <c r="S70" s="271">
        <v>0</v>
      </c>
    </row>
    <row r="71" spans="1:19">
      <c r="A71" s="271" t="s">
        <v>722</v>
      </c>
      <c r="B71" s="271">
        <v>0</v>
      </c>
      <c r="C71" s="271">
        <v>15570000</v>
      </c>
      <c r="D71" s="271">
        <v>15570000</v>
      </c>
      <c r="E71" s="271">
        <v>15570000</v>
      </c>
      <c r="F71" s="271">
        <v>17770000</v>
      </c>
      <c r="G71" s="271">
        <v>17770000</v>
      </c>
      <c r="H71" s="271">
        <v>17770000</v>
      </c>
      <c r="I71" s="271">
        <v>16770000</v>
      </c>
      <c r="J71" s="271">
        <v>10000000</v>
      </c>
      <c r="K71" s="271">
        <v>10000000</v>
      </c>
      <c r="L71" s="271">
        <v>0</v>
      </c>
      <c r="M71" s="271">
        <v>0</v>
      </c>
      <c r="N71" s="271">
        <v>0</v>
      </c>
      <c r="O71" s="271">
        <v>0</v>
      </c>
      <c r="P71" s="271">
        <v>300000</v>
      </c>
      <c r="Q71" s="271">
        <v>300000</v>
      </c>
      <c r="R71" s="271">
        <v>0</v>
      </c>
      <c r="S71" s="271">
        <v>0</v>
      </c>
    </row>
    <row r="72" spans="1:19">
      <c r="A72" s="271" t="s">
        <v>723</v>
      </c>
      <c r="B72" s="271">
        <v>42438186813.480003</v>
      </c>
      <c r="C72" s="271">
        <v>38590489400</v>
      </c>
      <c r="D72" s="271">
        <v>37035995425.690002</v>
      </c>
      <c r="E72" s="271">
        <v>20067293001.48</v>
      </c>
      <c r="F72" s="271">
        <v>10561614383.51</v>
      </c>
      <c r="G72" s="271">
        <v>11325058403.790001</v>
      </c>
      <c r="H72" s="271">
        <v>9544172556.2099991</v>
      </c>
      <c r="I72" s="271">
        <v>9497489364.1200008</v>
      </c>
      <c r="J72" s="271">
        <v>7038190246.0699997</v>
      </c>
      <c r="K72" s="271">
        <v>5118057753.5100002</v>
      </c>
      <c r="L72" s="271">
        <v>4250769540.4000001</v>
      </c>
      <c r="M72" s="271">
        <v>2112616070.01</v>
      </c>
      <c r="N72" s="271">
        <v>3393886354.5599999</v>
      </c>
      <c r="O72" s="271">
        <v>2895201383.0700002</v>
      </c>
      <c r="P72" s="271">
        <v>2156945236.8400002</v>
      </c>
      <c r="Q72" s="271">
        <v>1485841719.9200001</v>
      </c>
      <c r="R72" s="271">
        <v>1055556072.14</v>
      </c>
      <c r="S72" s="271">
        <v>925757031.16999996</v>
      </c>
    </row>
    <row r="73" spans="1:19">
      <c r="A73" s="271" t="s">
        <v>724</v>
      </c>
      <c r="B73" s="271" t="s">
        <v>657</v>
      </c>
      <c r="C73" s="271" t="s">
        <v>657</v>
      </c>
      <c r="D73" s="271" t="s">
        <v>657</v>
      </c>
      <c r="E73" s="271" t="s">
        <v>657</v>
      </c>
      <c r="F73" s="271" t="s">
        <v>657</v>
      </c>
      <c r="G73" s="271" t="s">
        <v>657</v>
      </c>
      <c r="H73" s="271" t="s">
        <v>657</v>
      </c>
      <c r="I73" s="271" t="s">
        <v>657</v>
      </c>
      <c r="J73" s="271" t="s">
        <v>657</v>
      </c>
      <c r="K73" s="271" t="s">
        <v>657</v>
      </c>
      <c r="L73" s="271" t="s">
        <v>657</v>
      </c>
      <c r="M73" s="271" t="s">
        <v>657</v>
      </c>
      <c r="N73" s="271" t="s">
        <v>657</v>
      </c>
      <c r="O73" s="271" t="s">
        <v>657</v>
      </c>
      <c r="P73" s="271" t="s">
        <v>657</v>
      </c>
      <c r="Q73" s="271" t="s">
        <v>657</v>
      </c>
      <c r="R73" s="271" t="s">
        <v>657</v>
      </c>
      <c r="S73" s="271" t="s">
        <v>657</v>
      </c>
    </row>
    <row r="74" spans="1:19">
      <c r="A74" s="271" t="s">
        <v>725</v>
      </c>
      <c r="B74" s="271">
        <v>1256197800</v>
      </c>
      <c r="C74" s="271">
        <v>1256197800</v>
      </c>
      <c r="D74" s="271">
        <v>1256197800</v>
      </c>
      <c r="E74" s="271">
        <v>1256197800</v>
      </c>
      <c r="F74" s="271">
        <v>1141998000</v>
      </c>
      <c r="G74" s="271">
        <v>1038180000</v>
      </c>
      <c r="H74" s="271">
        <v>1038180000</v>
      </c>
      <c r="I74" s="271">
        <v>1038180000</v>
      </c>
      <c r="J74" s="271">
        <v>943800000</v>
      </c>
      <c r="K74" s="271">
        <v>943800000</v>
      </c>
      <c r="L74" s="271">
        <v>943800000</v>
      </c>
      <c r="M74" s="271">
        <v>943800000</v>
      </c>
      <c r="N74" s="271">
        <v>943800000</v>
      </c>
      <c r="O74" s="271">
        <v>471900000</v>
      </c>
      <c r="P74" s="271">
        <v>393250000</v>
      </c>
      <c r="Q74" s="271">
        <v>302500000</v>
      </c>
      <c r="R74" s="271">
        <v>275000000</v>
      </c>
      <c r="S74" s="271">
        <v>250000000</v>
      </c>
    </row>
    <row r="75" spans="1:19">
      <c r="A75" s="271" t="s">
        <v>726</v>
      </c>
      <c r="B75" s="271">
        <v>1374964415.72</v>
      </c>
      <c r="C75" s="271">
        <v>1374964415.72</v>
      </c>
      <c r="D75" s="271">
        <v>1374964415.72</v>
      </c>
      <c r="E75" s="271">
        <v>1374964415.72</v>
      </c>
      <c r="F75" s="271">
        <v>1374964415.72</v>
      </c>
      <c r="G75" s="271">
        <v>1374964415.72</v>
      </c>
      <c r="H75" s="271">
        <v>1374964415.72</v>
      </c>
      <c r="I75" s="271">
        <v>1374964415.72</v>
      </c>
      <c r="J75" s="271">
        <v>1374964415.72</v>
      </c>
      <c r="K75" s="271">
        <v>1374964415.72</v>
      </c>
      <c r="L75" s="271">
        <v>1374964415.72</v>
      </c>
      <c r="M75" s="271">
        <v>1374964415.72</v>
      </c>
      <c r="N75" s="271">
        <v>1374449260.6099999</v>
      </c>
      <c r="O75" s="271">
        <v>1846119450.6099999</v>
      </c>
      <c r="P75" s="271">
        <v>1923937320.54</v>
      </c>
      <c r="Q75" s="271">
        <v>2014484980.54</v>
      </c>
      <c r="R75" s="271">
        <v>2014320830.54</v>
      </c>
      <c r="S75" s="271">
        <v>2039189510.54</v>
      </c>
    </row>
    <row r="76" spans="1:19">
      <c r="A76" s="271" t="s">
        <v>727</v>
      </c>
      <c r="B76" s="271">
        <v>0</v>
      </c>
      <c r="C76" s="271">
        <v>0</v>
      </c>
      <c r="D76" s="271">
        <v>0</v>
      </c>
      <c r="E76" s="271">
        <v>0</v>
      </c>
      <c r="F76" s="271">
        <v>0</v>
      </c>
      <c r="G76" s="271">
        <v>0</v>
      </c>
      <c r="H76" s="271">
        <v>0</v>
      </c>
      <c r="I76" s="271">
        <v>0</v>
      </c>
      <c r="J76" s="271">
        <v>0</v>
      </c>
      <c r="K76" s="271">
        <v>0</v>
      </c>
      <c r="L76" s="271">
        <v>0</v>
      </c>
      <c r="M76" s="271">
        <v>0</v>
      </c>
      <c r="N76" s="271">
        <v>0</v>
      </c>
      <c r="O76" s="271">
        <v>0</v>
      </c>
      <c r="P76" s="271">
        <v>0</v>
      </c>
      <c r="Q76" s="271">
        <v>0</v>
      </c>
      <c r="R76" s="271">
        <v>0</v>
      </c>
      <c r="S76" s="271">
        <v>0</v>
      </c>
    </row>
    <row r="77" spans="1:19">
      <c r="A77" s="271" t="s">
        <v>728</v>
      </c>
      <c r="B77" s="271">
        <v>-7065725.7000000002</v>
      </c>
      <c r="C77" s="271">
        <v>0</v>
      </c>
      <c r="D77" s="271">
        <v>0</v>
      </c>
      <c r="E77" s="271">
        <v>-13034075.470000001</v>
      </c>
      <c r="F77" s="271">
        <v>-619043.99</v>
      </c>
      <c r="G77" s="271">
        <v>0</v>
      </c>
      <c r="H77" s="271">
        <v>0</v>
      </c>
      <c r="I77" s="271">
        <v>0</v>
      </c>
      <c r="J77" s="271">
        <v>0</v>
      </c>
      <c r="K77" s="271">
        <v>0</v>
      </c>
      <c r="L77" s="271">
        <v>0</v>
      </c>
      <c r="M77" s="271">
        <v>0</v>
      </c>
      <c r="N77" s="271">
        <v>0</v>
      </c>
      <c r="O77" s="271">
        <v>0</v>
      </c>
      <c r="P77" s="271">
        <v>0</v>
      </c>
      <c r="Q77" s="271">
        <v>0</v>
      </c>
      <c r="R77" s="271">
        <v>0</v>
      </c>
      <c r="S77" s="271">
        <v>0</v>
      </c>
    </row>
    <row r="78" spans="1:19">
      <c r="A78" s="271" t="s">
        <v>729</v>
      </c>
      <c r="B78" s="271">
        <v>0</v>
      </c>
      <c r="C78" s="271">
        <v>0</v>
      </c>
      <c r="D78" s="271">
        <v>0</v>
      </c>
      <c r="E78" s="271">
        <v>0</v>
      </c>
      <c r="F78" s="271">
        <v>0</v>
      </c>
      <c r="G78" s="271">
        <v>0</v>
      </c>
      <c r="H78" s="271">
        <v>0</v>
      </c>
      <c r="I78" s="271">
        <v>0</v>
      </c>
      <c r="J78" s="271">
        <v>0</v>
      </c>
      <c r="K78" s="271">
        <v>0</v>
      </c>
      <c r="L78" s="271">
        <v>0</v>
      </c>
      <c r="M78" s="271">
        <v>0</v>
      </c>
      <c r="N78" s="271">
        <v>0</v>
      </c>
      <c r="O78" s="271">
        <v>0</v>
      </c>
      <c r="P78" s="271">
        <v>0</v>
      </c>
      <c r="Q78" s="271">
        <v>0</v>
      </c>
      <c r="R78" s="271">
        <v>0</v>
      </c>
      <c r="S78" s="271">
        <v>0</v>
      </c>
    </row>
    <row r="79" spans="1:19">
      <c r="A79" s="271" t="s">
        <v>730</v>
      </c>
      <c r="B79" s="271">
        <v>13444221244.84</v>
      </c>
      <c r="C79" s="271">
        <v>8215595509.6899996</v>
      </c>
      <c r="D79" s="271">
        <v>7135649963.1199999</v>
      </c>
      <c r="E79" s="271">
        <v>6210524497.54</v>
      </c>
      <c r="F79" s="271">
        <v>5249407234.6199999</v>
      </c>
      <c r="G79" s="271">
        <v>4220803927.1799998</v>
      </c>
      <c r="H79" s="271">
        <v>3036434460.46</v>
      </c>
      <c r="I79" s="271">
        <v>2640916373.3499999</v>
      </c>
      <c r="J79" s="271">
        <v>2176754189.4699998</v>
      </c>
      <c r="K79" s="271">
        <v>1585666147.4000001</v>
      </c>
      <c r="L79" s="271">
        <v>1001133829.72</v>
      </c>
      <c r="M79" s="271">
        <v>838320965.63</v>
      </c>
      <c r="N79" s="271">
        <v>1253305422.0599999</v>
      </c>
      <c r="O79" s="271">
        <v>967252340.82000005</v>
      </c>
      <c r="P79" s="271">
        <v>648560928.29999995</v>
      </c>
      <c r="Q79" s="271">
        <v>424392228.41000003</v>
      </c>
      <c r="R79" s="271">
        <v>275280085.31999999</v>
      </c>
      <c r="S79" s="271">
        <v>163612517.12</v>
      </c>
    </row>
    <row r="80" spans="1:19">
      <c r="A80" s="271" t="s">
        <v>731</v>
      </c>
      <c r="B80" s="271">
        <v>788302643.63</v>
      </c>
      <c r="C80" s="271">
        <v>600859229.62</v>
      </c>
      <c r="D80" s="271">
        <v>420758409.36000001</v>
      </c>
      <c r="E80" s="271">
        <v>218361303.43000001</v>
      </c>
      <c r="F80" s="271">
        <v>98594502.370000005</v>
      </c>
      <c r="G80" s="271">
        <v>13296286.27</v>
      </c>
      <c r="H80" s="271">
        <v>0</v>
      </c>
      <c r="I80" s="271">
        <v>0</v>
      </c>
      <c r="J80" s="271">
        <v>0</v>
      </c>
      <c r="K80" s="271">
        <v>0</v>
      </c>
      <c r="L80" s="271">
        <v>0</v>
      </c>
      <c r="M80" s="271">
        <v>0</v>
      </c>
      <c r="N80" s="271">
        <v>0</v>
      </c>
      <c r="O80" s="271">
        <v>0</v>
      </c>
      <c r="P80" s="271">
        <v>0</v>
      </c>
      <c r="Q80" s="271">
        <v>0</v>
      </c>
      <c r="R80" s="271">
        <v>0</v>
      </c>
      <c r="S80" s="271">
        <v>0</v>
      </c>
    </row>
    <row r="81" spans="1:19">
      <c r="A81" s="271" t="s">
        <v>732</v>
      </c>
      <c r="B81" s="271">
        <v>95981943953.559998</v>
      </c>
      <c r="C81" s="271">
        <v>80011307450.330002</v>
      </c>
      <c r="D81" s="271">
        <v>62717808036.610001</v>
      </c>
      <c r="E81" s="271">
        <v>54878964497.769997</v>
      </c>
      <c r="F81" s="271">
        <v>45566057337.370003</v>
      </c>
      <c r="G81" s="271">
        <v>35974971858.639999</v>
      </c>
      <c r="H81" s="271">
        <v>28700075247.5</v>
      </c>
      <c r="I81" s="271">
        <v>19937119181.959999</v>
      </c>
      <c r="J81" s="271">
        <v>13903255455.610001</v>
      </c>
      <c r="K81" s="271">
        <v>10561552279.690001</v>
      </c>
      <c r="L81" s="271">
        <v>7924671271.0299997</v>
      </c>
      <c r="M81" s="271">
        <v>5077020374.5799999</v>
      </c>
      <c r="N81" s="271">
        <v>2325450770.9099998</v>
      </c>
      <c r="O81" s="271">
        <v>1806625777.74</v>
      </c>
      <c r="P81" s="271">
        <v>1203400560.8900001</v>
      </c>
      <c r="Q81" s="271">
        <v>697765263.59000003</v>
      </c>
      <c r="R81" s="271">
        <v>288244590.30000001</v>
      </c>
      <c r="S81" s="271">
        <v>78113637.140000001</v>
      </c>
    </row>
    <row r="82" spans="1:19">
      <c r="A82" s="271" t="s">
        <v>733</v>
      </c>
      <c r="B82" s="271">
        <v>112838564332.05</v>
      </c>
      <c r="C82" s="271">
        <v>91451522828.960007</v>
      </c>
      <c r="D82" s="271">
        <v>72894137783.25</v>
      </c>
      <c r="E82" s="271">
        <v>63925978438.989998</v>
      </c>
      <c r="F82" s="271">
        <v>53430402446.089996</v>
      </c>
      <c r="G82" s="271">
        <v>42622216487.809998</v>
      </c>
      <c r="H82" s="271">
        <v>34149654123.68</v>
      </c>
      <c r="I82" s="271">
        <v>24991179971.029999</v>
      </c>
      <c r="J82" s="271">
        <v>18398774060.799999</v>
      </c>
      <c r="K82" s="271">
        <v>14465982842.809999</v>
      </c>
      <c r="L82" s="271">
        <v>11244569516.469999</v>
      </c>
      <c r="M82" s="271">
        <v>8234105755.9300003</v>
      </c>
      <c r="N82" s="271">
        <v>5897005453.5799999</v>
      </c>
      <c r="O82" s="271">
        <v>5091897569.1700001</v>
      </c>
      <c r="P82" s="271">
        <v>4169148809.73</v>
      </c>
      <c r="Q82" s="271">
        <v>3439142472.54</v>
      </c>
      <c r="R82" s="271">
        <v>2830342017.7399998</v>
      </c>
      <c r="S82" s="271">
        <v>2524199625.79</v>
      </c>
    </row>
    <row r="83" spans="1:19">
      <c r="A83" s="271" t="s">
        <v>107</v>
      </c>
      <c r="B83" s="271">
        <v>4569923590.4799995</v>
      </c>
      <c r="C83" s="271">
        <v>4568104646.1199999</v>
      </c>
      <c r="D83" s="271">
        <v>3004405071.4699998</v>
      </c>
      <c r="E83" s="271">
        <v>2308191982.3000002</v>
      </c>
      <c r="F83" s="271">
        <v>1881148395.03</v>
      </c>
      <c r="G83" s="271">
        <v>1506875785.45</v>
      </c>
      <c r="H83" s="271">
        <v>1304382273.5699999</v>
      </c>
      <c r="I83" s="271">
        <v>412199640.25999999</v>
      </c>
      <c r="J83" s="271">
        <v>150615633.81999999</v>
      </c>
      <c r="K83" s="271">
        <v>185582551.40000001</v>
      </c>
      <c r="L83" s="271">
        <v>258848779.47999999</v>
      </c>
      <c r="M83" s="271">
        <v>134750014.50999999</v>
      </c>
      <c r="N83" s="271">
        <v>98023195.849999994</v>
      </c>
      <c r="O83" s="271">
        <v>70497512.349999994</v>
      </c>
      <c r="P83" s="271">
        <v>47558937</v>
      </c>
      <c r="Q83" s="271">
        <v>31381618.390000001</v>
      </c>
      <c r="R83" s="271">
        <v>22503488.420000002</v>
      </c>
      <c r="S83" s="271">
        <v>6716039.0099999998</v>
      </c>
    </row>
    <row r="84" spans="1:19">
      <c r="A84" s="271" t="s">
        <v>734</v>
      </c>
      <c r="B84" s="271">
        <v>117408487922.53</v>
      </c>
      <c r="C84" s="271">
        <v>96019627475.080002</v>
      </c>
      <c r="D84" s="271">
        <v>75898542854.720001</v>
      </c>
      <c r="E84" s="271">
        <v>66234170421.290001</v>
      </c>
      <c r="F84" s="271">
        <v>55311550841.120003</v>
      </c>
      <c r="G84" s="271">
        <v>44129092273.260002</v>
      </c>
      <c r="H84" s="271">
        <v>35454036397.25</v>
      </c>
      <c r="I84" s="271">
        <v>25403379611.290001</v>
      </c>
      <c r="J84" s="271">
        <v>18549389694.619999</v>
      </c>
      <c r="K84" s="271">
        <v>14651565394.209999</v>
      </c>
      <c r="L84" s="271">
        <v>11503418295.950001</v>
      </c>
      <c r="M84" s="271">
        <v>8368855770.4399996</v>
      </c>
      <c r="N84" s="271">
        <v>5995028649.4300003</v>
      </c>
      <c r="O84" s="271">
        <v>5162395081.5200005</v>
      </c>
      <c r="P84" s="271">
        <v>4216707746.73</v>
      </c>
      <c r="Q84" s="271">
        <v>3470524090.9299998</v>
      </c>
      <c r="R84" s="271">
        <v>2852845506.1599998</v>
      </c>
      <c r="S84" s="271">
        <v>2530915664.8000002</v>
      </c>
    </row>
    <row r="85" spans="1:19">
      <c r="A85" s="271" t="s">
        <v>735</v>
      </c>
      <c r="B85" s="271">
        <v>159846674736.01001</v>
      </c>
      <c r="C85" s="271">
        <v>134610116875.08</v>
      </c>
      <c r="D85" s="271">
        <v>112934538280.41</v>
      </c>
      <c r="E85" s="271">
        <v>86301463422.770004</v>
      </c>
      <c r="F85" s="271">
        <v>65873165224.629997</v>
      </c>
      <c r="G85" s="271">
        <v>55454150677.050003</v>
      </c>
      <c r="H85" s="271">
        <v>44998208953.459999</v>
      </c>
      <c r="I85" s="271">
        <v>34900868975.410004</v>
      </c>
      <c r="J85" s="271">
        <v>25587579940.689999</v>
      </c>
      <c r="K85" s="271">
        <v>19769623147.720001</v>
      </c>
      <c r="L85" s="271">
        <v>15754187836.35</v>
      </c>
      <c r="M85" s="271">
        <v>10481471840.450001</v>
      </c>
      <c r="N85" s="271">
        <v>9388915003.9899998</v>
      </c>
      <c r="O85" s="271">
        <v>8057596464.5900002</v>
      </c>
      <c r="P85" s="271">
        <v>6373652983.5699997</v>
      </c>
      <c r="Q85" s="271">
        <v>4956365810.8500004</v>
      </c>
      <c r="R85" s="271">
        <v>3930905066.7199998</v>
      </c>
      <c r="S85" s="271">
        <v>3463388734.98</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S31"/>
  <sheetViews>
    <sheetView workbookViewId="0"/>
  </sheetViews>
  <sheetFormatPr defaultRowHeight="13.5"/>
  <cols>
    <col min="1" max="1" width="38" style="271" bestFit="1" customWidth="1"/>
    <col min="2" max="2" width="12.75" style="271" bestFit="1" customWidth="1"/>
    <col min="3" max="18" width="13.875" style="271" bestFit="1" customWidth="1"/>
    <col min="19" max="19" width="12.75" style="271" bestFit="1" customWidth="1"/>
    <col min="20" max="16384" width="9" style="271"/>
  </cols>
  <sheetData>
    <row r="1" spans="1:19">
      <c r="A1" s="271">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row>
    <row r="2" spans="1:19">
      <c r="A2" s="271" t="s">
        <v>105</v>
      </c>
      <c r="B2" s="271" t="s">
        <v>106</v>
      </c>
      <c r="C2" s="271" t="s">
        <v>106</v>
      </c>
      <c r="D2" s="271" t="s">
        <v>106</v>
      </c>
      <c r="E2" s="271" t="s">
        <v>106</v>
      </c>
      <c r="F2" s="271" t="s">
        <v>106</v>
      </c>
      <c r="G2" s="271" t="s">
        <v>106</v>
      </c>
      <c r="H2" s="271" t="s">
        <v>106</v>
      </c>
      <c r="I2" s="271" t="s">
        <v>106</v>
      </c>
      <c r="J2" s="271" t="s">
        <v>106</v>
      </c>
      <c r="K2" s="271" t="s">
        <v>106</v>
      </c>
      <c r="L2" s="271" t="s">
        <v>106</v>
      </c>
      <c r="M2" s="271" t="s">
        <v>106</v>
      </c>
      <c r="N2" s="271" t="s">
        <v>106</v>
      </c>
      <c r="O2" s="271" t="s">
        <v>106</v>
      </c>
      <c r="P2" s="271" t="s">
        <v>106</v>
      </c>
      <c r="Q2" s="271" t="s">
        <v>106</v>
      </c>
      <c r="R2" s="271" t="s">
        <v>106</v>
      </c>
      <c r="S2" s="271" t="s">
        <v>106</v>
      </c>
    </row>
    <row r="3" spans="1:19">
      <c r="A3" s="271" t="s">
        <v>108</v>
      </c>
      <c r="B3" s="271">
        <v>77199384110.220001</v>
      </c>
      <c r="C3" s="271">
        <v>61062756866.160004</v>
      </c>
      <c r="D3" s="271">
        <v>40155084412.93</v>
      </c>
      <c r="E3" s="271">
        <v>33446859045.580002</v>
      </c>
      <c r="F3" s="271">
        <v>32217213741.080002</v>
      </c>
      <c r="G3" s="271">
        <v>31070596222.23</v>
      </c>
      <c r="H3" s="271">
        <v>26455335152.990002</v>
      </c>
      <c r="I3" s="271">
        <v>18402355207.299999</v>
      </c>
      <c r="J3" s="271">
        <v>11633283740.18</v>
      </c>
      <c r="K3" s="271">
        <v>9669999065.3899994</v>
      </c>
      <c r="L3" s="271">
        <v>8241685564.1099997</v>
      </c>
      <c r="M3" s="271">
        <v>7237430747.1199999</v>
      </c>
      <c r="N3" s="271">
        <v>4896186901.21</v>
      </c>
      <c r="O3" s="271">
        <v>3930515237.6100001</v>
      </c>
      <c r="P3" s="271">
        <v>3009793519.9200001</v>
      </c>
      <c r="Q3" s="271">
        <v>2401017934.9299998</v>
      </c>
      <c r="R3" s="271">
        <v>0</v>
      </c>
      <c r="S3" s="271">
        <v>0</v>
      </c>
    </row>
    <row r="4" spans="1:19">
      <c r="A4" s="271" t="s">
        <v>736</v>
      </c>
      <c r="B4" s="271">
        <v>73638872388.029999</v>
      </c>
      <c r="C4" s="271">
        <v>58217861314.169998</v>
      </c>
      <c r="D4" s="271">
        <v>38862189993.839996</v>
      </c>
      <c r="E4" s="271">
        <v>32659583725.279999</v>
      </c>
      <c r="F4" s="271">
        <v>31573928530.939999</v>
      </c>
      <c r="G4" s="271">
        <v>30921801316.599998</v>
      </c>
      <c r="H4" s="271">
        <v>26455335152.990002</v>
      </c>
      <c r="I4" s="271">
        <v>18402355207.299999</v>
      </c>
      <c r="J4" s="271">
        <v>11633283740.18</v>
      </c>
      <c r="K4" s="271">
        <v>9669999065.3899994</v>
      </c>
      <c r="L4" s="271">
        <v>8241685564.1099997</v>
      </c>
      <c r="M4" s="271">
        <v>7237430747.1199999</v>
      </c>
      <c r="N4" s="271">
        <v>4896186901.21</v>
      </c>
      <c r="O4" s="271">
        <v>3930515237.6100001</v>
      </c>
      <c r="P4" s="271">
        <v>3009793519.9200001</v>
      </c>
      <c r="Q4" s="271">
        <v>2401017934.9299998</v>
      </c>
      <c r="R4" s="271">
        <v>1838129976.3399999</v>
      </c>
      <c r="S4" s="271">
        <v>1619202408.97</v>
      </c>
    </row>
    <row r="5" spans="1:19">
      <c r="A5" s="271" t="s">
        <v>109</v>
      </c>
      <c r="B5" s="271">
        <v>6659364000.96</v>
      </c>
      <c r="C5" s="271">
        <v>6075699547.0299997</v>
      </c>
      <c r="D5" s="271">
        <v>3533138729.23</v>
      </c>
      <c r="E5" s="271">
        <v>2612559241.1700001</v>
      </c>
      <c r="F5" s="271">
        <v>2397844372.1900001</v>
      </c>
      <c r="G5" s="271">
        <v>2229518339.0100002</v>
      </c>
      <c r="H5" s="271">
        <v>2044306468.76</v>
      </c>
      <c r="I5" s="271">
        <v>1551233976.0599999</v>
      </c>
      <c r="J5" s="271">
        <v>1052931591.61</v>
      </c>
      <c r="K5" s="271">
        <v>950672855.26999998</v>
      </c>
      <c r="L5" s="271">
        <v>799713319.24000001</v>
      </c>
      <c r="M5" s="271">
        <v>871643568.33000004</v>
      </c>
      <c r="N5" s="271">
        <v>791179840.49000001</v>
      </c>
      <c r="O5" s="271">
        <v>687106816.67999995</v>
      </c>
      <c r="P5" s="271">
        <v>535056248.94999999</v>
      </c>
      <c r="Q5" s="271">
        <v>477388129.86000001</v>
      </c>
      <c r="R5" s="271">
        <v>0</v>
      </c>
      <c r="S5" s="271">
        <v>0</v>
      </c>
    </row>
    <row r="6" spans="1:19">
      <c r="A6" s="271" t="s">
        <v>737</v>
      </c>
      <c r="B6" s="271">
        <v>6522921833.7700005</v>
      </c>
      <c r="C6" s="271">
        <v>5940436371.9700003</v>
      </c>
      <c r="D6" s="271">
        <v>3410104085.9699998</v>
      </c>
      <c r="E6" s="271">
        <v>2538337449.0599999</v>
      </c>
      <c r="F6" s="271">
        <v>2338550532.3299999</v>
      </c>
      <c r="G6" s="271">
        <v>2193920307.9899998</v>
      </c>
      <c r="H6" s="271">
        <v>2044306468.76</v>
      </c>
      <c r="I6" s="271">
        <v>1551233976.0599999</v>
      </c>
      <c r="J6" s="271">
        <v>1052931591.61</v>
      </c>
      <c r="K6" s="271">
        <v>950672855.26999998</v>
      </c>
      <c r="L6" s="271">
        <v>799713319.24000001</v>
      </c>
      <c r="M6" s="271">
        <v>871643568.33000004</v>
      </c>
      <c r="N6" s="271">
        <v>791179840.49000001</v>
      </c>
      <c r="O6" s="271">
        <v>687106816.67999995</v>
      </c>
      <c r="P6" s="271">
        <v>535056248.94999999</v>
      </c>
      <c r="Q6" s="271">
        <v>477388129.86000001</v>
      </c>
      <c r="R6" s="271">
        <v>340556444.79000002</v>
      </c>
      <c r="S6" s="271">
        <v>287538468.11000001</v>
      </c>
    </row>
    <row r="7" spans="1:19">
      <c r="A7" s="271" t="s">
        <v>110</v>
      </c>
      <c r="B7" s="271">
        <v>11288926846.969999</v>
      </c>
      <c r="C7" s="271">
        <v>8404214470.6899996</v>
      </c>
      <c r="D7" s="271">
        <v>6508926343.2600002</v>
      </c>
      <c r="E7" s="271">
        <v>3449170637.4000001</v>
      </c>
      <c r="F7" s="271">
        <v>2788994436.0500002</v>
      </c>
      <c r="G7" s="271">
        <v>2790747889.4899998</v>
      </c>
      <c r="H7" s="271">
        <v>2572644755.4200001</v>
      </c>
      <c r="I7" s="271">
        <v>2477391798.0100002</v>
      </c>
      <c r="J7" s="271">
        <v>1577013104.9000001</v>
      </c>
      <c r="K7" s="271">
        <v>940508549.65999997</v>
      </c>
      <c r="L7" s="271">
        <v>681761604.71000004</v>
      </c>
      <c r="M7" s="271">
        <v>604078928.40999997</v>
      </c>
      <c r="N7" s="271">
        <v>574699589.65999997</v>
      </c>
      <c r="O7" s="271">
        <v>530245028.45999998</v>
      </c>
      <c r="P7" s="271">
        <v>324855608.17000002</v>
      </c>
      <c r="Q7" s="271">
        <v>308189009.56</v>
      </c>
      <c r="R7" s="271">
        <v>320026615.94999999</v>
      </c>
      <c r="S7" s="271">
        <v>317884849.44</v>
      </c>
    </row>
    <row r="8" spans="1:19">
      <c r="A8" s="271" t="s">
        <v>111</v>
      </c>
      <c r="B8" s="271">
        <v>2572076872.1599998</v>
      </c>
      <c r="C8" s="271">
        <v>2986068544.9899998</v>
      </c>
      <c r="D8" s="271">
        <v>1681052022.9000001</v>
      </c>
      <c r="E8" s="271">
        <v>1484961519.21</v>
      </c>
      <c r="F8" s="271">
        <v>1674733451.0599999</v>
      </c>
      <c r="G8" s="271">
        <v>1858132722.71</v>
      </c>
      <c r="H8" s="271">
        <v>1224553444.02</v>
      </c>
      <c r="I8" s="271">
        <v>720327727.88999999</v>
      </c>
      <c r="J8" s="271">
        <v>676531662.09000003</v>
      </c>
      <c r="K8" s="271">
        <v>621284334.75</v>
      </c>
      <c r="L8" s="271">
        <v>532024659.80000001</v>
      </c>
      <c r="M8" s="271">
        <v>560385186.98000002</v>
      </c>
      <c r="N8" s="271">
        <v>579353831.58000004</v>
      </c>
      <c r="O8" s="271">
        <v>475939394.32999998</v>
      </c>
      <c r="P8" s="271">
        <v>376522300.75</v>
      </c>
      <c r="Q8" s="271">
        <v>365256375.5</v>
      </c>
      <c r="R8" s="271">
        <v>308176458.60000002</v>
      </c>
      <c r="S8" s="271">
        <v>228319500.78</v>
      </c>
    </row>
    <row r="9" spans="1:19">
      <c r="A9" s="271" t="s">
        <v>112</v>
      </c>
      <c r="B9" s="271">
        <v>5325940762.2399998</v>
      </c>
      <c r="C9" s="271">
        <v>4720542820.1400003</v>
      </c>
      <c r="D9" s="271">
        <v>4187189840.4200001</v>
      </c>
      <c r="E9" s="271">
        <v>3812852076.1900001</v>
      </c>
      <c r="F9" s="271">
        <v>3378499544.5900002</v>
      </c>
      <c r="G9" s="271">
        <v>2834740716</v>
      </c>
      <c r="H9" s="271">
        <v>2204190581.1300001</v>
      </c>
      <c r="I9" s="271">
        <v>1673872427.75</v>
      </c>
      <c r="J9" s="271">
        <v>1346014202.04</v>
      </c>
      <c r="K9" s="271">
        <v>1217158463.04</v>
      </c>
      <c r="L9" s="271">
        <v>941174062.44000006</v>
      </c>
      <c r="M9" s="271">
        <v>723155575.20000005</v>
      </c>
      <c r="N9" s="271">
        <v>492828170.27999997</v>
      </c>
      <c r="O9" s="271">
        <v>350685099.47000003</v>
      </c>
      <c r="P9" s="271">
        <v>311563047.88999999</v>
      </c>
      <c r="Q9" s="271">
        <v>291880260.69</v>
      </c>
      <c r="R9" s="271">
        <v>237706731.47</v>
      </c>
      <c r="S9" s="271">
        <v>181060278.22</v>
      </c>
    </row>
    <row r="10" spans="1:19">
      <c r="A10" s="271" t="s">
        <v>113</v>
      </c>
      <c r="B10" s="271">
        <v>-3521209.23</v>
      </c>
      <c r="C10" s="271">
        <v>-55722346.189999998</v>
      </c>
      <c r="D10" s="271">
        <v>-33175188.52</v>
      </c>
      <c r="E10" s="271">
        <v>-67266800.969999999</v>
      </c>
      <c r="F10" s="271">
        <v>-123168793.84</v>
      </c>
      <c r="G10" s="271">
        <v>-429074364.68000001</v>
      </c>
      <c r="H10" s="271">
        <v>-420975922.49000001</v>
      </c>
      <c r="I10" s="271">
        <v>-350751496.92000002</v>
      </c>
      <c r="J10" s="271">
        <v>-176577024.91</v>
      </c>
      <c r="K10" s="271">
        <v>-133636115.78</v>
      </c>
      <c r="L10" s="271">
        <v>-102500765.33</v>
      </c>
      <c r="M10" s="271">
        <v>-44743824.950000003</v>
      </c>
      <c r="N10" s="271">
        <v>-25268367.890000001</v>
      </c>
      <c r="O10" s="271">
        <v>-32264593.949999999</v>
      </c>
      <c r="P10" s="271">
        <v>-25993795.539999999</v>
      </c>
      <c r="Q10" s="271">
        <v>-16050225.99</v>
      </c>
      <c r="R10" s="271">
        <v>-17461501.870000001</v>
      </c>
      <c r="S10" s="271">
        <v>-5742353.4900000002</v>
      </c>
    </row>
    <row r="11" spans="1:19">
      <c r="A11" s="271" t="s">
        <v>114</v>
      </c>
      <c r="B11" s="271">
        <v>1289685.01</v>
      </c>
      <c r="C11" s="271">
        <v>-8053703.9500000002</v>
      </c>
      <c r="D11" s="271">
        <v>12327496.220000001</v>
      </c>
      <c r="E11" s="271">
        <v>-540313.39</v>
      </c>
      <c r="F11" s="271">
        <v>432745.88</v>
      </c>
      <c r="G11" s="271">
        <v>-2004032.3</v>
      </c>
      <c r="H11" s="271">
        <v>2979258.5</v>
      </c>
      <c r="I11" s="271">
        <v>-2500650.5699999998</v>
      </c>
      <c r="J11" s="271">
        <v>-3066975.05</v>
      </c>
      <c r="K11" s="271">
        <v>-300085.01</v>
      </c>
      <c r="L11" s="271">
        <v>450078.22</v>
      </c>
      <c r="M11" s="271">
        <v>-614738.65</v>
      </c>
      <c r="N11" s="271">
        <v>0</v>
      </c>
      <c r="O11" s="271">
        <v>0</v>
      </c>
      <c r="P11" s="271">
        <v>0</v>
      </c>
      <c r="Q11" s="271">
        <v>0</v>
      </c>
      <c r="R11" s="271">
        <v>0</v>
      </c>
      <c r="S11" s="271">
        <v>0</v>
      </c>
    </row>
    <row r="12" spans="1:19">
      <c r="A12" s="271" t="s">
        <v>738</v>
      </c>
      <c r="B12" s="271">
        <v>0</v>
      </c>
      <c r="C12" s="271">
        <v>0</v>
      </c>
      <c r="D12" s="271">
        <v>0</v>
      </c>
      <c r="E12" s="271">
        <v>0</v>
      </c>
      <c r="F12" s="271">
        <v>0</v>
      </c>
      <c r="G12" s="271">
        <v>0</v>
      </c>
      <c r="H12" s="271">
        <v>0</v>
      </c>
      <c r="I12" s="271">
        <v>0</v>
      </c>
      <c r="J12" s="271">
        <v>0</v>
      </c>
      <c r="K12" s="271">
        <v>0</v>
      </c>
      <c r="L12" s="271">
        <v>0</v>
      </c>
      <c r="M12" s="271">
        <v>0</v>
      </c>
      <c r="N12" s="271">
        <v>0</v>
      </c>
      <c r="O12" s="271">
        <v>0</v>
      </c>
      <c r="P12" s="271">
        <v>0</v>
      </c>
      <c r="Q12" s="271">
        <v>0</v>
      </c>
      <c r="R12" s="271">
        <v>0</v>
      </c>
      <c r="S12" s="271">
        <v>0</v>
      </c>
    </row>
    <row r="13" spans="1:19">
      <c r="A13" s="271" t="s">
        <v>115</v>
      </c>
      <c r="B13" s="271">
        <v>0</v>
      </c>
      <c r="C13" s="271">
        <v>0</v>
      </c>
      <c r="D13" s="271">
        <v>0</v>
      </c>
      <c r="E13" s="271">
        <v>3869276.9</v>
      </c>
      <c r="F13" s="271">
        <v>3095265.75</v>
      </c>
      <c r="G13" s="271">
        <v>3010000</v>
      </c>
      <c r="H13" s="271">
        <v>3103250</v>
      </c>
      <c r="I13" s="271">
        <v>3383000</v>
      </c>
      <c r="J13" s="271">
        <v>469050</v>
      </c>
      <c r="K13" s="271">
        <v>1209447.26</v>
      </c>
      <c r="L13" s="271">
        <v>1322250</v>
      </c>
      <c r="M13" s="271">
        <v>1814950</v>
      </c>
      <c r="N13" s="271">
        <v>3012928.94</v>
      </c>
      <c r="O13" s="271">
        <v>427953.6</v>
      </c>
      <c r="P13" s="271">
        <v>315063.71000000002</v>
      </c>
      <c r="Q13" s="271">
        <v>0</v>
      </c>
      <c r="R13" s="271">
        <v>0</v>
      </c>
      <c r="S13" s="271">
        <v>0</v>
      </c>
    </row>
    <row r="14" spans="1:19">
      <c r="A14" s="271" t="s">
        <v>739</v>
      </c>
      <c r="B14" s="271">
        <v>0</v>
      </c>
      <c r="C14" s="271">
        <v>0</v>
      </c>
      <c r="D14" s="271">
        <v>0</v>
      </c>
      <c r="E14" s="271">
        <v>0</v>
      </c>
      <c r="F14" s="271">
        <v>0</v>
      </c>
      <c r="G14" s="271">
        <v>0</v>
      </c>
      <c r="H14" s="271">
        <v>0</v>
      </c>
      <c r="I14" s="271">
        <v>0</v>
      </c>
      <c r="J14" s="271">
        <v>0</v>
      </c>
      <c r="K14" s="271">
        <v>0</v>
      </c>
      <c r="L14" s="271">
        <v>0</v>
      </c>
      <c r="M14" s="271">
        <v>0</v>
      </c>
      <c r="N14" s="271">
        <v>0</v>
      </c>
      <c r="O14" s="271">
        <v>0</v>
      </c>
      <c r="P14" s="271">
        <v>0</v>
      </c>
      <c r="Q14" s="271">
        <v>0</v>
      </c>
      <c r="R14" s="271">
        <v>0</v>
      </c>
      <c r="S14" s="271">
        <v>0</v>
      </c>
    </row>
    <row r="15" spans="1:19">
      <c r="A15" s="271" t="s">
        <v>116</v>
      </c>
      <c r="B15" s="271">
        <v>0</v>
      </c>
      <c r="C15" s="271">
        <v>0</v>
      </c>
      <c r="D15" s="271">
        <v>0</v>
      </c>
      <c r="E15" s="271">
        <v>0</v>
      </c>
      <c r="F15" s="271">
        <v>0</v>
      </c>
      <c r="G15" s="271">
        <v>0</v>
      </c>
      <c r="H15" s="271">
        <v>0</v>
      </c>
      <c r="I15" s="271">
        <v>0</v>
      </c>
      <c r="J15" s="271">
        <v>0</v>
      </c>
      <c r="K15" s="271">
        <v>0</v>
      </c>
      <c r="L15" s="271">
        <v>0</v>
      </c>
      <c r="M15" s="271">
        <v>0</v>
      </c>
      <c r="N15" s="271">
        <v>0</v>
      </c>
      <c r="O15" s="271">
        <v>0</v>
      </c>
      <c r="P15" s="271">
        <v>0</v>
      </c>
      <c r="Q15" s="271">
        <v>0</v>
      </c>
      <c r="R15" s="271">
        <v>0</v>
      </c>
      <c r="S15" s="271">
        <v>0</v>
      </c>
    </row>
    <row r="16" spans="1:19">
      <c r="A16" s="271" t="s">
        <v>117</v>
      </c>
      <c r="B16" s="271">
        <v>51342987681.18</v>
      </c>
      <c r="C16" s="271">
        <v>38940007533.449997</v>
      </c>
      <c r="D16" s="271">
        <v>24265625169.419998</v>
      </c>
      <c r="E16" s="271">
        <v>22158991962.869999</v>
      </c>
      <c r="F16" s="271">
        <v>22102973250.900002</v>
      </c>
      <c r="G16" s="271">
        <v>21791544952</v>
      </c>
      <c r="H16" s="271">
        <v>18830739817.650002</v>
      </c>
      <c r="I16" s="271">
        <v>12336164425.08</v>
      </c>
      <c r="J16" s="271">
        <v>7160906229.5</v>
      </c>
      <c r="K16" s="271">
        <v>6075520510.7200003</v>
      </c>
      <c r="L16" s="271">
        <v>5390384855.0299997</v>
      </c>
      <c r="M16" s="271">
        <v>4525341001.8000002</v>
      </c>
      <c r="N16" s="271">
        <v>2486802681.8400002</v>
      </c>
      <c r="O16" s="271">
        <v>1919280411.1800001</v>
      </c>
      <c r="P16" s="271">
        <v>1488107055.8299999</v>
      </c>
      <c r="Q16" s="271">
        <v>975438404.24000001</v>
      </c>
      <c r="R16" s="271">
        <v>649125227.39999998</v>
      </c>
      <c r="S16" s="271">
        <v>610141665.90999997</v>
      </c>
    </row>
    <row r="17" spans="1:19">
      <c r="A17" s="271" t="s">
        <v>740</v>
      </c>
      <c r="B17" s="271">
        <v>11619526.109999999</v>
      </c>
      <c r="C17" s="271">
        <v>12201990.51</v>
      </c>
      <c r="D17" s="271">
        <v>8553926.0600000005</v>
      </c>
      <c r="E17" s="271">
        <v>4823183.32</v>
      </c>
      <c r="F17" s="271">
        <v>6562552.1799999997</v>
      </c>
      <c r="G17" s="271">
        <v>32763249.140000001</v>
      </c>
      <c r="H17" s="271">
        <v>6756532.1900000004</v>
      </c>
      <c r="I17" s="271">
        <v>7181584.54</v>
      </c>
      <c r="J17" s="271">
        <v>5307144.91</v>
      </c>
      <c r="K17" s="271">
        <v>6247977</v>
      </c>
      <c r="L17" s="271">
        <v>6282035.79</v>
      </c>
      <c r="M17" s="271">
        <v>2917186.44</v>
      </c>
      <c r="N17" s="271">
        <v>1149619.55</v>
      </c>
      <c r="O17" s="271">
        <v>1762887.9</v>
      </c>
      <c r="P17" s="271">
        <v>3601893.97</v>
      </c>
      <c r="Q17" s="271">
        <v>1392334.71</v>
      </c>
      <c r="R17" s="271">
        <v>137822</v>
      </c>
      <c r="S17" s="271">
        <v>72208.039999999994</v>
      </c>
    </row>
    <row r="18" spans="1:19">
      <c r="A18" s="271" t="s">
        <v>118</v>
      </c>
      <c r="B18" s="271">
        <v>527003759.81999999</v>
      </c>
      <c r="C18" s="271">
        <v>212137381.36000001</v>
      </c>
      <c r="D18" s="271">
        <v>316298138.37</v>
      </c>
      <c r="E18" s="271">
        <v>162100184.84999999</v>
      </c>
      <c r="F18" s="271">
        <v>227193365.75</v>
      </c>
      <c r="G18" s="271">
        <v>391947775.17000002</v>
      </c>
      <c r="H18" s="271">
        <v>137005880.68000001</v>
      </c>
      <c r="I18" s="271">
        <v>8685535.8200000003</v>
      </c>
      <c r="J18" s="271">
        <v>3796643.04</v>
      </c>
      <c r="K18" s="271">
        <v>1228603.08</v>
      </c>
      <c r="L18" s="271">
        <v>11366252.66</v>
      </c>
      <c r="M18" s="271">
        <v>6233172.3099999996</v>
      </c>
      <c r="N18" s="271">
        <v>191818.51</v>
      </c>
      <c r="O18" s="271">
        <v>796935.44</v>
      </c>
      <c r="P18" s="271">
        <v>1036434.99</v>
      </c>
      <c r="Q18" s="271">
        <v>137513.69</v>
      </c>
      <c r="R18" s="271">
        <v>10611.88</v>
      </c>
      <c r="S18" s="271">
        <v>3004334.7</v>
      </c>
    </row>
    <row r="19" spans="1:19">
      <c r="A19" s="271" t="s">
        <v>119</v>
      </c>
      <c r="B19" s="271">
        <v>0</v>
      </c>
      <c r="C19" s="271">
        <v>0</v>
      </c>
      <c r="D19" s="271">
        <v>1960971.07</v>
      </c>
      <c r="E19" s="271">
        <v>188439.42</v>
      </c>
      <c r="F19" s="271">
        <v>86754481.230000004</v>
      </c>
      <c r="G19" s="271">
        <v>8997287.1699999999</v>
      </c>
      <c r="H19" s="271">
        <v>0</v>
      </c>
      <c r="I19" s="271">
        <v>0</v>
      </c>
      <c r="J19" s="271">
        <v>0</v>
      </c>
      <c r="K19" s="271">
        <v>0</v>
      </c>
      <c r="L19" s="271">
        <v>0</v>
      </c>
      <c r="M19" s="271">
        <v>0</v>
      </c>
      <c r="N19" s="271">
        <v>0</v>
      </c>
      <c r="O19" s="271">
        <v>0</v>
      </c>
      <c r="P19" s="271">
        <v>0</v>
      </c>
      <c r="Q19" s="271">
        <v>0</v>
      </c>
      <c r="R19" s="271">
        <v>0</v>
      </c>
      <c r="S19" s="271">
        <v>0</v>
      </c>
    </row>
    <row r="20" spans="1:19">
      <c r="A20" s="271" t="s">
        <v>120</v>
      </c>
      <c r="B20" s="271">
        <v>50827603447.470001</v>
      </c>
      <c r="C20" s="271">
        <v>38740072142.599998</v>
      </c>
      <c r="D20" s="271">
        <v>23957880957.110001</v>
      </c>
      <c r="E20" s="271">
        <v>22001714961.34</v>
      </c>
      <c r="F20" s="271">
        <v>21882342437.330002</v>
      </c>
      <c r="G20" s="271">
        <v>21432360425.970001</v>
      </c>
      <c r="H20" s="271">
        <v>18700490469.16</v>
      </c>
      <c r="I20" s="271">
        <v>12334660473.799999</v>
      </c>
      <c r="J20" s="271">
        <v>7162416731.3699999</v>
      </c>
      <c r="K20" s="271">
        <v>6080539884.6400003</v>
      </c>
      <c r="L20" s="271">
        <v>5385300638.1599998</v>
      </c>
      <c r="M20" s="271">
        <v>4522025015.9300003</v>
      </c>
      <c r="N20" s="271">
        <v>2488186993.4299998</v>
      </c>
      <c r="O20" s="271">
        <v>1920246363.6400001</v>
      </c>
      <c r="P20" s="271">
        <v>1490672514.8099999</v>
      </c>
      <c r="Q20" s="271">
        <v>977294613.25999999</v>
      </c>
      <c r="R20" s="271">
        <v>649370371.51999998</v>
      </c>
      <c r="S20" s="271">
        <v>607278206.25</v>
      </c>
    </row>
    <row r="21" spans="1:19">
      <c r="A21" s="271" t="s">
        <v>741</v>
      </c>
      <c r="B21" s="271">
        <v>12997985690.66</v>
      </c>
      <c r="C21" s="271">
        <v>9733648906.6000004</v>
      </c>
      <c r="D21" s="271">
        <v>6027237847.2299995</v>
      </c>
      <c r="E21" s="271">
        <v>5546718336.1199999</v>
      </c>
      <c r="F21" s="271">
        <v>5612970927.5</v>
      </c>
      <c r="G21" s="271">
        <v>5467460544.9200001</v>
      </c>
      <c r="H21" s="271">
        <v>4692039766.9899998</v>
      </c>
      <c r="I21" s="271">
        <v>3084336666.1799998</v>
      </c>
      <c r="J21" s="271">
        <v>1822655234.4000001</v>
      </c>
      <c r="K21" s="271">
        <v>1527650940.6400001</v>
      </c>
      <c r="L21" s="271">
        <v>1384541295.05</v>
      </c>
      <c r="M21" s="271">
        <v>1555972506.98</v>
      </c>
      <c r="N21" s="271">
        <v>913878754.97000003</v>
      </c>
      <c r="O21" s="271">
        <v>751124237.92999995</v>
      </c>
      <c r="P21" s="271">
        <v>636500339.35000002</v>
      </c>
      <c r="Q21" s="271">
        <v>368541117.19999999</v>
      </c>
      <c r="R21" s="271">
        <v>256784400.75</v>
      </c>
      <c r="S21" s="271">
        <v>264912397.47999999</v>
      </c>
    </row>
    <row r="22" spans="1:19">
      <c r="A22" s="271" t="s">
        <v>121</v>
      </c>
      <c r="B22" s="271">
        <v>37829617756.809998</v>
      </c>
      <c r="C22" s="271">
        <v>29006423236</v>
      </c>
      <c r="D22" s="271">
        <v>17930643109.880001</v>
      </c>
      <c r="E22" s="271">
        <v>16454996625.219999</v>
      </c>
      <c r="F22" s="271">
        <v>16269371509.83</v>
      </c>
      <c r="G22" s="271">
        <v>15964899881.049999</v>
      </c>
      <c r="H22" s="271">
        <v>14008450702.17</v>
      </c>
      <c r="I22" s="271">
        <v>9250323807.6200008</v>
      </c>
      <c r="J22" s="271">
        <v>5339761496.9700003</v>
      </c>
      <c r="K22" s="271">
        <v>4552888944</v>
      </c>
      <c r="L22" s="271">
        <v>4000759343.1100001</v>
      </c>
      <c r="M22" s="271">
        <v>2966052508.9499998</v>
      </c>
      <c r="N22" s="271">
        <v>1574308238.46</v>
      </c>
      <c r="O22" s="271">
        <v>1169122125.71</v>
      </c>
      <c r="P22" s="271">
        <v>854172175.46000004</v>
      </c>
      <c r="Q22" s="271">
        <v>608753496.05999994</v>
      </c>
      <c r="R22" s="271">
        <v>376798521.36000001</v>
      </c>
      <c r="S22" s="271">
        <v>328290723.13999999</v>
      </c>
    </row>
    <row r="23" spans="1:19">
      <c r="A23" s="271" t="s">
        <v>122</v>
      </c>
      <c r="B23" s="271">
        <v>35203625263.220001</v>
      </c>
      <c r="C23" s="271">
        <v>27079360255.740002</v>
      </c>
      <c r="D23" s="271">
        <v>16718362734.16</v>
      </c>
      <c r="E23" s="271">
        <v>15503090276.379999</v>
      </c>
      <c r="F23" s="271">
        <v>15349804322.27</v>
      </c>
      <c r="G23" s="271">
        <v>15136639784.35</v>
      </c>
      <c r="H23" s="271">
        <v>13308079612.879999</v>
      </c>
      <c r="I23" s="271">
        <v>8763145910.2299995</v>
      </c>
      <c r="J23" s="271">
        <v>5051194218.2600002</v>
      </c>
      <c r="K23" s="271">
        <v>4312446124.7299995</v>
      </c>
      <c r="L23" s="271">
        <v>3799480558.5100002</v>
      </c>
      <c r="M23" s="271">
        <v>2830831594.3600001</v>
      </c>
      <c r="N23" s="271">
        <v>1504116840.49</v>
      </c>
      <c r="O23" s="271">
        <v>1118541629.3699999</v>
      </c>
      <c r="P23" s="271">
        <v>820553997.19000006</v>
      </c>
      <c r="Q23" s="271">
        <v>586747838.26999998</v>
      </c>
      <c r="R23" s="271">
        <v>376798521.36000001</v>
      </c>
      <c r="S23" s="271">
        <v>328290723.13999999</v>
      </c>
    </row>
    <row r="24" spans="1:19">
      <c r="A24" s="271" t="s">
        <v>123</v>
      </c>
      <c r="B24" s="271">
        <v>2625992493.5900002</v>
      </c>
      <c r="C24" s="271">
        <v>1927062980.26</v>
      </c>
      <c r="D24" s="271">
        <v>1212280375.72</v>
      </c>
      <c r="E24" s="271">
        <v>951906348.84000003</v>
      </c>
      <c r="F24" s="271">
        <v>919567187.55999994</v>
      </c>
      <c r="G24" s="271">
        <v>828260096.70000005</v>
      </c>
      <c r="H24" s="271">
        <v>700371089.28999996</v>
      </c>
      <c r="I24" s="271">
        <v>487177897.38999999</v>
      </c>
      <c r="J24" s="271">
        <v>288567278.70999998</v>
      </c>
      <c r="K24" s="271">
        <v>240442819.27000001</v>
      </c>
      <c r="L24" s="271">
        <v>201278784.59999999</v>
      </c>
      <c r="M24" s="271">
        <v>135220914.59</v>
      </c>
      <c r="N24" s="271">
        <v>70191397.969999999</v>
      </c>
      <c r="O24" s="271">
        <v>50580496.340000004</v>
      </c>
      <c r="P24" s="271">
        <v>33618178.270000003</v>
      </c>
      <c r="Q24" s="271">
        <v>22005657.789999999</v>
      </c>
      <c r="R24" s="271">
        <v>15787449.41</v>
      </c>
      <c r="S24" s="271">
        <v>14075085.630000001</v>
      </c>
    </row>
    <row r="25" spans="1:19">
      <c r="A25" s="271" t="s">
        <v>742</v>
      </c>
      <c r="B25" s="271">
        <v>0</v>
      </c>
      <c r="C25" s="271">
        <v>0</v>
      </c>
      <c r="D25" s="271">
        <v>0</v>
      </c>
      <c r="E25" s="271">
        <v>0</v>
      </c>
      <c r="F25" s="271">
        <v>0</v>
      </c>
      <c r="G25" s="271">
        <v>0</v>
      </c>
      <c r="H25" s="271">
        <v>0</v>
      </c>
      <c r="I25" s="271">
        <v>0</v>
      </c>
      <c r="J25" s="271">
        <v>0</v>
      </c>
      <c r="K25" s="271">
        <v>0</v>
      </c>
      <c r="L25" s="271">
        <v>0</v>
      </c>
      <c r="M25" s="271">
        <v>0</v>
      </c>
      <c r="N25" s="271">
        <v>0</v>
      </c>
      <c r="O25" s="271">
        <v>0</v>
      </c>
      <c r="P25" s="271">
        <v>0</v>
      </c>
      <c r="Q25" s="271">
        <v>0</v>
      </c>
      <c r="R25" s="271">
        <v>0</v>
      </c>
      <c r="S25" s="271">
        <v>0</v>
      </c>
    </row>
    <row r="26" spans="1:19">
      <c r="A26" s="271" t="s">
        <v>743</v>
      </c>
      <c r="B26" s="271">
        <v>28.02</v>
      </c>
      <c r="C26" s="271">
        <v>21.56</v>
      </c>
      <c r="D26" s="271">
        <v>13.31</v>
      </c>
      <c r="E26" s="271">
        <v>12.34</v>
      </c>
      <c r="F26" s="271">
        <v>13.44</v>
      </c>
      <c r="G26" s="271">
        <v>14.58</v>
      </c>
      <c r="H26" s="271">
        <v>12.82</v>
      </c>
      <c r="I26" s="271">
        <v>8.44</v>
      </c>
      <c r="J26" s="271">
        <v>5.35</v>
      </c>
      <c r="K26" s="271">
        <v>4.57</v>
      </c>
      <c r="L26" s="271">
        <v>4.03</v>
      </c>
      <c r="M26" s="271">
        <v>3</v>
      </c>
      <c r="N26" s="271">
        <v>0</v>
      </c>
      <c r="O26" s="271">
        <v>0</v>
      </c>
      <c r="P26" s="271">
        <v>0</v>
      </c>
      <c r="Q26" s="271">
        <v>0</v>
      </c>
      <c r="R26" s="271">
        <v>1.37</v>
      </c>
      <c r="S26" s="271">
        <v>1.31</v>
      </c>
    </row>
    <row r="27" spans="1:19">
      <c r="A27" s="271" t="s">
        <v>744</v>
      </c>
      <c r="B27" s="271">
        <v>28.02</v>
      </c>
      <c r="C27" s="271">
        <v>21.56</v>
      </c>
      <c r="D27" s="271">
        <v>13.31</v>
      </c>
      <c r="E27" s="271">
        <v>12.34</v>
      </c>
      <c r="F27" s="271">
        <v>13.44</v>
      </c>
      <c r="G27" s="271">
        <v>14.58</v>
      </c>
      <c r="H27" s="271">
        <v>12.82</v>
      </c>
      <c r="I27" s="271">
        <v>8.44</v>
      </c>
      <c r="J27" s="271">
        <v>5.35</v>
      </c>
      <c r="K27" s="271">
        <v>4.57</v>
      </c>
      <c r="L27" s="271">
        <v>4.03</v>
      </c>
      <c r="M27" s="271">
        <v>3</v>
      </c>
      <c r="N27" s="271">
        <v>0</v>
      </c>
      <c r="O27" s="271">
        <v>0</v>
      </c>
      <c r="P27" s="271">
        <v>0</v>
      </c>
      <c r="Q27" s="271">
        <v>0</v>
      </c>
      <c r="R27" s="271">
        <v>0</v>
      </c>
      <c r="S27" s="271">
        <v>0</v>
      </c>
    </row>
    <row r="28" spans="1:19">
      <c r="A28" s="271" t="s">
        <v>124</v>
      </c>
      <c r="B28" s="271">
        <v>335850.7</v>
      </c>
      <c r="C28" s="271">
        <v>3839265.16</v>
      </c>
      <c r="D28" s="271">
        <v>1793233.91</v>
      </c>
      <c r="E28" s="271">
        <v>-12415031.48</v>
      </c>
      <c r="F28" s="271">
        <v>-619043.99</v>
      </c>
      <c r="G28" s="271">
        <v>0</v>
      </c>
      <c r="H28" s="271">
        <v>0</v>
      </c>
      <c r="I28" s="271">
        <v>0</v>
      </c>
      <c r="J28" s="271">
        <v>0</v>
      </c>
      <c r="K28" s="271">
        <v>0</v>
      </c>
      <c r="L28" s="271">
        <v>0</v>
      </c>
      <c r="M28" s="271">
        <v>0</v>
      </c>
      <c r="N28" s="271">
        <v>0</v>
      </c>
      <c r="O28" s="271">
        <v>0</v>
      </c>
      <c r="P28" s="271">
        <v>0</v>
      </c>
      <c r="Q28" s="271">
        <v>0</v>
      </c>
      <c r="R28" s="271">
        <v>0</v>
      </c>
      <c r="S28" s="271">
        <v>0</v>
      </c>
    </row>
    <row r="29" spans="1:19">
      <c r="A29" s="271" t="s">
        <v>125</v>
      </c>
      <c r="B29" s="271">
        <v>37829953607.510002</v>
      </c>
      <c r="C29" s="271">
        <v>29010262501.16</v>
      </c>
      <c r="D29" s="271">
        <v>17932436343.790001</v>
      </c>
      <c r="E29" s="271">
        <v>16442581593.74</v>
      </c>
      <c r="F29" s="271">
        <v>16268752465.84</v>
      </c>
      <c r="G29" s="271">
        <v>15964899881.049999</v>
      </c>
      <c r="H29" s="271">
        <v>14008450702.17</v>
      </c>
      <c r="I29" s="271">
        <v>9250323807.6200008</v>
      </c>
      <c r="J29" s="271">
        <v>0</v>
      </c>
      <c r="K29" s="271">
        <v>0</v>
      </c>
      <c r="L29" s="271">
        <v>0</v>
      </c>
      <c r="M29" s="271">
        <v>0</v>
      </c>
      <c r="N29" s="271">
        <v>0</v>
      </c>
      <c r="O29" s="271">
        <v>0</v>
      </c>
      <c r="P29" s="271">
        <v>0</v>
      </c>
      <c r="Q29" s="271">
        <v>0</v>
      </c>
      <c r="R29" s="271">
        <v>0</v>
      </c>
      <c r="S29" s="271">
        <v>0</v>
      </c>
    </row>
    <row r="30" spans="1:19">
      <c r="A30" s="271" t="s">
        <v>745</v>
      </c>
      <c r="B30" s="271">
        <v>35203961113.919998</v>
      </c>
      <c r="C30" s="271">
        <v>27083199520.900002</v>
      </c>
      <c r="D30" s="271">
        <v>16720155968.07</v>
      </c>
      <c r="E30" s="271">
        <v>15490675244.9</v>
      </c>
      <c r="F30" s="271">
        <v>15349185278.280001</v>
      </c>
      <c r="G30" s="271">
        <v>15136639784.35</v>
      </c>
      <c r="H30" s="271">
        <v>13308079612.879999</v>
      </c>
      <c r="I30" s="271">
        <v>8763145910.2299995</v>
      </c>
      <c r="J30" s="271">
        <v>0</v>
      </c>
      <c r="K30" s="271">
        <v>0</v>
      </c>
      <c r="L30" s="271">
        <v>0</v>
      </c>
      <c r="M30" s="271">
        <v>0</v>
      </c>
      <c r="N30" s="271">
        <v>0</v>
      </c>
      <c r="O30" s="271">
        <v>0</v>
      </c>
      <c r="P30" s="271">
        <v>0</v>
      </c>
      <c r="Q30" s="271">
        <v>0</v>
      </c>
      <c r="R30" s="271">
        <v>0</v>
      </c>
      <c r="S30" s="271">
        <v>0</v>
      </c>
    </row>
    <row r="31" spans="1:19">
      <c r="A31" s="271" t="s">
        <v>746</v>
      </c>
      <c r="B31" s="271">
        <v>2625992493.5900002</v>
      </c>
      <c r="C31" s="271">
        <v>1927062980.26</v>
      </c>
      <c r="D31" s="271">
        <v>1212280375.72</v>
      </c>
      <c r="E31" s="271">
        <v>951906348.84000003</v>
      </c>
      <c r="F31" s="271">
        <v>919567187.55999994</v>
      </c>
      <c r="G31" s="271">
        <v>828260096.70000005</v>
      </c>
      <c r="H31" s="271">
        <v>700371089.28999996</v>
      </c>
      <c r="I31" s="271">
        <v>487177897.38999999</v>
      </c>
      <c r="J31" s="271">
        <v>0</v>
      </c>
      <c r="K31" s="271">
        <v>0</v>
      </c>
      <c r="L31" s="271">
        <v>0</v>
      </c>
      <c r="M31" s="271">
        <v>0</v>
      </c>
      <c r="N31" s="271">
        <v>0</v>
      </c>
      <c r="O31" s="271">
        <v>0</v>
      </c>
      <c r="P31" s="271">
        <v>0</v>
      </c>
      <c r="Q31" s="271">
        <v>0</v>
      </c>
      <c r="R31" s="271">
        <v>0</v>
      </c>
      <c r="S31" s="271">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S77"/>
  <sheetViews>
    <sheetView workbookViewId="0">
      <selection activeCell="A31" sqref="A31"/>
    </sheetView>
  </sheetViews>
  <sheetFormatPr defaultRowHeight="13.5"/>
  <cols>
    <col min="1" max="1" width="52.625" style="271" bestFit="1" customWidth="1"/>
    <col min="2" max="2" width="13.875" style="271" bestFit="1" customWidth="1"/>
    <col min="3" max="3" width="12.75" style="271" bestFit="1" customWidth="1"/>
    <col min="4" max="5" width="13.875" style="271" bestFit="1" customWidth="1"/>
    <col min="6" max="6" width="12.75" style="271" bestFit="1" customWidth="1"/>
    <col min="7" max="19" width="13.875" style="271" bestFit="1" customWidth="1"/>
    <col min="20" max="16384" width="9" style="271"/>
  </cols>
  <sheetData>
    <row r="1" spans="1:19">
      <c r="A1" s="271">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row>
    <row r="2" spans="1:19">
      <c r="A2" s="271" t="s">
        <v>105</v>
      </c>
      <c r="B2" s="271" t="s">
        <v>106</v>
      </c>
      <c r="C2" s="271" t="s">
        <v>106</v>
      </c>
      <c r="D2" s="271" t="s">
        <v>106</v>
      </c>
      <c r="E2" s="271" t="s">
        <v>106</v>
      </c>
      <c r="F2" s="271" t="s">
        <v>106</v>
      </c>
      <c r="G2" s="271" t="s">
        <v>106</v>
      </c>
      <c r="H2" s="271" t="s">
        <v>106</v>
      </c>
      <c r="I2" s="271" t="s">
        <v>106</v>
      </c>
      <c r="J2" s="271" t="s">
        <v>106</v>
      </c>
      <c r="K2" s="271" t="s">
        <v>106</v>
      </c>
      <c r="L2" s="271" t="s">
        <v>106</v>
      </c>
      <c r="M2" s="271" t="s">
        <v>106</v>
      </c>
      <c r="N2" s="271" t="s">
        <v>106</v>
      </c>
      <c r="O2" s="271" t="s">
        <v>106</v>
      </c>
      <c r="P2" s="271" t="s">
        <v>106</v>
      </c>
      <c r="Q2" s="271" t="s">
        <v>106</v>
      </c>
      <c r="R2" s="271" t="s">
        <v>106</v>
      </c>
      <c r="S2" s="271" t="s">
        <v>106</v>
      </c>
    </row>
    <row r="3" spans="1:19">
      <c r="A3" s="271" t="s">
        <v>126</v>
      </c>
      <c r="B3" s="271" t="s">
        <v>657</v>
      </c>
      <c r="C3" s="271" t="s">
        <v>657</v>
      </c>
      <c r="D3" s="271" t="s">
        <v>657</v>
      </c>
      <c r="E3" s="271" t="s">
        <v>657</v>
      </c>
      <c r="F3" s="271" t="s">
        <v>657</v>
      </c>
      <c r="G3" s="271" t="s">
        <v>657</v>
      </c>
      <c r="H3" s="271" t="s">
        <v>657</v>
      </c>
      <c r="I3" s="271" t="s">
        <v>657</v>
      </c>
      <c r="J3" s="271" t="s">
        <v>657</v>
      </c>
      <c r="K3" s="271" t="s">
        <v>657</v>
      </c>
      <c r="L3" s="271" t="s">
        <v>657</v>
      </c>
      <c r="M3" s="271" t="s">
        <v>657</v>
      </c>
      <c r="N3" s="271" t="s">
        <v>657</v>
      </c>
      <c r="O3" s="271" t="s">
        <v>657</v>
      </c>
      <c r="P3" s="271" t="s">
        <v>657</v>
      </c>
      <c r="Q3" s="271" t="s">
        <v>657</v>
      </c>
      <c r="R3" s="271" t="s">
        <v>657</v>
      </c>
      <c r="S3" s="271" t="s">
        <v>657</v>
      </c>
    </row>
    <row r="4" spans="1:19">
      <c r="A4" s="271" t="s">
        <v>747</v>
      </c>
      <c r="B4" s="271">
        <v>84268695732.619995</v>
      </c>
      <c r="C4" s="271">
        <v>64421479343.019997</v>
      </c>
      <c r="D4" s="271">
        <v>61012964102.540001</v>
      </c>
      <c r="E4" s="271">
        <v>37083071835.580002</v>
      </c>
      <c r="F4" s="271">
        <v>33384835714.040001</v>
      </c>
      <c r="G4" s="271">
        <v>33233870603.650002</v>
      </c>
      <c r="H4" s="271">
        <v>28912367684.82</v>
      </c>
      <c r="I4" s="271">
        <v>23659131281.080002</v>
      </c>
      <c r="J4" s="271">
        <v>14938581885.610001</v>
      </c>
      <c r="K4" s="271">
        <v>11756243820.83</v>
      </c>
      <c r="L4" s="271">
        <v>11275230701.85</v>
      </c>
      <c r="M4" s="271">
        <v>7437754281.3400002</v>
      </c>
      <c r="N4" s="271">
        <v>6140872490.1000004</v>
      </c>
      <c r="O4" s="271">
        <v>4976668595.3400002</v>
      </c>
      <c r="P4" s="271">
        <v>3646470061.6100001</v>
      </c>
      <c r="Q4" s="271">
        <v>3057788375.3499999</v>
      </c>
      <c r="R4" s="271">
        <v>2288635492.04</v>
      </c>
      <c r="S4" s="271">
        <v>1800399443.0899999</v>
      </c>
    </row>
    <row r="5" spans="1:19">
      <c r="A5" s="271" t="s">
        <v>127</v>
      </c>
      <c r="B5" s="271">
        <v>0</v>
      </c>
      <c r="C5" s="271">
        <v>0</v>
      </c>
      <c r="D5" s="271">
        <v>0</v>
      </c>
      <c r="E5" s="271">
        <v>0</v>
      </c>
      <c r="F5" s="271">
        <v>0</v>
      </c>
      <c r="G5" s="271">
        <v>0</v>
      </c>
      <c r="H5" s="271">
        <v>0</v>
      </c>
      <c r="I5" s="271">
        <v>0</v>
      </c>
      <c r="J5" s="271">
        <v>181031.15</v>
      </c>
      <c r="K5" s="271">
        <v>0</v>
      </c>
      <c r="L5" s="271">
        <v>0</v>
      </c>
      <c r="M5" s="271">
        <v>0</v>
      </c>
      <c r="N5" s="271">
        <v>0</v>
      </c>
      <c r="O5" s="271">
        <v>50557133.43</v>
      </c>
      <c r="P5" s="271">
        <v>123262072.51000001</v>
      </c>
      <c r="Q5" s="271">
        <v>81417405.400000006</v>
      </c>
      <c r="R5" s="271">
        <v>7215268.8899999997</v>
      </c>
      <c r="S5" s="271">
        <v>1846053.69</v>
      </c>
    </row>
    <row r="6" spans="1:19">
      <c r="A6" s="271" t="s">
        <v>748</v>
      </c>
      <c r="B6" s="271">
        <v>621558368.28999996</v>
      </c>
      <c r="C6" s="271">
        <v>542162210.47000003</v>
      </c>
      <c r="D6" s="271">
        <v>189142723.94999999</v>
      </c>
      <c r="E6" s="271">
        <v>153647241.24000001</v>
      </c>
      <c r="F6" s="271">
        <v>2103013963.4200001</v>
      </c>
      <c r="G6" s="271">
        <v>3479254399.3699999</v>
      </c>
      <c r="H6" s="271">
        <v>387671188.50999999</v>
      </c>
      <c r="I6" s="271">
        <v>181674213.03999999</v>
      </c>
      <c r="J6" s="271">
        <v>138196684.25999999</v>
      </c>
      <c r="K6" s="271">
        <v>185888008.21000001</v>
      </c>
      <c r="L6" s="271">
        <v>242355759.12</v>
      </c>
      <c r="M6" s="271">
        <v>95684682.109999999</v>
      </c>
      <c r="N6" s="271">
        <v>41497583.009999998</v>
      </c>
      <c r="O6" s="271">
        <v>16087755.58</v>
      </c>
      <c r="P6" s="271">
        <v>47576179.270000003</v>
      </c>
      <c r="Q6" s="271">
        <v>44909156.740000002</v>
      </c>
      <c r="R6" s="271">
        <v>32433164.170000002</v>
      </c>
      <c r="S6" s="271">
        <v>44381149.119999997</v>
      </c>
    </row>
    <row r="7" spans="1:19">
      <c r="A7" s="271" t="s">
        <v>128</v>
      </c>
      <c r="B7" s="271">
        <v>89345635398.699997</v>
      </c>
      <c r="C7" s="271">
        <v>67369462511.809998</v>
      </c>
      <c r="D7" s="271">
        <v>67279145637.93</v>
      </c>
      <c r="E7" s="271">
        <v>40013906850.050003</v>
      </c>
      <c r="F7" s="271">
        <v>35487849677.459999</v>
      </c>
      <c r="G7" s="271">
        <v>36713125003.019997</v>
      </c>
      <c r="H7" s="271">
        <v>29300038873.330002</v>
      </c>
      <c r="I7" s="271">
        <v>23840805494.119999</v>
      </c>
      <c r="J7" s="271">
        <v>15076959601.02</v>
      </c>
      <c r="K7" s="271">
        <v>11942131829.040001</v>
      </c>
      <c r="L7" s="271">
        <v>11517586460.969999</v>
      </c>
      <c r="M7" s="271">
        <v>7533438963.4499998</v>
      </c>
      <c r="N7" s="271">
        <v>6182370073.1099997</v>
      </c>
      <c r="O7" s="271">
        <v>5043313484.3500004</v>
      </c>
      <c r="P7" s="271">
        <v>3817308313.3899999</v>
      </c>
      <c r="Q7" s="271">
        <v>3184114937.4899998</v>
      </c>
      <c r="R7" s="271">
        <v>2328283925.0999999</v>
      </c>
      <c r="S7" s="271">
        <v>1846626645.9000001</v>
      </c>
    </row>
    <row r="8" spans="1:19">
      <c r="A8" s="271" t="s">
        <v>129</v>
      </c>
      <c r="B8" s="271">
        <v>5298518032.5500002</v>
      </c>
      <c r="C8" s="271">
        <v>4875768504.1599998</v>
      </c>
      <c r="D8" s="271">
        <v>2773020403.27</v>
      </c>
      <c r="E8" s="271">
        <v>2967732630.3699999</v>
      </c>
      <c r="F8" s="271">
        <v>2838028404.9699998</v>
      </c>
      <c r="G8" s="271">
        <v>3152308925.4699998</v>
      </c>
      <c r="H8" s="271">
        <v>2707393653.3299999</v>
      </c>
      <c r="I8" s="271">
        <v>2353687717.48</v>
      </c>
      <c r="J8" s="271">
        <v>1669804222.04</v>
      </c>
      <c r="K8" s="271">
        <v>1557075938.7</v>
      </c>
      <c r="L8" s="271">
        <v>1214717814.8299999</v>
      </c>
      <c r="M8" s="271">
        <v>1098306968.3299999</v>
      </c>
      <c r="N8" s="271">
        <v>804488570.85000002</v>
      </c>
      <c r="O8" s="271">
        <v>950764775.72000003</v>
      </c>
      <c r="P8" s="271">
        <v>864365999.46000004</v>
      </c>
      <c r="Q8" s="271">
        <v>638529865.39999998</v>
      </c>
      <c r="R8" s="271">
        <v>623577741.01999998</v>
      </c>
      <c r="S8" s="271">
        <v>594708128.38999999</v>
      </c>
    </row>
    <row r="9" spans="1:19">
      <c r="A9" s="271" t="s">
        <v>130</v>
      </c>
      <c r="B9" s="271">
        <v>6653137733.6599998</v>
      </c>
      <c r="C9" s="271">
        <v>5489606122.4799995</v>
      </c>
      <c r="D9" s="271">
        <v>4674154236.6599998</v>
      </c>
      <c r="E9" s="271">
        <v>4536877341.1000004</v>
      </c>
      <c r="F9" s="271">
        <v>3393609756.8699999</v>
      </c>
      <c r="G9" s="271">
        <v>3135608084.79</v>
      </c>
      <c r="H9" s="271">
        <v>2953919072.54</v>
      </c>
      <c r="I9" s="271">
        <v>1925571991.79</v>
      </c>
      <c r="J9" s="271">
        <v>1492813443.3499999</v>
      </c>
      <c r="K9" s="271">
        <v>1229305038.48</v>
      </c>
      <c r="L9" s="271">
        <v>809386845.14999998</v>
      </c>
      <c r="M9" s="271">
        <v>623333896.62</v>
      </c>
      <c r="N9" s="271">
        <v>403859477.30000001</v>
      </c>
      <c r="O9" s="271">
        <v>250797895.84999999</v>
      </c>
      <c r="P9" s="271">
        <v>159838716.74000001</v>
      </c>
      <c r="Q9" s="271">
        <v>205782831.25</v>
      </c>
      <c r="R9" s="271">
        <v>106684520.62</v>
      </c>
      <c r="S9" s="271">
        <v>93314750.840000004</v>
      </c>
    </row>
    <row r="10" spans="1:19">
      <c r="A10" s="271" t="s">
        <v>131</v>
      </c>
      <c r="B10" s="271">
        <v>32032178125.919998</v>
      </c>
      <c r="C10" s="271">
        <v>23065648503.049999</v>
      </c>
      <c r="D10" s="271">
        <v>17510516331.200001</v>
      </c>
      <c r="E10" s="271">
        <v>14003048933.209999</v>
      </c>
      <c r="F10" s="271">
        <v>14496450812.41</v>
      </c>
      <c r="G10" s="271">
        <v>12533350979.209999</v>
      </c>
      <c r="H10" s="271">
        <v>10170840319.219999</v>
      </c>
      <c r="I10" s="271">
        <v>8286279154.8400002</v>
      </c>
      <c r="J10" s="271">
        <v>4885737303.3699999</v>
      </c>
      <c r="K10" s="271">
        <v>4160350102.4899998</v>
      </c>
      <c r="L10" s="271">
        <v>3666868792.0999999</v>
      </c>
      <c r="M10" s="271">
        <v>3602532438.23</v>
      </c>
      <c r="N10" s="271">
        <v>2387944330.8699999</v>
      </c>
      <c r="O10" s="271">
        <v>1600737072.95</v>
      </c>
      <c r="P10" s="271">
        <v>1298348904.97</v>
      </c>
      <c r="Q10" s="271">
        <v>985931576.96000004</v>
      </c>
      <c r="R10" s="271">
        <v>753570901.88999999</v>
      </c>
      <c r="S10" s="271">
        <v>702151217.78999996</v>
      </c>
    </row>
    <row r="11" spans="1:19">
      <c r="A11" s="271" t="s">
        <v>749</v>
      </c>
      <c r="B11" s="271">
        <v>2935766833.0700002</v>
      </c>
      <c r="C11" s="271">
        <v>2940296363.54</v>
      </c>
      <c r="D11" s="271">
        <v>2371486776.8800001</v>
      </c>
      <c r="E11" s="271">
        <v>1867442431.6500001</v>
      </c>
      <c r="F11" s="271">
        <v>2127238266.6099999</v>
      </c>
      <c r="G11" s="271">
        <v>5236832151.6300001</v>
      </c>
      <c r="H11" s="271">
        <v>1546575218.99</v>
      </c>
      <c r="I11" s="271">
        <v>1126701940.48</v>
      </c>
      <c r="J11" s="271">
        <v>827128112.69000006</v>
      </c>
      <c r="K11" s="271">
        <v>771463605.17999995</v>
      </c>
      <c r="L11" s="271">
        <v>579124473.14999998</v>
      </c>
      <c r="M11" s="271">
        <v>465962448.88999999</v>
      </c>
      <c r="N11" s="271">
        <v>480906660.39999998</v>
      </c>
      <c r="O11" s="271">
        <v>547306251.50999999</v>
      </c>
      <c r="P11" s="271">
        <v>518970212.01999998</v>
      </c>
      <c r="Q11" s="271">
        <v>412164421.80000001</v>
      </c>
      <c r="R11" s="271">
        <v>409868382.91000003</v>
      </c>
      <c r="S11" s="271">
        <v>414169511.52999997</v>
      </c>
    </row>
    <row r="12" spans="1:19">
      <c r="A12" s="271" t="s">
        <v>132</v>
      </c>
      <c r="B12" s="271">
        <v>47960400991.980003</v>
      </c>
      <c r="C12" s="271">
        <v>45216426427.68</v>
      </c>
      <c r="D12" s="271">
        <v>29827895990.880001</v>
      </c>
      <c r="E12" s="271">
        <v>22577566708.330002</v>
      </c>
      <c r="F12" s="271">
        <v>22855327240.860001</v>
      </c>
      <c r="G12" s="271">
        <v>24058100141.099998</v>
      </c>
      <c r="H12" s="271">
        <v>17378728264.080002</v>
      </c>
      <c r="I12" s="271">
        <v>13692240804.59</v>
      </c>
      <c r="J12" s="271">
        <v>8875483081.4500008</v>
      </c>
      <c r="K12" s="271">
        <v>7718194684.8500004</v>
      </c>
      <c r="L12" s="271">
        <v>6270097925.2299995</v>
      </c>
      <c r="M12" s="271">
        <v>5790135752.0699997</v>
      </c>
      <c r="N12" s="271">
        <v>4077199039.4200001</v>
      </c>
      <c r="O12" s="271">
        <v>3349605996.0300002</v>
      </c>
      <c r="P12" s="271">
        <v>2841523833.1900001</v>
      </c>
      <c r="Q12" s="271">
        <v>2242408695.4099998</v>
      </c>
      <c r="R12" s="271">
        <v>1893701546.4400001</v>
      </c>
      <c r="S12" s="271">
        <v>1804343608.55</v>
      </c>
    </row>
    <row r="13" spans="1:19">
      <c r="A13" s="271" t="s">
        <v>133</v>
      </c>
      <c r="B13" s="271">
        <v>41385234406.720001</v>
      </c>
      <c r="C13" s="271">
        <v>22153036084.130001</v>
      </c>
      <c r="D13" s="271">
        <v>37451249647.050003</v>
      </c>
      <c r="E13" s="271">
        <v>17436340141.720001</v>
      </c>
      <c r="F13" s="271">
        <v>12632522436.6</v>
      </c>
      <c r="G13" s="271">
        <v>12655024861.92</v>
      </c>
      <c r="H13" s="271">
        <v>11921310609.25</v>
      </c>
      <c r="I13" s="271">
        <v>10148564689.530001</v>
      </c>
      <c r="J13" s="271">
        <v>6201476519.5699997</v>
      </c>
      <c r="K13" s="271">
        <v>4223937144.1900001</v>
      </c>
      <c r="L13" s="271">
        <v>5247488535.7399998</v>
      </c>
      <c r="M13" s="271">
        <v>1743303211.3800001</v>
      </c>
      <c r="N13" s="271">
        <v>2105171033.6900001</v>
      </c>
      <c r="O13" s="271">
        <v>1693707488.3199999</v>
      </c>
      <c r="P13" s="271">
        <v>975784480.20000005</v>
      </c>
      <c r="Q13" s="271">
        <v>941706242.08000004</v>
      </c>
      <c r="R13" s="271">
        <v>434582378.66000003</v>
      </c>
      <c r="S13" s="271">
        <v>42283037.350000001</v>
      </c>
    </row>
    <row r="14" spans="1:19">
      <c r="A14" s="271" t="s">
        <v>134</v>
      </c>
      <c r="B14" s="271" t="s">
        <v>657</v>
      </c>
      <c r="C14" s="271" t="s">
        <v>657</v>
      </c>
      <c r="D14" s="271" t="s">
        <v>657</v>
      </c>
      <c r="E14" s="271" t="s">
        <v>657</v>
      </c>
      <c r="F14" s="271" t="s">
        <v>657</v>
      </c>
      <c r="G14" s="271" t="s">
        <v>657</v>
      </c>
      <c r="H14" s="271" t="s">
        <v>657</v>
      </c>
      <c r="I14" s="271" t="s">
        <v>657</v>
      </c>
      <c r="J14" s="271" t="s">
        <v>657</v>
      </c>
      <c r="K14" s="271" t="s">
        <v>657</v>
      </c>
      <c r="L14" s="271" t="s">
        <v>657</v>
      </c>
      <c r="M14" s="271" t="s">
        <v>657</v>
      </c>
      <c r="N14" s="271" t="s">
        <v>657</v>
      </c>
      <c r="O14" s="271" t="s">
        <v>657</v>
      </c>
      <c r="P14" s="271" t="s">
        <v>657</v>
      </c>
      <c r="Q14" s="271" t="s">
        <v>657</v>
      </c>
      <c r="R14" s="271" t="s">
        <v>657</v>
      </c>
      <c r="S14" s="271" t="s">
        <v>657</v>
      </c>
    </row>
    <row r="15" spans="1:19">
      <c r="A15" s="271" t="s">
        <v>750</v>
      </c>
      <c r="B15" s="271">
        <v>0</v>
      </c>
      <c r="C15" s="271">
        <v>0</v>
      </c>
      <c r="D15" s="271">
        <v>0</v>
      </c>
      <c r="E15" s="271">
        <v>60050000</v>
      </c>
      <c r="F15" s="271">
        <v>5000000</v>
      </c>
      <c r="G15" s="271">
        <v>0</v>
      </c>
      <c r="H15" s="271">
        <v>10000000</v>
      </c>
      <c r="I15" s="271">
        <v>0</v>
      </c>
      <c r="J15" s="271">
        <v>17000000</v>
      </c>
      <c r="K15" s="271">
        <v>25000000</v>
      </c>
      <c r="L15" s="271">
        <v>21000000</v>
      </c>
      <c r="M15" s="271">
        <v>0</v>
      </c>
      <c r="N15" s="271">
        <v>0</v>
      </c>
      <c r="O15" s="271">
        <v>0</v>
      </c>
      <c r="P15" s="271">
        <v>0</v>
      </c>
      <c r="Q15" s="271">
        <v>0</v>
      </c>
      <c r="R15" s="271">
        <v>0</v>
      </c>
      <c r="S15" s="271">
        <v>0</v>
      </c>
    </row>
    <row r="16" spans="1:19">
      <c r="A16" s="271" t="s">
        <v>751</v>
      </c>
      <c r="B16" s="271">
        <v>0</v>
      </c>
      <c r="C16" s="271">
        <v>0</v>
      </c>
      <c r="D16" s="271">
        <v>0</v>
      </c>
      <c r="E16" s="271">
        <v>3869172.05</v>
      </c>
      <c r="F16" s="271">
        <v>3095265.75</v>
      </c>
      <c r="G16" s="271">
        <v>3010000</v>
      </c>
      <c r="H16" s="271">
        <v>4129000</v>
      </c>
      <c r="I16" s="271">
        <v>3010000</v>
      </c>
      <c r="J16" s="271">
        <v>1731400</v>
      </c>
      <c r="K16" s="271">
        <v>2080397.26</v>
      </c>
      <c r="L16" s="271">
        <v>2123100</v>
      </c>
      <c r="M16" s="271">
        <v>0</v>
      </c>
      <c r="N16" s="271">
        <v>0</v>
      </c>
      <c r="O16" s="271">
        <v>0</v>
      </c>
      <c r="P16" s="271">
        <v>0</v>
      </c>
      <c r="Q16" s="271">
        <v>0</v>
      </c>
      <c r="R16" s="271">
        <v>0</v>
      </c>
      <c r="S16" s="271">
        <v>0</v>
      </c>
    </row>
    <row r="17" spans="1:19">
      <c r="A17" s="271" t="s">
        <v>752</v>
      </c>
      <c r="B17" s="271">
        <v>0</v>
      </c>
      <c r="C17" s="271">
        <v>16450</v>
      </c>
      <c r="D17" s="271">
        <v>92084.5</v>
      </c>
      <c r="E17" s="271">
        <v>8772937.3900000006</v>
      </c>
      <c r="F17" s="271">
        <v>10226939.390000001</v>
      </c>
      <c r="G17" s="271">
        <v>0</v>
      </c>
      <c r="H17" s="271">
        <v>79000</v>
      </c>
      <c r="I17" s="271">
        <v>41600</v>
      </c>
      <c r="J17" s="271">
        <v>0</v>
      </c>
      <c r="K17" s="271">
        <v>0</v>
      </c>
      <c r="L17" s="271">
        <v>50000</v>
      </c>
      <c r="M17" s="271">
        <v>0</v>
      </c>
      <c r="N17" s="271">
        <v>5950</v>
      </c>
      <c r="O17" s="271">
        <v>0</v>
      </c>
      <c r="P17" s="271">
        <v>0</v>
      </c>
      <c r="Q17" s="271">
        <v>0</v>
      </c>
      <c r="R17" s="271">
        <v>0</v>
      </c>
      <c r="S17" s="271">
        <v>0</v>
      </c>
    </row>
    <row r="18" spans="1:19">
      <c r="A18" s="271" t="s">
        <v>135</v>
      </c>
      <c r="B18" s="271">
        <v>0</v>
      </c>
      <c r="C18" s="271">
        <v>0</v>
      </c>
      <c r="D18" s="271">
        <v>0</v>
      </c>
      <c r="E18" s="271">
        <v>0</v>
      </c>
      <c r="F18" s="271">
        <v>0</v>
      </c>
      <c r="G18" s="271">
        <v>0</v>
      </c>
      <c r="H18" s="271">
        <v>0</v>
      </c>
      <c r="I18" s="271">
        <v>0</v>
      </c>
      <c r="J18" s="271">
        <v>0</v>
      </c>
      <c r="K18" s="271">
        <v>0</v>
      </c>
      <c r="L18" s="271">
        <v>0</v>
      </c>
      <c r="M18" s="271">
        <v>0</v>
      </c>
      <c r="N18" s="271">
        <v>0</v>
      </c>
      <c r="O18" s="271">
        <v>0</v>
      </c>
      <c r="P18" s="271">
        <v>0</v>
      </c>
      <c r="Q18" s="271">
        <v>0</v>
      </c>
      <c r="R18" s="271">
        <v>0</v>
      </c>
      <c r="S18" s="271">
        <v>0</v>
      </c>
    </row>
    <row r="19" spans="1:19">
      <c r="A19" s="271" t="s">
        <v>753</v>
      </c>
      <c r="B19" s="271">
        <v>11244181.300000001</v>
      </c>
      <c r="C19" s="271">
        <v>21430672.949999999</v>
      </c>
      <c r="D19" s="271">
        <v>5562351.1900000004</v>
      </c>
      <c r="E19" s="271">
        <v>33357886.050000001</v>
      </c>
      <c r="F19" s="271">
        <v>106726852</v>
      </c>
      <c r="G19" s="271">
        <v>756386234.63999999</v>
      </c>
      <c r="H19" s="271">
        <v>340299568</v>
      </c>
      <c r="I19" s="271">
        <v>212533826.84</v>
      </c>
      <c r="J19" s="271">
        <v>56315726.509999998</v>
      </c>
      <c r="K19" s="271">
        <v>0</v>
      </c>
      <c r="L19" s="271">
        <v>0</v>
      </c>
      <c r="M19" s="271">
        <v>0</v>
      </c>
      <c r="N19" s="271">
        <v>0</v>
      </c>
      <c r="O19" s="271">
        <v>0</v>
      </c>
      <c r="P19" s="271">
        <v>0</v>
      </c>
      <c r="Q19" s="271">
        <v>0</v>
      </c>
      <c r="R19" s="271">
        <v>0</v>
      </c>
      <c r="S19" s="271">
        <v>0</v>
      </c>
    </row>
    <row r="20" spans="1:19">
      <c r="A20" s="271" t="s">
        <v>136</v>
      </c>
      <c r="B20" s="271">
        <v>11244181.300000001</v>
      </c>
      <c r="C20" s="271">
        <v>21447122.949999999</v>
      </c>
      <c r="D20" s="271">
        <v>5654435.6900000004</v>
      </c>
      <c r="E20" s="271">
        <v>106049995.48999999</v>
      </c>
      <c r="F20" s="271">
        <v>125049057.14</v>
      </c>
      <c r="G20" s="271">
        <v>759396234.63999999</v>
      </c>
      <c r="H20" s="271">
        <v>354507568</v>
      </c>
      <c r="I20" s="271">
        <v>215585426.84</v>
      </c>
      <c r="J20" s="271">
        <v>75047126.510000005</v>
      </c>
      <c r="K20" s="271">
        <v>27080397.260000002</v>
      </c>
      <c r="L20" s="271">
        <v>23173100</v>
      </c>
      <c r="M20" s="271">
        <v>0</v>
      </c>
      <c r="N20" s="271">
        <v>5950</v>
      </c>
      <c r="O20" s="271">
        <v>0</v>
      </c>
      <c r="P20" s="271">
        <v>0</v>
      </c>
      <c r="Q20" s="271">
        <v>0</v>
      </c>
      <c r="R20" s="271">
        <v>0</v>
      </c>
      <c r="S20" s="271">
        <v>0</v>
      </c>
    </row>
    <row r="21" spans="1:19">
      <c r="A21" s="271" t="s">
        <v>754</v>
      </c>
      <c r="B21" s="271">
        <v>1606750226.28</v>
      </c>
      <c r="C21" s="271">
        <v>1125017192.45</v>
      </c>
      <c r="D21" s="271">
        <v>1019178136.92</v>
      </c>
      <c r="E21" s="271">
        <v>2061470481.3199999</v>
      </c>
      <c r="F21" s="271">
        <v>4431065066.0500002</v>
      </c>
      <c r="G21" s="271">
        <v>5405740026.2299995</v>
      </c>
      <c r="H21" s="271">
        <v>4211900807.9099998</v>
      </c>
      <c r="I21" s="271">
        <v>2184528163.1100001</v>
      </c>
      <c r="J21" s="271">
        <v>1731913788.52</v>
      </c>
      <c r="K21" s="271">
        <v>1356601530.0899999</v>
      </c>
      <c r="L21" s="271">
        <v>1010735786.04</v>
      </c>
      <c r="M21" s="271">
        <v>772456652.49000001</v>
      </c>
      <c r="N21" s="271">
        <v>737075587.27999997</v>
      </c>
      <c r="O21" s="271">
        <v>540843725.72000003</v>
      </c>
      <c r="P21" s="271">
        <v>355190020.75</v>
      </c>
      <c r="Q21" s="271">
        <v>334880557.62</v>
      </c>
      <c r="R21" s="271">
        <v>467451921.25</v>
      </c>
      <c r="S21" s="271">
        <v>331691548.18000001</v>
      </c>
    </row>
    <row r="22" spans="1:19">
      <c r="A22" s="271" t="s">
        <v>755</v>
      </c>
      <c r="B22" s="271">
        <v>0</v>
      </c>
      <c r="C22" s="271">
        <v>0</v>
      </c>
      <c r="D22" s="271">
        <v>0</v>
      </c>
      <c r="E22" s="271">
        <v>25050000</v>
      </c>
      <c r="F22" s="271">
        <v>15000000</v>
      </c>
      <c r="G22" s="271">
        <v>0</v>
      </c>
      <c r="H22" s="271">
        <v>0</v>
      </c>
      <c r="I22" s="271">
        <v>0</v>
      </c>
      <c r="J22" s="271">
        <v>50000000</v>
      </c>
      <c r="K22" s="271">
        <v>10000000</v>
      </c>
      <c r="L22" s="271">
        <v>5000000</v>
      </c>
      <c r="M22" s="271">
        <v>17000000</v>
      </c>
      <c r="N22" s="271">
        <v>41000000</v>
      </c>
      <c r="O22" s="271">
        <v>0</v>
      </c>
      <c r="P22" s="271">
        <v>0</v>
      </c>
      <c r="Q22" s="271">
        <v>0</v>
      </c>
      <c r="R22" s="271">
        <v>4000000</v>
      </c>
      <c r="S22" s="271">
        <v>0</v>
      </c>
    </row>
    <row r="23" spans="1:19">
      <c r="A23" s="271" t="s">
        <v>137</v>
      </c>
      <c r="B23" s="271">
        <v>0</v>
      </c>
      <c r="C23" s="271">
        <v>0</v>
      </c>
      <c r="D23" s="271">
        <v>0</v>
      </c>
      <c r="E23" s="271">
        <v>0</v>
      </c>
      <c r="F23" s="271">
        <v>0</v>
      </c>
      <c r="G23" s="271">
        <v>0</v>
      </c>
      <c r="H23" s="271">
        <v>0</v>
      </c>
      <c r="I23" s="271">
        <v>0</v>
      </c>
      <c r="J23" s="271">
        <v>0</v>
      </c>
      <c r="K23" s="271">
        <v>0</v>
      </c>
      <c r="L23" s="271">
        <v>0</v>
      </c>
      <c r="M23" s="271">
        <v>0</v>
      </c>
      <c r="N23" s="271">
        <v>0</v>
      </c>
      <c r="O23" s="271">
        <v>0</v>
      </c>
      <c r="P23" s="271">
        <v>0</v>
      </c>
      <c r="Q23" s="271">
        <v>0</v>
      </c>
      <c r="R23" s="271">
        <v>0</v>
      </c>
      <c r="S23" s="271">
        <v>0</v>
      </c>
    </row>
    <row r="24" spans="1:19">
      <c r="A24" s="271" t="s">
        <v>756</v>
      </c>
      <c r="B24" s="271">
        <v>33456659.579999998</v>
      </c>
      <c r="C24" s="271">
        <v>17075145.100000001</v>
      </c>
      <c r="D24" s="271">
        <v>88977102.969999999</v>
      </c>
      <c r="E24" s="271">
        <v>68319778.760000005</v>
      </c>
      <c r="F24" s="271">
        <v>259143571.28</v>
      </c>
      <c r="G24" s="271">
        <v>692967608.36000001</v>
      </c>
      <c r="H24" s="271">
        <v>342083058.36000001</v>
      </c>
      <c r="I24" s="271">
        <v>151475313.63999999</v>
      </c>
      <c r="J24" s="271">
        <v>56522892.710000001</v>
      </c>
      <c r="K24" s="271">
        <v>0</v>
      </c>
      <c r="L24" s="271">
        <v>0</v>
      </c>
      <c r="M24" s="271">
        <v>0</v>
      </c>
      <c r="N24" s="271">
        <v>0</v>
      </c>
      <c r="O24" s="271">
        <v>0</v>
      </c>
      <c r="P24" s="271">
        <v>0</v>
      </c>
      <c r="Q24" s="271">
        <v>0</v>
      </c>
      <c r="R24" s="271">
        <v>0</v>
      </c>
      <c r="S24" s="271">
        <v>0</v>
      </c>
    </row>
    <row r="25" spans="1:19">
      <c r="A25" s="271" t="s">
        <v>138</v>
      </c>
      <c r="B25" s="271">
        <v>1640206885.8599999</v>
      </c>
      <c r="C25" s="271">
        <v>1142092337.55</v>
      </c>
      <c r="D25" s="271">
        <v>1108155239.8900001</v>
      </c>
      <c r="E25" s="271">
        <v>2154840260.0799999</v>
      </c>
      <c r="F25" s="271">
        <v>4705208637.3299999</v>
      </c>
      <c r="G25" s="271">
        <v>6098707634.5900002</v>
      </c>
      <c r="H25" s="271">
        <v>4553983866.2700005</v>
      </c>
      <c r="I25" s="271">
        <v>2336003476.75</v>
      </c>
      <c r="J25" s="271">
        <v>1838436681.23</v>
      </c>
      <c r="K25" s="271">
        <v>1366601530.0899999</v>
      </c>
      <c r="L25" s="271">
        <v>1015735786.04</v>
      </c>
      <c r="M25" s="271">
        <v>789456652.49000001</v>
      </c>
      <c r="N25" s="271">
        <v>778075587.27999997</v>
      </c>
      <c r="O25" s="271">
        <v>540843725.72000003</v>
      </c>
      <c r="P25" s="271">
        <v>355190020.75</v>
      </c>
      <c r="Q25" s="271">
        <v>334880557.62</v>
      </c>
      <c r="R25" s="271">
        <v>471451921.25</v>
      </c>
      <c r="S25" s="271">
        <v>331691548.18000001</v>
      </c>
    </row>
    <row r="26" spans="1:19">
      <c r="A26" s="271" t="s">
        <v>139</v>
      </c>
      <c r="B26" s="271">
        <v>-1628962704.5599999</v>
      </c>
      <c r="C26" s="271">
        <v>-1120645214.5999999</v>
      </c>
      <c r="D26" s="271">
        <v>-1102500804.2</v>
      </c>
      <c r="E26" s="271">
        <v>-2048790264.5899999</v>
      </c>
      <c r="F26" s="271">
        <v>-4580159580.1899996</v>
      </c>
      <c r="G26" s="271">
        <v>-5339311399.9499998</v>
      </c>
      <c r="H26" s="271">
        <v>-4199476298.27</v>
      </c>
      <c r="I26" s="271">
        <v>-2120418049.9100001</v>
      </c>
      <c r="J26" s="271">
        <v>-1763389554.72</v>
      </c>
      <c r="K26" s="271">
        <v>-1339521132.8299999</v>
      </c>
      <c r="L26" s="271">
        <v>-992562686.03999996</v>
      </c>
      <c r="M26" s="271">
        <v>-789456652.49000001</v>
      </c>
      <c r="N26" s="271">
        <v>-778069637.27999997</v>
      </c>
      <c r="O26" s="271">
        <v>-540843725.72000003</v>
      </c>
      <c r="P26" s="271">
        <v>-355190020.75</v>
      </c>
      <c r="Q26" s="271">
        <v>-334880557.62</v>
      </c>
      <c r="R26" s="271">
        <v>-471451921.25</v>
      </c>
      <c r="S26" s="271">
        <v>-331691548.18000001</v>
      </c>
    </row>
    <row r="27" spans="1:19">
      <c r="A27" s="271" t="s">
        <v>140</v>
      </c>
      <c r="B27" s="271" t="s">
        <v>657</v>
      </c>
      <c r="C27" s="271" t="s">
        <v>657</v>
      </c>
      <c r="D27" s="271" t="s">
        <v>657</v>
      </c>
      <c r="E27" s="271" t="s">
        <v>657</v>
      </c>
      <c r="F27" s="271" t="s">
        <v>657</v>
      </c>
      <c r="G27" s="271" t="s">
        <v>657</v>
      </c>
      <c r="H27" s="271" t="s">
        <v>657</v>
      </c>
      <c r="I27" s="271" t="s">
        <v>657</v>
      </c>
      <c r="J27" s="271" t="s">
        <v>657</v>
      </c>
      <c r="K27" s="271" t="s">
        <v>657</v>
      </c>
      <c r="L27" s="271" t="s">
        <v>657</v>
      </c>
      <c r="M27" s="271" t="s">
        <v>657</v>
      </c>
      <c r="N27" s="271" t="s">
        <v>657</v>
      </c>
      <c r="O27" s="271" t="s">
        <v>657</v>
      </c>
      <c r="P27" s="271" t="s">
        <v>657</v>
      </c>
      <c r="Q27" s="271" t="s">
        <v>657</v>
      </c>
      <c r="R27" s="271" t="s">
        <v>657</v>
      </c>
      <c r="S27" s="271" t="s">
        <v>657</v>
      </c>
    </row>
    <row r="28" spans="1:19">
      <c r="A28" s="271" t="s">
        <v>141</v>
      </c>
      <c r="B28" s="271">
        <v>0</v>
      </c>
      <c r="C28" s="271">
        <v>6000000</v>
      </c>
      <c r="D28" s="271">
        <v>16000000</v>
      </c>
      <c r="E28" s="271">
        <v>0</v>
      </c>
      <c r="F28" s="271">
        <v>34800000</v>
      </c>
      <c r="G28" s="271">
        <v>6000000</v>
      </c>
      <c r="H28" s="271">
        <v>392000000</v>
      </c>
      <c r="I28" s="271">
        <v>0</v>
      </c>
      <c r="J28" s="271">
        <v>0</v>
      </c>
      <c r="K28" s="271">
        <v>0</v>
      </c>
      <c r="L28" s="271">
        <v>0</v>
      </c>
      <c r="M28" s="271">
        <v>0</v>
      </c>
      <c r="N28" s="271">
        <v>0</v>
      </c>
      <c r="O28" s="271">
        <v>0</v>
      </c>
      <c r="P28" s="271">
        <v>0</v>
      </c>
      <c r="Q28" s="271">
        <v>0</v>
      </c>
      <c r="R28" s="271">
        <v>0</v>
      </c>
      <c r="S28" s="271">
        <v>2016922206.52</v>
      </c>
    </row>
    <row r="29" spans="1:19">
      <c r="A29" s="271" t="s">
        <v>142</v>
      </c>
      <c r="B29" s="271">
        <v>0</v>
      </c>
      <c r="C29" s="271">
        <v>0</v>
      </c>
      <c r="D29" s="271">
        <v>0</v>
      </c>
      <c r="E29" s="271">
        <v>0</v>
      </c>
      <c r="F29" s="271">
        <v>0</v>
      </c>
      <c r="G29" s="271">
        <v>0</v>
      </c>
      <c r="H29" s="271">
        <v>0</v>
      </c>
      <c r="I29" s="271">
        <v>0</v>
      </c>
      <c r="J29" s="271">
        <v>0</v>
      </c>
      <c r="K29" s="271">
        <v>0</v>
      </c>
      <c r="L29" s="271">
        <v>0</v>
      </c>
      <c r="M29" s="271">
        <v>0</v>
      </c>
      <c r="N29" s="271">
        <v>0</v>
      </c>
      <c r="O29" s="271">
        <v>0</v>
      </c>
      <c r="P29" s="271">
        <v>0</v>
      </c>
      <c r="Q29" s="271">
        <v>0</v>
      </c>
      <c r="R29" s="271">
        <v>0</v>
      </c>
      <c r="S29" s="271">
        <v>0</v>
      </c>
    </row>
    <row r="30" spans="1:19">
      <c r="A30" s="271" t="s">
        <v>143</v>
      </c>
      <c r="B30" s="271">
        <v>0</v>
      </c>
      <c r="C30" s="271">
        <v>0</v>
      </c>
      <c r="D30" s="271">
        <v>0</v>
      </c>
      <c r="E30" s="271">
        <v>0</v>
      </c>
      <c r="F30" s="271">
        <v>67382607</v>
      </c>
      <c r="G30" s="271">
        <v>0</v>
      </c>
      <c r="H30" s="271">
        <v>0</v>
      </c>
      <c r="I30" s="271">
        <v>0</v>
      </c>
      <c r="J30" s="271">
        <v>0</v>
      </c>
      <c r="K30" s="271">
        <v>0</v>
      </c>
      <c r="L30" s="271">
        <v>0</v>
      </c>
      <c r="M30" s="271">
        <v>0</v>
      </c>
      <c r="N30" s="271">
        <v>0</v>
      </c>
      <c r="O30" s="271">
        <v>0</v>
      </c>
      <c r="P30" s="271">
        <v>0</v>
      </c>
      <c r="Q30" s="271">
        <v>0</v>
      </c>
      <c r="R30" s="271">
        <v>0</v>
      </c>
      <c r="S30" s="271">
        <v>0</v>
      </c>
    </row>
    <row r="31" spans="1:19">
      <c r="A31" s="271" t="s">
        <v>144</v>
      </c>
      <c r="B31" s="271">
        <v>0</v>
      </c>
      <c r="C31" s="271">
        <v>0</v>
      </c>
      <c r="D31" s="271">
        <v>0</v>
      </c>
      <c r="E31" s="271">
        <v>0</v>
      </c>
      <c r="F31" s="271">
        <v>0</v>
      </c>
      <c r="G31" s="271">
        <v>0</v>
      </c>
      <c r="H31" s="271">
        <v>0</v>
      </c>
      <c r="I31" s="271">
        <v>0</v>
      </c>
      <c r="J31" s="271">
        <v>0</v>
      </c>
      <c r="K31" s="271">
        <v>0</v>
      </c>
      <c r="L31" s="271">
        <v>0</v>
      </c>
      <c r="M31" s="271">
        <v>0</v>
      </c>
      <c r="N31" s="271">
        <v>0</v>
      </c>
      <c r="O31" s="271">
        <v>0</v>
      </c>
      <c r="P31" s="271">
        <v>0</v>
      </c>
      <c r="Q31" s="271">
        <v>0</v>
      </c>
      <c r="R31" s="271">
        <v>0</v>
      </c>
      <c r="S31" s="271">
        <v>0</v>
      </c>
    </row>
    <row r="32" spans="1:19">
      <c r="A32" s="271" t="s">
        <v>145</v>
      </c>
      <c r="B32" s="271">
        <v>0</v>
      </c>
      <c r="C32" s="271">
        <v>0</v>
      </c>
      <c r="D32" s="271">
        <v>0</v>
      </c>
      <c r="E32" s="271">
        <v>22000000</v>
      </c>
      <c r="F32" s="271">
        <v>0</v>
      </c>
      <c r="G32" s="271">
        <v>17474.78</v>
      </c>
      <c r="H32" s="271">
        <v>89497.15</v>
      </c>
      <c r="I32" s="271">
        <v>102972.37</v>
      </c>
      <c r="J32" s="271">
        <v>105801.61</v>
      </c>
      <c r="K32" s="271">
        <v>158121.82</v>
      </c>
      <c r="L32" s="271">
        <v>761176.07</v>
      </c>
      <c r="M32" s="271">
        <v>1504621</v>
      </c>
      <c r="N32" s="271">
        <v>4146323.1</v>
      </c>
      <c r="O32" s="271">
        <v>32502077.899999999</v>
      </c>
      <c r="P32" s="271">
        <v>0</v>
      </c>
      <c r="Q32" s="271">
        <v>300000</v>
      </c>
      <c r="R32" s="271">
        <v>0</v>
      </c>
      <c r="S32" s="271">
        <v>0</v>
      </c>
    </row>
    <row r="33" spans="1:19">
      <c r="A33" s="271" t="s">
        <v>146</v>
      </c>
      <c r="B33" s="271">
        <v>0</v>
      </c>
      <c r="C33" s="271">
        <v>6000000</v>
      </c>
      <c r="D33" s="271">
        <v>16000000</v>
      </c>
      <c r="E33" s="271">
        <v>22000000</v>
      </c>
      <c r="F33" s="271">
        <v>102182607</v>
      </c>
      <c r="G33" s="271">
        <v>6017474.7800000003</v>
      </c>
      <c r="H33" s="271">
        <v>392089497.14999998</v>
      </c>
      <c r="I33" s="271">
        <v>102972.37</v>
      </c>
      <c r="J33" s="271">
        <v>105801.61</v>
      </c>
      <c r="K33" s="271">
        <v>158121.82</v>
      </c>
      <c r="L33" s="271">
        <v>761176.07</v>
      </c>
      <c r="M33" s="271">
        <v>1504621</v>
      </c>
      <c r="N33" s="271">
        <v>4146323.1</v>
      </c>
      <c r="O33" s="271">
        <v>32502077.899999999</v>
      </c>
      <c r="P33" s="271">
        <v>0</v>
      </c>
      <c r="Q33" s="271">
        <v>300000</v>
      </c>
      <c r="R33" s="271">
        <v>0</v>
      </c>
      <c r="S33" s="271">
        <v>2016922206.52</v>
      </c>
    </row>
    <row r="34" spans="1:19">
      <c r="A34" s="271" t="s">
        <v>147</v>
      </c>
      <c r="B34" s="271">
        <v>0</v>
      </c>
      <c r="C34" s="271">
        <v>0</v>
      </c>
      <c r="D34" s="271">
        <v>0</v>
      </c>
      <c r="E34" s="271">
        <v>55917672</v>
      </c>
      <c r="F34" s="271">
        <v>0</v>
      </c>
      <c r="G34" s="271">
        <v>0</v>
      </c>
      <c r="H34" s="271">
        <v>0</v>
      </c>
      <c r="I34" s="271">
        <v>0</v>
      </c>
      <c r="J34" s="271">
        <v>0</v>
      </c>
      <c r="K34" s="271">
        <v>0</v>
      </c>
      <c r="L34" s="271">
        <v>0</v>
      </c>
      <c r="M34" s="271">
        <v>0</v>
      </c>
      <c r="N34" s="271">
        <v>0</v>
      </c>
      <c r="O34" s="271">
        <v>0</v>
      </c>
      <c r="P34" s="271">
        <v>0</v>
      </c>
      <c r="Q34" s="271">
        <v>0</v>
      </c>
      <c r="R34" s="271">
        <v>0</v>
      </c>
      <c r="S34" s="271">
        <v>129000000</v>
      </c>
    </row>
    <row r="35" spans="1:19">
      <c r="A35" s="271" t="s">
        <v>757</v>
      </c>
      <c r="B35" s="271">
        <v>16441093160.059999</v>
      </c>
      <c r="C35" s="271">
        <v>8905177880.7999992</v>
      </c>
      <c r="D35" s="271">
        <v>8350512252.2299995</v>
      </c>
      <c r="E35" s="271">
        <v>5554101966.6099997</v>
      </c>
      <c r="F35" s="271">
        <v>5121609336.3299999</v>
      </c>
      <c r="G35" s="271">
        <v>7391988549.25</v>
      </c>
      <c r="H35" s="271">
        <v>4306614120</v>
      </c>
      <c r="I35" s="271">
        <v>2661953339.2399998</v>
      </c>
      <c r="J35" s="271">
        <v>1292951032.4100001</v>
      </c>
      <c r="K35" s="271">
        <v>1235143869.0999999</v>
      </c>
      <c r="L35" s="271">
        <v>884671434.63</v>
      </c>
      <c r="M35" s="271">
        <v>706866028.20000005</v>
      </c>
      <c r="N35" s="271">
        <v>760139114.39999998</v>
      </c>
      <c r="O35" s="271">
        <v>191703825.81999999</v>
      </c>
      <c r="P35" s="271">
        <v>62314427.450000003</v>
      </c>
      <c r="Q35" s="271">
        <v>47385988.25</v>
      </c>
      <c r="R35" s="271">
        <v>139259336.87</v>
      </c>
      <c r="S35" s="271">
        <v>103060709.05</v>
      </c>
    </row>
    <row r="36" spans="1:19">
      <c r="A36" s="271" t="s">
        <v>148</v>
      </c>
      <c r="B36" s="271">
        <v>2624173549.23</v>
      </c>
      <c r="C36" s="271">
        <v>0</v>
      </c>
      <c r="D36" s="271">
        <v>532067286.55000001</v>
      </c>
      <c r="E36" s="271">
        <v>513009332.72000003</v>
      </c>
      <c r="F36" s="271">
        <v>0</v>
      </c>
      <c r="G36" s="271">
        <v>0</v>
      </c>
      <c r="H36" s="271">
        <v>0</v>
      </c>
      <c r="I36" s="271">
        <v>0</v>
      </c>
      <c r="J36" s="271">
        <v>0</v>
      </c>
      <c r="K36" s="271">
        <v>0</v>
      </c>
      <c r="L36" s="271">
        <v>0</v>
      </c>
      <c r="M36" s="271">
        <v>0</v>
      </c>
      <c r="N36" s="271">
        <v>0</v>
      </c>
      <c r="O36" s="271">
        <v>0</v>
      </c>
      <c r="P36" s="271">
        <v>0</v>
      </c>
      <c r="Q36" s="271">
        <v>0</v>
      </c>
      <c r="R36" s="271">
        <v>0</v>
      </c>
      <c r="S36" s="271">
        <v>0</v>
      </c>
    </row>
    <row r="37" spans="1:19">
      <c r="A37" s="271" t="s">
        <v>149</v>
      </c>
      <c r="B37" s="271">
        <v>0</v>
      </c>
      <c r="C37" s="271">
        <v>0</v>
      </c>
      <c r="D37" s="271">
        <v>0</v>
      </c>
      <c r="E37" s="271">
        <v>0</v>
      </c>
      <c r="F37" s="271">
        <v>22000000</v>
      </c>
      <c r="G37" s="271">
        <v>0</v>
      </c>
      <c r="H37" s="271">
        <v>0</v>
      </c>
      <c r="I37" s="271">
        <v>0</v>
      </c>
      <c r="J37" s="271">
        <v>0</v>
      </c>
      <c r="K37" s="271">
        <v>0</v>
      </c>
      <c r="L37" s="271">
        <v>0</v>
      </c>
      <c r="M37" s="271">
        <v>0</v>
      </c>
      <c r="N37" s="271">
        <v>0</v>
      </c>
      <c r="O37" s="271">
        <v>0</v>
      </c>
      <c r="P37" s="271">
        <v>0</v>
      </c>
      <c r="Q37" s="271">
        <v>0</v>
      </c>
      <c r="R37" s="271">
        <v>0</v>
      </c>
      <c r="S37" s="271">
        <v>0</v>
      </c>
    </row>
    <row r="38" spans="1:19">
      <c r="A38" s="271" t="s">
        <v>150</v>
      </c>
      <c r="B38" s="271">
        <v>16441093160.059999</v>
      </c>
      <c r="C38" s="271">
        <v>8905177880.7999992</v>
      </c>
      <c r="D38" s="271">
        <v>8350512252.2299995</v>
      </c>
      <c r="E38" s="271">
        <v>5610019638.6099997</v>
      </c>
      <c r="F38" s="271">
        <v>5143609336.3299999</v>
      </c>
      <c r="G38" s="271">
        <v>7391988549.25</v>
      </c>
      <c r="H38" s="271">
        <v>4306614120</v>
      </c>
      <c r="I38" s="271">
        <v>2661953339.2399998</v>
      </c>
      <c r="J38" s="271">
        <v>1292951032.4100001</v>
      </c>
      <c r="K38" s="271">
        <v>1235143869.0999999</v>
      </c>
      <c r="L38" s="271">
        <v>884671434.63</v>
      </c>
      <c r="M38" s="271">
        <v>706866028.20000005</v>
      </c>
      <c r="N38" s="271">
        <v>760139114.39999998</v>
      </c>
      <c r="O38" s="271">
        <v>191703825.81999999</v>
      </c>
      <c r="P38" s="271">
        <v>62314427.450000003</v>
      </c>
      <c r="Q38" s="271">
        <v>47385988.25</v>
      </c>
      <c r="R38" s="271">
        <v>139259336.87</v>
      </c>
      <c r="S38" s="271">
        <v>232060709.05000001</v>
      </c>
    </row>
    <row r="39" spans="1:19">
      <c r="A39" s="271" t="s">
        <v>151</v>
      </c>
      <c r="B39" s="271">
        <v>-16441093160.059999</v>
      </c>
      <c r="C39" s="271">
        <v>-8899177880.7999992</v>
      </c>
      <c r="D39" s="271">
        <v>-8334512252.2299995</v>
      </c>
      <c r="E39" s="271">
        <v>-5588019638.6099997</v>
      </c>
      <c r="F39" s="271">
        <v>-5041426729.3299999</v>
      </c>
      <c r="G39" s="271">
        <v>-7385971074.4700003</v>
      </c>
      <c r="H39" s="271">
        <v>-3914524622.8499999</v>
      </c>
      <c r="I39" s="271">
        <v>-2661850366.8699999</v>
      </c>
      <c r="J39" s="271">
        <v>-1292845230.8</v>
      </c>
      <c r="K39" s="271">
        <v>-1234985747.28</v>
      </c>
      <c r="L39" s="271">
        <v>-883910258.55999994</v>
      </c>
      <c r="M39" s="271">
        <v>-705361407.20000005</v>
      </c>
      <c r="N39" s="271">
        <v>-755992791.29999995</v>
      </c>
      <c r="O39" s="271">
        <v>-159201747.91999999</v>
      </c>
      <c r="P39" s="271">
        <v>-62314427.450000003</v>
      </c>
      <c r="Q39" s="271">
        <v>-47085988.25</v>
      </c>
      <c r="R39" s="271">
        <v>-139259336.87</v>
      </c>
      <c r="S39" s="271">
        <v>1784861497.47</v>
      </c>
    </row>
    <row r="40" spans="1:19">
      <c r="A40" s="271" t="s">
        <v>758</v>
      </c>
      <c r="B40" s="271">
        <v>29006.86</v>
      </c>
      <c r="C40" s="271">
        <v>72948.86</v>
      </c>
      <c r="D40" s="271">
        <v>72317.8</v>
      </c>
      <c r="E40" s="271">
        <v>-16273531.710000001</v>
      </c>
      <c r="F40" s="271">
        <v>-5449166.9900000002</v>
      </c>
      <c r="G40" s="271">
        <v>0</v>
      </c>
      <c r="H40" s="271">
        <v>0</v>
      </c>
      <c r="I40" s="271">
        <v>0</v>
      </c>
      <c r="J40" s="271">
        <v>0</v>
      </c>
      <c r="K40" s="271">
        <v>0</v>
      </c>
      <c r="L40" s="271">
        <v>0</v>
      </c>
      <c r="M40" s="271">
        <v>0</v>
      </c>
      <c r="N40" s="271">
        <v>0</v>
      </c>
      <c r="O40" s="271">
        <v>0</v>
      </c>
      <c r="P40" s="271">
        <v>0</v>
      </c>
      <c r="Q40" s="271">
        <v>0</v>
      </c>
      <c r="R40" s="271">
        <v>0</v>
      </c>
      <c r="S40" s="271">
        <v>0</v>
      </c>
    </row>
    <row r="41" spans="1:19">
      <c r="A41" s="271" t="s">
        <v>152</v>
      </c>
      <c r="B41" s="271">
        <v>23315207548.959999</v>
      </c>
      <c r="C41" s="271">
        <v>12133285937.59</v>
      </c>
      <c r="D41" s="271">
        <v>28014308908.419998</v>
      </c>
      <c r="E41" s="271">
        <v>9783256706.8099995</v>
      </c>
      <c r="F41" s="271">
        <v>3005486960.0900002</v>
      </c>
      <c r="G41" s="271">
        <v>-70257612.5</v>
      </c>
      <c r="H41" s="271">
        <v>3807309688.1300001</v>
      </c>
      <c r="I41" s="271">
        <v>5366296272.75</v>
      </c>
      <c r="J41" s="271">
        <v>3145241734.0500002</v>
      </c>
      <c r="K41" s="271">
        <v>1649430264.0799999</v>
      </c>
      <c r="L41" s="271">
        <v>3371015591.1399999</v>
      </c>
      <c r="M41" s="271">
        <v>248485151.69</v>
      </c>
      <c r="N41" s="271">
        <v>571108605.11000001</v>
      </c>
      <c r="O41" s="271">
        <v>993662014.67999995</v>
      </c>
      <c r="P41" s="271">
        <v>558280032</v>
      </c>
      <c r="Q41" s="271">
        <v>559739696.21000004</v>
      </c>
      <c r="R41" s="271">
        <v>-176128879.46000001</v>
      </c>
      <c r="S41" s="271">
        <v>1495452986.6400001</v>
      </c>
    </row>
    <row r="42" spans="1:19">
      <c r="A42" s="271" t="s">
        <v>759</v>
      </c>
      <c r="B42" s="271">
        <v>74928080750.580002</v>
      </c>
      <c r="C42" s="271">
        <v>62794794812.989998</v>
      </c>
      <c r="D42" s="271">
        <v>34780485904.57</v>
      </c>
      <c r="E42" s="271">
        <v>24997229197.759998</v>
      </c>
      <c r="F42" s="271">
        <v>21991742237.669998</v>
      </c>
      <c r="G42" s="271">
        <v>22061999850.169998</v>
      </c>
      <c r="H42" s="271">
        <v>18254690162.040001</v>
      </c>
      <c r="I42" s="271">
        <v>12888393889.290001</v>
      </c>
      <c r="J42" s="271">
        <v>9743152155.2399998</v>
      </c>
      <c r="K42" s="271">
        <v>8093721891.1599998</v>
      </c>
      <c r="L42" s="271">
        <v>4722706300.0200005</v>
      </c>
      <c r="M42" s="271">
        <v>4474221148.3299999</v>
      </c>
      <c r="N42" s="271">
        <v>3891989433.5300002</v>
      </c>
      <c r="O42" s="271">
        <v>2898327418.8499999</v>
      </c>
      <c r="P42" s="271">
        <v>2340047386.8499999</v>
      </c>
      <c r="Q42" s="271">
        <v>1780307690.6400001</v>
      </c>
      <c r="R42" s="271">
        <v>1956436570.0999999</v>
      </c>
      <c r="S42" s="271">
        <v>460983583.45999998</v>
      </c>
    </row>
    <row r="43" spans="1:19">
      <c r="A43" s="271" t="s">
        <v>760</v>
      </c>
      <c r="B43" s="271">
        <v>98243288299.539993</v>
      </c>
      <c r="C43" s="271">
        <v>74928080750.580002</v>
      </c>
      <c r="D43" s="271">
        <v>62794794812.989998</v>
      </c>
      <c r="E43" s="271">
        <v>34780485904.57</v>
      </c>
      <c r="F43" s="271">
        <v>24997229197.759998</v>
      </c>
      <c r="G43" s="271">
        <v>21991742237.669998</v>
      </c>
      <c r="H43" s="271">
        <v>22061999850.169998</v>
      </c>
      <c r="I43" s="271">
        <v>18254690162.040001</v>
      </c>
      <c r="J43" s="271">
        <v>12888393889.290001</v>
      </c>
      <c r="K43" s="271">
        <v>9743152155.2399998</v>
      </c>
      <c r="L43" s="271">
        <v>8093721891.1599998</v>
      </c>
      <c r="M43" s="271">
        <v>4722706300.0200005</v>
      </c>
      <c r="N43" s="271">
        <v>4463098038.6400003</v>
      </c>
      <c r="O43" s="271">
        <v>3891989433.5300002</v>
      </c>
      <c r="P43" s="271">
        <v>2898327418.8499999</v>
      </c>
      <c r="Q43" s="271">
        <v>2340047386.8499999</v>
      </c>
      <c r="R43" s="271">
        <v>1780307690.6400001</v>
      </c>
      <c r="S43" s="271">
        <v>1956436570.0999999</v>
      </c>
    </row>
    <row r="44" spans="1:19">
      <c r="A44" s="271" t="s">
        <v>153</v>
      </c>
      <c r="B44" s="271" t="s">
        <v>657</v>
      </c>
      <c r="C44" s="271" t="s">
        <v>657</v>
      </c>
      <c r="D44" s="271" t="s">
        <v>657</v>
      </c>
      <c r="E44" s="271" t="s">
        <v>657</v>
      </c>
      <c r="F44" s="271" t="s">
        <v>657</v>
      </c>
      <c r="G44" s="271" t="s">
        <v>657</v>
      </c>
      <c r="H44" s="271" t="s">
        <v>657</v>
      </c>
      <c r="I44" s="271" t="s">
        <v>657</v>
      </c>
      <c r="J44" s="271" t="s">
        <v>657</v>
      </c>
      <c r="K44" s="271" t="s">
        <v>657</v>
      </c>
      <c r="L44" s="271" t="s">
        <v>657</v>
      </c>
      <c r="M44" s="271" t="s">
        <v>657</v>
      </c>
      <c r="N44" s="271" t="s">
        <v>657</v>
      </c>
      <c r="O44" s="271" t="s">
        <v>657</v>
      </c>
      <c r="P44" s="271" t="s">
        <v>657</v>
      </c>
      <c r="Q44" s="271" t="s">
        <v>657</v>
      </c>
      <c r="R44" s="271" t="s">
        <v>657</v>
      </c>
      <c r="S44" s="271" t="s">
        <v>657</v>
      </c>
    </row>
    <row r="45" spans="1:19">
      <c r="A45" s="271" t="s">
        <v>154</v>
      </c>
      <c r="B45" s="271">
        <v>37829617756.809998</v>
      </c>
      <c r="C45" s="271">
        <v>29006423236</v>
      </c>
      <c r="D45" s="271">
        <v>17930643109.880001</v>
      </c>
      <c r="E45" s="271">
        <v>16454996625.219999</v>
      </c>
      <c r="F45" s="271">
        <v>16269371509.83</v>
      </c>
      <c r="G45" s="271">
        <v>15964899881.049999</v>
      </c>
      <c r="H45" s="271">
        <v>14008450702.17</v>
      </c>
      <c r="I45" s="271">
        <v>9250323807.6200008</v>
      </c>
      <c r="J45" s="271">
        <v>5339761496.9700003</v>
      </c>
      <c r="K45" s="271">
        <v>4552888944</v>
      </c>
      <c r="L45" s="271">
        <v>4000759343.1100001</v>
      </c>
      <c r="M45" s="271">
        <v>2966052508.9499998</v>
      </c>
      <c r="N45" s="271">
        <v>1574308238.46</v>
      </c>
      <c r="O45" s="271">
        <v>1169122125.71</v>
      </c>
      <c r="P45" s="271">
        <v>854172175.46000004</v>
      </c>
      <c r="Q45" s="271">
        <v>608753496.05999994</v>
      </c>
      <c r="R45" s="271">
        <v>376798521.36000001</v>
      </c>
      <c r="S45" s="271">
        <v>328290723.13999999</v>
      </c>
    </row>
    <row r="46" spans="1:19">
      <c r="A46" s="271" t="s">
        <v>107</v>
      </c>
      <c r="B46" s="271" t="s">
        <v>657</v>
      </c>
      <c r="C46" s="271" t="s">
        <v>657</v>
      </c>
      <c r="D46" s="271" t="s">
        <v>657</v>
      </c>
      <c r="E46" s="271" t="s">
        <v>657</v>
      </c>
      <c r="F46" s="271" t="s">
        <v>657</v>
      </c>
      <c r="G46" s="271" t="s">
        <v>657</v>
      </c>
      <c r="H46" s="271" t="s">
        <v>657</v>
      </c>
      <c r="I46" s="271" t="s">
        <v>657</v>
      </c>
      <c r="J46" s="271" t="s">
        <v>657</v>
      </c>
      <c r="K46" s="271" t="s">
        <v>657</v>
      </c>
      <c r="L46" s="271" t="s">
        <v>657</v>
      </c>
      <c r="M46" s="271" t="s">
        <v>657</v>
      </c>
      <c r="N46" s="271" t="s">
        <v>657</v>
      </c>
      <c r="O46" s="271" t="s">
        <v>657</v>
      </c>
      <c r="P46" s="271" t="s">
        <v>657</v>
      </c>
      <c r="Q46" s="271" t="s">
        <v>657</v>
      </c>
      <c r="R46" s="271" t="s">
        <v>657</v>
      </c>
      <c r="S46" s="271" t="s">
        <v>657</v>
      </c>
    </row>
    <row r="47" spans="1:19">
      <c r="A47" s="271" t="s">
        <v>155</v>
      </c>
      <c r="B47" s="271" t="s">
        <v>657</v>
      </c>
      <c r="C47" s="271" t="s">
        <v>657</v>
      </c>
      <c r="D47" s="271" t="s">
        <v>657</v>
      </c>
      <c r="E47" s="271" t="s">
        <v>657</v>
      </c>
      <c r="F47" s="271" t="s">
        <v>657</v>
      </c>
      <c r="G47" s="271" t="s">
        <v>657</v>
      </c>
      <c r="H47" s="271" t="s">
        <v>657</v>
      </c>
      <c r="I47" s="271" t="s">
        <v>657</v>
      </c>
      <c r="J47" s="271" t="s">
        <v>657</v>
      </c>
      <c r="K47" s="271" t="s">
        <v>657</v>
      </c>
      <c r="L47" s="271" t="s">
        <v>657</v>
      </c>
      <c r="M47" s="271" t="s">
        <v>657</v>
      </c>
      <c r="N47" s="271" t="s">
        <v>657</v>
      </c>
      <c r="O47" s="271" t="s">
        <v>657</v>
      </c>
      <c r="P47" s="271" t="s">
        <v>657</v>
      </c>
      <c r="Q47" s="271" t="s">
        <v>657</v>
      </c>
      <c r="R47" s="271" t="s">
        <v>657</v>
      </c>
      <c r="S47" s="271" t="s">
        <v>657</v>
      </c>
    </row>
    <row r="48" spans="1:19">
      <c r="A48" s="271" t="s">
        <v>761</v>
      </c>
      <c r="B48" s="271">
        <v>1289685.01</v>
      </c>
      <c r="C48" s="271">
        <v>-8053703.9500000002</v>
      </c>
      <c r="D48" s="271">
        <v>12327496.220000001</v>
      </c>
      <c r="E48" s="271">
        <v>-540313.39</v>
      </c>
      <c r="F48" s="271">
        <v>432745.88</v>
      </c>
      <c r="G48" s="271">
        <v>-2004032.3</v>
      </c>
      <c r="H48" s="271">
        <v>2979258.5</v>
      </c>
      <c r="I48" s="271">
        <v>-2500650.5699999998</v>
      </c>
      <c r="J48" s="271">
        <v>-3066975.05</v>
      </c>
      <c r="K48" s="271">
        <v>-300085.01</v>
      </c>
      <c r="L48" s="271">
        <v>450078.22</v>
      </c>
      <c r="M48" s="271">
        <v>-614738.65</v>
      </c>
      <c r="N48" s="271">
        <v>0</v>
      </c>
      <c r="O48" s="271">
        <v>-1324018.3500000001</v>
      </c>
      <c r="P48" s="271">
        <v>761947.03</v>
      </c>
      <c r="Q48" s="271">
        <v>2052540.39</v>
      </c>
      <c r="R48" s="271">
        <v>5977107.7199999997</v>
      </c>
      <c r="S48" s="271">
        <v>6692428.5199999996</v>
      </c>
    </row>
    <row r="49" spans="1:19">
      <c r="A49" s="271" t="s">
        <v>762</v>
      </c>
      <c r="B49" s="271">
        <v>1084662728.5799999</v>
      </c>
      <c r="C49" s="271">
        <v>1035052733.45</v>
      </c>
      <c r="D49" s="271">
        <v>842728072.03999996</v>
      </c>
      <c r="E49" s="271">
        <v>761458678.28999996</v>
      </c>
      <c r="F49" s="271">
        <v>675349786.98000002</v>
      </c>
      <c r="G49" s="271">
        <v>520481867.72000003</v>
      </c>
      <c r="H49" s="271">
        <v>414952194.94</v>
      </c>
      <c r="I49" s="271">
        <v>331356736.88</v>
      </c>
      <c r="J49" s="271">
        <v>267815117.52000001</v>
      </c>
      <c r="K49" s="271">
        <v>187387081.41</v>
      </c>
      <c r="L49" s="271">
        <v>147042974.22999999</v>
      </c>
      <c r="M49" s="271">
        <v>103823977.31999999</v>
      </c>
      <c r="N49" s="271">
        <v>84717392.170000002</v>
      </c>
      <c r="O49" s="271">
        <v>64659106.390000001</v>
      </c>
      <c r="P49" s="271">
        <v>55088524.049999997</v>
      </c>
      <c r="Q49" s="271">
        <v>58391200.810000002</v>
      </c>
      <c r="R49" s="271">
        <v>20409817.800000001</v>
      </c>
      <c r="S49" s="271">
        <v>11587498.189999999</v>
      </c>
    </row>
    <row r="50" spans="1:19">
      <c r="A50" s="271" t="s">
        <v>156</v>
      </c>
      <c r="B50" s="271">
        <v>80431667.219999999</v>
      </c>
      <c r="C50" s="271">
        <v>80522705.769999996</v>
      </c>
      <c r="D50" s="271">
        <v>80457895.989999995</v>
      </c>
      <c r="E50" s="271">
        <v>79883270.420000002</v>
      </c>
      <c r="F50" s="271">
        <v>77607523.200000003</v>
      </c>
      <c r="G50" s="271">
        <v>31617810.780000001</v>
      </c>
      <c r="H50" s="271">
        <v>15994854.35</v>
      </c>
      <c r="I50" s="271">
        <v>11855582.220000001</v>
      </c>
      <c r="J50" s="271">
        <v>14719853.449999999</v>
      </c>
      <c r="K50" s="271">
        <v>11552408.130000001</v>
      </c>
      <c r="L50" s="271">
        <v>6995493.6799999997</v>
      </c>
      <c r="M50" s="271">
        <v>8419605.2599999998</v>
      </c>
      <c r="N50" s="271">
        <v>3228097.47</v>
      </c>
      <c r="O50" s="271">
        <v>1721214.26</v>
      </c>
      <c r="P50" s="271">
        <v>171205.04</v>
      </c>
      <c r="Q50" s="271">
        <v>170000.04</v>
      </c>
      <c r="R50" s="271">
        <v>170000.04</v>
      </c>
      <c r="S50" s="271">
        <v>676000.04</v>
      </c>
    </row>
    <row r="51" spans="1:19">
      <c r="A51" s="271" t="s">
        <v>157</v>
      </c>
      <c r="B51" s="271">
        <v>10331100.619999999</v>
      </c>
      <c r="C51" s="271">
        <v>10259101.970000001</v>
      </c>
      <c r="D51" s="271">
        <v>11008704.17</v>
      </c>
      <c r="E51" s="271">
        <v>6804749.0199999996</v>
      </c>
      <c r="F51" s="271">
        <v>3842650.48</v>
      </c>
      <c r="G51" s="271">
        <v>4197830.59</v>
      </c>
      <c r="H51" s="271">
        <v>3854764.8</v>
      </c>
      <c r="I51" s="271">
        <v>4896216.72</v>
      </c>
      <c r="J51" s="271">
        <v>3034894.25</v>
      </c>
      <c r="K51" s="271">
        <v>8627818.8800000008</v>
      </c>
      <c r="L51" s="271">
        <v>10613073.470000001</v>
      </c>
      <c r="M51" s="271">
        <v>65846168.600000001</v>
      </c>
      <c r="N51" s="271">
        <v>8744492.6899999995</v>
      </c>
      <c r="O51" s="271">
        <v>12051388.76</v>
      </c>
      <c r="P51" s="271">
        <v>11374067.689999999</v>
      </c>
      <c r="Q51" s="271">
        <v>5297418.04</v>
      </c>
      <c r="R51" s="271">
        <v>-5629054.3700000001</v>
      </c>
      <c r="S51" s="271">
        <v>2083990</v>
      </c>
    </row>
    <row r="52" spans="1:19">
      <c r="A52" s="271" t="s">
        <v>158</v>
      </c>
      <c r="B52" s="271" t="s">
        <v>657</v>
      </c>
      <c r="C52" s="271" t="s">
        <v>657</v>
      </c>
      <c r="D52" s="271" t="s">
        <v>657</v>
      </c>
      <c r="E52" s="271" t="s">
        <v>657</v>
      </c>
      <c r="F52" s="271" t="s">
        <v>657</v>
      </c>
      <c r="G52" s="271" t="s">
        <v>657</v>
      </c>
      <c r="H52" s="271" t="s">
        <v>657</v>
      </c>
      <c r="I52" s="271" t="s">
        <v>657</v>
      </c>
      <c r="J52" s="271" t="s">
        <v>657</v>
      </c>
      <c r="K52" s="271" t="s">
        <v>657</v>
      </c>
      <c r="L52" s="271" t="s">
        <v>657</v>
      </c>
      <c r="M52" s="271" t="s">
        <v>657</v>
      </c>
      <c r="N52" s="271" t="s">
        <v>657</v>
      </c>
      <c r="O52" s="271" t="s">
        <v>657</v>
      </c>
      <c r="P52" s="271" t="s">
        <v>657</v>
      </c>
      <c r="Q52" s="271" t="s">
        <v>657</v>
      </c>
      <c r="R52" s="271" t="s">
        <v>657</v>
      </c>
      <c r="S52" s="271" t="s">
        <v>657</v>
      </c>
    </row>
    <row r="53" spans="1:19">
      <c r="A53" s="271" t="s">
        <v>159</v>
      </c>
      <c r="B53" s="271" t="s">
        <v>657</v>
      </c>
      <c r="C53" s="271" t="s">
        <v>657</v>
      </c>
      <c r="D53" s="271" t="s">
        <v>657</v>
      </c>
      <c r="E53" s="271" t="s">
        <v>657</v>
      </c>
      <c r="F53" s="271" t="s">
        <v>657</v>
      </c>
      <c r="G53" s="271" t="s">
        <v>657</v>
      </c>
      <c r="H53" s="271" t="s">
        <v>657</v>
      </c>
      <c r="I53" s="271" t="s">
        <v>657</v>
      </c>
      <c r="J53" s="271" t="s">
        <v>657</v>
      </c>
      <c r="K53" s="271" t="s">
        <v>657</v>
      </c>
      <c r="L53" s="271" t="s">
        <v>657</v>
      </c>
      <c r="M53" s="271" t="s">
        <v>657</v>
      </c>
      <c r="N53" s="271" t="s">
        <v>657</v>
      </c>
      <c r="O53" s="271" t="s">
        <v>657</v>
      </c>
      <c r="P53" s="271" t="s">
        <v>657</v>
      </c>
      <c r="Q53" s="271" t="s">
        <v>657</v>
      </c>
      <c r="R53" s="271" t="s">
        <v>657</v>
      </c>
      <c r="S53" s="271" t="s">
        <v>657</v>
      </c>
    </row>
    <row r="54" spans="1:19">
      <c r="A54" s="271" t="s">
        <v>160</v>
      </c>
      <c r="B54" s="271">
        <v>0</v>
      </c>
      <c r="C54" s="271">
        <v>0</v>
      </c>
      <c r="D54" s="271">
        <v>0</v>
      </c>
      <c r="E54" s="271">
        <v>0</v>
      </c>
      <c r="F54" s="271">
        <v>0</v>
      </c>
      <c r="G54" s="271">
        <v>0</v>
      </c>
      <c r="H54" s="271">
        <v>0</v>
      </c>
      <c r="I54" s="271">
        <v>0</v>
      </c>
      <c r="J54" s="271">
        <v>0</v>
      </c>
      <c r="K54" s="271">
        <v>0</v>
      </c>
      <c r="L54" s="271">
        <v>0</v>
      </c>
      <c r="M54" s="271">
        <v>900998.31</v>
      </c>
      <c r="N54" s="271">
        <v>0</v>
      </c>
      <c r="O54" s="271">
        <v>0</v>
      </c>
      <c r="P54" s="271">
        <v>0</v>
      </c>
      <c r="Q54" s="271">
        <v>0</v>
      </c>
      <c r="R54" s="271">
        <v>0</v>
      </c>
      <c r="S54" s="271">
        <v>0</v>
      </c>
    </row>
    <row r="55" spans="1:19">
      <c r="A55" s="271" t="s">
        <v>161</v>
      </c>
      <c r="B55" s="271">
        <v>1808930.93</v>
      </c>
      <c r="C55" s="271">
        <v>3291895.5</v>
      </c>
      <c r="D55" s="271">
        <v>1869869.13</v>
      </c>
      <c r="E55" s="271">
        <v>-17419.86</v>
      </c>
      <c r="F55" s="271">
        <v>85119583.319999993</v>
      </c>
      <c r="G55" s="271">
        <v>8997287.1699999999</v>
      </c>
      <c r="H55" s="271">
        <v>155718.82</v>
      </c>
      <c r="I55" s="271">
        <v>-888534.94</v>
      </c>
      <c r="J55" s="271">
        <v>617857.77</v>
      </c>
      <c r="K55" s="271">
        <v>227122.97</v>
      </c>
      <c r="L55" s="271">
        <v>3241808.24</v>
      </c>
      <c r="M55" s="271">
        <v>3146711.19</v>
      </c>
      <c r="N55" s="271">
        <v>0</v>
      </c>
      <c r="O55" s="271">
        <v>0</v>
      </c>
      <c r="P55" s="271">
        <v>210396.99</v>
      </c>
      <c r="Q55" s="271">
        <v>0</v>
      </c>
      <c r="R55" s="271">
        <v>0</v>
      </c>
      <c r="S55" s="271">
        <v>602996.92000000004</v>
      </c>
    </row>
    <row r="56" spans="1:19">
      <c r="A56" s="271" t="s">
        <v>162</v>
      </c>
      <c r="B56" s="271">
        <v>0</v>
      </c>
      <c r="C56" s="271">
        <v>0</v>
      </c>
      <c r="D56" s="271">
        <v>0</v>
      </c>
      <c r="E56" s="271">
        <v>0</v>
      </c>
      <c r="F56" s="271">
        <v>0</v>
      </c>
      <c r="G56" s="271">
        <v>0</v>
      </c>
      <c r="H56" s="271">
        <v>0</v>
      </c>
      <c r="I56" s="271">
        <v>0</v>
      </c>
      <c r="J56" s="271">
        <v>0</v>
      </c>
      <c r="K56" s="271">
        <v>0</v>
      </c>
      <c r="L56" s="271">
        <v>0</v>
      </c>
      <c r="M56" s="271">
        <v>0</v>
      </c>
      <c r="N56" s="271">
        <v>0</v>
      </c>
      <c r="O56" s="271">
        <v>0</v>
      </c>
      <c r="P56" s="271">
        <v>0</v>
      </c>
      <c r="Q56" s="271">
        <v>0</v>
      </c>
      <c r="R56" s="271">
        <v>0</v>
      </c>
      <c r="S56" s="271">
        <v>0</v>
      </c>
    </row>
    <row r="57" spans="1:19">
      <c r="A57" s="271" t="s">
        <v>163</v>
      </c>
      <c r="B57" s="271" t="s">
        <v>657</v>
      </c>
      <c r="C57" s="271" t="s">
        <v>657</v>
      </c>
      <c r="D57" s="271" t="s">
        <v>657</v>
      </c>
      <c r="E57" s="271" t="s">
        <v>657</v>
      </c>
      <c r="F57" s="271" t="s">
        <v>657</v>
      </c>
      <c r="G57" s="271" t="s">
        <v>657</v>
      </c>
      <c r="H57" s="271" t="s">
        <v>657</v>
      </c>
      <c r="I57" s="271" t="s">
        <v>657</v>
      </c>
      <c r="J57" s="271" t="s">
        <v>657</v>
      </c>
      <c r="K57" s="271" t="s">
        <v>657</v>
      </c>
      <c r="L57" s="271" t="s">
        <v>657</v>
      </c>
      <c r="M57" s="271" t="s">
        <v>657</v>
      </c>
      <c r="N57" s="271" t="s">
        <v>657</v>
      </c>
      <c r="O57" s="271" t="s">
        <v>657</v>
      </c>
      <c r="P57" s="271" t="s">
        <v>657</v>
      </c>
      <c r="Q57" s="271" t="s">
        <v>657</v>
      </c>
      <c r="R57" s="271" t="s">
        <v>657</v>
      </c>
      <c r="S57" s="271" t="s">
        <v>657</v>
      </c>
    </row>
    <row r="58" spans="1:19">
      <c r="A58" s="271" t="s">
        <v>164</v>
      </c>
      <c r="B58" s="271" t="s">
        <v>657</v>
      </c>
      <c r="C58" s="271" t="s">
        <v>657</v>
      </c>
      <c r="D58" s="271" t="s">
        <v>657</v>
      </c>
      <c r="E58" s="271" t="s">
        <v>657</v>
      </c>
      <c r="F58" s="271" t="s">
        <v>657</v>
      </c>
      <c r="G58" s="271" t="s">
        <v>657</v>
      </c>
      <c r="H58" s="271" t="s">
        <v>657</v>
      </c>
      <c r="I58" s="271" t="s">
        <v>657</v>
      </c>
      <c r="J58" s="271" t="s">
        <v>657</v>
      </c>
      <c r="K58" s="271" t="s">
        <v>657</v>
      </c>
      <c r="L58" s="271" t="s">
        <v>657</v>
      </c>
      <c r="M58" s="271" t="s">
        <v>657</v>
      </c>
      <c r="N58" s="271" t="s">
        <v>657</v>
      </c>
      <c r="O58" s="271" t="s">
        <v>657</v>
      </c>
      <c r="P58" s="271" t="s">
        <v>657</v>
      </c>
      <c r="Q58" s="271" t="s">
        <v>657</v>
      </c>
      <c r="R58" s="271" t="s">
        <v>657</v>
      </c>
      <c r="S58" s="271" t="s">
        <v>657</v>
      </c>
    </row>
    <row r="59" spans="1:19">
      <c r="A59" s="271" t="s">
        <v>113</v>
      </c>
      <c r="B59" s="271">
        <v>0</v>
      </c>
      <c r="C59" s="271">
        <v>0</v>
      </c>
      <c r="D59" s="271">
        <v>0</v>
      </c>
      <c r="E59" s="271">
        <v>0</v>
      </c>
      <c r="F59" s="271">
        <v>0</v>
      </c>
      <c r="G59" s="271">
        <v>-17474.78</v>
      </c>
      <c r="H59" s="271">
        <v>-89497.15</v>
      </c>
      <c r="I59" s="271">
        <v>-102972.37</v>
      </c>
      <c r="J59" s="271">
        <v>-105801.61</v>
      </c>
      <c r="K59" s="271">
        <v>-158121.82</v>
      </c>
      <c r="L59" s="271">
        <v>-761176.07</v>
      </c>
      <c r="M59" s="271">
        <v>-2019007.08</v>
      </c>
      <c r="N59" s="271">
        <v>-3977754.65</v>
      </c>
      <c r="O59" s="271">
        <v>-32264593.949999999</v>
      </c>
      <c r="P59" s="271">
        <v>-25348043.32</v>
      </c>
      <c r="Q59" s="271">
        <v>-16050225.99</v>
      </c>
      <c r="R59" s="271">
        <v>-17318934.370000001</v>
      </c>
      <c r="S59" s="271">
        <v>-5661113.7599999998</v>
      </c>
    </row>
    <row r="60" spans="1:19">
      <c r="A60" s="271" t="s">
        <v>165</v>
      </c>
      <c r="B60" s="271">
        <v>0</v>
      </c>
      <c r="C60" s="271">
        <v>0</v>
      </c>
      <c r="D60" s="271">
        <v>0</v>
      </c>
      <c r="E60" s="271">
        <v>-3869276.9</v>
      </c>
      <c r="F60" s="271">
        <v>-3095265.75</v>
      </c>
      <c r="G60" s="271">
        <v>-3010000</v>
      </c>
      <c r="H60" s="271">
        <v>-3103250</v>
      </c>
      <c r="I60" s="271">
        <v>-3383000</v>
      </c>
      <c r="J60" s="271">
        <v>-469050</v>
      </c>
      <c r="K60" s="271">
        <v>-1209447.26</v>
      </c>
      <c r="L60" s="271">
        <v>-1322250</v>
      </c>
      <c r="M60" s="271">
        <v>-1814950</v>
      </c>
      <c r="N60" s="271">
        <v>-3012928.94</v>
      </c>
      <c r="O60" s="271">
        <v>-427953.6</v>
      </c>
      <c r="P60" s="271">
        <v>-315063.71000000002</v>
      </c>
      <c r="Q60" s="271">
        <v>0</v>
      </c>
      <c r="R60" s="271">
        <v>0</v>
      </c>
      <c r="S60" s="271">
        <v>0</v>
      </c>
    </row>
    <row r="61" spans="1:19">
      <c r="A61" s="271" t="s">
        <v>166</v>
      </c>
      <c r="B61" s="271">
        <v>352502540.31999999</v>
      </c>
      <c r="C61" s="271">
        <v>343741758.91000003</v>
      </c>
      <c r="D61" s="271">
        <v>-590203046.53999996</v>
      </c>
      <c r="E61" s="271">
        <v>-333734968.43000001</v>
      </c>
      <c r="F61" s="271">
        <v>3771418.94</v>
      </c>
      <c r="G61" s="271">
        <v>-181715611.33000001</v>
      </c>
      <c r="H61" s="271">
        <v>-141027962.78999999</v>
      </c>
      <c r="I61" s="271">
        <v>-224191011.56</v>
      </c>
      <c r="J61" s="271">
        <v>-53017136.829999998</v>
      </c>
      <c r="K61" s="271">
        <v>-48739824.600000001</v>
      </c>
      <c r="L61" s="271">
        <v>-123831417.11</v>
      </c>
      <c r="M61" s="271">
        <v>117243937.53</v>
      </c>
      <c r="N61" s="271">
        <v>0</v>
      </c>
      <c r="O61" s="271">
        <v>0</v>
      </c>
      <c r="P61" s="271">
        <v>0</v>
      </c>
      <c r="Q61" s="271">
        <v>0</v>
      </c>
      <c r="R61" s="271">
        <v>0</v>
      </c>
      <c r="S61" s="271">
        <v>0</v>
      </c>
    </row>
    <row r="62" spans="1:19">
      <c r="A62" s="271" t="s">
        <v>167</v>
      </c>
      <c r="B62" s="271">
        <v>0</v>
      </c>
      <c r="C62" s="271">
        <v>0</v>
      </c>
      <c r="D62" s="271">
        <v>0</v>
      </c>
      <c r="E62" s="271">
        <v>0</v>
      </c>
      <c r="F62" s="271">
        <v>0</v>
      </c>
      <c r="G62" s="271">
        <v>0</v>
      </c>
      <c r="H62" s="271">
        <v>0</v>
      </c>
      <c r="I62" s="271">
        <v>0</v>
      </c>
      <c r="J62" s="271">
        <v>0</v>
      </c>
      <c r="K62" s="271">
        <v>0</v>
      </c>
      <c r="L62" s="271">
        <v>0</v>
      </c>
      <c r="M62" s="271">
        <v>0</v>
      </c>
      <c r="N62" s="271">
        <v>0</v>
      </c>
      <c r="O62" s="271">
        <v>0</v>
      </c>
      <c r="P62" s="271">
        <v>0</v>
      </c>
      <c r="Q62" s="271">
        <v>0</v>
      </c>
      <c r="R62" s="271">
        <v>0</v>
      </c>
      <c r="S62" s="271">
        <v>0</v>
      </c>
    </row>
    <row r="63" spans="1:19">
      <c r="A63" s="271" t="s">
        <v>168</v>
      </c>
      <c r="B63" s="271">
        <v>-1449469465.76</v>
      </c>
      <c r="C63" s="271">
        <v>-1435229550.9100001</v>
      </c>
      <c r="D63" s="271">
        <v>-2608954802.8499999</v>
      </c>
      <c r="E63" s="271">
        <v>-3030932654.8499999</v>
      </c>
      <c r="F63" s="271">
        <v>-3145554128.8200002</v>
      </c>
      <c r="G63" s="271">
        <v>-2171082645.6100001</v>
      </c>
      <c r="H63" s="271">
        <v>-2478610040.5599999</v>
      </c>
      <c r="I63" s="271">
        <v>-1612991469.4400001</v>
      </c>
      <c r="J63" s="271">
        <v>-1381879643.0599999</v>
      </c>
      <c r="K63" s="271">
        <v>-1077678627.03</v>
      </c>
      <c r="L63" s="271">
        <v>-809748865.40999997</v>
      </c>
      <c r="M63" s="271">
        <v>-323901731.39999998</v>
      </c>
      <c r="N63" s="271">
        <v>-101199764.44</v>
      </c>
      <c r="O63" s="271">
        <v>-166808430.13</v>
      </c>
      <c r="P63" s="271">
        <v>-478734574.06</v>
      </c>
      <c r="Q63" s="271">
        <v>-138394032.53</v>
      </c>
      <c r="R63" s="271">
        <v>-290243761.70999998</v>
      </c>
      <c r="S63" s="271">
        <v>-274782350.81</v>
      </c>
    </row>
    <row r="64" spans="1:19">
      <c r="A64" s="271" t="s">
        <v>169</v>
      </c>
      <c r="B64" s="271">
        <v>525665014.44999999</v>
      </c>
      <c r="C64" s="271">
        <v>-458728523.99000001</v>
      </c>
      <c r="D64" s="271">
        <v>7669650565.8400002</v>
      </c>
      <c r="E64" s="271">
        <v>-6705177839.3400002</v>
      </c>
      <c r="F64" s="271">
        <v>-1517982420.5599999</v>
      </c>
      <c r="G64" s="271">
        <v>-63379598.189999998</v>
      </c>
      <c r="H64" s="271">
        <v>-64889789.579999998</v>
      </c>
      <c r="I64" s="271">
        <v>-148673263.19999999</v>
      </c>
      <c r="J64" s="271">
        <v>231534141.13</v>
      </c>
      <c r="K64" s="271">
        <v>-671596539.44000006</v>
      </c>
      <c r="L64" s="271">
        <v>-94515474.359999999</v>
      </c>
      <c r="M64" s="271">
        <v>71616599.290000007</v>
      </c>
      <c r="N64" s="271">
        <v>-45784689.460000001</v>
      </c>
      <c r="O64" s="271">
        <v>-86411335</v>
      </c>
      <c r="P64" s="271">
        <v>-55960435.450000003</v>
      </c>
      <c r="Q64" s="271">
        <v>-65987645.460000001</v>
      </c>
      <c r="R64" s="271">
        <v>-81069660.290000007</v>
      </c>
      <c r="S64" s="271">
        <v>-57514907.57</v>
      </c>
    </row>
    <row r="65" spans="1:19">
      <c r="A65" s="271" t="s">
        <v>170</v>
      </c>
      <c r="B65" s="271">
        <v>2948394448.54</v>
      </c>
      <c r="C65" s="271">
        <v>-6424243568.6199999</v>
      </c>
      <c r="D65" s="271">
        <v>14101721783.17</v>
      </c>
      <c r="E65" s="271">
        <v>10207469291.540001</v>
      </c>
      <c r="F65" s="271">
        <v>183659033.09999999</v>
      </c>
      <c r="G65" s="271">
        <v>-1453960453.1800001</v>
      </c>
      <c r="H65" s="271">
        <v>162643655.75</v>
      </c>
      <c r="I65" s="271">
        <v>2542863248.1700001</v>
      </c>
      <c r="J65" s="271">
        <v>1782531765.03</v>
      </c>
      <c r="K65" s="271">
        <v>1262936413.96</v>
      </c>
      <c r="L65" s="271">
        <v>2108564947.74</v>
      </c>
      <c r="M65" s="271">
        <v>-1265396867.9400001</v>
      </c>
      <c r="N65" s="271">
        <v>587303605.69000006</v>
      </c>
      <c r="O65" s="271">
        <v>739535163.91999996</v>
      </c>
      <c r="P65" s="271">
        <v>611487337.72000003</v>
      </c>
      <c r="Q65" s="271">
        <v>486448732.68000001</v>
      </c>
      <c r="R65" s="271">
        <v>382940470.94999999</v>
      </c>
      <c r="S65" s="271">
        <v>20581850.370000001</v>
      </c>
    </row>
    <row r="66" spans="1:19">
      <c r="A66" s="271" t="s">
        <v>171</v>
      </c>
      <c r="B66" s="271" t="s">
        <v>657</v>
      </c>
      <c r="C66" s="271" t="s">
        <v>657</v>
      </c>
      <c r="D66" s="271" t="s">
        <v>657</v>
      </c>
      <c r="E66" s="271" t="s">
        <v>657</v>
      </c>
      <c r="F66" s="271" t="s">
        <v>657</v>
      </c>
      <c r="G66" s="271" t="s">
        <v>657</v>
      </c>
      <c r="H66" s="271" t="s">
        <v>657</v>
      </c>
      <c r="I66" s="271" t="s">
        <v>657</v>
      </c>
      <c r="J66" s="271" t="s">
        <v>657</v>
      </c>
      <c r="K66" s="271" t="s">
        <v>657</v>
      </c>
      <c r="L66" s="271" t="s">
        <v>657</v>
      </c>
      <c r="M66" s="271" t="s">
        <v>657</v>
      </c>
      <c r="N66" s="271" t="s">
        <v>657</v>
      </c>
      <c r="O66" s="271" t="s">
        <v>657</v>
      </c>
      <c r="P66" s="271" t="s">
        <v>657</v>
      </c>
      <c r="Q66" s="271" t="s">
        <v>657</v>
      </c>
      <c r="R66" s="271" t="s">
        <v>657</v>
      </c>
      <c r="S66" s="271" t="s">
        <v>657</v>
      </c>
    </row>
    <row r="67" spans="1:19">
      <c r="A67" s="271" t="s">
        <v>172</v>
      </c>
      <c r="B67" s="271" t="s">
        <v>657</v>
      </c>
      <c r="C67" s="271" t="s">
        <v>657</v>
      </c>
      <c r="D67" s="271" t="s">
        <v>657</v>
      </c>
      <c r="E67" s="271" t="s">
        <v>657</v>
      </c>
      <c r="F67" s="271" t="s">
        <v>657</v>
      </c>
      <c r="G67" s="271" t="s">
        <v>657</v>
      </c>
      <c r="H67" s="271" t="s">
        <v>657</v>
      </c>
      <c r="I67" s="271" t="s">
        <v>657</v>
      </c>
      <c r="J67" s="271" t="s">
        <v>657</v>
      </c>
      <c r="K67" s="271" t="s">
        <v>657</v>
      </c>
      <c r="L67" s="271" t="s">
        <v>657</v>
      </c>
      <c r="M67" s="271" t="s">
        <v>657</v>
      </c>
      <c r="N67" s="271" t="s">
        <v>657</v>
      </c>
      <c r="O67" s="271" t="s">
        <v>657</v>
      </c>
      <c r="P67" s="271" t="s">
        <v>657</v>
      </c>
      <c r="Q67" s="271" t="s">
        <v>657</v>
      </c>
      <c r="R67" s="271" t="s">
        <v>657</v>
      </c>
      <c r="S67" s="271" t="s">
        <v>657</v>
      </c>
    </row>
    <row r="68" spans="1:19">
      <c r="A68" s="271" t="s">
        <v>173</v>
      </c>
      <c r="B68" s="271">
        <v>0</v>
      </c>
      <c r="C68" s="271">
        <v>0</v>
      </c>
      <c r="D68" s="271">
        <v>0</v>
      </c>
      <c r="E68" s="271">
        <v>0</v>
      </c>
      <c r="F68" s="271">
        <v>0</v>
      </c>
      <c r="G68" s="271">
        <v>0</v>
      </c>
      <c r="H68" s="271">
        <v>0</v>
      </c>
      <c r="I68" s="271">
        <v>0</v>
      </c>
      <c r="J68" s="271">
        <v>0</v>
      </c>
      <c r="K68" s="271">
        <v>0</v>
      </c>
      <c r="L68" s="271">
        <v>0</v>
      </c>
      <c r="M68" s="271">
        <v>0</v>
      </c>
      <c r="N68" s="271">
        <v>844344.7</v>
      </c>
      <c r="O68" s="271">
        <v>-6145179.6900000004</v>
      </c>
      <c r="P68" s="271">
        <v>2876942.76</v>
      </c>
      <c r="Q68" s="271">
        <v>1024758.04</v>
      </c>
      <c r="R68" s="271">
        <v>42547871.530000001</v>
      </c>
      <c r="S68" s="271">
        <v>9725922.3100000005</v>
      </c>
    </row>
    <row r="69" spans="1:19">
      <c r="A69" s="271" t="s">
        <v>763</v>
      </c>
      <c r="B69" s="271">
        <v>41385234406.720001</v>
      </c>
      <c r="C69" s="271">
        <v>22153036084.130001</v>
      </c>
      <c r="D69" s="271">
        <v>37451249647.050003</v>
      </c>
      <c r="E69" s="271">
        <v>17436340141.720001</v>
      </c>
      <c r="F69" s="271">
        <v>12632522436.6</v>
      </c>
      <c r="G69" s="271">
        <v>12655024861.92</v>
      </c>
      <c r="H69" s="271">
        <v>11921310609.25</v>
      </c>
      <c r="I69" s="271">
        <v>10148564689.530001</v>
      </c>
      <c r="J69" s="271">
        <v>6201476519.5699997</v>
      </c>
      <c r="K69" s="271">
        <v>4223937144.1900001</v>
      </c>
      <c r="L69" s="271">
        <v>5247488535.7399998</v>
      </c>
      <c r="M69" s="271">
        <v>1743303211.3800001</v>
      </c>
      <c r="N69" s="271">
        <v>2105171033.6900001</v>
      </c>
      <c r="O69" s="271">
        <v>1693707488.3199999</v>
      </c>
      <c r="P69" s="271">
        <v>975784480.20000005</v>
      </c>
      <c r="Q69" s="271">
        <v>941706242.08000004</v>
      </c>
      <c r="R69" s="271">
        <v>434582378.66000003</v>
      </c>
      <c r="S69" s="271">
        <v>42283037.350000001</v>
      </c>
    </row>
    <row r="70" spans="1:19">
      <c r="A70" s="271" t="s">
        <v>174</v>
      </c>
      <c r="B70" s="271">
        <v>0</v>
      </c>
      <c r="C70" s="271">
        <v>0</v>
      </c>
      <c r="D70" s="271">
        <v>0</v>
      </c>
      <c r="E70" s="271">
        <v>0</v>
      </c>
      <c r="F70" s="271">
        <v>0</v>
      </c>
      <c r="G70" s="271">
        <v>0</v>
      </c>
      <c r="H70" s="271">
        <v>0</v>
      </c>
      <c r="I70" s="271">
        <v>0</v>
      </c>
      <c r="J70" s="271">
        <v>0</v>
      </c>
      <c r="K70" s="271">
        <v>0</v>
      </c>
      <c r="L70" s="271">
        <v>0</v>
      </c>
      <c r="M70" s="271">
        <v>0</v>
      </c>
      <c r="N70" s="271">
        <v>0</v>
      </c>
      <c r="O70" s="271">
        <v>0</v>
      </c>
      <c r="P70" s="271">
        <v>0</v>
      </c>
      <c r="Q70" s="271">
        <v>0</v>
      </c>
      <c r="R70" s="271">
        <v>0</v>
      </c>
      <c r="S70" s="271">
        <v>0</v>
      </c>
    </row>
    <row r="71" spans="1:19">
      <c r="A71" s="271" t="s">
        <v>175</v>
      </c>
      <c r="B71" s="271">
        <v>0</v>
      </c>
      <c r="C71" s="271">
        <v>0</v>
      </c>
      <c r="D71" s="271">
        <v>0</v>
      </c>
      <c r="E71" s="271">
        <v>0</v>
      </c>
      <c r="F71" s="271">
        <v>0</v>
      </c>
      <c r="G71" s="271">
        <v>0</v>
      </c>
      <c r="H71" s="271">
        <v>0</v>
      </c>
      <c r="I71" s="271">
        <v>0</v>
      </c>
      <c r="J71" s="271">
        <v>0</v>
      </c>
      <c r="K71" s="271">
        <v>0</v>
      </c>
      <c r="L71" s="271">
        <v>0</v>
      </c>
      <c r="M71" s="271">
        <v>0</v>
      </c>
      <c r="N71" s="271">
        <v>0</v>
      </c>
      <c r="O71" s="271">
        <v>0</v>
      </c>
      <c r="P71" s="271">
        <v>0</v>
      </c>
      <c r="Q71" s="271">
        <v>0</v>
      </c>
      <c r="R71" s="271">
        <v>0</v>
      </c>
      <c r="S71" s="271">
        <v>0</v>
      </c>
    </row>
    <row r="72" spans="1:19">
      <c r="A72" s="271" t="s">
        <v>176</v>
      </c>
      <c r="B72" s="271">
        <v>0</v>
      </c>
      <c r="C72" s="271">
        <v>0</v>
      </c>
      <c r="D72" s="271">
        <v>0</v>
      </c>
      <c r="E72" s="271">
        <v>0</v>
      </c>
      <c r="F72" s="271">
        <v>0</v>
      </c>
      <c r="G72" s="271">
        <v>0</v>
      </c>
      <c r="H72" s="271">
        <v>0</v>
      </c>
      <c r="I72" s="271">
        <v>0</v>
      </c>
      <c r="J72" s="271">
        <v>0</v>
      </c>
      <c r="K72" s="271">
        <v>0</v>
      </c>
      <c r="L72" s="271">
        <v>0</v>
      </c>
      <c r="M72" s="271">
        <v>0</v>
      </c>
      <c r="N72" s="271">
        <v>0</v>
      </c>
      <c r="O72" s="271">
        <v>0</v>
      </c>
      <c r="P72" s="271">
        <v>0</v>
      </c>
      <c r="Q72" s="271">
        <v>0</v>
      </c>
      <c r="R72" s="271">
        <v>0</v>
      </c>
      <c r="S72" s="271">
        <v>0</v>
      </c>
    </row>
    <row r="73" spans="1:19">
      <c r="A73" s="271" t="s">
        <v>177</v>
      </c>
      <c r="B73" s="271">
        <v>98243288299.539993</v>
      </c>
      <c r="C73" s="271">
        <v>74928080750.580002</v>
      </c>
      <c r="D73" s="271">
        <v>62794794812.989998</v>
      </c>
      <c r="E73" s="271">
        <v>34780485904.57</v>
      </c>
      <c r="F73" s="271">
        <v>24997229197.759998</v>
      </c>
      <c r="G73" s="271">
        <v>21991742237.669998</v>
      </c>
      <c r="H73" s="271">
        <v>22061999850.169998</v>
      </c>
      <c r="I73" s="271">
        <v>18254690162.040001</v>
      </c>
      <c r="J73" s="271">
        <v>12888393889.290001</v>
      </c>
      <c r="K73" s="271">
        <v>9743152155.2399998</v>
      </c>
      <c r="L73" s="271">
        <v>8093721891.1599998</v>
      </c>
      <c r="M73" s="271">
        <v>4722706300.0200005</v>
      </c>
      <c r="N73" s="271">
        <v>4463098038.6400003</v>
      </c>
      <c r="O73" s="271">
        <v>3891989433.5300002</v>
      </c>
      <c r="P73" s="271">
        <v>2898327418.8499999</v>
      </c>
      <c r="Q73" s="271">
        <v>2340047386.8499999</v>
      </c>
      <c r="R73" s="271">
        <v>1780307690.6400001</v>
      </c>
      <c r="S73" s="271">
        <v>1956436570.0999999</v>
      </c>
    </row>
    <row r="74" spans="1:19">
      <c r="A74" s="271" t="s">
        <v>764</v>
      </c>
      <c r="B74" s="271">
        <v>74928080750.580002</v>
      </c>
      <c r="C74" s="271">
        <v>62794794812.989998</v>
      </c>
      <c r="D74" s="271">
        <v>34780485904.57</v>
      </c>
      <c r="E74" s="271">
        <v>24997229197.759998</v>
      </c>
      <c r="F74" s="271">
        <v>21991742237.669998</v>
      </c>
      <c r="G74" s="271">
        <v>22061999850.169998</v>
      </c>
      <c r="H74" s="271">
        <v>18254690162.040001</v>
      </c>
      <c r="I74" s="271">
        <v>12888393889.290001</v>
      </c>
      <c r="J74" s="271">
        <v>9743152155.2399998</v>
      </c>
      <c r="K74" s="271">
        <v>8093721891.1599998</v>
      </c>
      <c r="L74" s="271">
        <v>4722706300.0200005</v>
      </c>
      <c r="M74" s="271">
        <v>4474221148.3299999</v>
      </c>
      <c r="N74" s="271">
        <v>3891989433.5300002</v>
      </c>
      <c r="O74" s="271">
        <v>2898327418.8499999</v>
      </c>
      <c r="P74" s="271">
        <v>2340047386.8499999</v>
      </c>
      <c r="Q74" s="271">
        <v>1780307690.6400001</v>
      </c>
      <c r="R74" s="271">
        <v>1956436570.0999999</v>
      </c>
      <c r="S74" s="271">
        <v>460983583.45999998</v>
      </c>
    </row>
    <row r="75" spans="1:19">
      <c r="A75" s="271" t="s">
        <v>765</v>
      </c>
      <c r="B75" s="271">
        <v>0</v>
      </c>
      <c r="C75" s="271">
        <v>0</v>
      </c>
      <c r="D75" s="271">
        <v>0</v>
      </c>
      <c r="E75" s="271">
        <v>0</v>
      </c>
      <c r="F75" s="271">
        <v>0</v>
      </c>
      <c r="G75" s="271">
        <v>0</v>
      </c>
      <c r="H75" s="271">
        <v>0</v>
      </c>
      <c r="I75" s="271">
        <v>0</v>
      </c>
      <c r="J75" s="271">
        <v>0</v>
      </c>
      <c r="K75" s="271">
        <v>0</v>
      </c>
      <c r="L75" s="271">
        <v>0</v>
      </c>
      <c r="M75" s="271">
        <v>0</v>
      </c>
      <c r="N75" s="271">
        <v>0</v>
      </c>
      <c r="O75" s="271">
        <v>0</v>
      </c>
      <c r="P75" s="271">
        <v>0</v>
      </c>
      <c r="Q75" s="271">
        <v>0</v>
      </c>
      <c r="R75" s="271">
        <v>0</v>
      </c>
      <c r="S75" s="271">
        <v>0</v>
      </c>
    </row>
    <row r="76" spans="1:19">
      <c r="A76" s="271" t="s">
        <v>766</v>
      </c>
      <c r="B76" s="271">
        <v>0</v>
      </c>
      <c r="C76" s="271">
        <v>0</v>
      </c>
      <c r="D76" s="271">
        <v>0</v>
      </c>
      <c r="E76" s="271">
        <v>0</v>
      </c>
      <c r="F76" s="271">
        <v>0</v>
      </c>
      <c r="G76" s="271">
        <v>0</v>
      </c>
      <c r="H76" s="271">
        <v>0</v>
      </c>
      <c r="I76" s="271">
        <v>0</v>
      </c>
      <c r="J76" s="271">
        <v>0</v>
      </c>
      <c r="K76" s="271">
        <v>0</v>
      </c>
      <c r="L76" s="271">
        <v>0</v>
      </c>
      <c r="M76" s="271">
        <v>0</v>
      </c>
      <c r="N76" s="271">
        <v>0</v>
      </c>
      <c r="O76" s="271">
        <v>0</v>
      </c>
      <c r="P76" s="271">
        <v>0</v>
      </c>
      <c r="Q76" s="271">
        <v>0</v>
      </c>
      <c r="R76" s="271">
        <v>0</v>
      </c>
      <c r="S76" s="271">
        <v>0</v>
      </c>
    </row>
    <row r="77" spans="1:19">
      <c r="A77" s="271" t="s">
        <v>767</v>
      </c>
      <c r="B77" s="271">
        <v>23315207548.959999</v>
      </c>
      <c r="C77" s="271">
        <v>12133285937.59</v>
      </c>
      <c r="D77" s="271">
        <v>28014308908.419998</v>
      </c>
      <c r="E77" s="271">
        <v>9783256706.8099995</v>
      </c>
      <c r="F77" s="271">
        <v>3005486960.0900002</v>
      </c>
      <c r="G77" s="271">
        <v>-70257612.5</v>
      </c>
      <c r="H77" s="271">
        <v>3807309688.1300001</v>
      </c>
      <c r="I77" s="271">
        <v>5366296272.75</v>
      </c>
      <c r="J77" s="271">
        <v>3145241734.0500002</v>
      </c>
      <c r="K77" s="271">
        <v>1649430264.0799999</v>
      </c>
      <c r="L77" s="271">
        <v>3371015591.1399999</v>
      </c>
      <c r="M77" s="271">
        <v>248485151.69</v>
      </c>
      <c r="N77" s="271">
        <v>571108605.11000001</v>
      </c>
      <c r="O77" s="271">
        <v>993662014.67999995</v>
      </c>
      <c r="P77" s="271">
        <v>558280032</v>
      </c>
      <c r="Q77" s="271">
        <v>559739696.21000004</v>
      </c>
      <c r="R77" s="271">
        <v>-176128879.46000001</v>
      </c>
      <c r="S77" s="271">
        <v>1495452986.6400001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B33" sqref="B33"/>
    </sheetView>
  </sheetViews>
  <sheetFormatPr defaultRowHeight="13.5"/>
  <cols>
    <col min="1" max="1" width="31.875" style="17" bestFit="1" customWidth="1"/>
    <col min="2" max="3" width="21.625" bestFit="1" customWidth="1"/>
    <col min="4" max="12" width="20.5" bestFit="1" customWidth="1"/>
    <col min="13" max="13" width="19.375" bestFit="1" customWidth="1"/>
    <col min="14" max="14" width="20.5" bestFit="1" customWidth="1"/>
    <col min="15" max="19" width="19.375" bestFit="1" customWidth="1"/>
    <col min="20" max="43" width="20.5" bestFit="1" customWidth="1"/>
    <col min="44" max="70" width="19.375" bestFit="1" customWidth="1"/>
    <col min="71" max="74" width="17.25" bestFit="1" customWidth="1"/>
    <col min="75" max="75" width="7.375" bestFit="1" customWidth="1"/>
    <col min="76" max="78" width="19.375" bestFit="1" customWidth="1"/>
    <col min="79" max="81" width="17.25" bestFit="1" customWidth="1"/>
    <col min="82" max="82" width="7.375" bestFit="1" customWidth="1"/>
    <col min="83" max="84" width="19.375" bestFit="1" customWidth="1"/>
    <col min="85" max="87" width="17.25" bestFit="1" customWidth="1"/>
    <col min="88" max="89" width="16.125" bestFit="1" customWidth="1"/>
    <col min="90" max="90" width="7.375" bestFit="1" customWidth="1"/>
  </cols>
  <sheetData>
    <row r="1" spans="1:90" s="41" customFormat="1">
      <c r="A1" s="41">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row>
    <row r="2" spans="1:90">
      <c r="A2" s="20" t="s">
        <v>0</v>
      </c>
      <c r="B2" s="26"/>
      <c r="C2" s="26"/>
      <c r="D2" s="26"/>
      <c r="E2" s="26"/>
      <c r="F2" s="26"/>
      <c r="G2" s="26"/>
      <c r="H2" s="26"/>
      <c r="I2" s="26"/>
      <c r="J2" s="26"/>
      <c r="K2" s="26"/>
      <c r="L2" s="23"/>
    </row>
    <row r="3" spans="1:90">
      <c r="A3" s="20" t="s">
        <v>203</v>
      </c>
      <c r="B3" s="26"/>
      <c r="C3" s="26"/>
      <c r="D3" s="26"/>
      <c r="E3" s="26"/>
      <c r="F3" s="26"/>
      <c r="G3" s="26"/>
      <c r="H3" s="26"/>
      <c r="I3" s="26"/>
      <c r="J3" s="26"/>
      <c r="K3" s="26"/>
      <c r="L3" s="23"/>
    </row>
    <row r="4" spans="1:90" s="190" customFormat="1">
      <c r="A4" s="190" t="s">
        <v>1</v>
      </c>
      <c r="B4" s="314">
        <v>112074791420.06</v>
      </c>
      <c r="C4" s="314">
        <v>87868869913.339996</v>
      </c>
      <c r="D4" s="314">
        <v>66854962118.220001</v>
      </c>
      <c r="E4" s="314">
        <v>36800749895.059998</v>
      </c>
      <c r="F4" s="314">
        <v>27710717680.209999</v>
      </c>
      <c r="G4" s="314">
        <v>25185009331.68</v>
      </c>
      <c r="H4" s="314">
        <v>22061999850.169998</v>
      </c>
      <c r="I4" s="314">
        <v>18254690162.040001</v>
      </c>
      <c r="J4" s="314">
        <v>12888393889.290001</v>
      </c>
      <c r="K4" s="314">
        <v>9743152155.2399998</v>
      </c>
      <c r="L4" s="314">
        <v>8093721891.1599998</v>
      </c>
      <c r="M4" s="314">
        <v>4722706300.0200005</v>
      </c>
      <c r="N4" s="314">
        <v>4463098038.6400003</v>
      </c>
      <c r="O4" s="314">
        <v>3891989433.5300002</v>
      </c>
      <c r="P4" s="314">
        <v>2898327418.8499999</v>
      </c>
      <c r="Q4" s="314">
        <v>2340047386.8499999</v>
      </c>
      <c r="R4" s="314">
        <v>1780307690.6400001</v>
      </c>
      <c r="S4" s="314">
        <v>1956436570.0999999</v>
      </c>
    </row>
    <row r="5" spans="1:90">
      <c r="A5" s="17" t="s">
        <v>2</v>
      </c>
      <c r="B5" s="271">
        <v>0</v>
      </c>
      <c r="C5" s="271">
        <v>0</v>
      </c>
      <c r="D5" s="271">
        <v>0</v>
      </c>
      <c r="E5" s="271">
        <v>0</v>
      </c>
      <c r="F5" s="271">
        <v>0</v>
      </c>
      <c r="G5" s="271">
        <v>0</v>
      </c>
      <c r="H5" s="271">
        <v>0</v>
      </c>
      <c r="I5" s="271">
        <v>0</v>
      </c>
      <c r="J5" s="271">
        <v>0</v>
      </c>
      <c r="K5" s="271">
        <v>0</v>
      </c>
      <c r="L5" s="271">
        <v>0</v>
      </c>
      <c r="M5" s="271">
        <v>0</v>
      </c>
      <c r="N5" s="271">
        <v>0</v>
      </c>
      <c r="O5" s="271">
        <v>0</v>
      </c>
      <c r="P5" s="271">
        <v>0</v>
      </c>
      <c r="Q5" s="271">
        <v>0</v>
      </c>
      <c r="R5" s="271">
        <v>0</v>
      </c>
      <c r="S5" s="271">
        <v>0</v>
      </c>
      <c r="T5" s="187"/>
      <c r="U5" s="187"/>
      <c r="V5" s="187"/>
      <c r="W5" s="187"/>
      <c r="X5" s="187"/>
      <c r="Y5" s="187"/>
      <c r="Z5" s="187"/>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row>
    <row r="6" spans="1:90">
      <c r="A6" s="17" t="s">
        <v>13</v>
      </c>
      <c r="B6" s="271">
        <v>0</v>
      </c>
      <c r="C6" s="271">
        <v>0</v>
      </c>
      <c r="D6" s="271">
        <v>0</v>
      </c>
      <c r="E6" s="271">
        <v>0</v>
      </c>
      <c r="F6" s="271">
        <v>0</v>
      </c>
      <c r="G6" s="271">
        <v>0</v>
      </c>
      <c r="H6" s="271">
        <v>0</v>
      </c>
      <c r="I6" s="271">
        <v>0</v>
      </c>
      <c r="J6" s="271">
        <v>0</v>
      </c>
      <c r="K6" s="271">
        <v>0</v>
      </c>
      <c r="L6" s="271">
        <v>0</v>
      </c>
      <c r="M6" s="271">
        <v>0</v>
      </c>
      <c r="N6" s="271">
        <v>0</v>
      </c>
      <c r="O6" s="271">
        <v>0</v>
      </c>
      <c r="P6" s="271">
        <v>0</v>
      </c>
      <c r="Q6" s="271">
        <v>0</v>
      </c>
      <c r="R6" s="271">
        <v>0</v>
      </c>
      <c r="S6" s="271">
        <v>0</v>
      </c>
      <c r="T6" s="187"/>
      <c r="U6" s="187"/>
      <c r="V6" s="187"/>
      <c r="W6" s="187"/>
      <c r="X6" s="187"/>
      <c r="Y6" s="187"/>
      <c r="Z6" s="187"/>
      <c r="AA6" s="187"/>
      <c r="AB6" s="187"/>
      <c r="AC6" s="187"/>
      <c r="AD6" s="187"/>
      <c r="AE6" s="187"/>
      <c r="AF6" s="187"/>
      <c r="AG6" s="187"/>
      <c r="AH6" s="187"/>
      <c r="AI6" s="187"/>
      <c r="AJ6" s="187"/>
      <c r="AK6" s="187"/>
      <c r="AL6" s="187"/>
      <c r="AM6" s="187"/>
      <c r="AN6" s="187"/>
      <c r="AO6" s="187"/>
      <c r="AP6" s="187"/>
      <c r="AQ6" s="187"/>
      <c r="AR6" s="187"/>
      <c r="AS6" s="187"/>
      <c r="AT6" s="187"/>
      <c r="AU6" s="187"/>
      <c r="AV6" s="187"/>
      <c r="AW6" s="187"/>
      <c r="AX6" s="187"/>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row>
    <row r="7" spans="1:90">
      <c r="A7" s="17" t="s">
        <v>4</v>
      </c>
      <c r="B7" s="271">
        <v>0</v>
      </c>
      <c r="C7" s="271">
        <v>0</v>
      </c>
      <c r="D7" s="271">
        <v>0</v>
      </c>
      <c r="E7" s="271">
        <v>0</v>
      </c>
      <c r="F7" s="271">
        <v>0</v>
      </c>
      <c r="G7" s="271">
        <v>0</v>
      </c>
      <c r="H7" s="271">
        <v>0</v>
      </c>
      <c r="I7" s="271">
        <v>0</v>
      </c>
      <c r="J7" s="271">
        <v>0</v>
      </c>
      <c r="K7" s="271">
        <v>0</v>
      </c>
      <c r="L7" s="271">
        <v>0</v>
      </c>
      <c r="M7" s="271">
        <v>0</v>
      </c>
      <c r="N7" s="271">
        <v>0</v>
      </c>
      <c r="O7" s="271">
        <v>0</v>
      </c>
      <c r="P7" s="271">
        <v>0</v>
      </c>
      <c r="Q7" s="271">
        <v>0</v>
      </c>
      <c r="R7" s="271">
        <v>0</v>
      </c>
      <c r="S7" s="271">
        <v>0</v>
      </c>
      <c r="T7" s="187"/>
      <c r="U7" s="187"/>
      <c r="V7" s="187"/>
      <c r="W7" s="187"/>
      <c r="X7" s="187"/>
      <c r="Y7" s="187"/>
      <c r="Z7" s="187"/>
      <c r="AA7" s="187"/>
      <c r="AB7" s="187"/>
      <c r="AC7" s="187"/>
      <c r="AD7" s="187"/>
      <c r="AE7" s="187"/>
      <c r="AF7" s="187"/>
      <c r="AG7" s="187"/>
      <c r="AH7" s="187"/>
      <c r="AI7" s="187"/>
      <c r="AJ7" s="187"/>
      <c r="AK7" s="187"/>
      <c r="AL7" s="187"/>
      <c r="AM7" s="187"/>
      <c r="AN7" s="187"/>
      <c r="AO7" s="187"/>
      <c r="AP7" s="187"/>
      <c r="AQ7" s="187"/>
      <c r="AR7" s="187"/>
      <c r="AS7" s="187"/>
      <c r="AT7" s="187"/>
      <c r="AU7" s="187"/>
      <c r="AV7" s="187"/>
      <c r="AW7" s="187"/>
      <c r="AX7" s="187"/>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row>
    <row r="8" spans="1:90">
      <c r="A8" s="17" t="s">
        <v>5</v>
      </c>
      <c r="B8" s="271">
        <v>29000000</v>
      </c>
      <c r="C8" s="271">
        <v>29000000</v>
      </c>
      <c r="D8" s="271">
        <v>29000000</v>
      </c>
      <c r="E8" s="271">
        <v>29000000</v>
      </c>
      <c r="F8" s="271">
        <v>4000000</v>
      </c>
      <c r="G8" s="271">
        <v>0</v>
      </c>
      <c r="H8" s="271">
        <v>0</v>
      </c>
      <c r="I8" s="271">
        <v>0</v>
      </c>
      <c r="J8" s="271">
        <v>0</v>
      </c>
      <c r="K8" s="271">
        <v>0</v>
      </c>
      <c r="L8" s="271">
        <v>0</v>
      </c>
      <c r="M8" s="271">
        <v>0</v>
      </c>
      <c r="N8" s="271">
        <v>0</v>
      </c>
      <c r="O8" s="271">
        <v>0</v>
      </c>
      <c r="P8" s="271">
        <v>0</v>
      </c>
      <c r="Q8" s="271">
        <v>0</v>
      </c>
      <c r="R8" s="271">
        <v>0</v>
      </c>
      <c r="S8" s="271">
        <v>0</v>
      </c>
      <c r="T8" s="187"/>
      <c r="U8" s="187"/>
      <c r="V8" s="187"/>
      <c r="W8" s="187"/>
      <c r="X8" s="187"/>
      <c r="Y8" s="187"/>
      <c r="Z8" s="187"/>
      <c r="AA8" s="187"/>
      <c r="AB8" s="187"/>
      <c r="AC8" s="187"/>
      <c r="AD8" s="187"/>
      <c r="AE8" s="187"/>
      <c r="AF8" s="187"/>
      <c r="AG8" s="187"/>
      <c r="AH8" s="187"/>
      <c r="AI8" s="187"/>
      <c r="AJ8" s="187"/>
      <c r="AK8" s="187"/>
      <c r="AL8" s="187"/>
      <c r="AM8" s="187"/>
      <c r="AN8" s="187"/>
      <c r="AO8" s="187"/>
      <c r="AP8" s="187"/>
      <c r="AQ8" s="187"/>
      <c r="AR8" s="187"/>
      <c r="AS8" s="187"/>
      <c r="AT8" s="187"/>
      <c r="AU8" s="187"/>
      <c r="AV8" s="187"/>
      <c r="AW8" s="187"/>
      <c r="AX8" s="187"/>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row>
    <row r="9" spans="1:90">
      <c r="A9" s="17" t="s">
        <v>6</v>
      </c>
      <c r="B9" s="271">
        <v>0</v>
      </c>
      <c r="C9" s="271">
        <v>0</v>
      </c>
      <c r="D9" s="271">
        <v>0</v>
      </c>
      <c r="E9" s="271">
        <v>0</v>
      </c>
      <c r="F9" s="271">
        <v>60000000</v>
      </c>
      <c r="G9" s="271">
        <v>50000000</v>
      </c>
      <c r="H9" s="271">
        <v>50000000</v>
      </c>
      <c r="I9" s="271">
        <v>60000000</v>
      </c>
      <c r="J9" s="271">
        <v>60000000</v>
      </c>
      <c r="K9" s="271">
        <v>10000000</v>
      </c>
      <c r="L9" s="271">
        <v>42000000</v>
      </c>
      <c r="M9" s="271">
        <v>58000000</v>
      </c>
      <c r="N9" s="271">
        <v>42769450</v>
      </c>
      <c r="O9" s="271">
        <v>0</v>
      </c>
      <c r="P9" s="271">
        <v>0</v>
      </c>
      <c r="Q9" s="271">
        <v>0</v>
      </c>
      <c r="R9" s="271">
        <v>0</v>
      </c>
      <c r="S9" s="271">
        <v>0</v>
      </c>
      <c r="T9" s="187"/>
      <c r="U9" s="187"/>
      <c r="V9" s="187"/>
      <c r="W9" s="187"/>
      <c r="X9" s="187"/>
      <c r="Y9" s="187"/>
      <c r="Z9" s="187"/>
      <c r="AA9" s="187"/>
      <c r="AB9" s="187"/>
      <c r="AC9" s="187"/>
      <c r="AD9" s="187"/>
      <c r="AE9" s="187"/>
      <c r="AF9" s="187"/>
      <c r="AG9" s="187"/>
      <c r="AH9" s="187"/>
      <c r="AI9" s="187"/>
      <c r="AJ9" s="187"/>
      <c r="AK9" s="187"/>
      <c r="AL9" s="187"/>
      <c r="AM9" s="187"/>
      <c r="AN9" s="187"/>
      <c r="AO9" s="187"/>
      <c r="AP9" s="187"/>
      <c r="AQ9" s="187"/>
      <c r="AR9" s="187"/>
      <c r="AS9" s="187"/>
      <c r="AT9" s="187"/>
      <c r="AU9" s="187"/>
      <c r="AV9" s="187"/>
      <c r="AW9" s="187"/>
      <c r="AX9" s="187"/>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row>
    <row r="10" spans="1:90">
      <c r="A10" s="19" t="s">
        <v>7</v>
      </c>
      <c r="B10" s="271">
        <v>0</v>
      </c>
      <c r="C10" s="271">
        <v>0</v>
      </c>
      <c r="D10" s="271">
        <v>0</v>
      </c>
      <c r="E10" s="271">
        <v>0</v>
      </c>
      <c r="F10" s="271">
        <v>0</v>
      </c>
      <c r="G10" s="271">
        <v>0</v>
      </c>
      <c r="H10" s="271">
        <v>0</v>
      </c>
      <c r="I10" s="271">
        <v>0</v>
      </c>
      <c r="J10" s="271">
        <v>0</v>
      </c>
      <c r="K10" s="271">
        <v>0</v>
      </c>
      <c r="L10" s="271">
        <v>0</v>
      </c>
      <c r="M10" s="271">
        <v>0</v>
      </c>
      <c r="N10" s="271">
        <v>0</v>
      </c>
      <c r="O10" s="271">
        <v>0</v>
      </c>
      <c r="P10" s="271">
        <v>0</v>
      </c>
      <c r="Q10" s="271">
        <v>0</v>
      </c>
      <c r="R10" s="271">
        <v>0</v>
      </c>
      <c r="S10" s="271">
        <v>0</v>
      </c>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row>
    <row r="11" spans="1:90">
      <c r="A11" s="17" t="s">
        <v>8</v>
      </c>
      <c r="B11" s="271">
        <v>0</v>
      </c>
      <c r="C11" s="271">
        <v>0</v>
      </c>
      <c r="D11" s="271">
        <v>0</v>
      </c>
      <c r="E11" s="271">
        <v>0</v>
      </c>
      <c r="F11" s="271">
        <v>0</v>
      </c>
      <c r="G11" s="271">
        <v>0</v>
      </c>
      <c r="H11" s="271">
        <v>0</v>
      </c>
      <c r="I11" s="271">
        <v>0</v>
      </c>
      <c r="J11" s="271">
        <v>0</v>
      </c>
      <c r="K11" s="271">
        <v>0</v>
      </c>
      <c r="L11" s="271">
        <v>0</v>
      </c>
      <c r="M11" s="271">
        <v>0</v>
      </c>
      <c r="N11" s="271">
        <v>0</v>
      </c>
      <c r="O11" s="271">
        <v>0</v>
      </c>
      <c r="P11" s="271">
        <v>0</v>
      </c>
      <c r="Q11" s="271">
        <v>0</v>
      </c>
      <c r="R11" s="271">
        <v>0</v>
      </c>
      <c r="S11" s="271">
        <v>0</v>
      </c>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row>
    <row r="12" spans="1:90">
      <c r="A12" s="17" t="s">
        <v>9</v>
      </c>
      <c r="B12" s="271">
        <v>0</v>
      </c>
      <c r="C12" s="271">
        <v>0</v>
      </c>
      <c r="D12" s="271">
        <v>0</v>
      </c>
      <c r="E12" s="271">
        <v>0</v>
      </c>
      <c r="F12" s="271">
        <v>0</v>
      </c>
      <c r="G12" s="271">
        <v>0</v>
      </c>
      <c r="H12" s="271">
        <v>0</v>
      </c>
      <c r="I12" s="271">
        <v>0</v>
      </c>
      <c r="J12" s="271">
        <v>0</v>
      </c>
      <c r="K12" s="271">
        <v>0</v>
      </c>
      <c r="L12" s="271">
        <v>0</v>
      </c>
      <c r="M12" s="271">
        <v>0</v>
      </c>
      <c r="N12" s="271">
        <v>0</v>
      </c>
      <c r="O12" s="271">
        <v>0</v>
      </c>
      <c r="P12" s="271">
        <v>0</v>
      </c>
      <c r="Q12" s="271">
        <v>0</v>
      </c>
      <c r="R12" s="271">
        <v>0</v>
      </c>
      <c r="S12" s="271">
        <v>0</v>
      </c>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row>
    <row r="13" spans="1:90">
      <c r="A13" s="17" t="s">
        <v>10</v>
      </c>
      <c r="B13" s="271">
        <v>343889944.47000003</v>
      </c>
      <c r="C13" s="271">
        <v>241458615.88999999</v>
      </c>
      <c r="D13" s="271">
        <v>140904856.88</v>
      </c>
      <c r="E13" s="271">
        <v>85347051.469999999</v>
      </c>
      <c r="F13" s="271">
        <v>80602922.329999998</v>
      </c>
      <c r="G13" s="271">
        <v>188599147.22999999</v>
      </c>
      <c r="H13" s="271">
        <v>264612813.22</v>
      </c>
      <c r="I13" s="271">
        <v>225182760.05000001</v>
      </c>
      <c r="J13" s="271">
        <v>42728425.340000004</v>
      </c>
      <c r="K13" s="271">
        <v>1912600</v>
      </c>
      <c r="L13" s="271">
        <v>2783550</v>
      </c>
      <c r="M13" s="271">
        <v>3584400</v>
      </c>
      <c r="N13" s="271">
        <v>0</v>
      </c>
      <c r="O13" s="271">
        <v>0</v>
      </c>
      <c r="P13" s="271">
        <v>0</v>
      </c>
      <c r="Q13" s="271">
        <v>0</v>
      </c>
      <c r="R13" s="271">
        <v>0</v>
      </c>
      <c r="S13" s="271">
        <v>0</v>
      </c>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c r="AX13" s="187"/>
      <c r="AY13" s="187"/>
      <c r="AZ13" s="187"/>
      <c r="BA13" s="187"/>
      <c r="BB13" s="187"/>
      <c r="BC13" s="187"/>
      <c r="BD13" s="187"/>
      <c r="BE13" s="187"/>
      <c r="BF13" s="187"/>
      <c r="BG13" s="187"/>
      <c r="BH13" s="187"/>
      <c r="BI13" s="187"/>
      <c r="BJ13" s="187"/>
      <c r="BK13" s="187"/>
      <c r="BL13" s="187"/>
      <c r="BM13" s="187"/>
      <c r="BN13" s="187"/>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c r="CL13" s="187"/>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1" t="s">
        <v>11</v>
      </c>
      <c r="B17" s="33">
        <f>SUM(B4:B13)</f>
        <v>112447681364.53</v>
      </c>
      <c r="C17" s="33">
        <f t="shared" ref="C17:BN17" si="0">SUM(C4:C13)</f>
        <v>88139328529.229996</v>
      </c>
      <c r="D17" s="33">
        <f t="shared" si="0"/>
        <v>67024866975.099998</v>
      </c>
      <c r="E17" s="33">
        <f t="shared" si="0"/>
        <v>36915096946.529999</v>
      </c>
      <c r="F17" s="33">
        <f t="shared" si="0"/>
        <v>27855320602.540001</v>
      </c>
      <c r="G17" s="33">
        <f t="shared" si="0"/>
        <v>25423608478.91</v>
      </c>
      <c r="H17" s="33">
        <f t="shared" si="0"/>
        <v>22376612663.389999</v>
      </c>
      <c r="I17" s="33">
        <f t="shared" si="0"/>
        <v>18539872922.09</v>
      </c>
      <c r="J17" s="33">
        <f t="shared" si="0"/>
        <v>12991122314.630001</v>
      </c>
      <c r="K17" s="33">
        <f t="shared" si="0"/>
        <v>9755064755.2399998</v>
      </c>
      <c r="L17" s="33">
        <f t="shared" si="0"/>
        <v>8138505441.1599998</v>
      </c>
      <c r="M17" s="33">
        <f t="shared" si="0"/>
        <v>4784290700.0200005</v>
      </c>
      <c r="N17" s="33">
        <f t="shared" si="0"/>
        <v>4505867488.6400003</v>
      </c>
      <c r="O17" s="33">
        <f t="shared" si="0"/>
        <v>3891989433.5300002</v>
      </c>
      <c r="P17" s="33">
        <f t="shared" si="0"/>
        <v>2898327418.8499999</v>
      </c>
      <c r="Q17" s="33">
        <f t="shared" si="0"/>
        <v>2340047386.8499999</v>
      </c>
      <c r="R17" s="33">
        <f t="shared" si="0"/>
        <v>1780307690.6400001</v>
      </c>
      <c r="S17" s="33">
        <f t="shared" si="0"/>
        <v>1956436570.0999999</v>
      </c>
      <c r="T17" s="33">
        <f t="shared" si="0"/>
        <v>0</v>
      </c>
      <c r="U17" s="33">
        <f t="shared" si="0"/>
        <v>0</v>
      </c>
      <c r="V17" s="33">
        <f t="shared" si="0"/>
        <v>0</v>
      </c>
      <c r="W17" s="33">
        <f t="shared" si="0"/>
        <v>0</v>
      </c>
      <c r="X17" s="33">
        <f t="shared" si="0"/>
        <v>0</v>
      </c>
      <c r="Y17" s="33">
        <f t="shared" si="0"/>
        <v>0</v>
      </c>
      <c r="Z17" s="33">
        <f t="shared" si="0"/>
        <v>0</v>
      </c>
      <c r="AA17" s="33">
        <f t="shared" si="0"/>
        <v>0</v>
      </c>
      <c r="AB17" s="33">
        <f t="shared" si="0"/>
        <v>0</v>
      </c>
      <c r="AC17" s="33">
        <f t="shared" si="0"/>
        <v>0</v>
      </c>
      <c r="AD17" s="33">
        <f t="shared" si="0"/>
        <v>0</v>
      </c>
      <c r="AE17" s="33">
        <f t="shared" si="0"/>
        <v>0</v>
      </c>
      <c r="AF17" s="33">
        <f t="shared" si="0"/>
        <v>0</v>
      </c>
      <c r="AG17" s="33">
        <f t="shared" si="0"/>
        <v>0</v>
      </c>
      <c r="AH17" s="33">
        <f t="shared" si="0"/>
        <v>0</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271">
        <v>0</v>
      </c>
      <c r="C19" s="271">
        <v>0</v>
      </c>
      <c r="D19" s="271">
        <v>0</v>
      </c>
      <c r="E19" s="271">
        <v>0</v>
      </c>
      <c r="F19" s="271">
        <v>0</v>
      </c>
      <c r="G19" s="271">
        <v>4000000</v>
      </c>
      <c r="H19" s="271">
        <v>4000000</v>
      </c>
      <c r="I19" s="271">
        <v>4000000</v>
      </c>
      <c r="J19" s="271">
        <v>4000000</v>
      </c>
      <c r="K19" s="271">
        <v>4000000</v>
      </c>
      <c r="L19" s="271">
        <v>4000000</v>
      </c>
      <c r="M19" s="271">
        <v>4000000</v>
      </c>
      <c r="N19" s="271">
        <v>11486496.289999999</v>
      </c>
      <c r="O19" s="271">
        <v>10243017.33</v>
      </c>
      <c r="P19" s="271">
        <v>9815063.7300000004</v>
      </c>
      <c r="Q19" s="271">
        <v>4000000</v>
      </c>
      <c r="R19" s="271">
        <v>4000000</v>
      </c>
      <c r="S19" s="271">
        <v>0</v>
      </c>
      <c r="T19" s="187"/>
      <c r="U19" s="187"/>
      <c r="V19" s="187"/>
      <c r="W19" s="187"/>
      <c r="X19" s="187"/>
      <c r="Y19" s="187"/>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c r="CD19" s="187"/>
      <c r="CE19" s="187"/>
      <c r="CF19" s="187"/>
      <c r="CG19" s="187"/>
      <c r="CH19" s="187"/>
      <c r="CI19" s="187"/>
      <c r="CJ19" s="187"/>
      <c r="CK19" s="187"/>
      <c r="CL19" s="187"/>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271">
        <v>563739710</v>
      </c>
      <c r="C22" s="271">
        <v>1221706039</v>
      </c>
      <c r="D22" s="271">
        <v>817627172</v>
      </c>
      <c r="E22" s="271">
        <v>8578935406.8199997</v>
      </c>
      <c r="F22" s="271">
        <v>1847838617.8299999</v>
      </c>
      <c r="G22" s="271">
        <v>296084005</v>
      </c>
      <c r="H22" s="271">
        <v>204079117.80000001</v>
      </c>
      <c r="I22" s="271">
        <v>252101396.08000001</v>
      </c>
      <c r="J22" s="271">
        <v>204811101.19999999</v>
      </c>
      <c r="K22" s="271">
        <v>380760283.19999999</v>
      </c>
      <c r="L22" s="271">
        <v>170612609</v>
      </c>
      <c r="M22" s="271">
        <v>101046224</v>
      </c>
      <c r="N22" s="271">
        <v>185653838.47</v>
      </c>
      <c r="O22" s="271">
        <v>159665200.08000001</v>
      </c>
      <c r="P22" s="271">
        <v>115374909.92</v>
      </c>
      <c r="Q22" s="271">
        <v>46540363.600000001</v>
      </c>
      <c r="R22" s="271">
        <v>37016763.100000001</v>
      </c>
      <c r="S22" s="271">
        <v>11740000</v>
      </c>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c r="CD22" s="187"/>
      <c r="CE22" s="187"/>
      <c r="CF22" s="187"/>
      <c r="CG22" s="187"/>
      <c r="CH22" s="187"/>
      <c r="CI22" s="187"/>
      <c r="CJ22" s="187"/>
      <c r="CK22" s="187"/>
      <c r="CL22" s="187"/>
    </row>
    <row r="23" spans="1:90">
      <c r="A23" s="17" t="s">
        <v>15</v>
      </c>
      <c r="B23" s="271">
        <v>0</v>
      </c>
      <c r="C23" s="271">
        <v>0</v>
      </c>
      <c r="D23" s="271">
        <v>0</v>
      </c>
      <c r="E23" s="271">
        <v>230768.89</v>
      </c>
      <c r="F23" s="271">
        <v>4306161.24</v>
      </c>
      <c r="G23" s="271">
        <v>927222.79</v>
      </c>
      <c r="H23" s="271">
        <v>17818147.27</v>
      </c>
      <c r="I23" s="271">
        <v>2225396.48</v>
      </c>
      <c r="J23" s="271">
        <v>1254599.9099999999</v>
      </c>
      <c r="K23" s="271">
        <v>21386314.280000001</v>
      </c>
      <c r="L23" s="271">
        <v>34825094.840000004</v>
      </c>
      <c r="M23" s="271">
        <v>46407153.340000004</v>
      </c>
      <c r="N23" s="271">
        <v>67438863.700000003</v>
      </c>
      <c r="O23" s="271">
        <v>43685990.329999998</v>
      </c>
      <c r="P23" s="271">
        <v>31277360.66</v>
      </c>
      <c r="Q23" s="271">
        <v>27486075.27</v>
      </c>
      <c r="R23" s="271">
        <v>42735776.909999996</v>
      </c>
      <c r="S23" s="271">
        <v>46700450.369999997</v>
      </c>
      <c r="T23" s="187"/>
      <c r="U23" s="187"/>
      <c r="V23" s="187"/>
      <c r="W23" s="187"/>
      <c r="X23" s="187"/>
      <c r="Y23" s="187"/>
      <c r="Z23" s="187"/>
      <c r="AA23" s="187"/>
      <c r="AB23" s="187"/>
      <c r="AC23" s="187"/>
      <c r="AD23" s="187"/>
      <c r="AE23" s="187"/>
      <c r="AF23" s="187"/>
      <c r="AG23" s="187"/>
      <c r="AH23" s="187"/>
      <c r="AI23" s="187"/>
      <c r="AJ23" s="187"/>
      <c r="AK23" s="187"/>
      <c r="AL23" s="187"/>
      <c r="AM23" s="187"/>
      <c r="AN23" s="187"/>
      <c r="AO23" s="187"/>
      <c r="AP23" s="187"/>
      <c r="AQ23" s="187"/>
      <c r="AR23" s="187"/>
      <c r="AS23" s="187"/>
      <c r="AT23" s="187"/>
      <c r="AU23" s="187"/>
      <c r="AV23" s="187"/>
      <c r="AW23" s="187"/>
      <c r="AX23" s="187"/>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c r="CD23" s="187"/>
      <c r="CE23" s="187"/>
      <c r="CF23" s="187"/>
      <c r="CG23" s="187"/>
      <c r="CH23" s="187"/>
      <c r="CI23" s="187"/>
      <c r="CJ23" s="187"/>
      <c r="CK23" s="187"/>
      <c r="CL23" s="187"/>
    </row>
    <row r="24" spans="1:90">
      <c r="A24" s="17" t="s">
        <v>16</v>
      </c>
      <c r="B24" s="271">
        <v>1182378508.0599999</v>
      </c>
      <c r="C24" s="271">
        <v>790807322.07000005</v>
      </c>
      <c r="D24" s="271">
        <v>1046100696.92</v>
      </c>
      <c r="E24" s="271">
        <v>1477734859.9000001</v>
      </c>
      <c r="F24" s="271">
        <v>2864210404.2800002</v>
      </c>
      <c r="G24" s="271">
        <v>4304579299.6800003</v>
      </c>
      <c r="H24" s="271">
        <v>3872870407.8899999</v>
      </c>
      <c r="I24" s="271">
        <v>1861027424.03</v>
      </c>
      <c r="J24" s="271">
        <v>1529868837.52</v>
      </c>
      <c r="K24" s="271">
        <v>1203126087.1600001</v>
      </c>
      <c r="L24" s="271">
        <v>741638536.34000003</v>
      </c>
      <c r="M24" s="271">
        <v>6825624.6200000001</v>
      </c>
      <c r="N24" s="271">
        <v>4242010.29</v>
      </c>
      <c r="O24" s="271">
        <v>12385914.41</v>
      </c>
      <c r="P24" s="271">
        <v>4744646.4000000004</v>
      </c>
      <c r="Q24" s="271">
        <v>6176790.79</v>
      </c>
      <c r="R24" s="271">
        <v>6120132.5</v>
      </c>
      <c r="S24" s="271">
        <v>26362454.199999999</v>
      </c>
      <c r="T24" s="187"/>
      <c r="U24" s="187"/>
      <c r="V24" s="187"/>
      <c r="W24" s="187"/>
      <c r="X24" s="187"/>
      <c r="Y24" s="187"/>
      <c r="Z24" s="187"/>
      <c r="AA24" s="187"/>
      <c r="AB24" s="187"/>
      <c r="AC24" s="187"/>
      <c r="AD24" s="187"/>
      <c r="AE24" s="187"/>
      <c r="AF24" s="187"/>
      <c r="AG24" s="187"/>
      <c r="AH24" s="187"/>
      <c r="AI24" s="187"/>
      <c r="AJ24" s="187"/>
      <c r="AK24" s="187"/>
      <c r="AL24" s="187"/>
      <c r="AM24" s="187"/>
      <c r="AN24" s="187"/>
      <c r="AO24" s="187"/>
      <c r="AP24" s="187"/>
      <c r="AQ24" s="187"/>
      <c r="AR24" s="187"/>
      <c r="AS24" s="187"/>
      <c r="AT24" s="187"/>
      <c r="AU24" s="187"/>
      <c r="AV24" s="187"/>
      <c r="AW24" s="187"/>
      <c r="AX24" s="187"/>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c r="CD24" s="187"/>
      <c r="CE24" s="187"/>
      <c r="CF24" s="187"/>
      <c r="CG24" s="187"/>
      <c r="CH24" s="187"/>
      <c r="CI24" s="187"/>
      <c r="CJ24" s="187"/>
      <c r="CK24" s="187"/>
      <c r="CL24" s="187"/>
    </row>
    <row r="25" spans="1:90">
      <c r="A25" s="17" t="s">
        <v>17</v>
      </c>
      <c r="B25" s="271">
        <v>393890493.12</v>
      </c>
      <c r="C25" s="271">
        <v>31323463.350000001</v>
      </c>
      <c r="D25" s="271">
        <v>77227565.370000005</v>
      </c>
      <c r="E25" s="271">
        <v>48219018.75</v>
      </c>
      <c r="F25" s="271">
        <v>80888920.579999998</v>
      </c>
      <c r="G25" s="271">
        <v>119574188.81999999</v>
      </c>
      <c r="H25" s="271">
        <v>137968684.11000001</v>
      </c>
      <c r="I25" s="271">
        <v>47287488.890000001</v>
      </c>
      <c r="J25" s="271">
        <v>59101891.630000003</v>
      </c>
      <c r="K25" s="271">
        <v>96001483.150000006</v>
      </c>
      <c r="L25" s="271">
        <v>82601388.170000002</v>
      </c>
      <c r="M25" s="271">
        <v>86114253.519999996</v>
      </c>
      <c r="N25" s="271">
        <v>55431205.840000004</v>
      </c>
      <c r="O25" s="271">
        <v>51244124.020000003</v>
      </c>
      <c r="P25" s="271">
        <v>29172976.859999999</v>
      </c>
      <c r="Q25" s="271">
        <v>120120496.11</v>
      </c>
      <c r="R25" s="271">
        <v>48463407.799999997</v>
      </c>
      <c r="S25" s="271">
        <v>42316989.219999999</v>
      </c>
      <c r="T25" s="187"/>
      <c r="U25" s="187"/>
      <c r="V25" s="187"/>
      <c r="W25" s="187"/>
      <c r="X25" s="187"/>
      <c r="Y25" s="187"/>
      <c r="Z25" s="187"/>
      <c r="AA25" s="187"/>
      <c r="AB25" s="187"/>
      <c r="AC25" s="187"/>
      <c r="AD25" s="187"/>
      <c r="AE25" s="187"/>
      <c r="AF25" s="187"/>
      <c r="AG25" s="187"/>
      <c r="AH25" s="187"/>
      <c r="AI25" s="187"/>
      <c r="AJ25" s="187"/>
      <c r="AK25" s="187"/>
      <c r="AL25" s="187"/>
      <c r="AM25" s="187"/>
      <c r="AN25" s="187"/>
      <c r="AO25" s="187"/>
      <c r="AP25" s="187"/>
      <c r="AQ25" s="187"/>
      <c r="AR25" s="187"/>
      <c r="AS25" s="187"/>
      <c r="AT25" s="187"/>
      <c r="AU25" s="187"/>
      <c r="AV25" s="187"/>
      <c r="AW25" s="187"/>
      <c r="AX25" s="187"/>
      <c r="AY25" s="187"/>
      <c r="AZ25" s="187"/>
      <c r="BA25" s="187"/>
      <c r="BB25" s="187"/>
      <c r="BC25" s="187"/>
      <c r="BD25" s="187"/>
      <c r="BE25" s="187"/>
      <c r="BF25" s="187"/>
      <c r="BG25" s="187"/>
      <c r="BH25" s="187"/>
      <c r="BI25" s="187"/>
      <c r="BJ25" s="187"/>
      <c r="BK25" s="187"/>
      <c r="BL25" s="187"/>
      <c r="BM25" s="187"/>
      <c r="BN25" s="187"/>
      <c r="BO25" s="187"/>
      <c r="BP25" s="187"/>
      <c r="BQ25" s="187"/>
      <c r="BR25" s="187"/>
      <c r="BS25" s="187"/>
      <c r="BT25" s="187"/>
      <c r="BU25" s="187"/>
      <c r="BV25" s="187"/>
      <c r="BW25" s="187"/>
      <c r="BX25" s="187"/>
      <c r="BY25" s="187"/>
      <c r="BZ25" s="187"/>
      <c r="CA25" s="187"/>
      <c r="CB25" s="187"/>
      <c r="CC25" s="187"/>
      <c r="CD25" s="187"/>
      <c r="CE25" s="187"/>
      <c r="CF25" s="187"/>
      <c r="CG25" s="187"/>
      <c r="CH25" s="187"/>
      <c r="CI25" s="187"/>
      <c r="CJ25" s="187"/>
      <c r="CK25" s="187"/>
      <c r="CL25" s="187"/>
    </row>
    <row r="26" spans="1:90">
      <c r="A26" s="17" t="s">
        <v>18</v>
      </c>
      <c r="B26" s="271">
        <v>23506950842.220001</v>
      </c>
      <c r="C26" s="271">
        <v>22057481376.459999</v>
      </c>
      <c r="D26" s="271">
        <v>20622251825.549999</v>
      </c>
      <c r="E26" s="271">
        <v>18013297022.700001</v>
      </c>
      <c r="F26" s="271">
        <v>14982364367.85</v>
      </c>
      <c r="G26" s="271">
        <v>11836810239.030001</v>
      </c>
      <c r="H26" s="271">
        <v>9665727593.4200001</v>
      </c>
      <c r="I26" s="271">
        <v>7187117552.8599997</v>
      </c>
      <c r="J26" s="271">
        <v>5574126083.4200001</v>
      </c>
      <c r="K26" s="271">
        <v>4192246440.3600001</v>
      </c>
      <c r="L26" s="271">
        <v>3114567813.3299999</v>
      </c>
      <c r="M26" s="271">
        <v>2304818947.9200001</v>
      </c>
      <c r="N26" s="271">
        <v>1974710283.3499999</v>
      </c>
      <c r="O26" s="271">
        <v>1860549625.24</v>
      </c>
      <c r="P26" s="271">
        <v>1693741195.1099999</v>
      </c>
      <c r="Q26" s="271">
        <v>1215006621.05</v>
      </c>
      <c r="R26" s="271">
        <v>1076612588.52</v>
      </c>
      <c r="S26" s="271">
        <v>786368826.80999994</v>
      </c>
      <c r="T26" s="187"/>
      <c r="U26" s="187"/>
      <c r="V26" s="187"/>
      <c r="W26" s="187"/>
      <c r="X26" s="187"/>
      <c r="Y26" s="187"/>
      <c r="Z26" s="187"/>
      <c r="AA26" s="187"/>
      <c r="AB26" s="187"/>
      <c r="AC26" s="187"/>
      <c r="AD26" s="187"/>
      <c r="AE26" s="187"/>
      <c r="AF26" s="187"/>
      <c r="AG26" s="187"/>
      <c r="AH26" s="187"/>
      <c r="AI26" s="187"/>
      <c r="AJ26" s="187"/>
      <c r="AK26" s="187"/>
      <c r="AL26" s="187"/>
      <c r="AM26" s="187"/>
      <c r="AN26" s="187"/>
      <c r="AO26" s="187"/>
      <c r="AP26" s="187"/>
      <c r="AQ26" s="187"/>
      <c r="AR26" s="187"/>
      <c r="AS26" s="187"/>
      <c r="AT26" s="187"/>
      <c r="AU26" s="187"/>
      <c r="AV26" s="187"/>
      <c r="AW26" s="187"/>
      <c r="AX26" s="187"/>
      <c r="AY26" s="187"/>
      <c r="AZ26" s="187"/>
      <c r="BA26" s="187"/>
      <c r="BB26" s="187"/>
      <c r="BC26" s="187"/>
      <c r="BD26" s="187"/>
      <c r="BE26" s="187"/>
      <c r="BF26" s="187"/>
      <c r="BG26" s="187"/>
      <c r="BH26" s="187"/>
      <c r="BI26" s="187"/>
      <c r="BJ26" s="187"/>
      <c r="BK26" s="187"/>
      <c r="BL26" s="187"/>
      <c r="BM26" s="187"/>
      <c r="BN26" s="187"/>
      <c r="BO26" s="187"/>
      <c r="BP26" s="187"/>
      <c r="BQ26" s="187"/>
      <c r="BR26" s="187"/>
      <c r="BS26" s="187"/>
      <c r="BT26" s="187"/>
      <c r="BU26" s="187"/>
      <c r="BV26" s="187"/>
      <c r="BW26" s="187"/>
      <c r="BX26" s="187"/>
      <c r="BY26" s="187"/>
      <c r="BZ26" s="187"/>
      <c r="CA26" s="187"/>
      <c r="CB26" s="187"/>
      <c r="CC26" s="187"/>
      <c r="CD26" s="187"/>
      <c r="CE26" s="187"/>
      <c r="CF26" s="187"/>
      <c r="CG26" s="187"/>
      <c r="CH26" s="187"/>
      <c r="CI26" s="187"/>
      <c r="CJ26" s="187"/>
      <c r="CK26" s="187"/>
      <c r="CL26" s="187"/>
    </row>
    <row r="27" spans="1:90">
      <c r="A27" s="17" t="s">
        <v>19</v>
      </c>
      <c r="B27" s="271">
        <v>140084334.11000001</v>
      </c>
      <c r="C27" s="271">
        <v>37539231.490000002</v>
      </c>
      <c r="D27" s="271">
        <v>231474570.63</v>
      </c>
      <c r="E27" s="271">
        <v>0</v>
      </c>
      <c r="F27" s="271">
        <v>0</v>
      </c>
      <c r="G27" s="271">
        <v>0</v>
      </c>
      <c r="H27" s="271">
        <v>0</v>
      </c>
      <c r="I27" s="271">
        <v>0</v>
      </c>
      <c r="J27" s="271">
        <v>0</v>
      </c>
      <c r="K27" s="271">
        <v>0</v>
      </c>
      <c r="L27" s="271">
        <v>0</v>
      </c>
      <c r="M27" s="271">
        <v>0</v>
      </c>
      <c r="N27" s="271">
        <v>0</v>
      </c>
      <c r="O27" s="271">
        <v>0</v>
      </c>
      <c r="P27" s="271">
        <v>0</v>
      </c>
      <c r="Q27" s="271">
        <v>651300.25</v>
      </c>
      <c r="R27" s="271">
        <v>0</v>
      </c>
      <c r="S27" s="271">
        <v>0</v>
      </c>
      <c r="T27" s="187"/>
      <c r="U27" s="187"/>
      <c r="V27" s="187"/>
      <c r="W27" s="187"/>
      <c r="X27" s="187"/>
      <c r="Y27" s="187"/>
      <c r="Z27" s="187"/>
      <c r="AA27" s="187"/>
      <c r="AB27" s="187"/>
      <c r="AC27" s="187"/>
      <c r="AD27" s="187"/>
      <c r="AE27" s="187"/>
      <c r="AF27" s="187"/>
      <c r="AG27" s="187"/>
      <c r="AH27" s="187"/>
      <c r="AI27" s="187"/>
      <c r="AJ27" s="187"/>
      <c r="AK27" s="187"/>
      <c r="AL27" s="187"/>
      <c r="AM27" s="187"/>
      <c r="AN27" s="187"/>
      <c r="AO27" s="187"/>
      <c r="AP27" s="187"/>
      <c r="AQ27" s="187"/>
      <c r="AR27" s="187"/>
      <c r="AS27" s="187"/>
      <c r="AT27" s="187"/>
      <c r="AU27" s="187"/>
      <c r="AV27" s="187"/>
      <c r="AW27" s="187"/>
      <c r="AX27" s="187"/>
      <c r="AY27" s="187"/>
      <c r="AZ27" s="187"/>
      <c r="BA27" s="187"/>
      <c r="BB27" s="187"/>
      <c r="BC27" s="187"/>
      <c r="BD27" s="187"/>
      <c r="BE27" s="187"/>
      <c r="BF27" s="187"/>
      <c r="BG27" s="187"/>
      <c r="BH27" s="187"/>
      <c r="BI27" s="187"/>
      <c r="BJ27" s="187"/>
      <c r="BK27" s="187"/>
      <c r="BL27" s="187"/>
      <c r="BM27" s="187"/>
      <c r="BN27" s="187"/>
      <c r="BO27" s="187"/>
      <c r="BP27" s="187"/>
      <c r="BQ27" s="187"/>
      <c r="BR27" s="187"/>
      <c r="BS27" s="187"/>
      <c r="BT27" s="187"/>
      <c r="BU27" s="187"/>
      <c r="BV27" s="187"/>
      <c r="BW27" s="187"/>
      <c r="BX27" s="187"/>
      <c r="BY27" s="187"/>
      <c r="BZ27" s="187"/>
      <c r="CA27" s="187"/>
      <c r="CB27" s="187"/>
      <c r="CC27" s="187"/>
      <c r="CD27" s="187"/>
      <c r="CE27" s="187"/>
      <c r="CF27" s="187"/>
      <c r="CG27" s="187"/>
      <c r="CH27" s="187"/>
      <c r="CI27" s="187"/>
      <c r="CJ27" s="187"/>
      <c r="CK27" s="187"/>
      <c r="CL27" s="187"/>
    </row>
    <row r="28" spans="1:90">
      <c r="A28" s="17" t="s">
        <v>76</v>
      </c>
      <c r="B28" s="271">
        <v>0</v>
      </c>
      <c r="C28" s="271">
        <v>0</v>
      </c>
      <c r="D28" s="271">
        <v>0</v>
      </c>
      <c r="E28" s="271">
        <v>0</v>
      </c>
      <c r="F28" s="271">
        <v>0</v>
      </c>
      <c r="G28" s="271">
        <v>0</v>
      </c>
      <c r="H28" s="271">
        <v>0</v>
      </c>
      <c r="I28" s="271">
        <v>0</v>
      </c>
      <c r="J28" s="271">
        <v>0</v>
      </c>
      <c r="K28" s="271">
        <v>0</v>
      </c>
      <c r="L28" s="271">
        <v>0</v>
      </c>
      <c r="M28" s="271">
        <v>0</v>
      </c>
      <c r="N28" s="271">
        <v>0</v>
      </c>
      <c r="O28" s="271">
        <v>0</v>
      </c>
      <c r="P28" s="271">
        <v>0</v>
      </c>
      <c r="Q28" s="271">
        <v>0</v>
      </c>
      <c r="R28" s="271">
        <v>0</v>
      </c>
      <c r="S28" s="271">
        <v>0</v>
      </c>
      <c r="T28" s="187"/>
      <c r="U28" s="187"/>
      <c r="V28" s="187"/>
      <c r="W28" s="187"/>
      <c r="X28" s="187"/>
      <c r="Y28" s="187"/>
      <c r="Z28" s="187"/>
      <c r="AA28" s="187"/>
      <c r="AB28" s="187"/>
      <c r="AC28" s="187"/>
      <c r="AD28" s="187"/>
      <c r="AE28" s="187"/>
      <c r="AF28" s="187"/>
      <c r="AG28" s="187"/>
      <c r="AH28" s="187"/>
      <c r="AI28" s="187"/>
      <c r="AJ28" s="187"/>
      <c r="AK28" s="187"/>
      <c r="AL28" s="187"/>
      <c r="AM28" s="187"/>
      <c r="AN28" s="187"/>
      <c r="AO28" s="187"/>
      <c r="AP28" s="187"/>
      <c r="AQ28" s="187"/>
      <c r="AR28" s="187"/>
      <c r="AS28" s="187"/>
      <c r="AT28" s="187"/>
      <c r="AU28" s="187"/>
      <c r="AV28" s="187"/>
      <c r="AW28" s="187"/>
      <c r="AX28" s="187"/>
      <c r="AY28" s="187"/>
      <c r="AZ28" s="187"/>
      <c r="BA28" s="187"/>
      <c r="BB28" s="187"/>
      <c r="BC28" s="187"/>
      <c r="BD28" s="187"/>
      <c r="BE28" s="187"/>
      <c r="BF28" s="187"/>
      <c r="BG28" s="187"/>
      <c r="BH28" s="187"/>
      <c r="BI28" s="187"/>
      <c r="BJ28" s="187"/>
      <c r="BK28" s="187"/>
      <c r="BL28" s="187"/>
      <c r="BM28" s="187"/>
      <c r="BN28" s="187"/>
      <c r="BO28" s="187"/>
      <c r="BP28" s="187"/>
      <c r="BQ28" s="187"/>
      <c r="BR28" s="187"/>
      <c r="BS28" s="187"/>
      <c r="BT28" s="187"/>
      <c r="BU28" s="187"/>
      <c r="BV28" s="187"/>
      <c r="BW28" s="187"/>
      <c r="BX28" s="187"/>
      <c r="BY28" s="187"/>
      <c r="BZ28" s="187"/>
      <c r="CA28" s="187"/>
      <c r="CB28" s="187"/>
      <c r="CC28" s="187"/>
      <c r="CD28" s="187"/>
      <c r="CE28" s="187"/>
      <c r="CF28" s="187"/>
      <c r="CG28" s="187"/>
      <c r="CH28" s="187"/>
      <c r="CI28" s="187"/>
      <c r="CJ28" s="187"/>
      <c r="CK28" s="187"/>
      <c r="CL28" s="187"/>
    </row>
    <row r="29" spans="1:90">
      <c r="A29" s="17" t="s">
        <v>3</v>
      </c>
      <c r="B29" s="271">
        <v>0</v>
      </c>
      <c r="C29" s="271">
        <v>0</v>
      </c>
      <c r="D29" s="271">
        <v>0</v>
      </c>
      <c r="E29" s="271">
        <v>0</v>
      </c>
      <c r="F29" s="271">
        <v>0</v>
      </c>
      <c r="G29" s="271">
        <v>0</v>
      </c>
      <c r="H29" s="271">
        <v>0</v>
      </c>
      <c r="I29" s="271">
        <v>0</v>
      </c>
      <c r="J29" s="271">
        <v>0</v>
      </c>
      <c r="K29" s="271">
        <v>17000000</v>
      </c>
      <c r="L29" s="271">
        <v>0</v>
      </c>
      <c r="M29" s="271">
        <v>0</v>
      </c>
      <c r="N29" s="271">
        <v>0</v>
      </c>
      <c r="O29" s="271">
        <v>0</v>
      </c>
      <c r="P29" s="271">
        <v>0</v>
      </c>
      <c r="Q29" s="271">
        <v>0</v>
      </c>
      <c r="R29" s="271">
        <v>0</v>
      </c>
      <c r="S29" s="271">
        <v>0</v>
      </c>
      <c r="T29" s="187"/>
      <c r="U29" s="187"/>
      <c r="V29" s="187"/>
      <c r="W29" s="187"/>
      <c r="X29" s="187"/>
      <c r="Y29" s="187"/>
      <c r="Z29" s="187"/>
      <c r="AA29" s="187"/>
      <c r="AB29" s="187"/>
      <c r="AC29" s="187"/>
      <c r="AD29" s="187"/>
      <c r="AE29" s="187"/>
      <c r="AF29" s="187"/>
      <c r="AG29" s="187"/>
      <c r="AH29" s="187"/>
      <c r="AI29" s="187"/>
      <c r="AJ29" s="187"/>
      <c r="AK29" s="187"/>
      <c r="AL29" s="187"/>
      <c r="AM29" s="187"/>
      <c r="AN29" s="187"/>
      <c r="AO29" s="187"/>
      <c r="AP29" s="187"/>
      <c r="AQ29" s="187"/>
      <c r="AR29" s="187"/>
      <c r="AS29" s="187"/>
      <c r="AT29" s="187"/>
      <c r="AU29" s="187"/>
      <c r="AV29" s="187"/>
      <c r="AW29" s="187"/>
      <c r="AX29" s="187"/>
      <c r="AY29" s="187"/>
      <c r="AZ29" s="187"/>
      <c r="BA29" s="187"/>
      <c r="BB29" s="187"/>
      <c r="BC29" s="187"/>
      <c r="BD29" s="187"/>
      <c r="BE29" s="187"/>
      <c r="BF29" s="187"/>
      <c r="BG29" s="187"/>
      <c r="BH29" s="187"/>
      <c r="BI29" s="187"/>
      <c r="BJ29" s="187"/>
      <c r="BK29" s="187"/>
      <c r="BL29" s="187"/>
      <c r="BM29" s="187"/>
      <c r="BN29" s="187"/>
      <c r="BO29" s="187"/>
      <c r="BP29" s="187"/>
      <c r="BQ29" s="187"/>
      <c r="BR29" s="187"/>
      <c r="BS29" s="187"/>
      <c r="BT29" s="187"/>
      <c r="BU29" s="187"/>
      <c r="BV29" s="187"/>
      <c r="BW29" s="187"/>
      <c r="BX29" s="187"/>
      <c r="BY29" s="187"/>
      <c r="BZ29" s="187"/>
      <c r="CA29" s="187"/>
      <c r="CB29" s="187"/>
      <c r="CC29" s="187"/>
      <c r="CD29" s="187"/>
      <c r="CE29" s="187"/>
      <c r="CF29" s="187"/>
      <c r="CG29" s="187"/>
      <c r="CH29" s="187"/>
      <c r="CI29" s="187"/>
      <c r="CJ29" s="187"/>
      <c r="CK29" s="187"/>
      <c r="CL29" s="187"/>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3" t="s">
        <v>20</v>
      </c>
      <c r="B33" s="35">
        <f>SUM(B22:B29)</f>
        <v>25787043887.510002</v>
      </c>
      <c r="C33" s="35">
        <f t="shared" ref="C33:BN33" si="2">SUM(C22:C29)</f>
        <v>24138857432.369999</v>
      </c>
      <c r="D33" s="35">
        <f t="shared" si="2"/>
        <v>22794681830.470001</v>
      </c>
      <c r="E33" s="35">
        <f t="shared" si="2"/>
        <v>28118417077.060001</v>
      </c>
      <c r="F33" s="35">
        <f t="shared" si="2"/>
        <v>19779608471.779999</v>
      </c>
      <c r="G33" s="35">
        <f t="shared" si="2"/>
        <v>16557974955.32</v>
      </c>
      <c r="H33" s="35">
        <f t="shared" si="2"/>
        <v>13898463950.49</v>
      </c>
      <c r="I33" s="35">
        <f t="shared" si="2"/>
        <v>9349759258.3400002</v>
      </c>
      <c r="J33" s="35">
        <f t="shared" si="2"/>
        <v>7369162513.6800003</v>
      </c>
      <c r="K33" s="35">
        <f t="shared" si="2"/>
        <v>5910520608.1500006</v>
      </c>
      <c r="L33" s="35">
        <f t="shared" si="2"/>
        <v>4144245441.6799998</v>
      </c>
      <c r="M33" s="35">
        <f t="shared" si="2"/>
        <v>2545212203.4000001</v>
      </c>
      <c r="N33" s="35">
        <f t="shared" si="2"/>
        <v>2287476201.6500001</v>
      </c>
      <c r="O33" s="35">
        <f t="shared" si="2"/>
        <v>2127530854.0799999</v>
      </c>
      <c r="P33" s="35">
        <f t="shared" si="2"/>
        <v>1874311088.9499998</v>
      </c>
      <c r="Q33" s="35">
        <f t="shared" si="2"/>
        <v>1415981647.0699999</v>
      </c>
      <c r="R33" s="35">
        <f t="shared" si="2"/>
        <v>1210948668.8299999</v>
      </c>
      <c r="S33" s="35">
        <f t="shared" si="2"/>
        <v>913488720.5999999</v>
      </c>
      <c r="T33" s="35">
        <f t="shared" si="2"/>
        <v>0</v>
      </c>
      <c r="U33" s="35">
        <f t="shared" si="2"/>
        <v>0</v>
      </c>
      <c r="V33" s="35">
        <f t="shared" si="2"/>
        <v>0</v>
      </c>
      <c r="W33" s="35">
        <f t="shared" si="2"/>
        <v>0</v>
      </c>
      <c r="X33" s="35">
        <f t="shared" si="2"/>
        <v>0</v>
      </c>
      <c r="Y33" s="35">
        <f t="shared" si="2"/>
        <v>0</v>
      </c>
      <c r="Z33" s="35">
        <f t="shared" si="2"/>
        <v>0</v>
      </c>
      <c r="AA33" s="35">
        <f t="shared" si="2"/>
        <v>0</v>
      </c>
      <c r="AB33" s="35">
        <f t="shared" si="2"/>
        <v>0</v>
      </c>
      <c r="AC33" s="35">
        <f t="shared" si="2"/>
        <v>0</v>
      </c>
      <c r="AD33" s="35">
        <f t="shared" si="2"/>
        <v>0</v>
      </c>
      <c r="AE33" s="35">
        <f t="shared" si="2"/>
        <v>0</v>
      </c>
      <c r="AF33" s="35">
        <f t="shared" si="2"/>
        <v>0</v>
      </c>
      <c r="AG33" s="35">
        <f t="shared" si="2"/>
        <v>0</v>
      </c>
      <c r="AH33" s="35">
        <f t="shared" si="2"/>
        <v>0</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271">
        <v>0</v>
      </c>
      <c r="C35" s="271">
        <v>0</v>
      </c>
      <c r="D35" s="271">
        <v>0</v>
      </c>
      <c r="E35" s="271">
        <v>0</v>
      </c>
      <c r="F35" s="271">
        <v>0</v>
      </c>
      <c r="G35" s="271">
        <v>0</v>
      </c>
      <c r="H35" s="271">
        <v>0</v>
      </c>
      <c r="I35" s="271">
        <v>0</v>
      </c>
      <c r="J35" s="271">
        <v>0</v>
      </c>
      <c r="K35" s="271">
        <v>0</v>
      </c>
      <c r="L35" s="271">
        <v>0</v>
      </c>
      <c r="M35" s="271">
        <v>0</v>
      </c>
      <c r="N35" s="271">
        <v>0</v>
      </c>
      <c r="O35" s="271">
        <v>0</v>
      </c>
      <c r="P35" s="271">
        <v>0</v>
      </c>
      <c r="Q35" s="271">
        <v>0</v>
      </c>
      <c r="R35" s="271">
        <v>0</v>
      </c>
      <c r="S35" s="271">
        <v>0</v>
      </c>
      <c r="T35" s="187"/>
      <c r="U35" s="187"/>
      <c r="V35" s="187"/>
      <c r="W35" s="187"/>
      <c r="X35" s="187"/>
      <c r="Y35" s="187"/>
      <c r="Z35" s="187"/>
      <c r="AA35" s="187"/>
      <c r="AB35" s="187"/>
      <c r="AC35" s="187"/>
      <c r="AD35" s="187"/>
      <c r="AE35" s="187"/>
      <c r="AF35" s="187"/>
      <c r="AG35" s="187"/>
      <c r="AH35" s="187"/>
      <c r="AI35" s="187"/>
      <c r="AJ35" s="187"/>
      <c r="AK35" s="187"/>
      <c r="AL35" s="187"/>
      <c r="AM35" s="187"/>
      <c r="AN35" s="187"/>
      <c r="AO35" s="187"/>
      <c r="AP35" s="187"/>
      <c r="AQ35" s="187"/>
      <c r="AR35" s="187"/>
      <c r="AS35" s="187"/>
      <c r="AT35" s="187"/>
      <c r="AU35" s="187"/>
      <c r="AV35" s="187"/>
      <c r="AW35" s="187"/>
      <c r="AX35" s="187"/>
      <c r="AY35" s="187"/>
      <c r="AZ35" s="187"/>
      <c r="BA35" s="187"/>
      <c r="BB35" s="187"/>
      <c r="BC35" s="187"/>
      <c r="BD35" s="187"/>
      <c r="BE35" s="187"/>
      <c r="BF35" s="187"/>
      <c r="BG35" s="187"/>
      <c r="BH35" s="187"/>
      <c r="BI35" s="187"/>
      <c r="BJ35" s="187"/>
      <c r="BK35" s="187"/>
      <c r="BL35" s="187"/>
      <c r="BM35" s="187"/>
      <c r="BN35" s="187"/>
      <c r="BO35" s="187"/>
      <c r="BP35" s="187"/>
      <c r="BQ35" s="187"/>
      <c r="BR35" s="187"/>
      <c r="BS35" s="187"/>
      <c r="BT35" s="187"/>
      <c r="BU35" s="187"/>
      <c r="BV35" s="187"/>
      <c r="BW35" s="187"/>
      <c r="BX35" s="187"/>
      <c r="BY35" s="187"/>
      <c r="BZ35" s="187"/>
      <c r="CA35" s="187"/>
      <c r="CB35" s="187"/>
      <c r="CC35" s="187"/>
      <c r="CD35" s="187"/>
      <c r="CE35" s="187"/>
      <c r="CF35" s="187"/>
      <c r="CG35" s="187"/>
      <c r="CH35" s="187"/>
      <c r="CI35" s="187"/>
      <c r="CJ35" s="187"/>
      <c r="CK35" s="187"/>
      <c r="CL35" s="187"/>
    </row>
    <row r="36" spans="1:90">
      <c r="A36" s="17" t="s">
        <v>22</v>
      </c>
      <c r="B36" s="271">
        <v>1178296416.5899999</v>
      </c>
      <c r="C36" s="271">
        <v>992055910.47000003</v>
      </c>
      <c r="D36" s="271">
        <v>1040608203.1799999</v>
      </c>
      <c r="E36" s="271">
        <v>880976072.09000003</v>
      </c>
      <c r="F36" s="271">
        <v>707534647.53999996</v>
      </c>
      <c r="G36" s="271">
        <v>284748288.88999999</v>
      </c>
      <c r="H36" s="271">
        <v>345280977.68000001</v>
      </c>
      <c r="I36" s="271">
        <v>172343585.06</v>
      </c>
      <c r="J36" s="271">
        <v>232013104.28</v>
      </c>
      <c r="K36" s="271">
        <v>139121352.44999999</v>
      </c>
      <c r="L36" s="271">
        <v>121289073.56999999</v>
      </c>
      <c r="M36" s="271">
        <v>59681964.5</v>
      </c>
      <c r="N36" s="271">
        <v>40813549.990000002</v>
      </c>
      <c r="O36" s="271">
        <v>30329177.02</v>
      </c>
      <c r="P36" s="271">
        <v>35782831.799999997</v>
      </c>
      <c r="Q36" s="271">
        <v>40004706.009999998</v>
      </c>
      <c r="R36" s="271">
        <v>24208759.649999999</v>
      </c>
      <c r="S36" s="271">
        <v>10084988.039999999</v>
      </c>
      <c r="T36" s="187"/>
      <c r="U36" s="187"/>
      <c r="V36" s="187"/>
      <c r="W36" s="187"/>
      <c r="X36" s="187"/>
      <c r="Y36" s="187"/>
      <c r="Z36" s="187"/>
      <c r="AA36" s="187"/>
      <c r="AB36" s="187"/>
      <c r="AC36" s="187"/>
      <c r="AD36" s="187"/>
      <c r="AE36" s="187"/>
      <c r="AF36" s="187"/>
      <c r="AG36" s="187"/>
      <c r="AH36" s="187"/>
      <c r="AI36" s="187"/>
      <c r="AJ36" s="187"/>
      <c r="AK36" s="187"/>
      <c r="AL36" s="187"/>
      <c r="AM36" s="187"/>
      <c r="AN36" s="187"/>
      <c r="AO36" s="187"/>
      <c r="AP36" s="187"/>
      <c r="AQ36" s="187"/>
      <c r="AR36" s="187"/>
      <c r="AS36" s="187"/>
      <c r="AT36" s="187"/>
      <c r="AU36" s="187"/>
      <c r="AV36" s="187"/>
      <c r="AW36" s="187"/>
      <c r="AX36" s="187"/>
      <c r="AY36" s="187"/>
      <c r="AZ36" s="187"/>
      <c r="BA36" s="187"/>
      <c r="BB36" s="187"/>
      <c r="BC36" s="187"/>
      <c r="BD36" s="187"/>
      <c r="BE36" s="187"/>
      <c r="BF36" s="187"/>
      <c r="BG36" s="187"/>
      <c r="BH36" s="187"/>
      <c r="BI36" s="187"/>
      <c r="BJ36" s="187"/>
      <c r="BK36" s="187"/>
      <c r="BL36" s="187"/>
      <c r="BM36" s="187"/>
      <c r="BN36" s="187"/>
      <c r="BO36" s="187"/>
      <c r="BP36" s="187"/>
      <c r="BQ36" s="187"/>
      <c r="BR36" s="187"/>
      <c r="BS36" s="187"/>
      <c r="BT36" s="187"/>
      <c r="BU36" s="187"/>
      <c r="BV36" s="187"/>
      <c r="BW36" s="187"/>
      <c r="BX36" s="187"/>
      <c r="BY36" s="187"/>
      <c r="BZ36" s="187"/>
      <c r="CA36" s="187"/>
      <c r="CB36" s="187"/>
      <c r="CC36" s="187"/>
      <c r="CD36" s="187"/>
      <c r="CE36" s="187"/>
      <c r="CF36" s="187"/>
      <c r="CG36" s="187"/>
      <c r="CH36" s="187"/>
      <c r="CI36" s="187"/>
      <c r="CJ36" s="187"/>
      <c r="CK36" s="187"/>
      <c r="CL36" s="187"/>
    </row>
    <row r="37" spans="1:90">
      <c r="A37" s="17" t="s">
        <v>23</v>
      </c>
      <c r="B37" s="271">
        <v>13576516813.440001</v>
      </c>
      <c r="C37" s="271">
        <v>14429106902.379999</v>
      </c>
      <c r="D37" s="271">
        <v>17541082237.009998</v>
      </c>
      <c r="E37" s="271">
        <v>8261582073.04</v>
      </c>
      <c r="F37" s="271">
        <v>1476233096.0899999</v>
      </c>
      <c r="G37" s="271">
        <v>3045113586.0999999</v>
      </c>
      <c r="H37" s="271">
        <v>5091386269.5500002</v>
      </c>
      <c r="I37" s="271">
        <v>7026648776.8000002</v>
      </c>
      <c r="J37" s="271">
        <v>4738570750.1599998</v>
      </c>
      <c r="K37" s="271">
        <v>3516423880.1999998</v>
      </c>
      <c r="L37" s="271">
        <v>2936266375.0999999</v>
      </c>
      <c r="M37" s="271">
        <v>1125288196.26</v>
      </c>
      <c r="N37" s="271">
        <v>2136139561.53</v>
      </c>
      <c r="O37" s="271">
        <v>1543198286.97</v>
      </c>
      <c r="P37" s="271">
        <v>1036893726.13</v>
      </c>
      <c r="Q37" s="271">
        <v>745368392.5</v>
      </c>
      <c r="R37" s="271">
        <v>456065361.44999999</v>
      </c>
      <c r="S37" s="271">
        <v>306380567</v>
      </c>
      <c r="T37" s="187"/>
      <c r="U37" s="187"/>
      <c r="V37" s="187"/>
      <c r="W37" s="187"/>
      <c r="X37" s="187"/>
      <c r="Y37" s="187"/>
      <c r="Z37" s="187"/>
      <c r="AA37" s="187"/>
      <c r="AB37" s="187"/>
      <c r="AC37" s="187"/>
      <c r="AD37" s="187"/>
      <c r="AE37" s="187"/>
      <c r="AF37" s="187"/>
      <c r="AG37" s="187"/>
      <c r="AH37" s="187"/>
      <c r="AI37" s="187"/>
      <c r="AJ37" s="187"/>
      <c r="AK37" s="187"/>
      <c r="AL37" s="187"/>
      <c r="AM37" s="187"/>
      <c r="AN37" s="187"/>
      <c r="AO37" s="187"/>
      <c r="AP37" s="187"/>
      <c r="AQ37" s="187"/>
      <c r="AR37" s="187"/>
      <c r="AS37" s="187"/>
      <c r="AT37" s="187"/>
      <c r="AU37" s="187"/>
      <c r="AV37" s="187"/>
      <c r="AW37" s="187"/>
      <c r="AX37" s="187"/>
      <c r="AY37" s="187"/>
      <c r="AZ37" s="187"/>
      <c r="BA37" s="187"/>
      <c r="BB37" s="187"/>
      <c r="BC37" s="187"/>
      <c r="BD37" s="187"/>
      <c r="BE37" s="187"/>
      <c r="BF37" s="187"/>
      <c r="BG37" s="187"/>
      <c r="BH37" s="187"/>
      <c r="BI37" s="187"/>
      <c r="BJ37" s="187"/>
      <c r="BK37" s="187"/>
      <c r="BL37" s="187"/>
      <c r="BM37" s="187"/>
      <c r="BN37" s="187"/>
      <c r="BO37" s="187"/>
      <c r="BP37" s="187"/>
      <c r="BQ37" s="187"/>
      <c r="BR37" s="187"/>
      <c r="BS37" s="187"/>
      <c r="BT37" s="187"/>
      <c r="BU37" s="187"/>
      <c r="BV37" s="187"/>
      <c r="BW37" s="187"/>
      <c r="BX37" s="187"/>
      <c r="BY37" s="187"/>
      <c r="BZ37" s="187"/>
      <c r="CA37" s="187"/>
      <c r="CB37" s="187"/>
      <c r="CC37" s="187"/>
      <c r="CD37" s="187"/>
      <c r="CE37" s="187"/>
      <c r="CF37" s="187"/>
      <c r="CG37" s="187"/>
      <c r="CH37" s="187"/>
      <c r="CI37" s="187"/>
      <c r="CJ37" s="187"/>
      <c r="CK37" s="187"/>
      <c r="CL37" s="187"/>
    </row>
    <row r="38" spans="1:90">
      <c r="A38" s="17" t="s">
        <v>24</v>
      </c>
      <c r="B38" s="271">
        <v>0</v>
      </c>
      <c r="C38" s="271">
        <v>0</v>
      </c>
      <c r="D38" s="271">
        <v>0</v>
      </c>
      <c r="E38" s="271">
        <v>0</v>
      </c>
      <c r="F38" s="271">
        <v>0</v>
      </c>
      <c r="G38" s="271">
        <v>0</v>
      </c>
      <c r="H38" s="271">
        <v>0</v>
      </c>
      <c r="I38" s="271">
        <v>0</v>
      </c>
      <c r="J38" s="271">
        <v>0</v>
      </c>
      <c r="K38" s="271">
        <v>0</v>
      </c>
      <c r="L38" s="271">
        <v>0</v>
      </c>
      <c r="M38" s="271">
        <v>0</v>
      </c>
      <c r="N38" s="271">
        <v>0</v>
      </c>
      <c r="O38" s="271">
        <v>0</v>
      </c>
      <c r="P38" s="271">
        <v>0</v>
      </c>
      <c r="Q38" s="271">
        <v>0</v>
      </c>
      <c r="R38" s="271">
        <v>0</v>
      </c>
      <c r="S38" s="271">
        <v>0</v>
      </c>
      <c r="T38" s="187"/>
      <c r="U38" s="187"/>
      <c r="V38" s="187"/>
      <c r="W38" s="187"/>
      <c r="X38" s="187"/>
      <c r="Y38" s="187"/>
      <c r="Z38" s="187"/>
      <c r="AA38" s="187"/>
      <c r="AB38" s="187"/>
      <c r="AC38" s="187"/>
      <c r="AD38" s="187"/>
      <c r="AE38" s="187"/>
      <c r="AF38" s="187"/>
      <c r="AG38" s="187"/>
      <c r="AH38" s="187"/>
      <c r="AI38" s="187"/>
      <c r="AJ38" s="187"/>
      <c r="AK38" s="187"/>
      <c r="AL38" s="187"/>
      <c r="AM38" s="187"/>
      <c r="AN38" s="187"/>
      <c r="AO38" s="187"/>
      <c r="AP38" s="187"/>
      <c r="AQ38" s="187"/>
      <c r="AR38" s="187"/>
      <c r="AS38" s="187"/>
      <c r="AT38" s="187"/>
      <c r="AU38" s="187"/>
      <c r="AV38" s="187"/>
      <c r="AW38" s="187"/>
      <c r="AX38" s="187"/>
      <c r="AY38" s="187"/>
      <c r="AZ38" s="187"/>
      <c r="BA38" s="187"/>
      <c r="BB38" s="187"/>
      <c r="BC38" s="187"/>
      <c r="BD38" s="187"/>
      <c r="BE38" s="187"/>
      <c r="BF38" s="187"/>
      <c r="BG38" s="187"/>
      <c r="BH38" s="187"/>
      <c r="BI38" s="187"/>
      <c r="BJ38" s="187"/>
      <c r="BK38" s="187"/>
      <c r="BL38" s="187"/>
      <c r="BM38" s="187"/>
      <c r="BN38" s="187"/>
      <c r="BO38" s="187"/>
      <c r="BP38" s="187"/>
      <c r="BQ38" s="187"/>
      <c r="BR38" s="187"/>
      <c r="BS38" s="187"/>
      <c r="BT38" s="187"/>
      <c r="BU38" s="187"/>
      <c r="BV38" s="187"/>
      <c r="BW38" s="187"/>
      <c r="BX38" s="187"/>
      <c r="BY38" s="187"/>
      <c r="BZ38" s="187"/>
      <c r="CA38" s="187"/>
      <c r="CB38" s="187"/>
      <c r="CC38" s="187"/>
      <c r="CD38" s="187"/>
      <c r="CE38" s="187"/>
      <c r="CF38" s="187"/>
      <c r="CG38" s="187"/>
      <c r="CH38" s="187"/>
      <c r="CI38" s="187"/>
      <c r="CJ38" s="187"/>
      <c r="CK38" s="187"/>
      <c r="CL38" s="187"/>
    </row>
    <row r="39" spans="1:90">
      <c r="A39" s="17" t="s">
        <v>25</v>
      </c>
      <c r="B39" s="271">
        <v>2034514658.9100001</v>
      </c>
      <c r="C39" s="271">
        <v>1901644193.6400001</v>
      </c>
      <c r="D39" s="271">
        <v>1628507252.03</v>
      </c>
      <c r="E39" s="271">
        <v>975477747.05999994</v>
      </c>
      <c r="F39" s="271">
        <v>988643842.55999994</v>
      </c>
      <c r="G39" s="271">
        <v>260284491.74000001</v>
      </c>
      <c r="H39" s="271">
        <v>269657755.57999998</v>
      </c>
      <c r="I39" s="271">
        <v>577522908.05999994</v>
      </c>
      <c r="J39" s="271">
        <v>500258690.69</v>
      </c>
      <c r="K39" s="271">
        <v>463948636.85000002</v>
      </c>
      <c r="L39" s="271">
        <v>361007478.76999998</v>
      </c>
      <c r="M39" s="271">
        <v>54596365.240000002</v>
      </c>
      <c r="N39" s="271">
        <v>97946613.019999996</v>
      </c>
      <c r="O39" s="271">
        <v>94549201.409999996</v>
      </c>
      <c r="P39" s="271">
        <v>62895093.140000001</v>
      </c>
      <c r="Q39" s="271">
        <v>55513753.5</v>
      </c>
      <c r="R39" s="271">
        <v>61785500.240000002</v>
      </c>
      <c r="S39" s="271">
        <v>10173700</v>
      </c>
      <c r="T39" s="187"/>
      <c r="U39" s="187"/>
      <c r="V39" s="187"/>
      <c r="W39" s="187"/>
      <c r="X39" s="187"/>
      <c r="Y39" s="187"/>
      <c r="Z39" s="187"/>
      <c r="AA39" s="187"/>
      <c r="AB39" s="187"/>
      <c r="AC39" s="187"/>
      <c r="AD39" s="187"/>
      <c r="AE39" s="187"/>
      <c r="AF39" s="187"/>
      <c r="AG39" s="187"/>
      <c r="AH39" s="187"/>
      <c r="AI39" s="187"/>
      <c r="AJ39" s="187"/>
      <c r="AK39" s="187"/>
      <c r="AL39" s="187"/>
      <c r="AM39" s="187"/>
      <c r="AN39" s="187"/>
      <c r="AO39" s="187"/>
      <c r="AP39" s="187"/>
      <c r="AQ39" s="187"/>
      <c r="AR39" s="187"/>
      <c r="AS39" s="187"/>
      <c r="AT39" s="187"/>
      <c r="AU39" s="187"/>
      <c r="AV39" s="187"/>
      <c r="AW39" s="187"/>
      <c r="AX39" s="187"/>
      <c r="AY39" s="187"/>
      <c r="AZ39" s="187"/>
      <c r="BA39" s="187"/>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c r="CE39" s="187"/>
      <c r="CF39" s="187"/>
      <c r="CG39" s="187"/>
      <c r="CH39" s="187"/>
      <c r="CI39" s="187"/>
      <c r="CJ39" s="187"/>
      <c r="CK39" s="187"/>
      <c r="CL39" s="187"/>
    </row>
    <row r="40" spans="1:90">
      <c r="A40" s="17" t="s">
        <v>26</v>
      </c>
      <c r="B40" s="271">
        <v>10771075966.85</v>
      </c>
      <c r="C40" s="271">
        <v>7726135741.8999996</v>
      </c>
      <c r="D40" s="271">
        <v>4272289194.5700002</v>
      </c>
      <c r="E40" s="271">
        <v>2515516156.8299999</v>
      </c>
      <c r="F40" s="271">
        <v>2105178165.8699999</v>
      </c>
      <c r="G40" s="271">
        <v>3311880890.4899998</v>
      </c>
      <c r="H40" s="271">
        <v>2430093461.3800001</v>
      </c>
      <c r="I40" s="271">
        <v>788080887.25</v>
      </c>
      <c r="J40" s="271">
        <v>419882954.10000002</v>
      </c>
      <c r="K40" s="271">
        <v>140524984.34</v>
      </c>
      <c r="L40" s="271">
        <v>256300257.22999999</v>
      </c>
      <c r="M40" s="271">
        <v>407747376.14999998</v>
      </c>
      <c r="N40" s="271">
        <v>808722547.76999998</v>
      </c>
      <c r="O40" s="271">
        <v>919289026.87</v>
      </c>
      <c r="P40" s="271">
        <v>600137530.19000006</v>
      </c>
      <c r="Q40" s="271">
        <v>425108388.79000002</v>
      </c>
      <c r="R40" s="271">
        <v>330465029.19999999</v>
      </c>
      <c r="S40" s="271">
        <v>237655974.44</v>
      </c>
      <c r="T40" s="187"/>
      <c r="U40" s="187"/>
      <c r="V40" s="187"/>
      <c r="W40" s="187"/>
      <c r="X40" s="187"/>
      <c r="Y40" s="187"/>
      <c r="Z40" s="187"/>
      <c r="AA40" s="187"/>
      <c r="AB40" s="187"/>
      <c r="AC40" s="187"/>
      <c r="AD40" s="187"/>
      <c r="AE40" s="187"/>
      <c r="AF40" s="187"/>
      <c r="AG40" s="187"/>
      <c r="AH40" s="187"/>
      <c r="AI40" s="187"/>
      <c r="AJ40" s="187"/>
      <c r="AK40" s="187"/>
      <c r="AL40" s="187"/>
      <c r="AM40" s="187"/>
      <c r="AN40" s="187"/>
      <c r="AO40" s="187"/>
      <c r="AP40" s="187"/>
      <c r="AQ40" s="187"/>
      <c r="AR40" s="187"/>
      <c r="AS40" s="187"/>
      <c r="AT40" s="187"/>
      <c r="AU40" s="187"/>
      <c r="AV40" s="187"/>
      <c r="AW40" s="187"/>
      <c r="AX40" s="187"/>
      <c r="AY40" s="187"/>
      <c r="AZ40" s="187"/>
      <c r="BA40" s="187"/>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c r="CE40" s="187"/>
      <c r="CF40" s="187"/>
      <c r="CG40" s="187"/>
      <c r="CH40" s="187"/>
      <c r="CI40" s="187"/>
      <c r="CJ40" s="187"/>
      <c r="CK40" s="187"/>
      <c r="CL40" s="187"/>
    </row>
    <row r="41" spans="1:90">
      <c r="A41" s="17" t="s">
        <v>27</v>
      </c>
      <c r="B41" s="271">
        <v>3404771072.3299999</v>
      </c>
      <c r="C41" s="271">
        <v>3039948303.8000002</v>
      </c>
      <c r="D41" s="271">
        <v>1724638571.4400001</v>
      </c>
      <c r="E41" s="271">
        <v>1423139205.9300001</v>
      </c>
      <c r="F41" s="271">
        <v>1231886240.3499999</v>
      </c>
      <c r="G41" s="271">
        <v>1604688158.1400001</v>
      </c>
      <c r="H41" s="271">
        <v>1389984092.02</v>
      </c>
      <c r="I41" s="271">
        <v>916123206.95000005</v>
      </c>
      <c r="J41" s="271">
        <v>818880550.54999995</v>
      </c>
      <c r="K41" s="271">
        <v>710831237.04999995</v>
      </c>
      <c r="L41" s="271">
        <v>575906355.73000002</v>
      </c>
      <c r="M41" s="271">
        <v>423495209.81999999</v>
      </c>
      <c r="N41" s="271">
        <v>310137150.24000001</v>
      </c>
      <c r="O41" s="271">
        <v>269348761.11000001</v>
      </c>
      <c r="P41" s="271">
        <v>396044896.51999998</v>
      </c>
      <c r="Q41" s="271">
        <v>213109026.88999999</v>
      </c>
      <c r="R41" s="271">
        <v>127453900</v>
      </c>
      <c r="S41" s="271">
        <v>176692131.93000001</v>
      </c>
      <c r="T41" s="187"/>
      <c r="U41" s="187"/>
      <c r="V41" s="187"/>
      <c r="W41" s="187"/>
      <c r="X41" s="187"/>
      <c r="Y41" s="187"/>
      <c r="Z41" s="187"/>
      <c r="AA41" s="187"/>
      <c r="AB41" s="187"/>
      <c r="AC41" s="187"/>
      <c r="AD41" s="187"/>
      <c r="AE41" s="187"/>
      <c r="AF41" s="187"/>
      <c r="AG41" s="187"/>
      <c r="AH41" s="187"/>
      <c r="AI41" s="187"/>
      <c r="AJ41" s="187"/>
      <c r="AK41" s="187"/>
      <c r="AL41" s="187"/>
      <c r="AM41" s="187"/>
      <c r="AN41" s="187"/>
      <c r="AO41" s="187"/>
      <c r="AP41" s="187"/>
      <c r="AQ41" s="187"/>
      <c r="AR41" s="187"/>
      <c r="AS41" s="187"/>
      <c r="AT41" s="187"/>
      <c r="AU41" s="187"/>
      <c r="AV41" s="187"/>
      <c r="AW41" s="187"/>
      <c r="AX41" s="187"/>
      <c r="AY41" s="187"/>
      <c r="AZ41" s="187"/>
      <c r="BA41" s="187"/>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c r="CE41" s="187"/>
      <c r="CF41" s="187"/>
      <c r="CG41" s="187"/>
      <c r="CH41" s="187"/>
      <c r="CI41" s="187"/>
      <c r="CJ41" s="187"/>
      <c r="CK41" s="187"/>
      <c r="CL41" s="187"/>
    </row>
    <row r="42" spans="1:90" s="39" customFormat="1">
      <c r="A42" s="124" t="s">
        <v>28</v>
      </c>
      <c r="B42" s="271">
        <v>0</v>
      </c>
      <c r="C42" s="271">
        <v>0</v>
      </c>
      <c r="D42" s="271">
        <v>0</v>
      </c>
      <c r="E42" s="271">
        <v>0</v>
      </c>
      <c r="F42" s="271">
        <v>0</v>
      </c>
      <c r="G42" s="271">
        <v>0</v>
      </c>
      <c r="H42" s="271">
        <v>0</v>
      </c>
      <c r="I42" s="271">
        <v>0</v>
      </c>
      <c r="J42" s="271">
        <v>0</v>
      </c>
      <c r="K42" s="271">
        <v>0</v>
      </c>
      <c r="L42" s="271">
        <v>0</v>
      </c>
      <c r="M42" s="271">
        <v>0</v>
      </c>
      <c r="N42" s="271">
        <v>0</v>
      </c>
      <c r="O42" s="271">
        <v>0</v>
      </c>
      <c r="P42" s="271">
        <v>0</v>
      </c>
      <c r="Q42" s="271">
        <v>0</v>
      </c>
      <c r="R42" s="271">
        <v>0</v>
      </c>
      <c r="S42" s="271">
        <v>0</v>
      </c>
      <c r="T42" s="187"/>
      <c r="U42" s="187"/>
      <c r="V42" s="187"/>
      <c r="W42" s="187"/>
      <c r="X42" s="187"/>
      <c r="Y42" s="187"/>
      <c r="Z42" s="187"/>
      <c r="AA42" s="187"/>
      <c r="AB42" s="187"/>
      <c r="AC42" s="187"/>
      <c r="AD42" s="187"/>
      <c r="AE42" s="187"/>
      <c r="AF42" s="187"/>
      <c r="AG42" s="187"/>
      <c r="AH42" s="187"/>
      <c r="AI42" s="187"/>
      <c r="AJ42" s="187"/>
      <c r="AK42" s="187"/>
      <c r="AL42" s="187"/>
      <c r="AM42" s="187"/>
      <c r="AN42" s="187"/>
      <c r="AO42" s="187"/>
      <c r="AP42" s="187"/>
      <c r="AQ42" s="187"/>
      <c r="AR42" s="187"/>
      <c r="AS42" s="187"/>
      <c r="AT42" s="187"/>
      <c r="AU42" s="187"/>
      <c r="AV42" s="187"/>
      <c r="AW42" s="187"/>
      <c r="AX42" s="187"/>
      <c r="AY42" s="187"/>
      <c r="AZ42" s="187"/>
      <c r="BA42" s="18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c r="CE42" s="187"/>
      <c r="CF42" s="187"/>
      <c r="CG42" s="187"/>
      <c r="CH42" s="187"/>
      <c r="CI42" s="187"/>
      <c r="CJ42" s="187"/>
      <c r="CK42" s="187"/>
      <c r="CL42" s="187"/>
    </row>
    <row r="43" spans="1:90">
      <c r="A43" s="17" t="s">
        <v>29</v>
      </c>
      <c r="B43" s="271">
        <v>0</v>
      </c>
      <c r="C43" s="271">
        <v>0</v>
      </c>
      <c r="D43" s="271">
        <v>0</v>
      </c>
      <c r="E43" s="271">
        <v>0</v>
      </c>
      <c r="F43" s="271">
        <v>0</v>
      </c>
      <c r="G43" s="271">
        <v>0</v>
      </c>
      <c r="H43" s="271">
        <v>0</v>
      </c>
      <c r="I43" s="271">
        <v>0</v>
      </c>
      <c r="J43" s="271">
        <v>0</v>
      </c>
      <c r="K43" s="271">
        <v>0</v>
      </c>
      <c r="L43" s="271">
        <v>0</v>
      </c>
      <c r="M43" s="271">
        <v>0</v>
      </c>
      <c r="N43" s="271">
        <v>0</v>
      </c>
      <c r="O43" s="271">
        <v>0</v>
      </c>
      <c r="P43" s="271">
        <v>0</v>
      </c>
      <c r="Q43" s="271">
        <v>0</v>
      </c>
      <c r="R43" s="271">
        <v>0</v>
      </c>
      <c r="S43" s="271">
        <v>0</v>
      </c>
      <c r="T43" s="187"/>
      <c r="U43" s="187"/>
      <c r="V43" s="187"/>
      <c r="W43" s="187"/>
      <c r="X43" s="187"/>
      <c r="Y43" s="187"/>
      <c r="Z43" s="187"/>
      <c r="AA43" s="187"/>
      <c r="AB43" s="187"/>
      <c r="AC43" s="187"/>
      <c r="AD43" s="187"/>
      <c r="AE43" s="187"/>
      <c r="AF43" s="187"/>
      <c r="AG43" s="187"/>
      <c r="AH43" s="187"/>
      <c r="AI43" s="187"/>
      <c r="AJ43" s="187"/>
      <c r="AK43" s="187"/>
      <c r="AL43" s="187"/>
      <c r="AM43" s="187"/>
      <c r="AN43" s="187"/>
      <c r="AO43" s="187"/>
      <c r="AP43" s="187"/>
      <c r="AQ43" s="187"/>
      <c r="AR43" s="187"/>
      <c r="AS43" s="187"/>
      <c r="AT43" s="187"/>
      <c r="AU43" s="187"/>
      <c r="AV43" s="187"/>
      <c r="AW43" s="187"/>
      <c r="AX43" s="187"/>
      <c r="AY43" s="187"/>
      <c r="AZ43" s="187"/>
      <c r="BA43" s="187"/>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c r="CE43" s="187"/>
      <c r="CF43" s="187"/>
      <c r="CG43" s="187"/>
      <c r="CH43" s="187"/>
      <c r="CI43" s="187"/>
      <c r="CJ43" s="187"/>
      <c r="CK43" s="187"/>
      <c r="CL43" s="187"/>
    </row>
    <row r="44" spans="1:90">
      <c r="A44" s="17" t="s">
        <v>30</v>
      </c>
      <c r="B44" s="271">
        <v>0</v>
      </c>
      <c r="C44" s="271">
        <v>15570000</v>
      </c>
      <c r="D44" s="271">
        <v>15570000</v>
      </c>
      <c r="E44" s="271">
        <v>15570000</v>
      </c>
      <c r="F44" s="271">
        <v>17770000</v>
      </c>
      <c r="G44" s="271">
        <v>17770000</v>
      </c>
      <c r="H44" s="271">
        <v>17770000</v>
      </c>
      <c r="I44" s="271">
        <v>16770000</v>
      </c>
      <c r="J44" s="271">
        <v>10000000</v>
      </c>
      <c r="K44" s="271">
        <v>10000000</v>
      </c>
      <c r="L44" s="271">
        <v>0</v>
      </c>
      <c r="M44" s="271">
        <v>0</v>
      </c>
      <c r="N44" s="271">
        <v>0</v>
      </c>
      <c r="O44" s="271">
        <v>0</v>
      </c>
      <c r="P44" s="271">
        <v>300000</v>
      </c>
      <c r="Q44" s="271">
        <v>300000</v>
      </c>
      <c r="R44" s="271">
        <v>0</v>
      </c>
      <c r="S44" s="271">
        <v>0</v>
      </c>
      <c r="T44" s="187"/>
      <c r="U44" s="187"/>
      <c r="V44" s="187"/>
      <c r="W44" s="187"/>
      <c r="X44" s="187"/>
      <c r="Y44" s="187"/>
      <c r="Z44" s="187"/>
      <c r="AA44" s="187"/>
      <c r="AB44" s="187"/>
      <c r="AC44" s="187"/>
      <c r="AD44" s="187"/>
      <c r="AE44" s="187"/>
      <c r="AF44" s="187"/>
      <c r="AG44" s="187"/>
      <c r="AH44" s="187"/>
      <c r="AI44" s="187"/>
      <c r="AJ44" s="187"/>
      <c r="AK44" s="187"/>
      <c r="AL44" s="187"/>
      <c r="AM44" s="187"/>
      <c r="AN44" s="187"/>
      <c r="AO44" s="187"/>
      <c r="AP44" s="187"/>
      <c r="AQ44" s="187"/>
      <c r="AR44" s="187"/>
      <c r="AS44" s="187"/>
      <c r="AT44" s="187"/>
      <c r="AU44" s="187"/>
      <c r="AV44" s="187"/>
      <c r="AW44" s="187"/>
      <c r="AX44" s="187"/>
      <c r="AY44" s="187"/>
      <c r="AZ44" s="187"/>
      <c r="BA44" s="187"/>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c r="CE44" s="187"/>
      <c r="CF44" s="187"/>
      <c r="CG44" s="187"/>
      <c r="CH44" s="187"/>
      <c r="CI44" s="187"/>
      <c r="CJ44" s="187"/>
      <c r="CK44" s="187"/>
      <c r="CL44" s="187"/>
    </row>
    <row r="45" spans="1:90">
      <c r="A45" s="17" t="s">
        <v>31</v>
      </c>
      <c r="B45" s="271">
        <v>0</v>
      </c>
      <c r="C45" s="271">
        <v>0</v>
      </c>
      <c r="D45" s="271">
        <v>0</v>
      </c>
      <c r="E45" s="271">
        <v>0</v>
      </c>
      <c r="F45" s="271">
        <v>3956450709.1900001</v>
      </c>
      <c r="G45" s="271">
        <v>2773189099.54</v>
      </c>
      <c r="H45" s="271">
        <v>0</v>
      </c>
      <c r="I45" s="271">
        <v>0</v>
      </c>
      <c r="J45" s="271">
        <v>0</v>
      </c>
      <c r="K45" s="271">
        <v>0</v>
      </c>
      <c r="L45" s="271">
        <v>0</v>
      </c>
      <c r="M45" s="271">
        <v>0</v>
      </c>
      <c r="N45" s="271">
        <v>126932.01</v>
      </c>
      <c r="O45" s="271">
        <v>1305119.69</v>
      </c>
      <c r="P45" s="271">
        <v>7450299.3799999999</v>
      </c>
      <c r="Q45" s="271">
        <v>5224656.87</v>
      </c>
      <c r="R45" s="271">
        <v>0</v>
      </c>
      <c r="S45" s="271">
        <v>0</v>
      </c>
      <c r="T45" s="187"/>
      <c r="U45" s="187"/>
      <c r="V45" s="187"/>
      <c r="W45" s="187"/>
      <c r="X45" s="187"/>
      <c r="Y45" s="187"/>
      <c r="Z45" s="187"/>
      <c r="AA45" s="187"/>
      <c r="AB45" s="187"/>
      <c r="AC45" s="187"/>
      <c r="AD45" s="187"/>
      <c r="AE45" s="187"/>
      <c r="AF45" s="187"/>
      <c r="AG45" s="187"/>
      <c r="AH45" s="187"/>
      <c r="AI45" s="187"/>
      <c r="AJ45" s="187"/>
      <c r="AK45" s="187"/>
      <c r="AL45" s="187"/>
      <c r="AM45" s="187"/>
      <c r="AN45" s="187"/>
      <c r="AO45" s="187"/>
      <c r="AP45" s="187"/>
      <c r="AQ45" s="187"/>
      <c r="AR45" s="187"/>
      <c r="AS45" s="187"/>
      <c r="AT45" s="187"/>
      <c r="AU45" s="187"/>
      <c r="AV45" s="187"/>
      <c r="AW45" s="187"/>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c r="CE45" s="187"/>
      <c r="CF45" s="187"/>
      <c r="CG45" s="187"/>
      <c r="CH45" s="187"/>
      <c r="CI45" s="187"/>
      <c r="CJ45" s="187"/>
      <c r="CK45" s="187"/>
      <c r="CL45" s="187"/>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3" t="s">
        <v>32</v>
      </c>
      <c r="B49" s="35">
        <f>SUM(B35:B41)+SUM(B43:B45)</f>
        <v>30965174928.120003</v>
      </c>
      <c r="C49" s="35">
        <f>SUM(C35:C41)+SUM(C43:C45)</f>
        <v>28104461052.189999</v>
      </c>
      <c r="D49" s="35">
        <f>SUM(D35:D41)+SUM(D43:D45)</f>
        <v>26222695458.229996</v>
      </c>
      <c r="E49" s="35">
        <f>SUM(E35:E45)</f>
        <v>14072261254.949999</v>
      </c>
      <c r="F49" s="35">
        <f t="shared" ref="F49:BQ49" si="4">SUM(F35:F45)</f>
        <v>10483696701.6</v>
      </c>
      <c r="G49" s="35">
        <f t="shared" si="4"/>
        <v>11297674514.9</v>
      </c>
      <c r="H49" s="35">
        <f t="shared" si="4"/>
        <v>9544172556.210001</v>
      </c>
      <c r="I49" s="35">
        <f t="shared" si="4"/>
        <v>9497489364.1200008</v>
      </c>
      <c r="J49" s="35">
        <f t="shared" si="4"/>
        <v>6719606049.7799997</v>
      </c>
      <c r="K49" s="35">
        <f t="shared" si="4"/>
        <v>4980850090.8899994</v>
      </c>
      <c r="L49" s="35">
        <f t="shared" si="4"/>
        <v>4250769540.4000001</v>
      </c>
      <c r="M49" s="35">
        <f t="shared" si="4"/>
        <v>2070809111.97</v>
      </c>
      <c r="N49" s="35">
        <f t="shared" si="4"/>
        <v>3393886354.5600004</v>
      </c>
      <c r="O49" s="35">
        <f t="shared" si="4"/>
        <v>2858019573.0700002</v>
      </c>
      <c r="P49" s="35">
        <f t="shared" si="4"/>
        <v>2139504377.1600001</v>
      </c>
      <c r="Q49" s="35">
        <f t="shared" si="4"/>
        <v>1484628924.5599999</v>
      </c>
      <c r="R49" s="35">
        <f t="shared" si="4"/>
        <v>999978550.53999996</v>
      </c>
      <c r="S49" s="35">
        <f t="shared" si="4"/>
        <v>740987361.41000009</v>
      </c>
      <c r="T49" s="35">
        <f t="shared" si="4"/>
        <v>0</v>
      </c>
      <c r="U49" s="35">
        <f t="shared" si="4"/>
        <v>0</v>
      </c>
      <c r="V49" s="35">
        <f t="shared" si="4"/>
        <v>0</v>
      </c>
      <c r="W49" s="35">
        <f t="shared" si="4"/>
        <v>0</v>
      </c>
      <c r="X49" s="35">
        <f t="shared" si="4"/>
        <v>0</v>
      </c>
      <c r="Y49" s="35">
        <f t="shared" si="4"/>
        <v>0</v>
      </c>
      <c r="Z49" s="35">
        <f t="shared" si="4"/>
        <v>0</v>
      </c>
      <c r="AA49" s="35">
        <f t="shared" si="4"/>
        <v>0</v>
      </c>
      <c r="AB49" s="35">
        <f t="shared" si="4"/>
        <v>0</v>
      </c>
      <c r="AC49" s="35">
        <f t="shared" si="4"/>
        <v>0</v>
      </c>
      <c r="AD49" s="35">
        <f t="shared" si="4"/>
        <v>0</v>
      </c>
      <c r="AE49" s="35">
        <f t="shared" si="4"/>
        <v>0</v>
      </c>
      <c r="AF49" s="35">
        <f t="shared" si="4"/>
        <v>0</v>
      </c>
      <c r="AG49" s="35">
        <f t="shared" si="4"/>
        <v>0</v>
      </c>
      <c r="AH49" s="35">
        <f t="shared" si="4"/>
        <v>0</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5" t="s">
        <v>81</v>
      </c>
      <c r="B50" s="36">
        <f>B33-B49</f>
        <v>-5178131040.6100006</v>
      </c>
      <c r="C50" s="36">
        <f t="shared" ref="C50:BN50" si="6">C33-C49</f>
        <v>-3965603619.8199997</v>
      </c>
      <c r="D50" s="36">
        <f t="shared" si="6"/>
        <v>-3428013627.7599945</v>
      </c>
      <c r="E50" s="36">
        <f t="shared" si="6"/>
        <v>14046155822.110003</v>
      </c>
      <c r="F50" s="36">
        <f t="shared" si="6"/>
        <v>9295911770.1799984</v>
      </c>
      <c r="G50" s="36">
        <f t="shared" si="6"/>
        <v>5260300440.4200001</v>
      </c>
      <c r="H50" s="36">
        <f t="shared" si="6"/>
        <v>4354291394.2799988</v>
      </c>
      <c r="I50" s="36">
        <f t="shared" si="6"/>
        <v>-147730105.78000069</v>
      </c>
      <c r="J50" s="36">
        <f t="shared" si="6"/>
        <v>649556463.90000057</v>
      </c>
      <c r="K50" s="36">
        <f t="shared" si="6"/>
        <v>929670517.26000118</v>
      </c>
      <c r="L50" s="36">
        <f t="shared" si="6"/>
        <v>-106524098.72000027</v>
      </c>
      <c r="M50" s="36">
        <f t="shared" si="6"/>
        <v>474403091.43000007</v>
      </c>
      <c r="N50" s="36">
        <f t="shared" si="6"/>
        <v>-1106410152.9100003</v>
      </c>
      <c r="O50" s="36">
        <f t="shared" si="6"/>
        <v>-730488718.99000025</v>
      </c>
      <c r="P50" s="36">
        <f t="shared" si="6"/>
        <v>-265193288.21000028</v>
      </c>
      <c r="Q50" s="36">
        <f t="shared" si="6"/>
        <v>-68647277.49000001</v>
      </c>
      <c r="R50" s="36">
        <f t="shared" si="6"/>
        <v>210970118.28999996</v>
      </c>
      <c r="S50" s="36">
        <f t="shared" si="6"/>
        <v>172501359.18999982</v>
      </c>
      <c r="T50" s="36">
        <f t="shared" si="6"/>
        <v>0</v>
      </c>
      <c r="U50" s="36">
        <f t="shared" si="6"/>
        <v>0</v>
      </c>
      <c r="V50" s="36">
        <f t="shared" si="6"/>
        <v>0</v>
      </c>
      <c r="W50" s="36">
        <f t="shared" si="6"/>
        <v>0</v>
      </c>
      <c r="X50" s="36">
        <f t="shared" si="6"/>
        <v>0</v>
      </c>
      <c r="Y50" s="36">
        <f t="shared" si="6"/>
        <v>0</v>
      </c>
      <c r="Z50" s="36">
        <f t="shared" si="6"/>
        <v>0</v>
      </c>
      <c r="AA50" s="36">
        <f t="shared" si="6"/>
        <v>0</v>
      </c>
      <c r="AB50" s="36">
        <f t="shared" si="6"/>
        <v>0</v>
      </c>
      <c r="AC50" s="36">
        <f t="shared" si="6"/>
        <v>0</v>
      </c>
      <c r="AD50" s="36">
        <f t="shared" si="6"/>
        <v>0</v>
      </c>
      <c r="AE50" s="36">
        <f t="shared" si="6"/>
        <v>0</v>
      </c>
      <c r="AF50" s="36">
        <f t="shared" si="6"/>
        <v>0</v>
      </c>
      <c r="AG50" s="36">
        <f t="shared" si="6"/>
        <v>0</v>
      </c>
      <c r="AH50" s="36">
        <f t="shared" si="6"/>
        <v>0</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0" customFormat="1">
      <c r="A51" s="190" t="s">
        <v>33</v>
      </c>
    </row>
    <row r="52" spans="1:90" s="190" customFormat="1">
      <c r="A52" s="190" t="s">
        <v>34</v>
      </c>
      <c r="B52" s="271">
        <v>15248556585.02</v>
      </c>
      <c r="C52" s="271">
        <v>15244096632.02</v>
      </c>
      <c r="D52" s="271">
        <v>14453177439.34</v>
      </c>
      <c r="E52" s="271">
        <v>11415953189.719999</v>
      </c>
      <c r="F52" s="271">
        <v>10375757771.59</v>
      </c>
      <c r="G52" s="271">
        <v>8523256960.1099997</v>
      </c>
      <c r="H52" s="271">
        <v>6807333231.0900002</v>
      </c>
      <c r="I52" s="271">
        <v>5426012349.6099997</v>
      </c>
      <c r="J52" s="271">
        <v>4191851111.9699998</v>
      </c>
      <c r="K52" s="271">
        <v>3168725156.29</v>
      </c>
      <c r="L52" s="271">
        <v>2190171911.8899999</v>
      </c>
      <c r="M52" s="271">
        <v>1826983364.3599999</v>
      </c>
      <c r="N52" s="271">
        <v>1222202623.3</v>
      </c>
      <c r="O52" s="271">
        <v>981382035.5</v>
      </c>
      <c r="P52" s="271">
        <v>715522677.41999996</v>
      </c>
      <c r="Q52" s="271">
        <v>440813831.82999998</v>
      </c>
      <c r="R52" s="271">
        <v>470098687.69</v>
      </c>
      <c r="S52" s="271">
        <v>414239895.73000002</v>
      </c>
      <c r="T52" s="187"/>
      <c r="U52" s="187"/>
      <c r="V52" s="187"/>
      <c r="W52" s="187"/>
      <c r="X52" s="187"/>
      <c r="Y52" s="187"/>
      <c r="Z52" s="187"/>
      <c r="AA52" s="187"/>
      <c r="AB52" s="187"/>
      <c r="AC52" s="187"/>
      <c r="AD52" s="187"/>
      <c r="AE52" s="187"/>
      <c r="AF52" s="187"/>
      <c r="AG52" s="187"/>
      <c r="AH52" s="187"/>
      <c r="AI52" s="187"/>
      <c r="AJ52" s="187"/>
      <c r="AK52" s="187"/>
      <c r="AL52" s="187"/>
      <c r="AM52" s="187"/>
      <c r="AN52" s="187"/>
      <c r="AO52" s="187"/>
      <c r="AP52" s="187"/>
      <c r="AQ52" s="187"/>
      <c r="AR52" s="187"/>
      <c r="AS52" s="187"/>
      <c r="AT52" s="187"/>
      <c r="AU52" s="187"/>
      <c r="AV52" s="187"/>
      <c r="AW52" s="187"/>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c r="CE52" s="187"/>
      <c r="CF52" s="187"/>
      <c r="CG52" s="187"/>
      <c r="CH52" s="187"/>
      <c r="CI52" s="187"/>
      <c r="CJ52" s="187"/>
      <c r="CK52" s="187"/>
      <c r="CL52" s="187"/>
    </row>
    <row r="53" spans="1:90" s="190" customFormat="1">
      <c r="A53" s="190" t="s">
        <v>35</v>
      </c>
      <c r="B53" s="271">
        <v>1954322968.6800001</v>
      </c>
      <c r="C53" s="271">
        <v>2016405005.77</v>
      </c>
      <c r="D53" s="271">
        <v>2745579995.6799998</v>
      </c>
      <c r="E53" s="271">
        <v>4895150716.5100002</v>
      </c>
      <c r="F53" s="271">
        <v>3421774448.02</v>
      </c>
      <c r="G53" s="271">
        <v>456328292.13</v>
      </c>
      <c r="H53" s="271">
        <v>392672323.94999999</v>
      </c>
      <c r="I53" s="271">
        <v>251446326.43000001</v>
      </c>
      <c r="J53" s="271">
        <v>263458445.09999999</v>
      </c>
      <c r="K53" s="271">
        <v>193956334.38999999</v>
      </c>
      <c r="L53" s="271">
        <v>582860996.70000005</v>
      </c>
      <c r="M53" s="271">
        <v>994453165.72000003</v>
      </c>
      <c r="N53" s="271">
        <v>1179883698.02</v>
      </c>
      <c r="O53" s="271">
        <v>909890443.63</v>
      </c>
      <c r="P53" s="271">
        <v>776047024.87</v>
      </c>
      <c r="Q53" s="271">
        <v>721652502.10000002</v>
      </c>
      <c r="R53" s="271">
        <v>442903497.32999998</v>
      </c>
      <c r="S53" s="271">
        <v>162048784.65000001</v>
      </c>
      <c r="T53" s="187"/>
      <c r="U53" s="187"/>
      <c r="V53" s="187"/>
      <c r="W53" s="187"/>
      <c r="X53" s="187"/>
      <c r="Y53" s="187"/>
      <c r="Z53" s="187"/>
      <c r="AA53" s="187"/>
      <c r="AB53" s="187"/>
      <c r="AC53" s="187"/>
      <c r="AD53" s="187"/>
      <c r="AE53" s="187"/>
      <c r="AF53" s="187"/>
      <c r="AG53" s="187"/>
      <c r="AH53" s="187"/>
      <c r="AI53" s="187"/>
      <c r="AJ53" s="187"/>
      <c r="AK53" s="187"/>
      <c r="AL53" s="187"/>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c r="CE53" s="187"/>
      <c r="CF53" s="187"/>
      <c r="CG53" s="187"/>
      <c r="CH53" s="187"/>
      <c r="CI53" s="187"/>
      <c r="CJ53" s="187"/>
      <c r="CK53" s="187"/>
      <c r="CL53" s="187"/>
    </row>
    <row r="54" spans="1:90" s="190" customFormat="1">
      <c r="A54" s="190" t="s">
        <v>36</v>
      </c>
      <c r="B54" s="271">
        <v>0</v>
      </c>
      <c r="C54" s="271">
        <v>0</v>
      </c>
      <c r="D54" s="271">
        <v>0</v>
      </c>
      <c r="E54" s="271">
        <v>260855.92</v>
      </c>
      <c r="F54" s="271">
        <v>260855.92</v>
      </c>
      <c r="G54" s="271">
        <v>1725110.46</v>
      </c>
      <c r="H54" s="271">
        <v>2676942.59</v>
      </c>
      <c r="I54" s="271">
        <v>4918294.6399999997</v>
      </c>
      <c r="J54" s="271">
        <v>18528802.460000001</v>
      </c>
      <c r="K54" s="271">
        <v>24915041.530000001</v>
      </c>
      <c r="L54" s="271">
        <v>62368950.890000001</v>
      </c>
      <c r="M54" s="271">
        <v>11931427.66</v>
      </c>
      <c r="N54" s="271">
        <v>47444702.520000003</v>
      </c>
      <c r="O54" s="271">
        <v>19108529.359999999</v>
      </c>
      <c r="P54" s="271">
        <v>10991173.91</v>
      </c>
      <c r="Q54" s="271">
        <v>0</v>
      </c>
      <c r="R54" s="271">
        <v>0</v>
      </c>
      <c r="S54" s="271">
        <v>0</v>
      </c>
      <c r="T54" s="187"/>
      <c r="U54" s="187"/>
      <c r="V54" s="187"/>
      <c r="W54" s="187"/>
      <c r="X54" s="187"/>
      <c r="Y54" s="187"/>
      <c r="Z54" s="187"/>
      <c r="AA54" s="187"/>
      <c r="AB54" s="187"/>
      <c r="AC54" s="187"/>
      <c r="AD54" s="187"/>
      <c r="AE54" s="187"/>
      <c r="AF54" s="187"/>
      <c r="AG54" s="187"/>
      <c r="AH54" s="187"/>
      <c r="AI54" s="187"/>
      <c r="AJ54" s="187"/>
      <c r="AK54" s="187"/>
      <c r="AL54" s="187"/>
      <c r="AM54" s="187"/>
      <c r="AN54" s="187"/>
      <c r="AO54" s="187"/>
      <c r="AP54" s="187"/>
      <c r="AQ54" s="187"/>
      <c r="AR54" s="187"/>
      <c r="AS54" s="187"/>
      <c r="AT54" s="187"/>
      <c r="AU54" s="187"/>
      <c r="AV54" s="187"/>
      <c r="AW54" s="18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c r="CE54" s="187"/>
      <c r="CF54" s="187"/>
      <c r="CG54" s="187"/>
      <c r="CH54" s="187"/>
      <c r="CI54" s="187"/>
      <c r="CJ54" s="187"/>
      <c r="CK54" s="187"/>
      <c r="CL54" s="187"/>
    </row>
    <row r="55" spans="1:90" s="190" customFormat="1">
      <c r="A55" s="190" t="s">
        <v>37</v>
      </c>
      <c r="B55" s="271">
        <v>0</v>
      </c>
      <c r="C55" s="271">
        <v>0</v>
      </c>
      <c r="D55" s="271">
        <v>0</v>
      </c>
      <c r="E55" s="271">
        <v>682594.04</v>
      </c>
      <c r="F55" s="271">
        <v>0</v>
      </c>
      <c r="G55" s="271">
        <v>0</v>
      </c>
      <c r="H55" s="271">
        <v>0</v>
      </c>
      <c r="I55" s="271">
        <v>0</v>
      </c>
      <c r="J55" s="271">
        <v>0</v>
      </c>
      <c r="K55" s="271">
        <v>0</v>
      </c>
      <c r="L55" s="271">
        <v>0</v>
      </c>
      <c r="M55" s="271">
        <v>0</v>
      </c>
      <c r="N55" s="271">
        <v>0</v>
      </c>
      <c r="O55" s="271">
        <v>0</v>
      </c>
      <c r="P55" s="271">
        <v>0</v>
      </c>
      <c r="Q55" s="271">
        <v>6730</v>
      </c>
      <c r="R55" s="271">
        <v>0</v>
      </c>
      <c r="S55" s="271">
        <v>0</v>
      </c>
      <c r="T55" s="187"/>
      <c r="U55" s="187"/>
      <c r="V55" s="187"/>
      <c r="W55" s="187"/>
      <c r="X55" s="187"/>
      <c r="Y55" s="187"/>
      <c r="Z55" s="187"/>
      <c r="AA55" s="187"/>
      <c r="AB55" s="187"/>
      <c r="AC55" s="187"/>
      <c r="AD55" s="187"/>
      <c r="AE55" s="187"/>
      <c r="AF55" s="187"/>
      <c r="AG55" s="187"/>
      <c r="AH55" s="187"/>
      <c r="AI55" s="187"/>
      <c r="AJ55" s="187"/>
      <c r="AK55" s="187"/>
      <c r="AL55" s="187"/>
      <c r="AM55" s="187"/>
      <c r="AN55" s="187"/>
      <c r="AO55" s="187"/>
      <c r="AP55" s="187"/>
      <c r="AQ55" s="187"/>
      <c r="AR55" s="187"/>
      <c r="AS55" s="187"/>
      <c r="AT55" s="187"/>
      <c r="AU55" s="187"/>
      <c r="AV55" s="187"/>
      <c r="AW55" s="18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c r="CE55" s="187"/>
      <c r="CF55" s="187"/>
      <c r="CG55" s="187"/>
      <c r="CH55" s="187"/>
      <c r="CI55" s="187"/>
      <c r="CJ55" s="187"/>
      <c r="CK55" s="187"/>
      <c r="CL55" s="187"/>
    </row>
    <row r="56" spans="1:90" s="190" customFormat="1">
      <c r="A56" s="190" t="s">
        <v>38</v>
      </c>
      <c r="B56" s="271">
        <v>0</v>
      </c>
      <c r="C56" s="271">
        <v>0</v>
      </c>
      <c r="D56" s="271">
        <v>0</v>
      </c>
      <c r="E56" s="271">
        <v>0</v>
      </c>
      <c r="F56" s="271">
        <v>0</v>
      </c>
      <c r="G56" s="271">
        <v>0</v>
      </c>
      <c r="H56" s="271">
        <v>0</v>
      </c>
      <c r="I56" s="271">
        <v>0</v>
      </c>
      <c r="J56" s="271">
        <v>0</v>
      </c>
      <c r="K56" s="271">
        <v>0</v>
      </c>
      <c r="L56" s="271">
        <v>0</v>
      </c>
      <c r="M56" s="271">
        <v>0</v>
      </c>
      <c r="N56" s="271">
        <v>0</v>
      </c>
      <c r="O56" s="271">
        <v>0</v>
      </c>
      <c r="P56" s="271">
        <v>0</v>
      </c>
      <c r="Q56" s="271">
        <v>0</v>
      </c>
      <c r="R56" s="271">
        <v>0</v>
      </c>
      <c r="S56" s="271">
        <v>0</v>
      </c>
      <c r="T56" s="187"/>
      <c r="U56" s="187"/>
      <c r="V56" s="187"/>
      <c r="W56" s="187"/>
      <c r="X56" s="187"/>
      <c r="Y56" s="187"/>
      <c r="Z56" s="187"/>
      <c r="AA56" s="187"/>
      <c r="AB56" s="187"/>
      <c r="AC56" s="187"/>
      <c r="AD56" s="187"/>
      <c r="AE56" s="187"/>
      <c r="AF56" s="187"/>
      <c r="AG56" s="187"/>
      <c r="AH56" s="187"/>
      <c r="AI56" s="187"/>
      <c r="AJ56" s="187"/>
      <c r="AK56" s="187"/>
      <c r="AL56" s="187"/>
      <c r="AM56" s="187"/>
      <c r="AN56" s="187"/>
      <c r="AO56" s="187"/>
      <c r="AP56" s="187"/>
      <c r="AQ56" s="187"/>
      <c r="AR56" s="187"/>
      <c r="AS56" s="187"/>
      <c r="AT56" s="187"/>
      <c r="AU56" s="187"/>
      <c r="AV56" s="187"/>
      <c r="AW56" s="18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c r="CE56" s="187"/>
      <c r="CF56" s="187"/>
      <c r="CG56" s="187"/>
      <c r="CH56" s="187"/>
      <c r="CI56" s="187"/>
      <c r="CJ56" s="187"/>
      <c r="CK56" s="187"/>
      <c r="CL56" s="187"/>
    </row>
    <row r="57" spans="1:90" s="190" customFormat="1">
      <c r="A57" s="190" t="s">
        <v>39</v>
      </c>
      <c r="B57" s="271">
        <v>0</v>
      </c>
      <c r="C57" s="271">
        <v>0</v>
      </c>
      <c r="D57" s="271">
        <v>0</v>
      </c>
      <c r="E57" s="271">
        <v>0</v>
      </c>
      <c r="F57" s="271">
        <v>0</v>
      </c>
      <c r="G57" s="271">
        <v>0</v>
      </c>
      <c r="H57" s="271">
        <v>0</v>
      </c>
      <c r="I57" s="271">
        <v>0</v>
      </c>
      <c r="J57" s="271">
        <v>0</v>
      </c>
      <c r="K57" s="271">
        <v>0</v>
      </c>
      <c r="L57" s="271">
        <v>0</v>
      </c>
      <c r="M57" s="271">
        <v>0</v>
      </c>
      <c r="N57" s="271">
        <v>0</v>
      </c>
      <c r="O57" s="271">
        <v>0</v>
      </c>
      <c r="P57" s="271">
        <v>0</v>
      </c>
      <c r="Q57" s="271">
        <v>0</v>
      </c>
      <c r="R57" s="271">
        <v>0</v>
      </c>
      <c r="S57" s="271">
        <v>0</v>
      </c>
      <c r="T57" s="187"/>
      <c r="U57" s="187"/>
      <c r="V57" s="187"/>
      <c r="W57" s="187"/>
      <c r="X57" s="187"/>
      <c r="Y57" s="187"/>
      <c r="Z57" s="187"/>
      <c r="AA57" s="187"/>
      <c r="AB57" s="187"/>
      <c r="AC57" s="187"/>
      <c r="AD57" s="187"/>
      <c r="AE57" s="187"/>
      <c r="AF57" s="187"/>
      <c r="AG57" s="187"/>
      <c r="AH57" s="187"/>
      <c r="AI57" s="187"/>
      <c r="AJ57" s="187"/>
      <c r="AK57" s="187"/>
      <c r="AL57" s="187"/>
      <c r="AM57" s="187"/>
      <c r="AN57" s="187"/>
      <c r="AO57" s="187"/>
      <c r="AP57" s="187"/>
      <c r="AQ57" s="187"/>
      <c r="AR57" s="187"/>
      <c r="AS57" s="187"/>
      <c r="AT57" s="187"/>
      <c r="AU57" s="187"/>
      <c r="AV57" s="187"/>
      <c r="AW57" s="18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c r="CE57" s="187"/>
      <c r="CF57" s="187"/>
      <c r="CG57" s="187"/>
      <c r="CH57" s="187"/>
      <c r="CI57" s="187"/>
      <c r="CJ57" s="187"/>
      <c r="CK57" s="187"/>
      <c r="CL57" s="187"/>
    </row>
    <row r="58" spans="1:90" s="190" customFormat="1">
      <c r="A58" s="190" t="s">
        <v>40</v>
      </c>
      <c r="B58" s="271">
        <v>3499175374.52</v>
      </c>
      <c r="C58" s="271">
        <v>3458622239.3800001</v>
      </c>
      <c r="D58" s="271">
        <v>3531740625.5999999</v>
      </c>
      <c r="E58" s="271">
        <v>3582462431.04</v>
      </c>
      <c r="F58" s="271">
        <v>3582623682.2399998</v>
      </c>
      <c r="G58" s="271">
        <v>3563308110.5100002</v>
      </c>
      <c r="H58" s="271">
        <v>862615899.20000005</v>
      </c>
      <c r="I58" s="271">
        <v>808425512.33000004</v>
      </c>
      <c r="J58" s="271">
        <v>452317235.72000003</v>
      </c>
      <c r="K58" s="271">
        <v>465550825.17000002</v>
      </c>
      <c r="L58" s="271">
        <v>445207595.72000003</v>
      </c>
      <c r="M58" s="271">
        <v>249274093.40000001</v>
      </c>
      <c r="N58" s="271">
        <v>66093918.659999996</v>
      </c>
      <c r="O58" s="271">
        <v>57074911.579999998</v>
      </c>
      <c r="P58" s="271">
        <v>37699499.840000004</v>
      </c>
      <c r="Q58" s="271">
        <v>256204.88</v>
      </c>
      <c r="R58" s="271">
        <v>424999.92</v>
      </c>
      <c r="S58" s="271">
        <v>594999.96</v>
      </c>
      <c r="T58" s="187"/>
      <c r="U58" s="187"/>
      <c r="V58" s="187"/>
      <c r="W58" s="187"/>
      <c r="X58" s="187"/>
      <c r="Y58" s="187"/>
      <c r="Z58" s="187"/>
      <c r="AA58" s="187"/>
      <c r="AB58" s="187"/>
      <c r="AC58" s="187"/>
      <c r="AD58" s="187"/>
      <c r="AE58" s="187"/>
      <c r="AF58" s="187"/>
      <c r="AG58" s="187"/>
      <c r="AH58" s="187"/>
      <c r="AI58" s="187"/>
      <c r="AJ58" s="187"/>
      <c r="AK58" s="187"/>
      <c r="AL58" s="187"/>
      <c r="AM58" s="187"/>
      <c r="AN58" s="187"/>
      <c r="AO58" s="187"/>
      <c r="AP58" s="187"/>
      <c r="AQ58" s="187"/>
      <c r="AR58" s="187"/>
      <c r="AS58" s="187"/>
      <c r="AT58" s="187"/>
      <c r="AU58" s="187"/>
      <c r="AV58" s="187"/>
      <c r="AW58" s="18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c r="CE58" s="187"/>
      <c r="CF58" s="187"/>
      <c r="CG58" s="187"/>
      <c r="CH58" s="187"/>
      <c r="CI58" s="187"/>
      <c r="CJ58" s="187"/>
      <c r="CK58" s="187"/>
      <c r="CL58" s="187"/>
    </row>
    <row r="59" spans="1:90" s="190" customFormat="1">
      <c r="A59" s="190" t="s">
        <v>41</v>
      </c>
      <c r="B59" s="271">
        <v>0</v>
      </c>
      <c r="C59" s="271">
        <v>0</v>
      </c>
      <c r="D59" s="271">
        <v>0</v>
      </c>
      <c r="E59" s="271">
        <v>0</v>
      </c>
      <c r="F59" s="271">
        <v>0</v>
      </c>
      <c r="G59" s="271">
        <v>0</v>
      </c>
      <c r="H59" s="271">
        <v>0</v>
      </c>
      <c r="I59" s="271">
        <v>0</v>
      </c>
      <c r="J59" s="271">
        <v>0</v>
      </c>
      <c r="K59" s="271">
        <v>0</v>
      </c>
      <c r="L59" s="271">
        <v>0</v>
      </c>
      <c r="M59" s="271">
        <v>0</v>
      </c>
      <c r="N59" s="271">
        <v>0</v>
      </c>
      <c r="O59" s="271">
        <v>0</v>
      </c>
      <c r="P59" s="271">
        <v>0</v>
      </c>
      <c r="Q59" s="271">
        <v>0</v>
      </c>
      <c r="R59" s="271">
        <v>0</v>
      </c>
      <c r="S59" s="271">
        <v>0</v>
      </c>
      <c r="T59" s="187"/>
      <c r="U59" s="187"/>
      <c r="V59" s="187"/>
      <c r="W59" s="187"/>
      <c r="X59" s="187"/>
      <c r="Y59" s="187"/>
      <c r="Z59" s="187"/>
      <c r="AA59" s="187"/>
      <c r="AB59" s="187"/>
      <c r="AC59" s="187"/>
      <c r="AD59" s="187"/>
      <c r="AE59" s="187"/>
      <c r="AF59" s="187"/>
      <c r="AG59" s="187"/>
      <c r="AH59" s="187"/>
      <c r="AI59" s="187"/>
      <c r="AJ59" s="187"/>
      <c r="AK59" s="187"/>
      <c r="AL59" s="187"/>
      <c r="AM59" s="187"/>
      <c r="AN59" s="187"/>
      <c r="AO59" s="187"/>
      <c r="AP59" s="187"/>
      <c r="AQ59" s="187"/>
      <c r="AR59" s="187"/>
      <c r="AS59" s="187"/>
      <c r="AT59" s="187"/>
      <c r="AU59" s="187"/>
      <c r="AV59" s="187"/>
      <c r="AW59" s="18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c r="CE59" s="187"/>
      <c r="CF59" s="187"/>
      <c r="CG59" s="187"/>
      <c r="CH59" s="187"/>
      <c r="CI59" s="187"/>
      <c r="CJ59" s="187"/>
      <c r="CK59" s="187"/>
      <c r="CL59" s="187"/>
    </row>
    <row r="60" spans="1:90" s="190" customFormat="1">
      <c r="A60" s="190" t="s">
        <v>42</v>
      </c>
      <c r="B60" s="271">
        <v>0</v>
      </c>
      <c r="C60" s="271">
        <v>0</v>
      </c>
      <c r="D60" s="271">
        <v>0</v>
      </c>
      <c r="E60" s="271">
        <v>0</v>
      </c>
      <c r="F60" s="271">
        <v>0</v>
      </c>
      <c r="G60" s="271">
        <v>0</v>
      </c>
      <c r="H60" s="271">
        <v>0</v>
      </c>
      <c r="I60" s="271">
        <v>0</v>
      </c>
      <c r="J60" s="271">
        <v>0</v>
      </c>
      <c r="K60" s="271">
        <v>0</v>
      </c>
      <c r="L60" s="271">
        <v>0</v>
      </c>
      <c r="M60" s="271">
        <v>0</v>
      </c>
      <c r="N60" s="271">
        <v>0</v>
      </c>
      <c r="O60" s="271">
        <v>0</v>
      </c>
      <c r="P60" s="271">
        <v>0</v>
      </c>
      <c r="Q60" s="271">
        <v>0</v>
      </c>
      <c r="R60" s="271">
        <v>0</v>
      </c>
      <c r="S60" s="271">
        <v>0</v>
      </c>
      <c r="T60" s="187"/>
      <c r="U60" s="187"/>
      <c r="V60" s="187"/>
      <c r="W60" s="187"/>
      <c r="X60" s="187"/>
      <c r="Y60" s="187"/>
      <c r="Z60" s="187"/>
      <c r="AA60" s="187"/>
      <c r="AB60" s="187"/>
      <c r="AC60" s="187"/>
      <c r="AD60" s="187"/>
      <c r="AE60" s="187"/>
      <c r="AF60" s="187"/>
      <c r="AG60" s="187"/>
      <c r="AH60" s="187"/>
      <c r="AI60" s="187"/>
      <c r="AJ60" s="187"/>
      <c r="AK60" s="187"/>
      <c r="AL60" s="187"/>
      <c r="AM60" s="187"/>
      <c r="AN60" s="187"/>
      <c r="AO60" s="187"/>
      <c r="AP60" s="187"/>
      <c r="AQ60" s="187"/>
      <c r="AR60" s="187"/>
      <c r="AS60" s="187"/>
      <c r="AT60" s="187"/>
      <c r="AU60" s="187"/>
      <c r="AV60" s="187"/>
      <c r="AW60" s="18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c r="CE60" s="187"/>
      <c r="CF60" s="187"/>
      <c r="CG60" s="187"/>
      <c r="CH60" s="187"/>
      <c r="CI60" s="187"/>
      <c r="CJ60" s="187"/>
      <c r="CK60" s="187"/>
      <c r="CL60" s="187"/>
    </row>
    <row r="61" spans="1:90" s="190" customFormat="1">
      <c r="A61" s="190" t="s">
        <v>43</v>
      </c>
      <c r="B61" s="271">
        <v>168414678.77000001</v>
      </c>
      <c r="C61" s="271">
        <v>177859674.53999999</v>
      </c>
      <c r="D61" s="271">
        <v>188118776.50999999</v>
      </c>
      <c r="E61" s="271">
        <v>198603537.81</v>
      </c>
      <c r="F61" s="271">
        <v>5408286.8300000001</v>
      </c>
      <c r="G61" s="271">
        <v>8048744.96</v>
      </c>
      <c r="H61" s="271">
        <v>10177029.43</v>
      </c>
      <c r="I61" s="271">
        <v>13805361.439999999</v>
      </c>
      <c r="J61" s="271">
        <v>18701578.16</v>
      </c>
      <c r="K61" s="271">
        <v>21469624.809999999</v>
      </c>
      <c r="L61" s="271">
        <v>10146520.77</v>
      </c>
      <c r="M61" s="271">
        <v>12477325.460000001</v>
      </c>
      <c r="N61" s="271">
        <v>68459874.909999996</v>
      </c>
      <c r="O61" s="271">
        <v>60377239.579999998</v>
      </c>
      <c r="P61" s="271">
        <v>50939036</v>
      </c>
      <c r="Q61" s="271">
        <v>33607508.119999997</v>
      </c>
      <c r="R61" s="271">
        <v>22221522.309999999</v>
      </c>
      <c r="S61" s="271">
        <v>16579763.939999999</v>
      </c>
      <c r="T61" s="187"/>
      <c r="U61" s="187"/>
      <c r="V61" s="187"/>
      <c r="W61" s="187"/>
      <c r="X61" s="187"/>
      <c r="Y61" s="187"/>
      <c r="Z61" s="187"/>
      <c r="AA61" s="187"/>
      <c r="AB61" s="187"/>
      <c r="AC61" s="187"/>
      <c r="AD61" s="187"/>
      <c r="AE61" s="187"/>
      <c r="AF61" s="187"/>
      <c r="AG61" s="187"/>
      <c r="AH61" s="187"/>
      <c r="AI61" s="187"/>
      <c r="AJ61" s="187"/>
      <c r="AK61" s="187"/>
      <c r="AL61" s="187"/>
      <c r="AM61" s="187"/>
      <c r="AN61" s="187"/>
      <c r="AO61" s="187"/>
      <c r="AP61" s="187"/>
      <c r="AQ61" s="187"/>
      <c r="AR61" s="187"/>
      <c r="AS61" s="187"/>
      <c r="AT61" s="187"/>
      <c r="AU61" s="187"/>
      <c r="AV61" s="187"/>
      <c r="AW61" s="18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c r="CE61" s="187"/>
      <c r="CF61" s="187"/>
      <c r="CG61" s="187"/>
      <c r="CH61" s="187"/>
      <c r="CI61" s="187"/>
      <c r="CJ61" s="187"/>
      <c r="CK61" s="187"/>
      <c r="CL61" s="187"/>
    </row>
    <row r="62" spans="1:90" s="190" customFormat="1">
      <c r="A62" s="190" t="s">
        <v>44</v>
      </c>
      <c r="B62" s="271">
        <v>1049294821.45</v>
      </c>
      <c r="C62" s="271">
        <v>1401797361.77</v>
      </c>
      <c r="D62" s="271">
        <v>1745539120.6800001</v>
      </c>
      <c r="E62" s="271">
        <v>1155336074.1400001</v>
      </c>
      <c r="F62" s="271">
        <v>821601105.71000004</v>
      </c>
      <c r="G62" s="271">
        <v>825372524.64999998</v>
      </c>
      <c r="H62" s="271">
        <v>643656913.32000005</v>
      </c>
      <c r="I62" s="271">
        <v>502628950.52999997</v>
      </c>
      <c r="J62" s="271">
        <v>278437938.97000003</v>
      </c>
      <c r="K62" s="271">
        <v>225420802.13999999</v>
      </c>
      <c r="L62" s="271">
        <v>176680977.53999999</v>
      </c>
      <c r="M62" s="271">
        <v>52849560.43</v>
      </c>
      <c r="N62" s="271">
        <v>0</v>
      </c>
      <c r="O62" s="271">
        <v>0</v>
      </c>
      <c r="P62" s="271">
        <v>0</v>
      </c>
      <c r="Q62" s="271">
        <v>0</v>
      </c>
      <c r="R62" s="271">
        <v>0</v>
      </c>
      <c r="S62" s="271">
        <v>0</v>
      </c>
      <c r="T62" s="187"/>
      <c r="U62" s="187"/>
      <c r="V62" s="187"/>
      <c r="W62" s="187"/>
      <c r="X62" s="187"/>
      <c r="Y62" s="187"/>
      <c r="Z62" s="187"/>
      <c r="AA62" s="187"/>
      <c r="AB62" s="187"/>
      <c r="AC62" s="187"/>
      <c r="AD62" s="187"/>
      <c r="AE62" s="187"/>
      <c r="AF62" s="187"/>
      <c r="AG62" s="187"/>
      <c r="AH62" s="187"/>
      <c r="AI62" s="187"/>
      <c r="AJ62" s="187"/>
      <c r="AK62" s="187"/>
      <c r="AL62" s="187"/>
      <c r="AM62" s="187"/>
      <c r="AN62" s="187"/>
      <c r="AO62" s="187"/>
      <c r="AP62" s="187"/>
      <c r="AQ62" s="187"/>
      <c r="AR62" s="187"/>
      <c r="AS62" s="187"/>
      <c r="AT62" s="187"/>
      <c r="AU62" s="187"/>
      <c r="AV62" s="187"/>
      <c r="AW62" s="18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c r="CE62" s="187"/>
      <c r="CF62" s="187"/>
      <c r="CG62" s="187"/>
      <c r="CH62" s="187"/>
      <c r="CI62" s="187"/>
      <c r="CJ62" s="187"/>
      <c r="CK62" s="187"/>
      <c r="CL62" s="187"/>
    </row>
    <row r="63" spans="1:90" s="190" customFormat="1">
      <c r="A63" s="190" t="s">
        <v>45</v>
      </c>
      <c r="B63" s="271">
        <v>0</v>
      </c>
      <c r="C63" s="271">
        <v>0</v>
      </c>
      <c r="D63" s="271">
        <v>0</v>
      </c>
      <c r="E63" s="271">
        <v>0</v>
      </c>
      <c r="F63" s="271">
        <v>0</v>
      </c>
      <c r="G63" s="271">
        <v>0</v>
      </c>
      <c r="H63" s="271">
        <v>0</v>
      </c>
      <c r="I63" s="271">
        <v>0</v>
      </c>
      <c r="J63" s="271">
        <v>0</v>
      </c>
      <c r="K63" s="271">
        <v>0</v>
      </c>
      <c r="L63" s="271">
        <v>0</v>
      </c>
      <c r="M63" s="271">
        <v>0</v>
      </c>
      <c r="N63" s="271">
        <v>0</v>
      </c>
      <c r="O63" s="271">
        <v>0</v>
      </c>
      <c r="P63" s="271">
        <v>0</v>
      </c>
      <c r="Q63" s="271">
        <v>0</v>
      </c>
      <c r="R63" s="271">
        <v>0</v>
      </c>
      <c r="S63" s="271">
        <v>0</v>
      </c>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c r="CE63" s="187"/>
      <c r="CF63" s="187"/>
      <c r="CG63" s="187"/>
      <c r="CH63" s="187"/>
      <c r="CI63" s="187"/>
      <c r="CJ63" s="187"/>
      <c r="CK63" s="187"/>
      <c r="CL63" s="187"/>
    </row>
    <row r="64" spans="1:90" s="190" customFormat="1">
      <c r="A64" s="190" t="s">
        <v>46</v>
      </c>
      <c r="B64" s="271">
        <v>0</v>
      </c>
      <c r="C64" s="271">
        <v>0</v>
      </c>
      <c r="D64" s="271">
        <v>0</v>
      </c>
      <c r="E64" s="271">
        <v>0</v>
      </c>
      <c r="F64" s="271">
        <v>30810000</v>
      </c>
      <c r="G64" s="271">
        <v>90527500</v>
      </c>
      <c r="H64" s="271">
        <v>0</v>
      </c>
      <c r="I64" s="271">
        <v>0</v>
      </c>
      <c r="J64" s="271">
        <v>0</v>
      </c>
      <c r="K64" s="271">
        <v>0</v>
      </c>
      <c r="L64" s="271">
        <v>0</v>
      </c>
      <c r="M64" s="271">
        <v>0</v>
      </c>
      <c r="N64" s="271">
        <v>0</v>
      </c>
      <c r="O64" s="271">
        <v>0</v>
      </c>
      <c r="P64" s="271">
        <v>0</v>
      </c>
      <c r="Q64" s="271">
        <v>0</v>
      </c>
      <c r="R64" s="271">
        <v>0</v>
      </c>
      <c r="S64" s="271">
        <v>0</v>
      </c>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c r="CE64" s="187"/>
      <c r="CF64" s="187"/>
      <c r="CG64" s="187"/>
      <c r="CH64" s="187"/>
      <c r="CI64" s="187"/>
      <c r="CJ64" s="187"/>
      <c r="CK64" s="187"/>
      <c r="CL64" s="187"/>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5" t="s">
        <v>47</v>
      </c>
      <c r="B68" s="36">
        <f>SUM(B52:B64)-2*B63</f>
        <v>21919764428.440002</v>
      </c>
      <c r="C68" s="36">
        <f t="shared" ref="C68:BN68" si="8">SUM(C52:C64)-2*C63</f>
        <v>22298780913.480003</v>
      </c>
      <c r="D68" s="36">
        <f t="shared" si="8"/>
        <v>22664155957.809998</v>
      </c>
      <c r="E68" s="36">
        <f t="shared" si="8"/>
        <v>21248449399.18</v>
      </c>
      <c r="F68" s="36">
        <f t="shared" si="8"/>
        <v>18238236150.310001</v>
      </c>
      <c r="G68" s="36">
        <f t="shared" si="8"/>
        <v>13468567242.819998</v>
      </c>
      <c r="H68" s="36">
        <f t="shared" si="8"/>
        <v>8719132339.5799999</v>
      </c>
      <c r="I68" s="36">
        <f t="shared" si="8"/>
        <v>7007236794.9799995</v>
      </c>
      <c r="J68" s="36">
        <f t="shared" si="8"/>
        <v>5223295112.3800001</v>
      </c>
      <c r="K68" s="36">
        <f t="shared" si="8"/>
        <v>4100037784.3299999</v>
      </c>
      <c r="L68" s="36">
        <f t="shared" si="8"/>
        <v>3467436953.5099998</v>
      </c>
      <c r="M68" s="36">
        <f t="shared" si="8"/>
        <v>3147968937.0299997</v>
      </c>
      <c r="N68" s="36">
        <f t="shared" si="8"/>
        <v>2584084817.4099994</v>
      </c>
      <c r="O68" s="36">
        <f t="shared" si="8"/>
        <v>2027833159.6499999</v>
      </c>
      <c r="P68" s="36">
        <f t="shared" si="8"/>
        <v>1591199412.04</v>
      </c>
      <c r="Q68" s="36">
        <f t="shared" si="8"/>
        <v>1196336776.9300001</v>
      </c>
      <c r="R68" s="36">
        <f t="shared" si="8"/>
        <v>935648707.24999988</v>
      </c>
      <c r="S68" s="36">
        <f t="shared" si="8"/>
        <v>593463444.28000009</v>
      </c>
      <c r="T68" s="36">
        <f t="shared" si="8"/>
        <v>0</v>
      </c>
      <c r="U68" s="36">
        <f t="shared" si="8"/>
        <v>0</v>
      </c>
      <c r="V68" s="36">
        <f t="shared" si="8"/>
        <v>0</v>
      </c>
      <c r="W68" s="36">
        <f t="shared" si="8"/>
        <v>0</v>
      </c>
      <c r="X68" s="36">
        <f t="shared" si="8"/>
        <v>0</v>
      </c>
      <c r="Y68" s="36">
        <f t="shared" si="8"/>
        <v>0</v>
      </c>
      <c r="Z68" s="36">
        <f t="shared" si="8"/>
        <v>0</v>
      </c>
      <c r="AA68" s="36">
        <f t="shared" si="8"/>
        <v>0</v>
      </c>
      <c r="AB68" s="36">
        <f t="shared" si="8"/>
        <v>0</v>
      </c>
      <c r="AC68" s="36">
        <f t="shared" si="8"/>
        <v>0</v>
      </c>
      <c r="AD68" s="36">
        <f t="shared" si="8"/>
        <v>0</v>
      </c>
      <c r="AE68" s="36">
        <f t="shared" si="8"/>
        <v>0</v>
      </c>
      <c r="AF68" s="36">
        <f t="shared" si="8"/>
        <v>0</v>
      </c>
      <c r="AG68" s="36">
        <f t="shared" si="8"/>
        <v>0</v>
      </c>
      <c r="AH68" s="36">
        <f t="shared" si="8"/>
        <v>0</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26" t="s">
        <v>48</v>
      </c>
      <c r="B69" s="33">
        <f>B50+B68</f>
        <v>16741633387.830002</v>
      </c>
      <c r="C69" s="33">
        <f t="shared" ref="C69:BN69" si="10">C50+C68</f>
        <v>18333177293.660004</v>
      </c>
      <c r="D69" s="33">
        <f t="shared" si="10"/>
        <v>19236142330.050003</v>
      </c>
      <c r="E69" s="33">
        <f t="shared" si="10"/>
        <v>35294605221.290001</v>
      </c>
      <c r="F69" s="33">
        <f t="shared" si="10"/>
        <v>27534147920.489998</v>
      </c>
      <c r="G69" s="33">
        <f t="shared" si="10"/>
        <v>18728867683.239998</v>
      </c>
      <c r="H69" s="33">
        <f t="shared" si="10"/>
        <v>13073423733.859999</v>
      </c>
      <c r="I69" s="33">
        <f t="shared" si="10"/>
        <v>6859506689.1999989</v>
      </c>
      <c r="J69" s="33">
        <f t="shared" si="10"/>
        <v>5872851576.2800007</v>
      </c>
      <c r="K69" s="33">
        <f t="shared" si="10"/>
        <v>5029708301.5900011</v>
      </c>
      <c r="L69" s="33">
        <f t="shared" si="10"/>
        <v>3360912854.7899995</v>
      </c>
      <c r="M69" s="33">
        <f t="shared" si="10"/>
        <v>3622372028.46</v>
      </c>
      <c r="N69" s="33">
        <f t="shared" si="10"/>
        <v>1477674664.499999</v>
      </c>
      <c r="O69" s="33">
        <f t="shared" si="10"/>
        <v>1297344440.6599996</v>
      </c>
      <c r="P69" s="33">
        <f t="shared" si="10"/>
        <v>1326006123.8299997</v>
      </c>
      <c r="Q69" s="33">
        <f t="shared" si="10"/>
        <v>1127689499.4400001</v>
      </c>
      <c r="R69" s="33">
        <f t="shared" si="10"/>
        <v>1146618825.54</v>
      </c>
      <c r="S69" s="33">
        <f t="shared" si="10"/>
        <v>765964803.46999991</v>
      </c>
      <c r="T69" s="33">
        <f t="shared" si="10"/>
        <v>0</v>
      </c>
      <c r="U69" s="33">
        <f t="shared" si="10"/>
        <v>0</v>
      </c>
      <c r="V69" s="33">
        <f t="shared" si="10"/>
        <v>0</v>
      </c>
      <c r="W69" s="33">
        <f t="shared" si="10"/>
        <v>0</v>
      </c>
      <c r="X69" s="33">
        <f t="shared" si="10"/>
        <v>0</v>
      </c>
      <c r="Y69" s="33">
        <f t="shared" si="10"/>
        <v>0</v>
      </c>
      <c r="Z69" s="33">
        <f t="shared" si="10"/>
        <v>0</v>
      </c>
      <c r="AA69" s="33">
        <f t="shared" si="10"/>
        <v>0</v>
      </c>
      <c r="AB69" s="33">
        <f t="shared" si="10"/>
        <v>0</v>
      </c>
      <c r="AC69" s="33">
        <f t="shared" si="10"/>
        <v>0</v>
      </c>
      <c r="AD69" s="33">
        <f t="shared" si="10"/>
        <v>0</v>
      </c>
      <c r="AE69" s="33">
        <f t="shared" si="10"/>
        <v>0</v>
      </c>
      <c r="AF69" s="33">
        <f t="shared" si="10"/>
        <v>0</v>
      </c>
      <c r="AG69" s="33">
        <f t="shared" si="10"/>
        <v>0</v>
      </c>
      <c r="AH69" s="33">
        <f t="shared" si="10"/>
        <v>0</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7" t="s">
        <v>49</v>
      </c>
      <c r="B70" s="37">
        <f>B17+B19+B69</f>
        <v>129189314752.36</v>
      </c>
      <c r="C70" s="37">
        <f t="shared" ref="C70:BN70" si="12">C17+C19+C69</f>
        <v>106472505822.89</v>
      </c>
      <c r="D70" s="37">
        <f t="shared" si="12"/>
        <v>86261009305.149994</v>
      </c>
      <c r="E70" s="37">
        <f t="shared" si="12"/>
        <v>72209702167.820007</v>
      </c>
      <c r="F70" s="37">
        <f t="shared" si="12"/>
        <v>55389468523.029999</v>
      </c>
      <c r="G70" s="37">
        <f t="shared" si="12"/>
        <v>44156476162.149994</v>
      </c>
      <c r="H70" s="37">
        <f t="shared" si="12"/>
        <v>35454036397.25</v>
      </c>
      <c r="I70" s="37">
        <f t="shared" si="12"/>
        <v>25403379611.290001</v>
      </c>
      <c r="J70" s="37">
        <f t="shared" si="12"/>
        <v>18867973890.910004</v>
      </c>
      <c r="K70" s="37">
        <f t="shared" si="12"/>
        <v>14788773056.830002</v>
      </c>
      <c r="L70" s="37">
        <f t="shared" si="12"/>
        <v>11503418295.949999</v>
      </c>
      <c r="M70" s="37">
        <f t="shared" si="12"/>
        <v>8410662728.4800005</v>
      </c>
      <c r="N70" s="37">
        <f t="shared" si="12"/>
        <v>5995028649.4299994</v>
      </c>
      <c r="O70" s="37">
        <f t="shared" si="12"/>
        <v>5199576891.5199995</v>
      </c>
      <c r="P70" s="37">
        <f t="shared" si="12"/>
        <v>4234148606.4099998</v>
      </c>
      <c r="Q70" s="37">
        <f t="shared" si="12"/>
        <v>3471736886.29</v>
      </c>
      <c r="R70" s="37">
        <f t="shared" si="12"/>
        <v>2930926516.1800003</v>
      </c>
      <c r="S70" s="37">
        <f t="shared" si="12"/>
        <v>2722401373.5699997</v>
      </c>
      <c r="T70" s="37">
        <f t="shared" si="12"/>
        <v>0</v>
      </c>
      <c r="U70" s="37">
        <f t="shared" si="12"/>
        <v>0</v>
      </c>
      <c r="V70" s="37">
        <f t="shared" si="12"/>
        <v>0</v>
      </c>
      <c r="W70" s="37">
        <f t="shared" si="12"/>
        <v>0</v>
      </c>
      <c r="X70" s="37">
        <f t="shared" si="12"/>
        <v>0</v>
      </c>
      <c r="Y70" s="37">
        <f t="shared" si="12"/>
        <v>0</v>
      </c>
      <c r="Z70" s="37">
        <f t="shared" si="12"/>
        <v>0</v>
      </c>
      <c r="AA70" s="37">
        <f t="shared" si="12"/>
        <v>0</v>
      </c>
      <c r="AB70" s="37">
        <f t="shared" si="12"/>
        <v>0</v>
      </c>
      <c r="AC70" s="37">
        <f t="shared" si="12"/>
        <v>0</v>
      </c>
      <c r="AD70" s="37">
        <f t="shared" si="12"/>
        <v>0</v>
      </c>
      <c r="AE70" s="37">
        <f t="shared" si="12"/>
        <v>0</v>
      </c>
      <c r="AF70" s="37">
        <f t="shared" si="12"/>
        <v>0</v>
      </c>
      <c r="AG70" s="37">
        <f t="shared" si="12"/>
        <v>0</v>
      </c>
      <c r="AH70" s="37">
        <f t="shared" si="12"/>
        <v>0</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f t="shared" ref="B72:D72" si="14">SUM(B73:B77)</f>
        <v>42770451.840000004</v>
      </c>
      <c r="C72" s="28">
        <f t="shared" si="14"/>
        <v>23414593.670000002</v>
      </c>
      <c r="D72" s="28">
        <f t="shared" si="14"/>
        <v>34481635.329999998</v>
      </c>
      <c r="E72" s="28">
        <f>SUM(E73:E77)</f>
        <v>27409447.399999999</v>
      </c>
      <c r="F72" s="28">
        <f t="shared" ref="F72:BQ72" si="15">SUM(F73:F77)</f>
        <v>77917681.909999996</v>
      </c>
      <c r="G72" s="28">
        <f t="shared" si="15"/>
        <v>27383888.890000001</v>
      </c>
      <c r="H72" s="28">
        <f t="shared" si="15"/>
        <v>0</v>
      </c>
      <c r="I72" s="28">
        <f t="shared" si="15"/>
        <v>0</v>
      </c>
      <c r="J72" s="28">
        <f t="shared" si="15"/>
        <v>0</v>
      </c>
      <c r="K72" s="28">
        <f t="shared" si="15"/>
        <v>0</v>
      </c>
      <c r="L72" s="28">
        <f t="shared" si="15"/>
        <v>0</v>
      </c>
      <c r="M72" s="28">
        <f t="shared" si="15"/>
        <v>0</v>
      </c>
      <c r="N72" s="28">
        <f t="shared" si="15"/>
        <v>0</v>
      </c>
      <c r="O72" s="28">
        <f t="shared" si="15"/>
        <v>0</v>
      </c>
      <c r="P72" s="28">
        <f t="shared" si="15"/>
        <v>0</v>
      </c>
      <c r="Q72" s="28">
        <f t="shared" si="15"/>
        <v>0</v>
      </c>
      <c r="R72" s="28">
        <f t="shared" si="15"/>
        <v>0</v>
      </c>
      <c r="S72" s="28">
        <f t="shared" si="15"/>
        <v>0</v>
      </c>
      <c r="T72" s="28">
        <f t="shared" si="15"/>
        <v>0</v>
      </c>
      <c r="U72" s="28">
        <f t="shared" si="15"/>
        <v>0</v>
      </c>
      <c r="V72" s="28">
        <f t="shared" si="15"/>
        <v>0</v>
      </c>
      <c r="W72" s="28">
        <f t="shared" si="15"/>
        <v>0</v>
      </c>
      <c r="X72" s="28">
        <f t="shared" si="15"/>
        <v>0</v>
      </c>
      <c r="Y72" s="28">
        <f t="shared" si="15"/>
        <v>0</v>
      </c>
      <c r="Z72" s="28">
        <f t="shared" si="15"/>
        <v>0</v>
      </c>
      <c r="AA72" s="28">
        <f t="shared" si="15"/>
        <v>0</v>
      </c>
      <c r="AB72" s="28">
        <f t="shared" si="15"/>
        <v>0</v>
      </c>
      <c r="AC72" s="28">
        <f t="shared" si="15"/>
        <v>0</v>
      </c>
      <c r="AD72" s="28">
        <f t="shared" si="15"/>
        <v>0</v>
      </c>
      <c r="AE72" s="28">
        <f t="shared" si="15"/>
        <v>0</v>
      </c>
      <c r="AF72" s="28">
        <f t="shared" si="15"/>
        <v>0</v>
      </c>
      <c r="AG72" s="28">
        <f t="shared" si="15"/>
        <v>0</v>
      </c>
      <c r="AH72" s="28">
        <f t="shared" si="15"/>
        <v>0</v>
      </c>
      <c r="AI72" s="28">
        <f t="shared" si="15"/>
        <v>0</v>
      </c>
      <c r="AJ72" s="28">
        <f t="shared" si="15"/>
        <v>0</v>
      </c>
      <c r="AK72" s="28">
        <f t="shared" si="15"/>
        <v>0</v>
      </c>
      <c r="AL72" s="28">
        <f t="shared" si="15"/>
        <v>0</v>
      </c>
      <c r="AM72" s="28">
        <f t="shared" si="15"/>
        <v>0</v>
      </c>
      <c r="AN72" s="28">
        <f t="shared" si="15"/>
        <v>0</v>
      </c>
      <c r="AO72" s="28">
        <f t="shared" si="15"/>
        <v>0</v>
      </c>
      <c r="AP72" s="28">
        <f t="shared" si="15"/>
        <v>0</v>
      </c>
      <c r="AQ72" s="28">
        <f t="shared" si="15"/>
        <v>0</v>
      </c>
      <c r="AR72" s="28">
        <f t="shared" si="15"/>
        <v>0</v>
      </c>
      <c r="AS72" s="28">
        <f t="shared" si="15"/>
        <v>0</v>
      </c>
      <c r="AT72" s="28">
        <f t="shared" si="15"/>
        <v>0</v>
      </c>
      <c r="AU72" s="28">
        <f t="shared" si="15"/>
        <v>0</v>
      </c>
      <c r="AV72" s="28">
        <f t="shared" si="15"/>
        <v>0</v>
      </c>
      <c r="AW72" s="28">
        <f t="shared" si="15"/>
        <v>0</v>
      </c>
      <c r="AX72" s="28">
        <f t="shared" si="15"/>
        <v>0</v>
      </c>
      <c r="AY72" s="28">
        <f t="shared" si="15"/>
        <v>0</v>
      </c>
      <c r="AZ72" s="28">
        <f t="shared" si="15"/>
        <v>0</v>
      </c>
      <c r="BA72" s="28">
        <f t="shared" si="15"/>
        <v>0</v>
      </c>
      <c r="BB72" s="28">
        <f t="shared" si="15"/>
        <v>0</v>
      </c>
      <c r="BC72" s="28">
        <f t="shared" si="15"/>
        <v>0</v>
      </c>
      <c r="BD72" s="28">
        <f t="shared" si="15"/>
        <v>0</v>
      </c>
      <c r="BE72" s="28">
        <f t="shared" si="15"/>
        <v>0</v>
      </c>
      <c r="BF72" s="28">
        <f t="shared" si="15"/>
        <v>0</v>
      </c>
      <c r="BG72" s="28">
        <f t="shared" si="15"/>
        <v>0</v>
      </c>
      <c r="BH72" s="28">
        <f t="shared" si="15"/>
        <v>0</v>
      </c>
      <c r="BI72" s="28">
        <f t="shared" si="15"/>
        <v>0</v>
      </c>
      <c r="BJ72" s="28">
        <f t="shared" si="15"/>
        <v>0</v>
      </c>
      <c r="BK72" s="28">
        <f t="shared" si="15"/>
        <v>0</v>
      </c>
      <c r="BL72" s="28">
        <f t="shared" si="15"/>
        <v>0</v>
      </c>
      <c r="BM72" s="28">
        <f t="shared" si="15"/>
        <v>0</v>
      </c>
      <c r="BN72" s="28">
        <f t="shared" si="15"/>
        <v>0</v>
      </c>
      <c r="BO72" s="28">
        <f t="shared" si="15"/>
        <v>0</v>
      </c>
      <c r="BP72" s="28">
        <f t="shared" si="15"/>
        <v>0</v>
      </c>
      <c r="BQ72" s="28">
        <f t="shared" si="15"/>
        <v>0</v>
      </c>
      <c r="BR72" s="28">
        <f t="shared" ref="BR72:CL72" si="16">SUM(BR73:BR77)</f>
        <v>0</v>
      </c>
      <c r="BS72" s="28">
        <f t="shared" si="16"/>
        <v>0</v>
      </c>
      <c r="BT72" s="28">
        <f t="shared" si="16"/>
        <v>0</v>
      </c>
      <c r="BU72" s="28">
        <f t="shared" si="16"/>
        <v>0</v>
      </c>
      <c r="BV72" s="28">
        <f t="shared" si="16"/>
        <v>0</v>
      </c>
      <c r="BW72" s="28">
        <f t="shared" si="16"/>
        <v>0</v>
      </c>
      <c r="BX72" s="28">
        <f t="shared" si="16"/>
        <v>0</v>
      </c>
      <c r="BY72" s="28">
        <f t="shared" si="16"/>
        <v>0</v>
      </c>
      <c r="BZ72" s="28">
        <f t="shared" si="16"/>
        <v>0</v>
      </c>
      <c r="CA72" s="28">
        <f t="shared" si="16"/>
        <v>0</v>
      </c>
      <c r="CB72" s="28">
        <f t="shared" si="16"/>
        <v>0</v>
      </c>
      <c r="CC72" s="28">
        <f t="shared" si="16"/>
        <v>0</v>
      </c>
      <c r="CD72" s="28">
        <f t="shared" si="16"/>
        <v>0</v>
      </c>
      <c r="CE72" s="28">
        <f t="shared" si="16"/>
        <v>0</v>
      </c>
      <c r="CF72" s="28">
        <f t="shared" si="16"/>
        <v>0</v>
      </c>
      <c r="CG72" s="28">
        <f t="shared" si="16"/>
        <v>0</v>
      </c>
      <c r="CH72" s="28">
        <f t="shared" si="16"/>
        <v>0</v>
      </c>
      <c r="CI72" s="28">
        <f t="shared" si="16"/>
        <v>0</v>
      </c>
      <c r="CJ72" s="28">
        <f t="shared" si="16"/>
        <v>0</v>
      </c>
      <c r="CK72" s="28">
        <f t="shared" si="16"/>
        <v>0</v>
      </c>
      <c r="CL72" s="28">
        <f t="shared" si="16"/>
        <v>0</v>
      </c>
    </row>
    <row r="73" spans="1:90">
      <c r="A73" s="128" t="s">
        <v>52</v>
      </c>
      <c r="B73" s="271">
        <v>0</v>
      </c>
      <c r="C73" s="271">
        <v>0</v>
      </c>
      <c r="D73" s="271">
        <v>0</v>
      </c>
      <c r="E73" s="271">
        <v>0</v>
      </c>
      <c r="F73" s="271">
        <v>62552484</v>
      </c>
      <c r="G73" s="271">
        <v>0</v>
      </c>
      <c r="H73" s="271">
        <v>0</v>
      </c>
      <c r="I73" s="271">
        <v>0</v>
      </c>
      <c r="J73" s="271">
        <v>0</v>
      </c>
      <c r="K73" s="271">
        <v>0</v>
      </c>
      <c r="L73" s="271">
        <v>0</v>
      </c>
      <c r="M73" s="271">
        <v>0</v>
      </c>
      <c r="N73" s="271">
        <v>0</v>
      </c>
      <c r="O73" s="271">
        <v>0</v>
      </c>
      <c r="P73" s="271">
        <v>0</v>
      </c>
      <c r="Q73" s="271">
        <v>0</v>
      </c>
      <c r="R73" s="271">
        <v>0</v>
      </c>
      <c r="S73" s="271">
        <v>0</v>
      </c>
      <c r="T73" s="187"/>
      <c r="U73" s="187"/>
      <c r="V73" s="187"/>
      <c r="W73" s="187"/>
      <c r="X73" s="187"/>
      <c r="Y73" s="187"/>
      <c r="Z73" s="187"/>
      <c r="AA73" s="187"/>
      <c r="AB73" s="187"/>
      <c r="AC73" s="187"/>
      <c r="AD73" s="187"/>
      <c r="AE73" s="187"/>
      <c r="AF73" s="187"/>
      <c r="AG73" s="187"/>
      <c r="AH73" s="187"/>
      <c r="AI73" s="187"/>
      <c r="AJ73" s="187"/>
      <c r="AK73" s="187"/>
      <c r="AL73" s="187"/>
      <c r="AM73" s="187"/>
      <c r="AN73" s="187"/>
      <c r="AO73" s="187"/>
      <c r="AP73" s="187"/>
      <c r="AQ73" s="187"/>
      <c r="AR73" s="187"/>
      <c r="AS73" s="187"/>
      <c r="AT73" s="187"/>
      <c r="AU73" s="187"/>
      <c r="AV73" s="187"/>
      <c r="AW73" s="187"/>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c r="CE73" s="187"/>
      <c r="CF73" s="187"/>
      <c r="CG73" s="187"/>
      <c r="CH73" s="187"/>
      <c r="CI73" s="187"/>
      <c r="CJ73" s="187"/>
      <c r="CK73" s="187"/>
      <c r="CL73" s="187"/>
    </row>
    <row r="74" spans="1:90">
      <c r="A74" s="128" t="s">
        <v>77</v>
      </c>
      <c r="B74" s="271">
        <v>42770451.840000004</v>
      </c>
      <c r="C74" s="271">
        <v>23414593.670000002</v>
      </c>
      <c r="D74" s="271">
        <v>34481635.329999998</v>
      </c>
      <c r="E74" s="271">
        <v>27409447.399999999</v>
      </c>
      <c r="F74" s="271">
        <v>15365197.91</v>
      </c>
      <c r="G74" s="271">
        <v>27383888.890000001</v>
      </c>
      <c r="H74" s="271">
        <v>0</v>
      </c>
      <c r="I74" s="271">
        <v>0</v>
      </c>
      <c r="J74" s="271">
        <v>0</v>
      </c>
      <c r="K74" s="271">
        <v>0</v>
      </c>
      <c r="L74" s="271">
        <v>0</v>
      </c>
      <c r="M74" s="271">
        <v>0</v>
      </c>
      <c r="N74" s="271">
        <v>0</v>
      </c>
      <c r="O74" s="271">
        <v>0</v>
      </c>
      <c r="P74" s="271">
        <v>0</v>
      </c>
      <c r="Q74" s="271">
        <v>0</v>
      </c>
      <c r="R74" s="271">
        <v>0</v>
      </c>
      <c r="S74" s="271">
        <v>0</v>
      </c>
      <c r="T74" s="187"/>
      <c r="U74" s="187"/>
      <c r="V74" s="187"/>
      <c r="W74" s="187"/>
      <c r="X74" s="187"/>
      <c r="Y74" s="187"/>
      <c r="Z74" s="187"/>
      <c r="AA74" s="187"/>
      <c r="AB74" s="187"/>
      <c r="AC74" s="187"/>
      <c r="AD74" s="187"/>
      <c r="AE74" s="187"/>
      <c r="AF74" s="187"/>
      <c r="AG74" s="187"/>
      <c r="AH74" s="187"/>
      <c r="AI74" s="187"/>
      <c r="AJ74" s="187"/>
      <c r="AK74" s="187"/>
      <c r="AL74" s="187"/>
      <c r="AM74" s="187"/>
      <c r="AN74" s="187"/>
      <c r="AO74" s="187"/>
      <c r="AP74" s="187"/>
      <c r="AQ74" s="187"/>
      <c r="AR74" s="187"/>
      <c r="AS74" s="187"/>
      <c r="AT74" s="187"/>
      <c r="AU74" s="187"/>
      <c r="AV74" s="187"/>
      <c r="AW74" s="187"/>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c r="CE74" s="187"/>
      <c r="CF74" s="187"/>
      <c r="CG74" s="187"/>
      <c r="CH74" s="187"/>
      <c r="CI74" s="187"/>
      <c r="CJ74" s="187"/>
      <c r="CK74" s="187"/>
      <c r="CL74" s="187"/>
    </row>
    <row r="75" spans="1:90">
      <c r="A75" s="128" t="s">
        <v>53</v>
      </c>
      <c r="B75" s="271">
        <v>0</v>
      </c>
      <c r="C75" s="271">
        <v>0</v>
      </c>
      <c r="D75" s="271">
        <v>0</v>
      </c>
      <c r="E75" s="271">
        <v>0</v>
      </c>
      <c r="F75" s="271">
        <v>0</v>
      </c>
      <c r="G75" s="271">
        <v>0</v>
      </c>
      <c r="H75" s="271">
        <v>0</v>
      </c>
      <c r="I75" s="271">
        <v>0</v>
      </c>
      <c r="J75" s="271">
        <v>0</v>
      </c>
      <c r="K75" s="271">
        <v>0</v>
      </c>
      <c r="L75" s="271">
        <v>0</v>
      </c>
      <c r="M75" s="271">
        <v>0</v>
      </c>
      <c r="N75" s="271">
        <v>0</v>
      </c>
      <c r="O75" s="271">
        <v>0</v>
      </c>
      <c r="P75" s="271">
        <v>0</v>
      </c>
      <c r="Q75" s="271">
        <v>0</v>
      </c>
      <c r="R75" s="271">
        <v>0</v>
      </c>
      <c r="S75" s="271">
        <v>0</v>
      </c>
      <c r="T75" s="187"/>
      <c r="U75" s="187"/>
      <c r="V75" s="187"/>
      <c r="W75" s="187"/>
      <c r="X75" s="187"/>
      <c r="Y75" s="187"/>
      <c r="Z75" s="187"/>
      <c r="AA75" s="187"/>
      <c r="AB75" s="187"/>
      <c r="AC75" s="187"/>
      <c r="AD75" s="187"/>
      <c r="AE75" s="187"/>
      <c r="AF75" s="187"/>
      <c r="AG75" s="187"/>
      <c r="AH75" s="187"/>
      <c r="AI75" s="187"/>
      <c r="AJ75" s="187"/>
      <c r="AK75" s="187"/>
      <c r="AL75" s="187"/>
      <c r="AM75" s="187"/>
      <c r="AN75" s="187"/>
      <c r="AO75" s="187"/>
      <c r="AP75" s="187"/>
      <c r="AQ75" s="187"/>
      <c r="AR75" s="187"/>
      <c r="AS75" s="187"/>
      <c r="AT75" s="187"/>
      <c r="AU75" s="187"/>
      <c r="AV75" s="187"/>
      <c r="AW75" s="18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c r="CE75" s="187"/>
      <c r="CF75" s="187"/>
      <c r="CG75" s="187"/>
      <c r="CH75" s="187"/>
      <c r="CI75" s="187"/>
      <c r="CJ75" s="187"/>
      <c r="CK75" s="187"/>
      <c r="CL75" s="187"/>
    </row>
    <row r="76" spans="1:90">
      <c r="A76" s="128" t="s">
        <v>54</v>
      </c>
      <c r="B76" s="271">
        <v>0</v>
      </c>
      <c r="C76" s="271">
        <v>0</v>
      </c>
      <c r="D76" s="271">
        <v>0</v>
      </c>
      <c r="E76" s="271">
        <v>0</v>
      </c>
      <c r="F76" s="271">
        <v>0</v>
      </c>
      <c r="G76" s="271">
        <v>0</v>
      </c>
      <c r="H76" s="271">
        <v>0</v>
      </c>
      <c r="I76" s="271">
        <v>0</v>
      </c>
      <c r="J76" s="271">
        <v>0</v>
      </c>
      <c r="K76" s="271">
        <v>0</v>
      </c>
      <c r="L76" s="271">
        <v>0</v>
      </c>
      <c r="M76" s="271">
        <v>0</v>
      </c>
      <c r="N76" s="271">
        <v>0</v>
      </c>
      <c r="O76" s="271">
        <v>0</v>
      </c>
      <c r="P76" s="271">
        <v>0</v>
      </c>
      <c r="Q76" s="271">
        <v>0</v>
      </c>
      <c r="R76" s="271">
        <v>0</v>
      </c>
      <c r="S76" s="271">
        <v>0</v>
      </c>
      <c r="T76" s="187"/>
      <c r="U76" s="187"/>
      <c r="V76" s="187"/>
      <c r="W76" s="187"/>
      <c r="X76" s="187"/>
      <c r="Y76" s="187"/>
      <c r="Z76" s="187"/>
      <c r="AA76" s="187"/>
      <c r="AB76" s="187"/>
      <c r="AC76" s="187"/>
      <c r="AD76" s="187"/>
      <c r="AE76" s="187"/>
      <c r="AF76" s="187"/>
      <c r="AG76" s="187"/>
      <c r="AH76" s="187"/>
      <c r="AI76" s="187"/>
      <c r="AJ76" s="187"/>
      <c r="AK76" s="187"/>
      <c r="AL76" s="187"/>
      <c r="AM76" s="187"/>
      <c r="AN76" s="187"/>
      <c r="AO76" s="187"/>
      <c r="AP76" s="187"/>
      <c r="AQ76" s="187"/>
      <c r="AR76" s="187"/>
      <c r="AS76" s="187"/>
      <c r="AT76" s="187"/>
      <c r="AU76" s="187"/>
      <c r="AV76" s="187"/>
      <c r="AW76" s="18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c r="CE76" s="187"/>
      <c r="CF76" s="187"/>
      <c r="CG76" s="187"/>
      <c r="CH76" s="187"/>
      <c r="CI76" s="187"/>
      <c r="CJ76" s="187"/>
      <c r="CK76" s="187"/>
      <c r="CL76" s="187"/>
    </row>
    <row r="77" spans="1:90">
      <c r="A77" s="128" t="s">
        <v>55</v>
      </c>
      <c r="B77" s="271" t="s">
        <v>657</v>
      </c>
      <c r="C77" s="271" t="s">
        <v>657</v>
      </c>
      <c r="D77" s="271" t="s">
        <v>657</v>
      </c>
      <c r="E77" s="271" t="s">
        <v>657</v>
      </c>
      <c r="F77" s="271" t="s">
        <v>657</v>
      </c>
      <c r="G77" s="271" t="s">
        <v>657</v>
      </c>
      <c r="H77" s="271" t="s">
        <v>657</v>
      </c>
      <c r="I77" s="271" t="s">
        <v>657</v>
      </c>
      <c r="J77" s="271" t="s">
        <v>657</v>
      </c>
      <c r="K77" s="271" t="s">
        <v>657</v>
      </c>
      <c r="L77" s="271" t="s">
        <v>657</v>
      </c>
      <c r="M77" s="271" t="s">
        <v>657</v>
      </c>
      <c r="N77" s="271" t="s">
        <v>657</v>
      </c>
      <c r="O77" s="271" t="s">
        <v>657</v>
      </c>
      <c r="P77" s="271" t="s">
        <v>657</v>
      </c>
      <c r="Q77" s="271" t="s">
        <v>657</v>
      </c>
      <c r="R77" s="271" t="s">
        <v>657</v>
      </c>
      <c r="S77" s="271" t="s">
        <v>657</v>
      </c>
      <c r="T77" s="187"/>
      <c r="U77" s="187"/>
      <c r="V77" s="187"/>
      <c r="W77" s="187"/>
      <c r="X77" s="187"/>
      <c r="Y77" s="187"/>
      <c r="Z77" s="187"/>
      <c r="AA77" s="187"/>
      <c r="AB77" s="187"/>
      <c r="AC77" s="187"/>
      <c r="AD77" s="187"/>
      <c r="AE77" s="187"/>
      <c r="AF77" s="187"/>
      <c r="AG77" s="187"/>
      <c r="AH77" s="187"/>
      <c r="AI77" s="187"/>
      <c r="AJ77" s="187"/>
      <c r="AK77" s="187"/>
      <c r="AL77" s="187"/>
      <c r="AM77" s="187"/>
      <c r="AN77" s="187"/>
      <c r="AO77" s="187"/>
      <c r="AP77" s="187"/>
      <c r="AQ77" s="187"/>
      <c r="AR77" s="187"/>
      <c r="AS77" s="187"/>
      <c r="AT77" s="187"/>
      <c r="AU77" s="187"/>
      <c r="AV77" s="187"/>
      <c r="AW77" s="18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c r="CE77" s="187"/>
      <c r="CF77" s="187"/>
      <c r="CG77" s="187"/>
      <c r="CH77" s="187"/>
      <c r="CI77" s="187"/>
      <c r="CJ77" s="187"/>
      <c r="CK77" s="187"/>
      <c r="CL77" s="187"/>
    </row>
    <row r="78" spans="1:90" hidden="1">
      <c r="A78" s="128"/>
      <c r="B78" s="26"/>
      <c r="C78" s="26"/>
      <c r="D78" s="26"/>
      <c r="E78" s="26"/>
      <c r="F78" s="26"/>
      <c r="G78" s="26"/>
      <c r="H78" s="26"/>
      <c r="I78" s="26"/>
      <c r="J78" s="26"/>
      <c r="K78" s="26"/>
      <c r="L78" s="23"/>
    </row>
    <row r="79" spans="1:90" hidden="1">
      <c r="A79" s="128"/>
      <c r="B79" s="26"/>
      <c r="C79" s="26"/>
      <c r="D79" s="26"/>
      <c r="E79" s="26"/>
      <c r="F79" s="26"/>
      <c r="G79" s="26"/>
      <c r="H79" s="26"/>
      <c r="I79" s="26"/>
      <c r="J79" s="26"/>
      <c r="K79" s="26"/>
      <c r="L79" s="23"/>
    </row>
    <row r="80" spans="1:90" hidden="1">
      <c r="A80" s="128"/>
      <c r="B80" s="26"/>
      <c r="C80" s="26"/>
      <c r="D80" s="26"/>
      <c r="E80" s="26"/>
      <c r="F80" s="26"/>
      <c r="G80" s="26"/>
      <c r="H80" s="26"/>
      <c r="I80" s="26"/>
      <c r="J80" s="26"/>
      <c r="K80" s="26"/>
      <c r="L80" s="23"/>
    </row>
    <row r="81" spans="1:90" s="2" customFormat="1">
      <c r="A81" s="20" t="s">
        <v>56</v>
      </c>
      <c r="B81" s="28">
        <f t="shared" ref="B81:D81" si="17">SUM(B82:B85)</f>
        <v>0</v>
      </c>
      <c r="C81" s="28">
        <f t="shared" si="17"/>
        <v>0</v>
      </c>
      <c r="D81" s="28">
        <f t="shared" si="17"/>
        <v>0</v>
      </c>
      <c r="E81" s="28">
        <f>SUM(E82:E85)</f>
        <v>0</v>
      </c>
      <c r="F81" s="28">
        <f t="shared" ref="F81:BQ81" si="18">SUM(F82:F85)</f>
        <v>0</v>
      </c>
      <c r="G81" s="28">
        <f t="shared" si="18"/>
        <v>0</v>
      </c>
      <c r="H81" s="28">
        <f t="shared" si="18"/>
        <v>0</v>
      </c>
      <c r="I81" s="28">
        <f t="shared" si="18"/>
        <v>0</v>
      </c>
      <c r="J81" s="28">
        <f t="shared" si="18"/>
        <v>0</v>
      </c>
      <c r="K81" s="28">
        <f t="shared" si="18"/>
        <v>0</v>
      </c>
      <c r="L81" s="28">
        <f t="shared" si="18"/>
        <v>0</v>
      </c>
      <c r="M81" s="28">
        <f t="shared" si="18"/>
        <v>0</v>
      </c>
      <c r="N81" s="28">
        <f t="shared" si="18"/>
        <v>0</v>
      </c>
      <c r="O81" s="28">
        <f t="shared" si="18"/>
        <v>0</v>
      </c>
      <c r="P81" s="28">
        <f t="shared" si="18"/>
        <v>0</v>
      </c>
      <c r="Q81" s="28">
        <f t="shared" si="18"/>
        <v>0</v>
      </c>
      <c r="R81" s="28">
        <f t="shared" si="18"/>
        <v>0</v>
      </c>
      <c r="S81" s="28">
        <f t="shared" si="18"/>
        <v>0</v>
      </c>
      <c r="T81" s="28">
        <f t="shared" si="18"/>
        <v>0</v>
      </c>
      <c r="U81" s="28">
        <f t="shared" si="18"/>
        <v>0</v>
      </c>
      <c r="V81" s="28">
        <f t="shared" si="18"/>
        <v>0</v>
      </c>
      <c r="W81" s="28">
        <f t="shared" si="18"/>
        <v>0</v>
      </c>
      <c r="X81" s="28">
        <f t="shared" si="18"/>
        <v>0</v>
      </c>
      <c r="Y81" s="28">
        <f t="shared" si="18"/>
        <v>0</v>
      </c>
      <c r="Z81" s="28">
        <f t="shared" si="18"/>
        <v>0</v>
      </c>
      <c r="AA81" s="28">
        <f t="shared" si="18"/>
        <v>0</v>
      </c>
      <c r="AB81" s="28">
        <f t="shared" si="18"/>
        <v>0</v>
      </c>
      <c r="AC81" s="28">
        <f t="shared" si="18"/>
        <v>0</v>
      </c>
      <c r="AD81" s="28">
        <f t="shared" si="18"/>
        <v>0</v>
      </c>
      <c r="AE81" s="28">
        <f t="shared" si="18"/>
        <v>0</v>
      </c>
      <c r="AF81" s="28">
        <f t="shared" si="18"/>
        <v>0</v>
      </c>
      <c r="AG81" s="28">
        <f t="shared" si="18"/>
        <v>0</v>
      </c>
      <c r="AH81" s="28">
        <f t="shared" si="18"/>
        <v>0</v>
      </c>
      <c r="AI81" s="28">
        <f t="shared" si="18"/>
        <v>0</v>
      </c>
      <c r="AJ81" s="28">
        <f t="shared" si="18"/>
        <v>0</v>
      </c>
      <c r="AK81" s="28">
        <f t="shared" si="18"/>
        <v>0</v>
      </c>
      <c r="AL81" s="28">
        <f t="shared" si="18"/>
        <v>0</v>
      </c>
      <c r="AM81" s="28">
        <f t="shared" si="18"/>
        <v>0</v>
      </c>
      <c r="AN81" s="28">
        <f t="shared" si="18"/>
        <v>0</v>
      </c>
      <c r="AO81" s="28">
        <f t="shared" si="18"/>
        <v>0</v>
      </c>
      <c r="AP81" s="28">
        <f t="shared" si="18"/>
        <v>0</v>
      </c>
      <c r="AQ81" s="28">
        <f t="shared" si="18"/>
        <v>0</v>
      </c>
      <c r="AR81" s="28">
        <f t="shared" si="18"/>
        <v>0</v>
      </c>
      <c r="AS81" s="28">
        <f t="shared" si="18"/>
        <v>0</v>
      </c>
      <c r="AT81" s="28">
        <f t="shared" si="18"/>
        <v>0</v>
      </c>
      <c r="AU81" s="28">
        <f t="shared" si="18"/>
        <v>0</v>
      </c>
      <c r="AV81" s="28">
        <f t="shared" si="18"/>
        <v>0</v>
      </c>
      <c r="AW81" s="28">
        <f t="shared" si="18"/>
        <v>0</v>
      </c>
      <c r="AX81" s="28">
        <f t="shared" si="18"/>
        <v>0</v>
      </c>
      <c r="AY81" s="28">
        <f t="shared" si="18"/>
        <v>0</v>
      </c>
      <c r="AZ81" s="28">
        <f t="shared" si="18"/>
        <v>0</v>
      </c>
      <c r="BA81" s="28">
        <f t="shared" si="18"/>
        <v>0</v>
      </c>
      <c r="BB81" s="28">
        <f t="shared" si="18"/>
        <v>0</v>
      </c>
      <c r="BC81" s="28">
        <f t="shared" si="18"/>
        <v>0</v>
      </c>
      <c r="BD81" s="28">
        <f t="shared" si="18"/>
        <v>0</v>
      </c>
      <c r="BE81" s="28">
        <f t="shared" si="18"/>
        <v>0</v>
      </c>
      <c r="BF81" s="28">
        <f t="shared" si="18"/>
        <v>0</v>
      </c>
      <c r="BG81" s="28">
        <f t="shared" si="18"/>
        <v>0</v>
      </c>
      <c r="BH81" s="28">
        <f t="shared" si="18"/>
        <v>0</v>
      </c>
      <c r="BI81" s="28">
        <f t="shared" si="18"/>
        <v>0</v>
      </c>
      <c r="BJ81" s="28">
        <f t="shared" si="18"/>
        <v>0</v>
      </c>
      <c r="BK81" s="28">
        <f t="shared" si="18"/>
        <v>0</v>
      </c>
      <c r="BL81" s="28">
        <f t="shared" si="18"/>
        <v>0</v>
      </c>
      <c r="BM81" s="28">
        <f t="shared" si="18"/>
        <v>0</v>
      </c>
      <c r="BN81" s="28">
        <f t="shared" si="18"/>
        <v>0</v>
      </c>
      <c r="BO81" s="28">
        <f t="shared" si="18"/>
        <v>0</v>
      </c>
      <c r="BP81" s="28">
        <f t="shared" si="18"/>
        <v>0</v>
      </c>
      <c r="BQ81" s="28">
        <f t="shared" si="18"/>
        <v>0</v>
      </c>
      <c r="BR81" s="28">
        <f t="shared" ref="BR81:CG81" si="19">SUM(BR82:BR85)</f>
        <v>0</v>
      </c>
      <c r="BS81" s="28">
        <f t="shared" si="19"/>
        <v>0</v>
      </c>
      <c r="BT81" s="28">
        <f t="shared" si="19"/>
        <v>0</v>
      </c>
      <c r="BU81" s="28">
        <f t="shared" si="19"/>
        <v>0</v>
      </c>
      <c r="BV81" s="28">
        <f t="shared" si="19"/>
        <v>0</v>
      </c>
      <c r="BW81" s="28">
        <f t="shared" si="19"/>
        <v>0</v>
      </c>
      <c r="BX81" s="28">
        <f t="shared" si="19"/>
        <v>0</v>
      </c>
      <c r="BY81" s="28">
        <f t="shared" si="19"/>
        <v>0</v>
      </c>
      <c r="BZ81" s="28">
        <f t="shared" si="19"/>
        <v>0</v>
      </c>
      <c r="CA81" s="28">
        <f t="shared" si="19"/>
        <v>0</v>
      </c>
      <c r="CB81" s="28">
        <f t="shared" si="19"/>
        <v>0</v>
      </c>
      <c r="CC81" s="28">
        <f t="shared" si="19"/>
        <v>0</v>
      </c>
      <c r="CD81" s="28">
        <f t="shared" si="19"/>
        <v>0</v>
      </c>
      <c r="CE81" s="28">
        <f t="shared" si="19"/>
        <v>0</v>
      </c>
      <c r="CF81" s="28">
        <f t="shared" si="19"/>
        <v>0</v>
      </c>
      <c r="CG81" s="28">
        <f t="shared" si="19"/>
        <v>0</v>
      </c>
      <c r="CH81" s="28">
        <f>SUM(CH82:CH85)</f>
        <v>0</v>
      </c>
      <c r="CI81" s="28">
        <f>SUM(CI82:CI85)</f>
        <v>0</v>
      </c>
      <c r="CJ81" s="28">
        <f>SUM(CJ82:CJ85)</f>
        <v>0</v>
      </c>
      <c r="CK81" s="28">
        <f>SUM(CK82:CK85)</f>
        <v>0</v>
      </c>
    </row>
    <row r="82" spans="1:90">
      <c r="A82" s="128" t="s">
        <v>57</v>
      </c>
      <c r="B82" s="271">
        <v>0</v>
      </c>
      <c r="C82" s="271">
        <v>0</v>
      </c>
      <c r="D82" s="271">
        <v>0</v>
      </c>
      <c r="E82" s="271">
        <v>0</v>
      </c>
      <c r="F82" s="271">
        <v>0</v>
      </c>
      <c r="G82" s="271">
        <v>0</v>
      </c>
      <c r="H82" s="271">
        <v>0</v>
      </c>
      <c r="I82" s="271">
        <v>0</v>
      </c>
      <c r="J82" s="271">
        <v>0</v>
      </c>
      <c r="K82" s="271">
        <v>0</v>
      </c>
      <c r="L82" s="271">
        <v>0</v>
      </c>
      <c r="M82" s="271">
        <v>0</v>
      </c>
      <c r="N82" s="271">
        <v>0</v>
      </c>
      <c r="O82" s="271">
        <v>0</v>
      </c>
      <c r="P82" s="271">
        <v>0</v>
      </c>
      <c r="Q82" s="271">
        <v>0</v>
      </c>
      <c r="R82" s="271">
        <v>0</v>
      </c>
      <c r="S82" s="271">
        <v>0</v>
      </c>
      <c r="T82" s="187"/>
      <c r="U82" s="187"/>
      <c r="V82" s="187"/>
      <c r="W82" s="187"/>
      <c r="X82" s="187"/>
      <c r="Y82" s="187"/>
      <c r="Z82" s="187"/>
      <c r="AA82" s="187"/>
      <c r="AB82" s="187"/>
      <c r="AC82" s="187"/>
      <c r="AD82" s="187"/>
      <c r="AE82" s="187"/>
      <c r="AF82" s="187"/>
      <c r="AG82" s="187"/>
      <c r="AH82" s="187"/>
      <c r="AI82" s="187"/>
      <c r="AJ82" s="187"/>
      <c r="AK82" s="187"/>
      <c r="AL82" s="187"/>
      <c r="AM82" s="187"/>
      <c r="AN82" s="187"/>
      <c r="AO82" s="187"/>
      <c r="AP82" s="187"/>
      <c r="AQ82" s="187"/>
      <c r="AR82" s="187"/>
      <c r="AS82" s="187"/>
      <c r="AT82" s="187"/>
      <c r="AU82" s="187"/>
      <c r="AV82" s="187"/>
      <c r="AW82" s="187"/>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c r="CE82" s="187"/>
      <c r="CF82" s="187"/>
      <c r="CG82" s="187"/>
      <c r="CH82" s="187"/>
      <c r="CI82" s="187"/>
      <c r="CJ82" s="187"/>
      <c r="CK82" s="187"/>
      <c r="CL82" s="187"/>
    </row>
    <row r="83" spans="1:90">
      <c r="A83" s="128" t="s">
        <v>58</v>
      </c>
      <c r="B83" s="271">
        <v>0</v>
      </c>
      <c r="C83" s="271">
        <v>0</v>
      </c>
      <c r="D83" s="271">
        <v>0</v>
      </c>
      <c r="E83" s="271">
        <v>0</v>
      </c>
      <c r="F83" s="271">
        <v>0</v>
      </c>
      <c r="G83" s="271">
        <v>0</v>
      </c>
      <c r="H83" s="271">
        <v>0</v>
      </c>
      <c r="I83" s="271">
        <v>0</v>
      </c>
      <c r="J83" s="271">
        <v>0</v>
      </c>
      <c r="K83" s="271">
        <v>0</v>
      </c>
      <c r="L83" s="271">
        <v>0</v>
      </c>
      <c r="M83" s="271">
        <v>0</v>
      </c>
      <c r="N83" s="271">
        <v>0</v>
      </c>
      <c r="O83" s="271">
        <v>0</v>
      </c>
      <c r="P83" s="271">
        <v>0</v>
      </c>
      <c r="Q83" s="271">
        <v>0</v>
      </c>
      <c r="R83" s="271">
        <v>0</v>
      </c>
      <c r="S83" s="271">
        <v>0</v>
      </c>
      <c r="T83" s="187"/>
      <c r="U83" s="187"/>
      <c r="V83" s="187"/>
      <c r="W83" s="187"/>
      <c r="X83" s="187"/>
      <c r="Y83" s="187"/>
      <c r="Z83" s="187"/>
      <c r="AA83" s="187"/>
      <c r="AB83" s="187"/>
      <c r="AC83" s="187"/>
      <c r="AD83" s="187"/>
      <c r="AE83" s="187"/>
      <c r="AF83" s="187"/>
      <c r="AG83" s="187"/>
      <c r="AH83" s="187"/>
      <c r="AI83" s="187"/>
      <c r="AJ83" s="187"/>
      <c r="AK83" s="187"/>
      <c r="AL83" s="187"/>
      <c r="AM83" s="187"/>
      <c r="AN83" s="187"/>
      <c r="AO83" s="187"/>
      <c r="AP83" s="187"/>
      <c r="AQ83" s="187"/>
      <c r="AR83" s="187"/>
      <c r="AS83" s="187"/>
      <c r="AT83" s="187"/>
      <c r="AU83" s="187"/>
      <c r="AV83" s="187"/>
      <c r="AW83" s="187"/>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c r="CE83" s="187"/>
      <c r="CF83" s="187"/>
      <c r="CG83" s="187"/>
      <c r="CH83" s="187"/>
      <c r="CI83" s="187"/>
      <c r="CJ83" s="187"/>
      <c r="CK83" s="187"/>
      <c r="CL83" s="187"/>
    </row>
    <row r="84" spans="1:90">
      <c r="A84" s="128" t="s">
        <v>59</v>
      </c>
      <c r="B84" s="271">
        <v>0</v>
      </c>
      <c r="C84" s="271">
        <v>0</v>
      </c>
      <c r="D84" s="271">
        <v>0</v>
      </c>
      <c r="E84" s="271">
        <v>0</v>
      </c>
      <c r="F84" s="271">
        <v>0</v>
      </c>
      <c r="G84" s="271">
        <v>0</v>
      </c>
      <c r="H84" s="271">
        <v>0</v>
      </c>
      <c r="I84" s="271">
        <v>0</v>
      </c>
      <c r="J84" s="271">
        <v>0</v>
      </c>
      <c r="K84" s="271">
        <v>0</v>
      </c>
      <c r="L84" s="271">
        <v>0</v>
      </c>
      <c r="M84" s="271">
        <v>0</v>
      </c>
      <c r="N84" s="271">
        <v>0</v>
      </c>
      <c r="O84" s="271">
        <v>0</v>
      </c>
      <c r="P84" s="271">
        <v>0</v>
      </c>
      <c r="Q84" s="271">
        <v>0</v>
      </c>
      <c r="R84" s="271">
        <v>0</v>
      </c>
      <c r="S84" s="271">
        <v>0</v>
      </c>
      <c r="T84" s="187"/>
      <c r="U84" s="187"/>
      <c r="V84" s="187"/>
      <c r="W84" s="187"/>
      <c r="X84" s="187"/>
      <c r="Y84" s="187"/>
      <c r="Z84" s="187"/>
      <c r="AA84" s="187"/>
      <c r="AB84" s="187"/>
      <c r="AC84" s="187"/>
      <c r="AD84" s="187"/>
      <c r="AE84" s="187"/>
      <c r="AF84" s="187"/>
      <c r="AG84" s="187"/>
      <c r="AH84" s="187"/>
      <c r="AI84" s="187"/>
      <c r="AJ84" s="187"/>
      <c r="AK84" s="187"/>
      <c r="AL84" s="187"/>
      <c r="AM84" s="187"/>
      <c r="AN84" s="187"/>
      <c r="AO84" s="187"/>
      <c r="AP84" s="187"/>
      <c r="AQ84" s="187"/>
      <c r="AR84" s="187"/>
      <c r="AS84" s="187"/>
      <c r="AT84" s="187"/>
      <c r="AU84" s="187"/>
      <c r="AV84" s="187"/>
      <c r="AW84" s="187"/>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c r="CE84" s="187"/>
      <c r="CF84" s="187"/>
      <c r="CG84" s="187"/>
      <c r="CH84" s="187"/>
      <c r="CI84" s="187"/>
      <c r="CJ84" s="187"/>
      <c r="CK84" s="187"/>
      <c r="CL84" s="187"/>
    </row>
    <row r="85" spans="1:90">
      <c r="A85" s="128" t="s">
        <v>83</v>
      </c>
      <c r="B85" s="271">
        <v>0</v>
      </c>
      <c r="C85" s="271">
        <v>0</v>
      </c>
      <c r="D85" s="271">
        <v>0</v>
      </c>
      <c r="E85" s="271">
        <v>0</v>
      </c>
      <c r="F85" s="271">
        <v>0</v>
      </c>
      <c r="G85" s="271">
        <v>0</v>
      </c>
      <c r="H85" s="271">
        <v>0</v>
      </c>
      <c r="I85" s="271">
        <v>0</v>
      </c>
      <c r="J85" s="271">
        <v>0</v>
      </c>
      <c r="K85" s="271">
        <v>0</v>
      </c>
      <c r="L85" s="271">
        <v>0</v>
      </c>
      <c r="M85" s="271">
        <v>0</v>
      </c>
      <c r="N85" s="271">
        <v>0</v>
      </c>
      <c r="O85" s="271">
        <v>0</v>
      </c>
      <c r="P85" s="271">
        <v>0</v>
      </c>
      <c r="Q85" s="271">
        <v>0</v>
      </c>
      <c r="R85" s="271">
        <v>0</v>
      </c>
      <c r="S85" s="271">
        <v>0</v>
      </c>
      <c r="T85" s="187"/>
      <c r="U85" s="187"/>
      <c r="V85" s="187"/>
      <c r="W85" s="187"/>
      <c r="X85" s="187"/>
      <c r="Y85" s="187"/>
      <c r="Z85" s="187"/>
      <c r="AA85" s="187"/>
      <c r="AB85" s="187"/>
      <c r="AC85" s="187"/>
      <c r="AD85" s="187"/>
      <c r="AE85" s="187"/>
      <c r="AF85" s="187"/>
      <c r="AG85" s="187"/>
      <c r="AH85" s="187"/>
      <c r="AI85" s="187"/>
      <c r="AJ85" s="187"/>
      <c r="AK85" s="187"/>
      <c r="AL85" s="187"/>
      <c r="AM85" s="187"/>
      <c r="AN85" s="187"/>
      <c r="AO85" s="187"/>
      <c r="AP85" s="187"/>
      <c r="AQ85" s="187"/>
      <c r="AR85" s="187"/>
      <c r="AS85" s="187"/>
      <c r="AT85" s="187"/>
      <c r="AU85" s="187"/>
      <c r="AV85" s="187"/>
      <c r="AW85" s="187"/>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c r="CE85" s="187"/>
      <c r="CF85" s="187"/>
      <c r="CG85" s="187"/>
      <c r="CH85" s="187"/>
      <c r="CI85" s="187"/>
      <c r="CJ85" s="187"/>
      <c r="CK85" s="187"/>
      <c r="CL85" s="187"/>
    </row>
    <row r="86" spans="1:90" hidden="1">
      <c r="A86" s="128"/>
      <c r="B86" s="26"/>
      <c r="C86" s="26"/>
      <c r="D86" s="26"/>
      <c r="E86" s="26"/>
      <c r="F86" s="26"/>
      <c r="G86" s="26"/>
      <c r="H86" s="26"/>
      <c r="I86" s="26"/>
      <c r="J86" s="26"/>
      <c r="K86" s="26"/>
      <c r="L86" s="23"/>
    </row>
    <row r="87" spans="1:90" hidden="1">
      <c r="A87" s="128"/>
      <c r="B87" s="26"/>
      <c r="C87" s="26"/>
      <c r="D87" s="26"/>
      <c r="E87" s="26"/>
      <c r="F87" s="26"/>
      <c r="G87" s="26"/>
      <c r="H87" s="26"/>
      <c r="I87" s="26"/>
      <c r="J87" s="26"/>
      <c r="K87" s="26"/>
      <c r="L87" s="23"/>
    </row>
    <row r="88" spans="1:90" hidden="1">
      <c r="A88" s="128"/>
      <c r="B88" s="26"/>
      <c r="C88" s="26"/>
      <c r="D88" s="26"/>
      <c r="E88" s="26"/>
      <c r="F88" s="26"/>
      <c r="G88" s="26"/>
      <c r="H88" s="26"/>
      <c r="I88" s="26"/>
      <c r="J88" s="26"/>
      <c r="K88" s="26"/>
      <c r="L88" s="23"/>
    </row>
    <row r="89" spans="1:90" s="5" customFormat="1">
      <c r="A89" s="129" t="s">
        <v>60</v>
      </c>
      <c r="B89" s="33">
        <f>SUM(B73:B85)</f>
        <v>42770451.840000004</v>
      </c>
      <c r="C89" s="33">
        <f>SUM(C73:C85)</f>
        <v>23414593.670000002</v>
      </c>
      <c r="D89" s="33">
        <f>SUM(D73:D85)</f>
        <v>34481635.329999998</v>
      </c>
      <c r="E89" s="33">
        <f>E72+E81</f>
        <v>27409447.399999999</v>
      </c>
      <c r="F89" s="33">
        <f t="shared" ref="F89:BQ89" si="20">F72+F81</f>
        <v>77917681.909999996</v>
      </c>
      <c r="G89" s="33">
        <f t="shared" si="20"/>
        <v>27383888.890000001</v>
      </c>
      <c r="H89" s="33">
        <f t="shared" si="20"/>
        <v>0</v>
      </c>
      <c r="I89" s="33">
        <f t="shared" si="20"/>
        <v>0</v>
      </c>
      <c r="J89" s="33">
        <f t="shared" si="20"/>
        <v>0</v>
      </c>
      <c r="K89" s="33">
        <f t="shared" si="20"/>
        <v>0</v>
      </c>
      <c r="L89" s="33">
        <f t="shared" si="20"/>
        <v>0</v>
      </c>
      <c r="M89" s="33">
        <f t="shared" si="20"/>
        <v>0</v>
      </c>
      <c r="N89" s="33">
        <f t="shared" si="20"/>
        <v>0</v>
      </c>
      <c r="O89" s="33">
        <f t="shared" si="20"/>
        <v>0</v>
      </c>
      <c r="P89" s="33">
        <f t="shared" si="20"/>
        <v>0</v>
      </c>
      <c r="Q89" s="33">
        <f t="shared" si="20"/>
        <v>0</v>
      </c>
      <c r="R89" s="33">
        <f t="shared" si="20"/>
        <v>0</v>
      </c>
      <c r="S89" s="33">
        <f t="shared" si="20"/>
        <v>0</v>
      </c>
      <c r="T89" s="33">
        <f t="shared" si="20"/>
        <v>0</v>
      </c>
      <c r="U89" s="33">
        <f t="shared" si="20"/>
        <v>0</v>
      </c>
      <c r="V89" s="33">
        <f t="shared" si="20"/>
        <v>0</v>
      </c>
      <c r="W89" s="33">
        <f t="shared" si="20"/>
        <v>0</v>
      </c>
      <c r="X89" s="33">
        <f t="shared" si="20"/>
        <v>0</v>
      </c>
      <c r="Y89" s="33">
        <f t="shared" si="20"/>
        <v>0</v>
      </c>
      <c r="Z89" s="33">
        <f t="shared" si="20"/>
        <v>0</v>
      </c>
      <c r="AA89" s="33">
        <f t="shared" si="20"/>
        <v>0</v>
      </c>
      <c r="AB89" s="33">
        <f t="shared" si="20"/>
        <v>0</v>
      </c>
      <c r="AC89" s="33">
        <f t="shared" si="20"/>
        <v>0</v>
      </c>
      <c r="AD89" s="33">
        <f t="shared" si="20"/>
        <v>0</v>
      </c>
      <c r="AE89" s="33">
        <f t="shared" si="20"/>
        <v>0</v>
      </c>
      <c r="AF89" s="33">
        <f t="shared" si="20"/>
        <v>0</v>
      </c>
      <c r="AG89" s="33">
        <f t="shared" si="20"/>
        <v>0</v>
      </c>
      <c r="AH89" s="33">
        <f t="shared" si="20"/>
        <v>0</v>
      </c>
      <c r="AI89" s="33">
        <f t="shared" si="20"/>
        <v>0</v>
      </c>
      <c r="AJ89" s="33">
        <f t="shared" si="20"/>
        <v>0</v>
      </c>
      <c r="AK89" s="33">
        <f t="shared" si="20"/>
        <v>0</v>
      </c>
      <c r="AL89" s="33">
        <f t="shared" si="20"/>
        <v>0</v>
      </c>
      <c r="AM89" s="33">
        <f t="shared" si="20"/>
        <v>0</v>
      </c>
      <c r="AN89" s="33">
        <f t="shared" si="20"/>
        <v>0</v>
      </c>
      <c r="AO89" s="33">
        <f t="shared" si="20"/>
        <v>0</v>
      </c>
      <c r="AP89" s="33">
        <f t="shared" si="20"/>
        <v>0</v>
      </c>
      <c r="AQ89" s="33">
        <f t="shared" si="20"/>
        <v>0</v>
      </c>
      <c r="AR89" s="33">
        <f t="shared" si="20"/>
        <v>0</v>
      </c>
      <c r="AS89" s="33">
        <f t="shared" si="20"/>
        <v>0</v>
      </c>
      <c r="AT89" s="33">
        <f t="shared" si="20"/>
        <v>0</v>
      </c>
      <c r="AU89" s="33">
        <f t="shared" si="20"/>
        <v>0</v>
      </c>
      <c r="AV89" s="33">
        <f t="shared" si="20"/>
        <v>0</v>
      </c>
      <c r="AW89" s="33">
        <f t="shared" si="20"/>
        <v>0</v>
      </c>
      <c r="AX89" s="33">
        <f t="shared" si="20"/>
        <v>0</v>
      </c>
      <c r="AY89" s="33">
        <f t="shared" si="20"/>
        <v>0</v>
      </c>
      <c r="AZ89" s="33">
        <f t="shared" si="20"/>
        <v>0</v>
      </c>
      <c r="BA89" s="33">
        <f t="shared" si="20"/>
        <v>0</v>
      </c>
      <c r="BB89" s="33">
        <f t="shared" si="20"/>
        <v>0</v>
      </c>
      <c r="BC89" s="33">
        <f t="shared" si="20"/>
        <v>0</v>
      </c>
      <c r="BD89" s="33">
        <f t="shared" si="20"/>
        <v>0</v>
      </c>
      <c r="BE89" s="33">
        <f t="shared" si="20"/>
        <v>0</v>
      </c>
      <c r="BF89" s="33">
        <f t="shared" si="20"/>
        <v>0</v>
      </c>
      <c r="BG89" s="33">
        <f t="shared" si="20"/>
        <v>0</v>
      </c>
      <c r="BH89" s="33">
        <f t="shared" si="20"/>
        <v>0</v>
      </c>
      <c r="BI89" s="33">
        <f t="shared" si="20"/>
        <v>0</v>
      </c>
      <c r="BJ89" s="33">
        <f t="shared" si="20"/>
        <v>0</v>
      </c>
      <c r="BK89" s="33">
        <f t="shared" si="20"/>
        <v>0</v>
      </c>
      <c r="BL89" s="33">
        <f t="shared" si="20"/>
        <v>0</v>
      </c>
      <c r="BM89" s="33">
        <f t="shared" si="20"/>
        <v>0</v>
      </c>
      <c r="BN89" s="33">
        <f t="shared" si="20"/>
        <v>0</v>
      </c>
      <c r="BO89" s="33">
        <f t="shared" si="20"/>
        <v>0</v>
      </c>
      <c r="BP89" s="33">
        <f t="shared" si="20"/>
        <v>0</v>
      </c>
      <c r="BQ89" s="33">
        <f t="shared" si="20"/>
        <v>0</v>
      </c>
      <c r="BR89" s="33">
        <f t="shared" ref="BR89:CK89" si="21">BR72+BR81</f>
        <v>0</v>
      </c>
      <c r="BS89" s="33">
        <f t="shared" si="21"/>
        <v>0</v>
      </c>
      <c r="BT89" s="33">
        <f t="shared" si="21"/>
        <v>0</v>
      </c>
      <c r="BU89" s="33">
        <f t="shared" si="21"/>
        <v>0</v>
      </c>
      <c r="BV89" s="33">
        <f t="shared" si="21"/>
        <v>0</v>
      </c>
      <c r="BW89" s="33">
        <f t="shared" si="21"/>
        <v>0</v>
      </c>
      <c r="BX89" s="33">
        <f t="shared" si="21"/>
        <v>0</v>
      </c>
      <c r="BY89" s="33">
        <f t="shared" si="21"/>
        <v>0</v>
      </c>
      <c r="BZ89" s="33">
        <f t="shared" si="21"/>
        <v>0</v>
      </c>
      <c r="CA89" s="33">
        <f t="shared" si="21"/>
        <v>0</v>
      </c>
      <c r="CB89" s="33">
        <f t="shared" si="21"/>
        <v>0</v>
      </c>
      <c r="CC89" s="33">
        <f t="shared" si="21"/>
        <v>0</v>
      </c>
      <c r="CD89" s="33">
        <f t="shared" si="21"/>
        <v>0</v>
      </c>
      <c r="CE89" s="33">
        <f t="shared" si="21"/>
        <v>0</v>
      </c>
      <c r="CF89" s="33">
        <f t="shared" si="21"/>
        <v>0</v>
      </c>
      <c r="CG89" s="33">
        <f t="shared" si="21"/>
        <v>0</v>
      </c>
      <c r="CH89" s="33">
        <f t="shared" si="21"/>
        <v>0</v>
      </c>
      <c r="CI89" s="33">
        <f t="shared" si="21"/>
        <v>0</v>
      </c>
      <c r="CJ89" s="33">
        <f t="shared" si="21"/>
        <v>0</v>
      </c>
      <c r="CK89" s="33">
        <f t="shared" si="21"/>
        <v>0</v>
      </c>
    </row>
    <row r="90" spans="1:90">
      <c r="A90" s="20" t="s">
        <v>61</v>
      </c>
      <c r="B90" s="26"/>
      <c r="C90" s="26"/>
      <c r="D90" s="26"/>
      <c r="E90" s="26"/>
      <c r="F90" s="26"/>
      <c r="G90" s="26"/>
      <c r="H90" s="26"/>
      <c r="I90" s="26"/>
      <c r="J90" s="26"/>
      <c r="K90" s="26"/>
      <c r="L90" s="23"/>
      <c r="M90" s="13"/>
      <c r="N90" s="13"/>
    </row>
    <row r="91" spans="1:90">
      <c r="A91" s="128" t="s">
        <v>62</v>
      </c>
      <c r="B91" s="271">
        <v>1256197800</v>
      </c>
      <c r="C91" s="271">
        <v>1256197800</v>
      </c>
      <c r="D91" s="271">
        <v>1256197800</v>
      </c>
      <c r="E91" s="271">
        <v>1256197800</v>
      </c>
      <c r="F91" s="271">
        <v>1141998000</v>
      </c>
      <c r="G91" s="271">
        <v>1038180000</v>
      </c>
      <c r="H91" s="271">
        <v>1038180000</v>
      </c>
      <c r="I91" s="271">
        <v>1038180000</v>
      </c>
      <c r="J91" s="271">
        <v>943800000</v>
      </c>
      <c r="K91" s="271">
        <v>943800000</v>
      </c>
      <c r="L91" s="271">
        <v>943800000</v>
      </c>
      <c r="M91" s="271">
        <v>943800000</v>
      </c>
      <c r="N91" s="271">
        <v>943800000</v>
      </c>
      <c r="O91" s="271">
        <v>471900000</v>
      </c>
      <c r="P91" s="271">
        <v>393250000</v>
      </c>
      <c r="Q91" s="271">
        <v>302500000</v>
      </c>
      <c r="R91" s="271">
        <v>275000000</v>
      </c>
      <c r="S91" s="271">
        <v>250000000</v>
      </c>
      <c r="T91" s="187"/>
      <c r="U91" s="187"/>
      <c r="V91" s="187"/>
      <c r="W91" s="187"/>
      <c r="X91" s="187"/>
      <c r="Y91" s="187"/>
      <c r="Z91" s="187"/>
      <c r="AA91" s="187"/>
      <c r="AB91" s="187"/>
      <c r="AC91" s="187"/>
      <c r="AD91" s="187"/>
      <c r="AE91" s="187"/>
      <c r="AF91" s="187"/>
      <c r="AG91" s="187"/>
      <c r="AH91" s="187"/>
      <c r="AI91" s="187"/>
      <c r="AJ91" s="187"/>
      <c r="AK91" s="187"/>
      <c r="AL91" s="187"/>
      <c r="AM91" s="187"/>
      <c r="AN91" s="187"/>
      <c r="AO91" s="187"/>
      <c r="AP91" s="187"/>
      <c r="AQ91" s="187"/>
      <c r="AR91" s="187"/>
      <c r="AS91" s="187"/>
      <c r="AT91" s="187"/>
      <c r="AU91" s="187"/>
      <c r="AV91" s="187"/>
      <c r="AW91" s="187"/>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c r="CE91" s="187"/>
      <c r="CF91" s="187"/>
      <c r="CG91" s="187"/>
      <c r="CH91" s="187"/>
      <c r="CI91" s="187"/>
      <c r="CJ91" s="187"/>
      <c r="CK91" s="187"/>
      <c r="CL91" s="187"/>
    </row>
    <row r="92" spans="1:90">
      <c r="A92" s="128" t="s">
        <v>63</v>
      </c>
      <c r="B92" s="271">
        <v>1374964415.72</v>
      </c>
      <c r="C92" s="271">
        <v>1374964415.72</v>
      </c>
      <c r="D92" s="271">
        <v>1374964415.72</v>
      </c>
      <c r="E92" s="271">
        <v>1374964415.72</v>
      </c>
      <c r="F92" s="271">
        <v>1374964415.72</v>
      </c>
      <c r="G92" s="271">
        <v>1374964415.72</v>
      </c>
      <c r="H92" s="271">
        <v>1374964415.72</v>
      </c>
      <c r="I92" s="271">
        <v>1374964415.72</v>
      </c>
      <c r="J92" s="271">
        <v>1374964415.72</v>
      </c>
      <c r="K92" s="271">
        <v>1374964415.72</v>
      </c>
      <c r="L92" s="271">
        <v>1374964415.72</v>
      </c>
      <c r="M92" s="271">
        <v>1374964415.72</v>
      </c>
      <c r="N92" s="271">
        <v>1374449260.6099999</v>
      </c>
      <c r="O92" s="271">
        <v>1846119450.6099999</v>
      </c>
      <c r="P92" s="271">
        <v>1923937320.54</v>
      </c>
      <c r="Q92" s="271">
        <v>2014484980.54</v>
      </c>
      <c r="R92" s="271">
        <v>2014320830.54</v>
      </c>
      <c r="S92" s="271">
        <v>2039189510.54</v>
      </c>
      <c r="T92" s="187"/>
      <c r="U92" s="187"/>
      <c r="V92" s="187"/>
      <c r="W92" s="187"/>
      <c r="X92" s="187"/>
      <c r="Y92" s="187"/>
      <c r="Z92" s="187"/>
      <c r="AA92" s="187"/>
      <c r="AB92" s="187"/>
      <c r="AC92" s="187"/>
      <c r="AD92" s="187"/>
      <c r="AE92" s="187"/>
      <c r="AF92" s="187"/>
      <c r="AG92" s="187"/>
      <c r="AH92" s="187"/>
      <c r="AI92" s="187"/>
      <c r="AJ92" s="187"/>
      <c r="AK92" s="187"/>
      <c r="AL92" s="187"/>
      <c r="AM92" s="187"/>
      <c r="AN92" s="187"/>
      <c r="AO92" s="187"/>
      <c r="AP92" s="187"/>
      <c r="AQ92" s="187"/>
      <c r="AR92" s="187"/>
      <c r="AS92" s="187"/>
      <c r="AT92" s="187"/>
      <c r="AU92" s="187"/>
      <c r="AV92" s="187"/>
      <c r="AW92" s="187"/>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c r="CE92" s="187"/>
      <c r="CF92" s="187"/>
      <c r="CG92" s="187"/>
      <c r="CH92" s="187"/>
      <c r="CI92" s="187"/>
      <c r="CJ92" s="187"/>
      <c r="CK92" s="187"/>
      <c r="CL92" s="187"/>
    </row>
    <row r="93" spans="1:90">
      <c r="A93" s="128" t="s">
        <v>64</v>
      </c>
      <c r="B93" s="271">
        <v>0</v>
      </c>
      <c r="C93" s="271">
        <v>0</v>
      </c>
      <c r="D93" s="271">
        <v>0</v>
      </c>
      <c r="E93" s="271">
        <v>0</v>
      </c>
      <c r="F93" s="271">
        <v>0</v>
      </c>
      <c r="G93" s="271">
        <v>0</v>
      </c>
      <c r="H93" s="271">
        <v>0</v>
      </c>
      <c r="I93" s="271">
        <v>0</v>
      </c>
      <c r="J93" s="271">
        <v>0</v>
      </c>
      <c r="K93" s="271">
        <v>0</v>
      </c>
      <c r="L93" s="271">
        <v>0</v>
      </c>
      <c r="M93" s="271">
        <v>0</v>
      </c>
      <c r="N93" s="271">
        <v>0</v>
      </c>
      <c r="O93" s="271">
        <v>0</v>
      </c>
      <c r="P93" s="271">
        <v>0</v>
      </c>
      <c r="Q93" s="271">
        <v>0</v>
      </c>
      <c r="R93" s="271">
        <v>0</v>
      </c>
      <c r="S93" s="271">
        <v>0</v>
      </c>
      <c r="T93" s="187">
        <v>0</v>
      </c>
      <c r="U93" s="187">
        <v>0</v>
      </c>
      <c r="V93" s="187">
        <v>0</v>
      </c>
      <c r="W93" s="187">
        <v>0</v>
      </c>
      <c r="X93" s="187">
        <v>0</v>
      </c>
      <c r="Y93" s="187">
        <v>0</v>
      </c>
      <c r="Z93" s="187">
        <v>0</v>
      </c>
      <c r="AA93" s="187">
        <v>0</v>
      </c>
      <c r="AB93" s="187">
        <v>0</v>
      </c>
      <c r="AC93" s="187">
        <v>0</v>
      </c>
      <c r="AD93" s="187">
        <v>0</v>
      </c>
      <c r="AE93" s="187">
        <v>0</v>
      </c>
      <c r="AF93" s="187">
        <v>0</v>
      </c>
      <c r="AG93" s="187">
        <v>0</v>
      </c>
      <c r="AH93" s="187">
        <v>0</v>
      </c>
      <c r="AI93" s="187">
        <v>0</v>
      </c>
      <c r="AJ93" s="187">
        <v>0</v>
      </c>
      <c r="AK93" s="187">
        <v>0</v>
      </c>
      <c r="AL93" s="187">
        <v>0</v>
      </c>
      <c r="AM93" s="187">
        <v>0</v>
      </c>
      <c r="AN93" s="187">
        <v>0</v>
      </c>
      <c r="AO93" s="187">
        <v>0</v>
      </c>
      <c r="AP93" s="187">
        <v>0</v>
      </c>
      <c r="AQ93" s="187">
        <v>0</v>
      </c>
      <c r="AR93" s="187">
        <v>0</v>
      </c>
      <c r="AS93" s="187">
        <v>0</v>
      </c>
      <c r="AT93" s="187">
        <v>0</v>
      </c>
      <c r="AU93" s="187">
        <v>0</v>
      </c>
      <c r="AV93" s="187">
        <v>0</v>
      </c>
      <c r="AW93" s="187">
        <v>0</v>
      </c>
      <c r="AX93" s="187">
        <v>0</v>
      </c>
      <c r="AY93" s="187">
        <v>0</v>
      </c>
      <c r="AZ93" s="187">
        <v>0</v>
      </c>
      <c r="BA93" s="187">
        <v>0</v>
      </c>
      <c r="BB93" s="187">
        <v>0</v>
      </c>
      <c r="BC93" s="187">
        <v>0</v>
      </c>
      <c r="BD93" s="187">
        <v>0</v>
      </c>
      <c r="BE93" s="187">
        <v>0</v>
      </c>
      <c r="BF93" s="187">
        <v>0</v>
      </c>
      <c r="BG93" s="187">
        <v>0</v>
      </c>
      <c r="BH93" s="187">
        <v>0</v>
      </c>
      <c r="BI93" s="187">
        <v>0</v>
      </c>
      <c r="BJ93" s="187">
        <v>0</v>
      </c>
      <c r="BK93" s="187">
        <v>0</v>
      </c>
      <c r="BL93" s="187">
        <v>0</v>
      </c>
      <c r="BM93" s="187">
        <v>0</v>
      </c>
      <c r="BN93" s="187">
        <v>0</v>
      </c>
      <c r="BO93" s="187">
        <v>0</v>
      </c>
      <c r="BP93" s="187">
        <v>0</v>
      </c>
      <c r="BQ93" s="187">
        <v>0</v>
      </c>
      <c r="BR93" s="187">
        <v>0</v>
      </c>
      <c r="BS93" s="187">
        <v>0</v>
      </c>
      <c r="BT93" s="187">
        <v>0</v>
      </c>
      <c r="BU93" s="187">
        <v>0</v>
      </c>
      <c r="BV93" s="187">
        <v>0</v>
      </c>
      <c r="BW93" s="187">
        <v>0</v>
      </c>
      <c r="BX93" s="187">
        <v>0</v>
      </c>
      <c r="BY93" s="187">
        <v>0</v>
      </c>
      <c r="BZ93" s="187">
        <v>0</v>
      </c>
      <c r="CA93" s="187">
        <v>0</v>
      </c>
      <c r="CB93" s="187">
        <v>0</v>
      </c>
      <c r="CC93" s="187">
        <v>0</v>
      </c>
      <c r="CD93" s="187">
        <v>0</v>
      </c>
      <c r="CE93" s="187">
        <v>0</v>
      </c>
      <c r="CF93" s="187">
        <v>0</v>
      </c>
      <c r="CG93" s="187">
        <v>0</v>
      </c>
      <c r="CH93" s="187">
        <v>0</v>
      </c>
      <c r="CI93" s="187">
        <v>0</v>
      </c>
      <c r="CJ93" s="187">
        <v>0</v>
      </c>
      <c r="CK93" s="187">
        <v>0</v>
      </c>
      <c r="CL93" s="187">
        <v>0</v>
      </c>
    </row>
    <row r="94" spans="1:90">
      <c r="A94" s="128" t="s">
        <v>65</v>
      </c>
      <c r="B94" s="271">
        <v>-7065725.7000000002</v>
      </c>
      <c r="C94" s="271">
        <v>0</v>
      </c>
      <c r="D94" s="271">
        <v>0</v>
      </c>
      <c r="E94" s="271">
        <v>-13034075.470000001</v>
      </c>
      <c r="F94" s="271">
        <v>-619043.99</v>
      </c>
      <c r="G94" s="271">
        <v>0</v>
      </c>
      <c r="H94" s="271">
        <v>0</v>
      </c>
      <c r="I94" s="271">
        <v>0</v>
      </c>
      <c r="J94" s="271">
        <v>0</v>
      </c>
      <c r="K94" s="271">
        <v>0</v>
      </c>
      <c r="L94" s="271">
        <v>0</v>
      </c>
      <c r="M94" s="271">
        <v>0</v>
      </c>
      <c r="N94" s="271">
        <v>0</v>
      </c>
      <c r="O94" s="271">
        <v>0</v>
      </c>
      <c r="P94" s="271">
        <v>0</v>
      </c>
      <c r="Q94" s="271">
        <v>0</v>
      </c>
      <c r="R94" s="271">
        <v>0</v>
      </c>
      <c r="S94" s="271">
        <v>0</v>
      </c>
      <c r="T94" s="187">
        <v>0</v>
      </c>
      <c r="U94" s="187">
        <v>0</v>
      </c>
      <c r="V94" s="187">
        <v>0</v>
      </c>
      <c r="W94" s="187">
        <v>0</v>
      </c>
      <c r="X94" s="187">
        <v>0</v>
      </c>
      <c r="Y94" s="187">
        <v>0</v>
      </c>
      <c r="Z94" s="187">
        <v>0</v>
      </c>
      <c r="AA94" s="187">
        <v>0</v>
      </c>
      <c r="AB94" s="187">
        <v>0</v>
      </c>
      <c r="AC94" s="187">
        <v>0</v>
      </c>
      <c r="AD94" s="187">
        <v>0</v>
      </c>
      <c r="AE94" s="187">
        <v>0</v>
      </c>
      <c r="AF94" s="187">
        <v>0</v>
      </c>
      <c r="AG94" s="187">
        <v>0</v>
      </c>
      <c r="AH94" s="187">
        <v>0</v>
      </c>
      <c r="AI94" s="187">
        <v>0</v>
      </c>
      <c r="AJ94" s="187">
        <v>0</v>
      </c>
      <c r="AK94" s="187">
        <v>0</v>
      </c>
      <c r="AL94" s="187">
        <v>0</v>
      </c>
      <c r="AM94" s="187">
        <v>0</v>
      </c>
      <c r="AN94" s="187">
        <v>0</v>
      </c>
      <c r="AO94" s="187">
        <v>0</v>
      </c>
      <c r="AP94" s="187">
        <v>0</v>
      </c>
      <c r="AQ94" s="187">
        <v>0</v>
      </c>
      <c r="AR94" s="187">
        <v>0</v>
      </c>
      <c r="AS94" s="187">
        <v>0</v>
      </c>
      <c r="AT94" s="187">
        <v>0</v>
      </c>
      <c r="AU94" s="187">
        <v>0</v>
      </c>
      <c r="AV94" s="187">
        <v>0</v>
      </c>
      <c r="AW94" s="187">
        <v>0</v>
      </c>
      <c r="AX94" s="187">
        <v>0</v>
      </c>
      <c r="AY94" s="187">
        <v>0</v>
      </c>
      <c r="AZ94" s="187">
        <v>0</v>
      </c>
      <c r="BA94" s="187">
        <v>0</v>
      </c>
      <c r="BB94" s="187">
        <v>0</v>
      </c>
      <c r="BC94" s="187">
        <v>0</v>
      </c>
      <c r="BD94" s="187">
        <v>0</v>
      </c>
      <c r="BE94" s="187">
        <v>0</v>
      </c>
      <c r="BF94" s="187">
        <v>0</v>
      </c>
      <c r="BG94" s="187">
        <v>0</v>
      </c>
      <c r="BH94" s="187">
        <v>0</v>
      </c>
      <c r="BI94" s="187">
        <v>0</v>
      </c>
      <c r="BJ94" s="187">
        <v>0</v>
      </c>
      <c r="BK94" s="187">
        <v>0</v>
      </c>
      <c r="BL94" s="187">
        <v>0</v>
      </c>
      <c r="BM94" s="187">
        <v>0</v>
      </c>
      <c r="BN94" s="187">
        <v>0</v>
      </c>
      <c r="BO94" s="187">
        <v>0</v>
      </c>
      <c r="BP94" s="187">
        <v>0</v>
      </c>
      <c r="BQ94" s="187">
        <v>0</v>
      </c>
      <c r="BR94" s="187">
        <v>0</v>
      </c>
      <c r="BS94" s="187">
        <v>0</v>
      </c>
      <c r="BT94" s="187">
        <v>0</v>
      </c>
      <c r="BU94" s="187">
        <v>0</v>
      </c>
      <c r="BV94" s="187">
        <v>0</v>
      </c>
      <c r="BW94" s="187">
        <v>0</v>
      </c>
      <c r="BX94" s="187">
        <v>0</v>
      </c>
      <c r="BY94" s="187">
        <v>0</v>
      </c>
      <c r="BZ94" s="187">
        <v>0</v>
      </c>
      <c r="CA94" s="187">
        <v>0</v>
      </c>
      <c r="CB94" s="187">
        <v>0</v>
      </c>
      <c r="CC94" s="187">
        <v>0</v>
      </c>
      <c r="CD94" s="187">
        <v>0</v>
      </c>
      <c r="CE94" s="187">
        <v>0</v>
      </c>
      <c r="CF94" s="187">
        <v>0</v>
      </c>
      <c r="CG94" s="187">
        <v>0</v>
      </c>
      <c r="CH94" s="187">
        <v>0</v>
      </c>
      <c r="CI94" s="187">
        <v>0</v>
      </c>
      <c r="CJ94" s="187">
        <v>0</v>
      </c>
      <c r="CK94" s="187">
        <v>0</v>
      </c>
      <c r="CL94" s="187">
        <v>0</v>
      </c>
    </row>
    <row r="95" spans="1:90">
      <c r="A95" s="128" t="s">
        <v>66</v>
      </c>
      <c r="B95" s="271">
        <v>0</v>
      </c>
      <c r="C95" s="271">
        <v>0</v>
      </c>
      <c r="D95" s="271">
        <v>0</v>
      </c>
      <c r="E95" s="271">
        <v>0</v>
      </c>
      <c r="F95" s="271">
        <v>0</v>
      </c>
      <c r="G95" s="271">
        <v>0</v>
      </c>
      <c r="H95" s="271">
        <v>0</v>
      </c>
      <c r="I95" s="271">
        <v>0</v>
      </c>
      <c r="J95" s="271">
        <v>0</v>
      </c>
      <c r="K95" s="271">
        <v>0</v>
      </c>
      <c r="L95" s="271">
        <v>0</v>
      </c>
      <c r="M95" s="271">
        <v>0</v>
      </c>
      <c r="N95" s="271">
        <v>0</v>
      </c>
      <c r="O95" s="271">
        <v>0</v>
      </c>
      <c r="P95" s="271">
        <v>0</v>
      </c>
      <c r="Q95" s="271">
        <v>0</v>
      </c>
      <c r="R95" s="271">
        <v>0</v>
      </c>
      <c r="S95" s="271">
        <v>0</v>
      </c>
      <c r="T95" s="187">
        <v>0</v>
      </c>
      <c r="U95" s="187">
        <v>0</v>
      </c>
      <c r="V95" s="187">
        <v>0</v>
      </c>
      <c r="W95" s="187">
        <v>0</v>
      </c>
      <c r="X95" s="187">
        <v>0</v>
      </c>
      <c r="Y95" s="187">
        <v>0</v>
      </c>
      <c r="Z95" s="187">
        <v>0</v>
      </c>
      <c r="AA95" s="187">
        <v>0</v>
      </c>
      <c r="AB95" s="187">
        <v>0</v>
      </c>
      <c r="AC95" s="187">
        <v>0</v>
      </c>
      <c r="AD95" s="187">
        <v>0</v>
      </c>
      <c r="AE95" s="187">
        <v>0</v>
      </c>
      <c r="AF95" s="187">
        <v>0</v>
      </c>
      <c r="AG95" s="187">
        <v>0</v>
      </c>
      <c r="AH95" s="187">
        <v>0</v>
      </c>
      <c r="AI95" s="187">
        <v>0</v>
      </c>
      <c r="AJ95" s="187">
        <v>0</v>
      </c>
      <c r="AK95" s="187">
        <v>0</v>
      </c>
      <c r="AL95" s="187">
        <v>0</v>
      </c>
      <c r="AM95" s="187">
        <v>0</v>
      </c>
      <c r="AN95" s="187">
        <v>0</v>
      </c>
      <c r="AO95" s="187">
        <v>0</v>
      </c>
      <c r="AP95" s="187">
        <v>0</v>
      </c>
      <c r="AQ95" s="187">
        <v>0</v>
      </c>
      <c r="AR95" s="187">
        <v>0</v>
      </c>
      <c r="AS95" s="187">
        <v>0</v>
      </c>
      <c r="AT95" s="187">
        <v>0</v>
      </c>
      <c r="AU95" s="187">
        <v>0</v>
      </c>
      <c r="AV95" s="187">
        <v>0</v>
      </c>
      <c r="AW95" s="187">
        <v>0</v>
      </c>
      <c r="AX95" s="187">
        <v>0</v>
      </c>
      <c r="AY95" s="187">
        <v>0</v>
      </c>
      <c r="AZ95" s="187">
        <v>0</v>
      </c>
      <c r="BA95" s="187">
        <v>0</v>
      </c>
      <c r="BB95" s="187">
        <v>0</v>
      </c>
      <c r="BC95" s="187">
        <v>0</v>
      </c>
      <c r="BD95" s="187">
        <v>0</v>
      </c>
      <c r="BE95" s="187">
        <v>0</v>
      </c>
      <c r="BF95" s="187">
        <v>0</v>
      </c>
      <c r="BG95" s="187">
        <v>0</v>
      </c>
      <c r="BH95" s="187">
        <v>0</v>
      </c>
      <c r="BI95" s="187">
        <v>0</v>
      </c>
      <c r="BJ95" s="187">
        <v>0</v>
      </c>
      <c r="BK95" s="187">
        <v>0</v>
      </c>
      <c r="BL95" s="187">
        <v>0</v>
      </c>
      <c r="BM95" s="187">
        <v>0</v>
      </c>
      <c r="BN95" s="187">
        <v>0</v>
      </c>
      <c r="BO95" s="187">
        <v>0</v>
      </c>
      <c r="BP95" s="187">
        <v>0</v>
      </c>
      <c r="BQ95" s="187">
        <v>0</v>
      </c>
      <c r="BR95" s="187">
        <v>0</v>
      </c>
      <c r="BS95" s="187">
        <v>0</v>
      </c>
      <c r="BT95" s="187">
        <v>0</v>
      </c>
      <c r="BU95" s="187">
        <v>0</v>
      </c>
      <c r="BV95" s="187">
        <v>0</v>
      </c>
      <c r="BW95" s="187">
        <v>0</v>
      </c>
      <c r="BX95" s="187">
        <v>0</v>
      </c>
      <c r="BY95" s="187">
        <v>0</v>
      </c>
      <c r="BZ95" s="187">
        <v>0</v>
      </c>
      <c r="CA95" s="187">
        <v>0</v>
      </c>
      <c r="CB95" s="187">
        <v>0</v>
      </c>
      <c r="CC95" s="187">
        <v>0</v>
      </c>
      <c r="CD95" s="187">
        <v>0</v>
      </c>
      <c r="CE95" s="187">
        <v>0</v>
      </c>
      <c r="CF95" s="187">
        <v>0</v>
      </c>
      <c r="CG95" s="187">
        <v>0</v>
      </c>
      <c r="CH95" s="187">
        <v>0</v>
      </c>
      <c r="CI95" s="187">
        <v>0</v>
      </c>
      <c r="CJ95" s="187">
        <v>0</v>
      </c>
      <c r="CK95" s="187">
        <v>0</v>
      </c>
      <c r="CL95" s="187">
        <v>0</v>
      </c>
    </row>
    <row r="96" spans="1:90">
      <c r="A96" s="128" t="s">
        <v>67</v>
      </c>
      <c r="B96" s="271">
        <v>13444221244.84</v>
      </c>
      <c r="C96" s="271">
        <v>8215595509.6899996</v>
      </c>
      <c r="D96" s="271">
        <v>7135649963.1199999</v>
      </c>
      <c r="E96" s="271">
        <v>6210524497.54</v>
      </c>
      <c r="F96" s="271">
        <v>5249407234.6199999</v>
      </c>
      <c r="G96" s="271">
        <v>4220803927.1799998</v>
      </c>
      <c r="H96" s="271">
        <v>3036434460.46</v>
      </c>
      <c r="I96" s="271">
        <v>2640916373.3499999</v>
      </c>
      <c r="J96" s="271">
        <v>2176754189.4699998</v>
      </c>
      <c r="K96" s="271">
        <v>1585666147.4000001</v>
      </c>
      <c r="L96" s="271">
        <v>1001133829.72</v>
      </c>
      <c r="M96" s="271">
        <v>838320965.63</v>
      </c>
      <c r="N96" s="271">
        <v>1253305422.0599999</v>
      </c>
      <c r="O96" s="271">
        <v>967252340.82000005</v>
      </c>
      <c r="P96" s="271">
        <v>648560928.29999995</v>
      </c>
      <c r="Q96" s="271">
        <v>424392228.41000003</v>
      </c>
      <c r="R96" s="271">
        <v>275280085.31999999</v>
      </c>
      <c r="S96" s="271">
        <v>163612517.12</v>
      </c>
      <c r="T96" s="187">
        <v>5276552448.5200005</v>
      </c>
      <c r="U96" s="187">
        <v>4220803927.1799998</v>
      </c>
      <c r="V96" s="187">
        <v>4220803927.1799998</v>
      </c>
      <c r="W96" s="187">
        <v>4221669105.9299998</v>
      </c>
      <c r="X96" s="187">
        <v>4221669105.9299998</v>
      </c>
      <c r="Y96" s="187">
        <v>3036434460.46</v>
      </c>
      <c r="Z96" s="187">
        <v>3036434460.46</v>
      </c>
      <c r="AA96" s="187">
        <v>3038678758.3000002</v>
      </c>
      <c r="AB96" s="187">
        <v>3038678758.3000002</v>
      </c>
      <c r="AC96" s="187">
        <v>2640916373.3499999</v>
      </c>
      <c r="AD96" s="187">
        <v>2640916373.3499999</v>
      </c>
      <c r="AE96" s="187">
        <v>2206854637.2199998</v>
      </c>
      <c r="AF96" s="187">
        <v>2206854637.2199998</v>
      </c>
      <c r="AG96" s="187">
        <v>2176754189.4699998</v>
      </c>
      <c r="AH96" s="187">
        <v>2176754189.4699998</v>
      </c>
      <c r="AI96" s="187">
        <v>1702957797.0999999</v>
      </c>
      <c r="AJ96" s="187">
        <v>1702957797.0999999</v>
      </c>
      <c r="AK96" s="187">
        <v>1585666147.4000001</v>
      </c>
      <c r="AL96" s="187">
        <v>1585666147.4000001</v>
      </c>
      <c r="AM96" s="187">
        <v>1344191389.0599999</v>
      </c>
      <c r="AN96" s="187">
        <v>1344191389.0599999</v>
      </c>
      <c r="AO96" s="187">
        <v>1001133829.72</v>
      </c>
      <c r="AP96" s="187">
        <v>1001133829.72</v>
      </c>
      <c r="AQ96" s="187">
        <v>996505519.39999998</v>
      </c>
      <c r="AR96" s="187">
        <v>996505519.39999998</v>
      </c>
      <c r="AS96" s="187">
        <v>838320965.63</v>
      </c>
      <c r="AT96" s="187">
        <v>838320965.63</v>
      </c>
      <c r="AU96" s="187">
        <v>1264879718.52</v>
      </c>
      <c r="AV96" s="187">
        <v>1264879718.52</v>
      </c>
      <c r="AW96" s="187">
        <v>1254272843.9200001</v>
      </c>
      <c r="AX96" s="187">
        <v>1253305422.0599999</v>
      </c>
      <c r="AY96" s="187">
        <v>967252340.82000005</v>
      </c>
      <c r="AZ96" s="187">
        <v>967252340.82000005</v>
      </c>
      <c r="BA96" s="187">
        <v>967252340.82000005</v>
      </c>
      <c r="BB96" s="187">
        <v>967252340.82000005</v>
      </c>
      <c r="BC96" s="187">
        <v>648560928.29999995</v>
      </c>
      <c r="BD96" s="187">
        <v>648560928.29999995</v>
      </c>
      <c r="BE96" s="187">
        <v>648560928.29999995</v>
      </c>
      <c r="BF96" s="187">
        <v>648560928.29999995</v>
      </c>
      <c r="BG96" s="187">
        <v>424392525.00999999</v>
      </c>
      <c r="BH96" s="187">
        <v>424392525.00999999</v>
      </c>
      <c r="BI96" s="187">
        <v>424392525.00999999</v>
      </c>
      <c r="BJ96" s="187">
        <v>424392228.41000003</v>
      </c>
      <c r="BK96" s="187">
        <v>341468411.01999998</v>
      </c>
      <c r="BL96" s="187">
        <v>341440996.33999997</v>
      </c>
      <c r="BM96" s="187">
        <v>275280085.31999999</v>
      </c>
      <c r="BN96" s="187">
        <v>275280085.31999999</v>
      </c>
      <c r="BO96" s="187">
        <v>227558468.19</v>
      </c>
      <c r="BP96" s="187">
        <v>227558468.19</v>
      </c>
      <c r="BQ96" s="187">
        <v>163612517.12</v>
      </c>
      <c r="BR96" s="187">
        <v>163612517.12</v>
      </c>
      <c r="BS96" s="187">
        <v>114734706.56</v>
      </c>
      <c r="BT96" s="187">
        <v>63435431.119999997</v>
      </c>
      <c r="BU96" s="187">
        <v>6166053.1900000004</v>
      </c>
      <c r="BV96" s="187">
        <v>0</v>
      </c>
      <c r="BW96" s="187">
        <v>0</v>
      </c>
      <c r="BX96" s="187">
        <v>144007744.87</v>
      </c>
      <c r="BY96" s="187">
        <v>96446307.129999995</v>
      </c>
      <c r="BZ96" s="187">
        <v>51390553.909999996</v>
      </c>
      <c r="CA96" s="187">
        <v>13452642.869999999</v>
      </c>
      <c r="CB96" s="187">
        <v>0</v>
      </c>
      <c r="CC96" s="187">
        <v>0</v>
      </c>
      <c r="CD96" s="187">
        <v>0</v>
      </c>
      <c r="CE96" s="187">
        <v>34778000</v>
      </c>
      <c r="CF96" s="187">
        <v>10546287.800000001</v>
      </c>
      <c r="CG96" s="187">
        <v>1136843.69</v>
      </c>
      <c r="CH96" s="187">
        <v>0</v>
      </c>
      <c r="CI96" s="187">
        <v>0</v>
      </c>
      <c r="CJ96" s="187">
        <v>0</v>
      </c>
      <c r="CK96" s="187">
        <v>0</v>
      </c>
      <c r="CL96" s="187">
        <v>0</v>
      </c>
    </row>
    <row r="97" spans="1:90">
      <c r="A97" s="128" t="s">
        <v>68</v>
      </c>
      <c r="B97" s="271">
        <v>788302643.63</v>
      </c>
      <c r="C97" s="271">
        <v>600859229.62</v>
      </c>
      <c r="D97" s="271">
        <v>420758409.36000001</v>
      </c>
      <c r="E97" s="271">
        <v>218361303.43000001</v>
      </c>
      <c r="F97" s="271">
        <v>98594502.370000005</v>
      </c>
      <c r="G97" s="271">
        <v>13296286.27</v>
      </c>
      <c r="H97" s="271">
        <v>0</v>
      </c>
      <c r="I97" s="271">
        <v>0</v>
      </c>
      <c r="J97" s="271">
        <v>0</v>
      </c>
      <c r="K97" s="271">
        <v>0</v>
      </c>
      <c r="L97" s="271">
        <v>0</v>
      </c>
      <c r="M97" s="271">
        <v>0</v>
      </c>
      <c r="N97" s="271">
        <v>0</v>
      </c>
      <c r="O97" s="271">
        <v>0</v>
      </c>
      <c r="P97" s="271">
        <v>0</v>
      </c>
      <c r="Q97" s="271">
        <v>0</v>
      </c>
      <c r="R97" s="271">
        <v>0</v>
      </c>
      <c r="S97" s="271">
        <v>0</v>
      </c>
      <c r="T97" s="187">
        <v>28596286.27</v>
      </c>
      <c r="U97" s="187">
        <v>13296286.27</v>
      </c>
      <c r="V97" s="187">
        <v>13296286.27</v>
      </c>
      <c r="W97" s="187">
        <v>0</v>
      </c>
      <c r="X97" s="187">
        <v>0</v>
      </c>
      <c r="Y97" s="187">
        <v>0</v>
      </c>
      <c r="Z97" s="187">
        <v>0</v>
      </c>
      <c r="AA97" s="187">
        <v>0</v>
      </c>
      <c r="AB97" s="187">
        <v>0</v>
      </c>
      <c r="AC97" s="187">
        <v>0</v>
      </c>
      <c r="AD97" s="187">
        <v>0</v>
      </c>
      <c r="AE97" s="187">
        <v>0</v>
      </c>
      <c r="AF97" s="187">
        <v>0</v>
      </c>
      <c r="AG97" s="187">
        <v>0</v>
      </c>
      <c r="AH97" s="187">
        <v>0</v>
      </c>
      <c r="AI97" s="187">
        <v>0</v>
      </c>
      <c r="AJ97" s="187">
        <v>0</v>
      </c>
      <c r="AK97" s="187">
        <v>0</v>
      </c>
      <c r="AL97" s="187">
        <v>0</v>
      </c>
      <c r="AM97" s="187">
        <v>0</v>
      </c>
      <c r="AN97" s="187">
        <v>0</v>
      </c>
      <c r="AO97" s="187">
        <v>0</v>
      </c>
      <c r="AP97" s="187">
        <v>0</v>
      </c>
      <c r="AQ97" s="187">
        <v>0</v>
      </c>
      <c r="AR97" s="187">
        <v>0</v>
      </c>
      <c r="AS97" s="187">
        <v>0</v>
      </c>
      <c r="AT97" s="187">
        <v>0</v>
      </c>
      <c r="AU97" s="187">
        <v>0</v>
      </c>
      <c r="AV97" s="187">
        <v>0</v>
      </c>
      <c r="AW97" s="187">
        <v>0</v>
      </c>
      <c r="AX97" s="187">
        <v>0</v>
      </c>
      <c r="AY97" s="187">
        <v>0</v>
      </c>
      <c r="AZ97" s="187">
        <v>0</v>
      </c>
      <c r="BA97" s="187">
        <v>0</v>
      </c>
      <c r="BB97" s="187">
        <v>0</v>
      </c>
      <c r="BC97" s="187">
        <v>0</v>
      </c>
      <c r="BD97" s="187">
        <v>0</v>
      </c>
      <c r="BE97" s="187">
        <v>0</v>
      </c>
      <c r="BF97" s="187">
        <v>0</v>
      </c>
      <c r="BG97" s="187">
        <v>0</v>
      </c>
      <c r="BH97" s="187">
        <v>0</v>
      </c>
      <c r="BI97" s="187">
        <v>0</v>
      </c>
      <c r="BJ97" s="187">
        <v>0</v>
      </c>
      <c r="BK97" s="187">
        <v>0</v>
      </c>
      <c r="BL97" s="187">
        <v>0</v>
      </c>
      <c r="BM97" s="187">
        <v>0</v>
      </c>
      <c r="BN97" s="187">
        <v>0</v>
      </c>
      <c r="BO97" s="187">
        <v>0</v>
      </c>
      <c r="BP97" s="187">
        <v>0</v>
      </c>
      <c r="BQ97" s="187">
        <v>0</v>
      </c>
      <c r="BR97" s="187">
        <v>0</v>
      </c>
      <c r="BS97" s="187">
        <v>0</v>
      </c>
      <c r="BT97" s="187">
        <v>0</v>
      </c>
      <c r="BU97" s="187">
        <v>0</v>
      </c>
      <c r="BV97" s="187">
        <v>0</v>
      </c>
      <c r="BW97" s="187">
        <v>0</v>
      </c>
      <c r="BX97" s="187">
        <v>0</v>
      </c>
      <c r="BY97" s="187">
        <v>0</v>
      </c>
      <c r="BZ97" s="187">
        <v>0</v>
      </c>
      <c r="CA97" s="187">
        <v>0</v>
      </c>
      <c r="CB97" s="187">
        <v>0</v>
      </c>
      <c r="CC97" s="187">
        <v>0</v>
      </c>
      <c r="CD97" s="187">
        <v>0</v>
      </c>
      <c r="CE97" s="187">
        <v>0</v>
      </c>
      <c r="CF97" s="187">
        <v>0</v>
      </c>
      <c r="CG97" s="187">
        <v>0</v>
      </c>
      <c r="CH97" s="187">
        <v>0</v>
      </c>
      <c r="CI97" s="187">
        <v>0</v>
      </c>
      <c r="CJ97" s="187">
        <v>0</v>
      </c>
      <c r="CK97" s="187">
        <v>0</v>
      </c>
      <c r="CL97" s="187">
        <v>0</v>
      </c>
    </row>
    <row r="98" spans="1:90">
      <c r="A98" s="128" t="s">
        <v>69</v>
      </c>
      <c r="B98" s="271">
        <v>95981943953.559998</v>
      </c>
      <c r="C98" s="271">
        <v>80011307450.330002</v>
      </c>
      <c r="D98" s="271">
        <v>62717808036.610001</v>
      </c>
      <c r="E98" s="271">
        <v>54878964497.769997</v>
      </c>
      <c r="F98" s="271">
        <v>45566057337.370003</v>
      </c>
      <c r="G98" s="271">
        <v>35974971858.639999</v>
      </c>
      <c r="H98" s="271">
        <v>28700075247.5</v>
      </c>
      <c r="I98" s="271">
        <v>19937119181.959999</v>
      </c>
      <c r="J98" s="271">
        <v>13903255455.610001</v>
      </c>
      <c r="K98" s="271">
        <v>10561552279.690001</v>
      </c>
      <c r="L98" s="271">
        <v>7924671271.0299997</v>
      </c>
      <c r="M98" s="271">
        <v>5077020374.5799999</v>
      </c>
      <c r="N98" s="271">
        <v>2325450770.9099998</v>
      </c>
      <c r="O98" s="271">
        <v>1806625777.74</v>
      </c>
      <c r="P98" s="271">
        <v>1203400560.8900001</v>
      </c>
      <c r="Q98" s="271">
        <v>697765263.59000003</v>
      </c>
      <c r="R98" s="271">
        <v>288244590.30000001</v>
      </c>
      <c r="S98" s="271">
        <v>78113637.140000001</v>
      </c>
      <c r="T98" s="187">
        <v>37454963518.709999</v>
      </c>
      <c r="U98" s="187">
        <v>39640361782.25</v>
      </c>
      <c r="V98" s="187">
        <v>35974971858.639999</v>
      </c>
      <c r="W98" s="187">
        <v>31915957705.959999</v>
      </c>
      <c r="X98" s="187">
        <v>28098707911.970001</v>
      </c>
      <c r="Y98" s="187">
        <v>32293173381.169998</v>
      </c>
      <c r="Z98" s="187">
        <v>28700075247.5</v>
      </c>
      <c r="AA98" s="187">
        <v>25807560553.650002</v>
      </c>
      <c r="AB98" s="187">
        <v>22385472933.189999</v>
      </c>
      <c r="AC98" s="187">
        <v>22906334977.689999</v>
      </c>
      <c r="AD98" s="187">
        <v>19937119181.959999</v>
      </c>
      <c r="AE98" s="187">
        <v>18177119652.080002</v>
      </c>
      <c r="AF98" s="187">
        <v>16609592149.389999</v>
      </c>
      <c r="AG98" s="187">
        <v>15787250430.540001</v>
      </c>
      <c r="AH98" s="187">
        <v>13903255455.610001</v>
      </c>
      <c r="AI98" s="187">
        <v>13500031622.98</v>
      </c>
      <c r="AJ98" s="187">
        <v>12425614934.950001</v>
      </c>
      <c r="AK98" s="187">
        <v>11827214855.1</v>
      </c>
      <c r="AL98" s="187">
        <v>10561552279.690001</v>
      </c>
      <c r="AM98" s="187">
        <v>10277532334.969999</v>
      </c>
      <c r="AN98" s="187">
        <v>9280857397.3999996</v>
      </c>
      <c r="AO98" s="187">
        <v>9141680742.6900005</v>
      </c>
      <c r="AP98" s="187">
        <v>7924671271.0299997</v>
      </c>
      <c r="AQ98" s="187">
        <v>7274577877.2399998</v>
      </c>
      <c r="AR98" s="187">
        <v>6369380098.8400002</v>
      </c>
      <c r="AS98" s="187">
        <v>5950374457.8599997</v>
      </c>
      <c r="AT98" s="187">
        <v>5077020374.5799999</v>
      </c>
      <c r="AU98" s="187">
        <v>3291064389.6399999</v>
      </c>
      <c r="AV98" s="187">
        <v>2550293482.9499998</v>
      </c>
      <c r="AW98" s="187">
        <v>2247683074.8000002</v>
      </c>
      <c r="AX98" s="187">
        <v>1664790770.9100001</v>
      </c>
      <c r="AY98" s="187">
        <v>2058380373.47</v>
      </c>
      <c r="AZ98" s="187">
        <v>1712637291.5699999</v>
      </c>
      <c r="BA98" s="187">
        <v>2114646547.6199999</v>
      </c>
      <c r="BB98" s="187">
        <v>1665055777.74</v>
      </c>
      <c r="BC98" s="187">
        <v>1708963307.54</v>
      </c>
      <c r="BD98" s="187">
        <v>1487562486.74</v>
      </c>
      <c r="BE98" s="187">
        <v>1375914951.6300001</v>
      </c>
      <c r="BF98" s="187">
        <v>1006775560.89</v>
      </c>
      <c r="BG98" s="187">
        <v>1122584115.97</v>
      </c>
      <c r="BH98" s="187">
        <v>983599159.49000001</v>
      </c>
      <c r="BI98" s="187">
        <v>899399260.28999996</v>
      </c>
      <c r="BJ98" s="187">
        <v>634515263.59000003</v>
      </c>
      <c r="BK98" s="187">
        <v>575940966.96000004</v>
      </c>
      <c r="BL98" s="187">
        <v>474604497.82999998</v>
      </c>
      <c r="BM98" s="187">
        <v>505853609.79000002</v>
      </c>
      <c r="BN98" s="187">
        <v>288244590.30000001</v>
      </c>
      <c r="BO98" s="187">
        <v>323418256.06999999</v>
      </c>
      <c r="BP98" s="187">
        <v>252443665.06</v>
      </c>
      <c r="BQ98" s="187">
        <v>284561899.63</v>
      </c>
      <c r="BR98" s="187">
        <v>78113637.140000001</v>
      </c>
      <c r="BS98" s="187">
        <v>172340372.66</v>
      </c>
      <c r="BT98" s="187">
        <v>105552620.23</v>
      </c>
      <c r="BU98" s="187">
        <v>5763120.4199999999</v>
      </c>
      <c r="BV98" s="187">
        <v>0</v>
      </c>
      <c r="BW98" s="187">
        <v>0</v>
      </c>
      <c r="BX98" s="187">
        <v>423675870.94999999</v>
      </c>
      <c r="BY98" s="187">
        <v>146529073.66</v>
      </c>
      <c r="BZ98" s="187">
        <v>291213138.67000002</v>
      </c>
      <c r="CA98" s="187">
        <v>76231642.829999998</v>
      </c>
      <c r="CB98" s="187">
        <v>0</v>
      </c>
      <c r="CC98" s="187">
        <v>0</v>
      </c>
      <c r="CD98" s="187">
        <v>0</v>
      </c>
      <c r="CE98" s="187">
        <v>129889000</v>
      </c>
      <c r="CF98" s="187">
        <v>81321459.170000002</v>
      </c>
      <c r="CG98" s="187">
        <v>12975517.09</v>
      </c>
      <c r="CH98" s="187">
        <v>0</v>
      </c>
      <c r="CI98" s="187">
        <v>0</v>
      </c>
      <c r="CJ98" s="187">
        <v>0</v>
      </c>
      <c r="CK98" s="187">
        <v>0</v>
      </c>
      <c r="CL98" s="187">
        <v>0</v>
      </c>
    </row>
    <row r="99" spans="1:90">
      <c r="A99" s="128" t="s">
        <v>70</v>
      </c>
      <c r="B99" s="271">
        <v>0</v>
      </c>
      <c r="C99" s="271">
        <v>0</v>
      </c>
      <c r="D99" s="271">
        <v>0</v>
      </c>
      <c r="E99" s="271">
        <v>0</v>
      </c>
      <c r="F99" s="271">
        <v>0</v>
      </c>
      <c r="G99" s="271">
        <v>0</v>
      </c>
      <c r="H99" s="271">
        <v>0</v>
      </c>
      <c r="I99" s="271">
        <v>0</v>
      </c>
      <c r="J99" s="271">
        <v>318584196.29000002</v>
      </c>
      <c r="K99" s="271">
        <v>137207662.62</v>
      </c>
      <c r="L99" s="271">
        <v>0</v>
      </c>
      <c r="M99" s="271">
        <v>41806958.039999999</v>
      </c>
      <c r="N99" s="271">
        <v>0</v>
      </c>
      <c r="O99" s="271">
        <v>37181810</v>
      </c>
      <c r="P99" s="271">
        <v>17440859.68</v>
      </c>
      <c r="Q99" s="271">
        <v>1212795.3600000001</v>
      </c>
      <c r="R99" s="271">
        <v>55577521.600000001</v>
      </c>
      <c r="S99" s="271">
        <v>165107825.69999999</v>
      </c>
      <c r="T99" s="187">
        <v>0</v>
      </c>
      <c r="U99" s="187">
        <v>564392547.62</v>
      </c>
      <c r="V99" s="187">
        <v>0</v>
      </c>
      <c r="W99" s="187">
        <v>0</v>
      </c>
      <c r="X99" s="187">
        <v>429516584.81999999</v>
      </c>
      <c r="Y99" s="187">
        <v>629516584.82000005</v>
      </c>
      <c r="Z99" s="187">
        <v>0</v>
      </c>
      <c r="AA99" s="187">
        <v>195688455.97999999</v>
      </c>
      <c r="AB99" s="187">
        <v>4233765263.5700002</v>
      </c>
      <c r="AC99" s="187">
        <v>2250000</v>
      </c>
      <c r="AD99" s="187">
        <v>0</v>
      </c>
      <c r="AE99" s="187">
        <v>225593890.94999999</v>
      </c>
      <c r="AF99" s="187">
        <v>2269077517.96</v>
      </c>
      <c r="AG99" s="187">
        <v>318584196.29000002</v>
      </c>
      <c r="AH99" s="187">
        <v>318584196.29000002</v>
      </c>
      <c r="AI99" s="187">
        <v>220246678.33000001</v>
      </c>
      <c r="AJ99" s="187">
        <v>1186664698.0599999</v>
      </c>
      <c r="AK99" s="187">
        <v>0</v>
      </c>
      <c r="AL99" s="187">
        <v>137207662.62</v>
      </c>
      <c r="AM99" s="187">
        <v>0</v>
      </c>
      <c r="AN99" s="187">
        <v>1058642428.87</v>
      </c>
      <c r="AO99" s="187">
        <v>172451384.72999999</v>
      </c>
      <c r="AP99" s="187">
        <v>0</v>
      </c>
      <c r="AQ99" s="187">
        <v>115386977.67</v>
      </c>
      <c r="AR99" s="187">
        <v>118186308.62</v>
      </c>
      <c r="AS99" s="187">
        <v>41806958.039999999</v>
      </c>
      <c r="AT99" s="187">
        <v>41806958.039999999</v>
      </c>
      <c r="AU99" s="187">
        <v>41806958.039999999</v>
      </c>
      <c r="AV99" s="187">
        <v>722871772.95000005</v>
      </c>
      <c r="AW99" s="187">
        <v>722688505.62</v>
      </c>
      <c r="AX99" s="187">
        <v>0</v>
      </c>
      <c r="AY99" s="187">
        <v>545065.19999999995</v>
      </c>
      <c r="AZ99" s="187">
        <v>0</v>
      </c>
      <c r="BA99" s="187">
        <v>42665714.490000002</v>
      </c>
      <c r="BB99" s="187">
        <v>37181810</v>
      </c>
      <c r="BC99" s="187">
        <v>0</v>
      </c>
      <c r="BD99" s="187">
        <v>0</v>
      </c>
      <c r="BE99" s="187">
        <v>0</v>
      </c>
      <c r="BF99" s="187">
        <v>17440859.68</v>
      </c>
      <c r="BG99" s="187">
        <v>17652617.600000001</v>
      </c>
      <c r="BH99" s="187">
        <v>17864375.52</v>
      </c>
      <c r="BI99" s="187">
        <v>27982641.129999999</v>
      </c>
      <c r="BJ99" s="187">
        <v>1212795.3600000001</v>
      </c>
      <c r="BK99" s="187">
        <v>1212795.3600000001</v>
      </c>
      <c r="BL99" s="187">
        <v>55577521.600000001</v>
      </c>
      <c r="BM99" s="187">
        <v>55577521.600000001</v>
      </c>
      <c r="BN99" s="187">
        <v>55577521.600000001</v>
      </c>
      <c r="BO99" s="187">
        <v>97601152.799999997</v>
      </c>
      <c r="BP99" s="187">
        <v>155488801.46000001</v>
      </c>
      <c r="BQ99" s="187">
        <v>155488801.46000001</v>
      </c>
      <c r="BR99" s="187">
        <v>165107825.69999999</v>
      </c>
      <c r="BS99" s="187">
        <v>106865617.66</v>
      </c>
      <c r="BT99" s="187">
        <v>5617043.5599999996</v>
      </c>
      <c r="BU99" s="187">
        <v>0</v>
      </c>
      <c r="BV99" s="187">
        <v>0</v>
      </c>
      <c r="BW99" s="187">
        <v>0</v>
      </c>
      <c r="BX99" s="187">
        <v>0</v>
      </c>
      <c r="BY99" s="187">
        <v>400000000</v>
      </c>
      <c r="BZ99" s="187">
        <v>0</v>
      </c>
      <c r="CA99" s="187">
        <v>0</v>
      </c>
      <c r="CB99" s="187">
        <v>0</v>
      </c>
      <c r="CC99" s="187">
        <v>0</v>
      </c>
      <c r="CD99" s="187">
        <v>0</v>
      </c>
      <c r="CE99" s="187">
        <v>0</v>
      </c>
      <c r="CF99" s="187">
        <v>0</v>
      </c>
      <c r="CG99" s="187">
        <v>0</v>
      </c>
      <c r="CH99" s="187">
        <v>0</v>
      </c>
      <c r="CI99" s="187">
        <v>0</v>
      </c>
      <c r="CJ99" s="187">
        <v>0</v>
      </c>
      <c r="CK99" s="187">
        <v>0</v>
      </c>
      <c r="CL99" s="187">
        <v>0</v>
      </c>
    </row>
    <row r="100" spans="1:90">
      <c r="A100" s="128" t="s">
        <v>178</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271" t="s">
        <v>657</v>
      </c>
      <c r="C101" s="271" t="s">
        <v>657</v>
      </c>
      <c r="D101" s="271" t="s">
        <v>657</v>
      </c>
      <c r="E101" s="271" t="s">
        <v>657</v>
      </c>
      <c r="F101" s="271" t="s">
        <v>657</v>
      </c>
      <c r="G101" s="271" t="s">
        <v>657</v>
      </c>
      <c r="H101" s="271" t="s">
        <v>657</v>
      </c>
      <c r="I101" s="271" t="s">
        <v>657</v>
      </c>
      <c r="J101" s="271" t="s">
        <v>657</v>
      </c>
      <c r="K101" s="271" t="s">
        <v>657</v>
      </c>
      <c r="L101" s="271" t="s">
        <v>657</v>
      </c>
      <c r="M101" s="271" t="s">
        <v>657</v>
      </c>
      <c r="N101" s="271" t="s">
        <v>657</v>
      </c>
      <c r="O101" s="271" t="s">
        <v>657</v>
      </c>
      <c r="P101" s="271" t="s">
        <v>657</v>
      </c>
      <c r="Q101" s="271" t="s">
        <v>657</v>
      </c>
      <c r="R101" s="271" t="s">
        <v>657</v>
      </c>
      <c r="S101" s="271" t="s">
        <v>657</v>
      </c>
      <c r="T101" s="187">
        <v>0</v>
      </c>
      <c r="U101" s="187">
        <v>0</v>
      </c>
      <c r="V101" s="187">
        <v>0</v>
      </c>
      <c r="W101" s="187">
        <v>0</v>
      </c>
      <c r="X101" s="187">
        <v>0</v>
      </c>
      <c r="Y101" s="187">
        <v>0</v>
      </c>
      <c r="Z101" s="187">
        <v>0</v>
      </c>
      <c r="AA101" s="187">
        <v>0</v>
      </c>
      <c r="AB101" s="187">
        <v>0</v>
      </c>
      <c r="AC101" s="187">
        <v>0</v>
      </c>
      <c r="AD101" s="187">
        <v>0</v>
      </c>
      <c r="AE101" s="187">
        <v>0</v>
      </c>
      <c r="AF101" s="187">
        <v>0</v>
      </c>
      <c r="AG101" s="187">
        <v>0</v>
      </c>
      <c r="AH101" s="187">
        <v>0</v>
      </c>
      <c r="AI101" s="187">
        <v>0</v>
      </c>
      <c r="AJ101" s="187">
        <v>0</v>
      </c>
      <c r="AK101" s="187">
        <v>0</v>
      </c>
      <c r="AL101" s="187">
        <v>0</v>
      </c>
      <c r="AM101" s="187">
        <v>0</v>
      </c>
      <c r="AN101" s="187">
        <v>0</v>
      </c>
      <c r="AO101" s="187">
        <v>0</v>
      </c>
      <c r="AP101" s="187">
        <v>0</v>
      </c>
      <c r="AQ101" s="187">
        <v>0</v>
      </c>
      <c r="AR101" s="187">
        <v>0</v>
      </c>
      <c r="AS101" s="187">
        <v>0</v>
      </c>
      <c r="AT101" s="187">
        <v>0</v>
      </c>
      <c r="AU101" s="187">
        <v>0</v>
      </c>
      <c r="AV101" s="187">
        <v>0</v>
      </c>
      <c r="AW101" s="187">
        <v>0</v>
      </c>
      <c r="AX101" s="187">
        <v>0</v>
      </c>
      <c r="AY101" s="187">
        <v>0</v>
      </c>
      <c r="AZ101" s="187">
        <v>0</v>
      </c>
      <c r="BA101" s="187">
        <v>0</v>
      </c>
      <c r="BB101" s="187">
        <v>0</v>
      </c>
      <c r="BC101" s="187">
        <v>0</v>
      </c>
      <c r="BD101" s="187">
        <v>0</v>
      </c>
      <c r="BE101" s="187">
        <v>-14802026.52</v>
      </c>
      <c r="BF101" s="187">
        <v>0</v>
      </c>
      <c r="BG101" s="187">
        <v>0</v>
      </c>
      <c r="BH101" s="187">
        <v>0</v>
      </c>
      <c r="BI101" s="187">
        <v>0</v>
      </c>
      <c r="BJ101" s="187">
        <v>0</v>
      </c>
      <c r="BK101" s="187">
        <v>0</v>
      </c>
      <c r="BL101" s="187">
        <v>0</v>
      </c>
      <c r="BM101" s="187">
        <v>0</v>
      </c>
      <c r="BN101" s="187">
        <v>0</v>
      </c>
      <c r="BO101" s="187">
        <v>0</v>
      </c>
      <c r="BP101" s="187">
        <v>0</v>
      </c>
      <c r="BQ101" s="187">
        <v>0</v>
      </c>
      <c r="BR101" s="187">
        <v>0</v>
      </c>
      <c r="BS101" s="187">
        <v>0</v>
      </c>
      <c r="BT101" s="187"/>
      <c r="BU101" s="187"/>
      <c r="BV101" s="187"/>
      <c r="BW101" s="187"/>
      <c r="BX101" s="187"/>
      <c r="BY101" s="187"/>
      <c r="BZ101" s="187"/>
      <c r="CA101" s="187"/>
      <c r="CB101" s="187"/>
      <c r="CC101" s="187"/>
      <c r="CD101" s="187"/>
      <c r="CE101" s="187"/>
      <c r="CF101" s="187"/>
      <c r="CG101" s="187"/>
      <c r="CH101" s="187"/>
      <c r="CI101" s="187"/>
      <c r="CJ101" s="187"/>
      <c r="CK101" s="187"/>
      <c r="CL101" s="187"/>
    </row>
    <row r="102" spans="1:90">
      <c r="A102" s="128" t="s">
        <v>72</v>
      </c>
      <c r="B102" s="271">
        <v>112838564332.05</v>
      </c>
      <c r="C102" s="271">
        <v>91451522828.960007</v>
      </c>
      <c r="D102" s="271">
        <v>72894137783.25</v>
      </c>
      <c r="E102" s="271">
        <v>63925978438.989998</v>
      </c>
      <c r="F102" s="271">
        <v>53430402446.089996</v>
      </c>
      <c r="G102" s="271">
        <v>42622216487.809998</v>
      </c>
      <c r="H102" s="271">
        <v>34149654123.68</v>
      </c>
      <c r="I102" s="271">
        <v>24991179971.029999</v>
      </c>
      <c r="J102" s="271">
        <v>18398774060.799999</v>
      </c>
      <c r="K102" s="271">
        <v>14465982842.809999</v>
      </c>
      <c r="L102" s="271">
        <v>11244569516.469999</v>
      </c>
      <c r="M102" s="271">
        <v>8234105755.9300003</v>
      </c>
      <c r="N102" s="271">
        <v>5897005453.5799999</v>
      </c>
      <c r="O102" s="271">
        <v>5091897569.1700001</v>
      </c>
      <c r="P102" s="271">
        <v>4169148809.73</v>
      </c>
      <c r="Q102" s="271">
        <v>3439142472.54</v>
      </c>
      <c r="R102" s="271">
        <v>2830342017.7399998</v>
      </c>
      <c r="S102" s="271">
        <v>2524199625.79</v>
      </c>
      <c r="T102" s="187">
        <v>45277074669.220001</v>
      </c>
      <c r="U102" s="187">
        <v>46287606411.419998</v>
      </c>
      <c r="V102" s="187">
        <v>42622216487.809998</v>
      </c>
      <c r="W102" s="187">
        <v>38550771227.610001</v>
      </c>
      <c r="X102" s="187">
        <v>34733521433.620003</v>
      </c>
      <c r="Y102" s="187">
        <v>37742752257.349998</v>
      </c>
      <c r="Z102" s="187">
        <v>34149654123.68</v>
      </c>
      <c r="AA102" s="187">
        <v>31259383727.669998</v>
      </c>
      <c r="AB102" s="187">
        <v>27837296107.209999</v>
      </c>
      <c r="AC102" s="187">
        <v>27960395766.759998</v>
      </c>
      <c r="AD102" s="187">
        <v>24991179971.029999</v>
      </c>
      <c r="AE102" s="187">
        <v>22797118705.02</v>
      </c>
      <c r="AF102" s="187">
        <v>21135211202.330002</v>
      </c>
      <c r="AG102" s="187">
        <v>20282769035.73</v>
      </c>
      <c r="AH102" s="187">
        <v>18398774060.799999</v>
      </c>
      <c r="AI102" s="187">
        <v>17521753835.799999</v>
      </c>
      <c r="AJ102" s="187">
        <v>16447337147.77</v>
      </c>
      <c r="AK102" s="187">
        <v>15731645418.219999</v>
      </c>
      <c r="AL102" s="187">
        <v>14465982842.809999</v>
      </c>
      <c r="AM102" s="187">
        <v>13940488139.75</v>
      </c>
      <c r="AN102" s="187">
        <v>12943813202.18</v>
      </c>
      <c r="AO102" s="187">
        <v>12461578988.129999</v>
      </c>
      <c r="AP102" s="187">
        <v>11244569516.469999</v>
      </c>
      <c r="AQ102" s="187">
        <v>10589994812.360001</v>
      </c>
      <c r="AR102" s="187">
        <v>9684686783.9599991</v>
      </c>
      <c r="AS102" s="187">
        <v>9107496589.2099991</v>
      </c>
      <c r="AT102" s="187">
        <v>8234105755.9300003</v>
      </c>
      <c r="AU102" s="187">
        <v>6874642863.8800001</v>
      </c>
      <c r="AV102" s="187">
        <v>6133851285.0799999</v>
      </c>
      <c r="AW102" s="187">
        <v>5820535512.3299999</v>
      </c>
      <c r="AX102" s="187">
        <v>5897005453.5799999</v>
      </c>
      <c r="AY102" s="187">
        <v>5344183484.8999996</v>
      </c>
      <c r="AZ102" s="187">
        <v>5001822019.8000002</v>
      </c>
      <c r="BA102" s="187">
        <v>5541553999.0500002</v>
      </c>
      <c r="BB102" s="187">
        <v>5091897569.1700001</v>
      </c>
      <c r="BC102" s="187">
        <v>4713459586.4499998</v>
      </c>
      <c r="BD102" s="187">
        <v>4650022205.6499996</v>
      </c>
      <c r="BE102" s="187">
        <v>4538288200.4700003</v>
      </c>
      <c r="BF102" s="187">
        <v>4169148809.73</v>
      </c>
      <c r="BG102" s="187">
        <v>3864027281.52</v>
      </c>
      <c r="BH102" s="187">
        <v>3788226665.04</v>
      </c>
      <c r="BI102" s="187">
        <v>3704026765.8400002</v>
      </c>
      <c r="BJ102" s="187">
        <v>3439142472.54</v>
      </c>
      <c r="BK102" s="187">
        <v>3206828698.52</v>
      </c>
      <c r="BL102" s="187">
        <v>3105431984.71</v>
      </c>
      <c r="BM102" s="187">
        <v>3070454525.6500001</v>
      </c>
      <c r="BN102" s="187">
        <v>2852230484.27</v>
      </c>
      <c r="BO102" s="187">
        <v>2840231894.8000002</v>
      </c>
      <c r="BP102" s="187">
        <v>2769257303.79</v>
      </c>
      <c r="BQ102" s="187">
        <v>2737396267.29</v>
      </c>
      <c r="BR102" s="187">
        <v>2530915664.8000002</v>
      </c>
      <c r="BS102" s="187">
        <v>561545403.24000001</v>
      </c>
      <c r="BT102" s="187">
        <v>442420732.97000003</v>
      </c>
      <c r="BU102" s="187">
        <v>285361855.23000002</v>
      </c>
      <c r="BV102" s="187">
        <v>234091527.97999999</v>
      </c>
      <c r="BW102" s="187">
        <v>0</v>
      </c>
      <c r="BX102" s="187">
        <v>2089698452.7</v>
      </c>
      <c r="BY102" s="187">
        <v>1764990217.6700001</v>
      </c>
      <c r="BZ102" s="187">
        <v>1864618529.46</v>
      </c>
      <c r="CA102" s="187">
        <v>392384778.43000001</v>
      </c>
      <c r="CB102" s="187">
        <v>264958379.21000001</v>
      </c>
      <c r="CC102" s="187">
        <v>225967479.94999999</v>
      </c>
      <c r="CD102" s="187">
        <v>0</v>
      </c>
      <c r="CE102" s="187">
        <v>1079642000</v>
      </c>
      <c r="CF102" s="187">
        <v>1003922431.86</v>
      </c>
      <c r="CG102" s="187">
        <v>492362941.67000002</v>
      </c>
      <c r="CH102" s="187">
        <v>203800000</v>
      </c>
      <c r="CI102" s="187">
        <v>162870000</v>
      </c>
      <c r="CJ102" s="187">
        <v>92660000</v>
      </c>
      <c r="CK102" s="187">
        <v>75420000</v>
      </c>
      <c r="CL102" s="187">
        <v>0</v>
      </c>
    </row>
    <row r="103" spans="1:90">
      <c r="A103" s="128" t="s">
        <v>73</v>
      </c>
      <c r="B103" s="271">
        <v>4569923590.4799995</v>
      </c>
      <c r="C103" s="271">
        <v>4568104646.1199999</v>
      </c>
      <c r="D103" s="271">
        <v>3004405071.4699998</v>
      </c>
      <c r="E103" s="271">
        <v>2308191982.3000002</v>
      </c>
      <c r="F103" s="271">
        <v>1881148395.03</v>
      </c>
      <c r="G103" s="271">
        <v>1506875785.45</v>
      </c>
      <c r="H103" s="271">
        <v>1304382273.5699999</v>
      </c>
      <c r="I103" s="271">
        <v>412199640.25999999</v>
      </c>
      <c r="J103" s="271">
        <v>150615633.81999999</v>
      </c>
      <c r="K103" s="271">
        <v>185582551.40000001</v>
      </c>
      <c r="L103" s="271">
        <v>258848779.47999999</v>
      </c>
      <c r="M103" s="271">
        <v>134750014.50999999</v>
      </c>
      <c r="N103" s="271">
        <v>98023195.849999994</v>
      </c>
      <c r="O103" s="271">
        <v>70497512.349999994</v>
      </c>
      <c r="P103" s="271">
        <v>47558937</v>
      </c>
      <c r="Q103" s="271">
        <v>31381618.390000001</v>
      </c>
      <c r="R103" s="271">
        <v>22503488.420000002</v>
      </c>
      <c r="S103" s="271">
        <v>6716039.0099999998</v>
      </c>
      <c r="T103" s="187">
        <v>1347102212</v>
      </c>
      <c r="U103" s="187">
        <v>1165965233.21</v>
      </c>
      <c r="V103" s="187">
        <v>1506875785.45</v>
      </c>
      <c r="W103" s="187">
        <v>1269596474.5799999</v>
      </c>
      <c r="X103" s="187">
        <v>1045585749.9</v>
      </c>
      <c r="Y103" s="187">
        <v>852880798.07000005</v>
      </c>
      <c r="Z103" s="187">
        <v>1304382273.5699999</v>
      </c>
      <c r="AA103" s="187">
        <v>732181741.11000001</v>
      </c>
      <c r="AB103" s="187">
        <v>567479126.41999996</v>
      </c>
      <c r="AC103" s="187">
        <v>570224635.26999998</v>
      </c>
      <c r="AD103" s="187">
        <v>412199640.25999999</v>
      </c>
      <c r="AE103" s="187">
        <v>286651411.25999999</v>
      </c>
      <c r="AF103" s="187">
        <v>409744684.81999999</v>
      </c>
      <c r="AG103" s="187">
        <v>257911988.53</v>
      </c>
      <c r="AH103" s="187">
        <v>150615633.81999999</v>
      </c>
      <c r="AI103" s="187">
        <v>200016357.63999999</v>
      </c>
      <c r="AJ103" s="187">
        <v>289876148.44999999</v>
      </c>
      <c r="AK103" s="187">
        <v>264302773.80000001</v>
      </c>
      <c r="AL103" s="187">
        <v>185582551.40000001</v>
      </c>
      <c r="AM103" s="187">
        <v>275191591.27999997</v>
      </c>
      <c r="AN103" s="187">
        <v>223163166.90000001</v>
      </c>
      <c r="AO103" s="187">
        <v>146428490.91</v>
      </c>
      <c r="AP103" s="187">
        <v>258848779.47999999</v>
      </c>
      <c r="AQ103" s="187">
        <v>217009921.47999999</v>
      </c>
      <c r="AR103" s="187">
        <v>169948192.50999999</v>
      </c>
      <c r="AS103" s="187">
        <v>178444675.81999999</v>
      </c>
      <c r="AT103" s="187">
        <v>134750014.50999999</v>
      </c>
      <c r="AU103" s="187">
        <v>78256460.450000003</v>
      </c>
      <c r="AV103" s="187">
        <v>85560610.409999996</v>
      </c>
      <c r="AW103" s="187">
        <v>67841281.260000005</v>
      </c>
      <c r="AX103" s="187">
        <v>98023195.849999994</v>
      </c>
      <c r="AY103" s="187">
        <v>70860943.209999993</v>
      </c>
      <c r="AZ103" s="187">
        <v>56652336.340000004</v>
      </c>
      <c r="BA103" s="187">
        <v>46741572.689999998</v>
      </c>
      <c r="BB103" s="187">
        <v>70497512.349999994</v>
      </c>
      <c r="BC103" s="187">
        <v>52043760.579999998</v>
      </c>
      <c r="BD103" s="187">
        <v>41815125.100000001</v>
      </c>
      <c r="BE103" s="187">
        <v>62360963.520000003</v>
      </c>
      <c r="BF103" s="187">
        <v>47558937</v>
      </c>
      <c r="BG103" s="187">
        <v>36447084.609999999</v>
      </c>
      <c r="BH103" s="187">
        <v>28918630.640000001</v>
      </c>
      <c r="BI103" s="187">
        <v>23767728.199999999</v>
      </c>
      <c r="BJ103" s="187">
        <v>31381618.390000001</v>
      </c>
      <c r="BK103" s="187">
        <v>24687926.82</v>
      </c>
      <c r="BL103" s="187">
        <v>19341187.829999998</v>
      </c>
      <c r="BM103" s="187">
        <v>30018150.66</v>
      </c>
      <c r="BN103" s="187">
        <v>22503488.420000002</v>
      </c>
      <c r="BO103" s="187">
        <v>17572455.670000002</v>
      </c>
      <c r="BP103" s="187">
        <v>14795436.99</v>
      </c>
      <c r="BQ103" s="187">
        <v>14066109.310000001</v>
      </c>
      <c r="BR103" s="187">
        <v>6716039.0099999998</v>
      </c>
      <c r="BS103" s="187">
        <v>0</v>
      </c>
      <c r="BT103" s="187">
        <v>1358890.07</v>
      </c>
      <c r="BU103" s="187">
        <v>0</v>
      </c>
      <c r="BV103" s="187">
        <v>0</v>
      </c>
      <c r="BW103" s="187">
        <v>0</v>
      </c>
      <c r="BX103" s="187">
        <v>0</v>
      </c>
      <c r="BY103" s="187">
        <v>0</v>
      </c>
      <c r="BZ103" s="187">
        <v>0</v>
      </c>
      <c r="CA103" s="187">
        <v>0</v>
      </c>
      <c r="CB103" s="187">
        <v>0</v>
      </c>
      <c r="CC103" s="187">
        <v>0</v>
      </c>
      <c r="CD103" s="187">
        <v>0</v>
      </c>
      <c r="CE103" s="187">
        <v>96000</v>
      </c>
      <c r="CF103" s="187">
        <v>305920.90000000002</v>
      </c>
      <c r="CG103" s="187">
        <v>326958.7</v>
      </c>
      <c r="CH103" s="187">
        <v>0</v>
      </c>
      <c r="CI103" s="187">
        <v>0</v>
      </c>
      <c r="CJ103" s="187">
        <v>0</v>
      </c>
      <c r="CK103" s="187">
        <v>0</v>
      </c>
      <c r="CL103" s="187">
        <v>0</v>
      </c>
    </row>
    <row r="104" spans="1:90" hidden="1">
      <c r="A104" s="128"/>
      <c r="B104" s="26"/>
      <c r="C104" s="26"/>
      <c r="D104" s="26"/>
      <c r="E104" s="26"/>
      <c r="F104" s="26"/>
      <c r="G104" s="26"/>
      <c r="H104" s="26"/>
      <c r="I104" s="26"/>
      <c r="J104" s="26"/>
      <c r="K104" s="26"/>
      <c r="L104" s="23"/>
    </row>
    <row r="105" spans="1:90" hidden="1">
      <c r="A105" s="128"/>
      <c r="B105" s="26"/>
      <c r="C105" s="26"/>
      <c r="D105" s="26"/>
      <c r="E105" s="26"/>
      <c r="F105" s="26"/>
      <c r="G105" s="26"/>
      <c r="H105" s="26"/>
      <c r="I105" s="26"/>
      <c r="J105" s="26"/>
      <c r="K105" s="26"/>
      <c r="L105" s="23"/>
    </row>
    <row r="106" spans="1:90" hidden="1">
      <c r="A106" s="128"/>
      <c r="B106" s="26"/>
      <c r="C106" s="26"/>
      <c r="D106" s="26"/>
      <c r="E106" s="26"/>
      <c r="F106" s="26"/>
      <c r="G106" s="26"/>
      <c r="H106" s="26"/>
      <c r="I106" s="26"/>
      <c r="J106" s="26"/>
      <c r="K106" s="26"/>
      <c r="L106" s="23"/>
    </row>
    <row r="107" spans="1:90" s="5" customFormat="1">
      <c r="A107" s="129" t="s">
        <v>74</v>
      </c>
      <c r="B107" s="33">
        <f>B102+B103</f>
        <v>117408487922.53</v>
      </c>
      <c r="C107" s="33">
        <f>C102+C103</f>
        <v>96019627475.080002</v>
      </c>
      <c r="D107" s="33">
        <f>D102+D103</f>
        <v>75898542854.720001</v>
      </c>
      <c r="E107" s="33">
        <f>E102+E103</f>
        <v>66234170421.290001</v>
      </c>
      <c r="F107" s="33">
        <f t="shared" ref="F107:BQ107" si="22">F102+F103</f>
        <v>55311550841.119995</v>
      </c>
      <c r="G107" s="33">
        <f t="shared" si="22"/>
        <v>44129092273.259995</v>
      </c>
      <c r="H107" s="33">
        <f t="shared" si="22"/>
        <v>35454036397.25</v>
      </c>
      <c r="I107" s="33">
        <f t="shared" si="22"/>
        <v>25403379611.289997</v>
      </c>
      <c r="J107" s="33">
        <f t="shared" si="22"/>
        <v>18549389694.619999</v>
      </c>
      <c r="K107" s="33">
        <f t="shared" si="22"/>
        <v>14651565394.209999</v>
      </c>
      <c r="L107" s="33">
        <f t="shared" si="22"/>
        <v>11503418295.949999</v>
      </c>
      <c r="M107" s="33">
        <f t="shared" si="22"/>
        <v>8368855770.4400005</v>
      </c>
      <c r="N107" s="33">
        <f t="shared" si="22"/>
        <v>5995028649.4300003</v>
      </c>
      <c r="O107" s="33">
        <f t="shared" si="22"/>
        <v>5162395081.5200005</v>
      </c>
      <c r="P107" s="33">
        <f t="shared" si="22"/>
        <v>4216707746.73</v>
      </c>
      <c r="Q107" s="33">
        <f t="shared" si="22"/>
        <v>3470524090.9299998</v>
      </c>
      <c r="R107" s="33">
        <f t="shared" si="22"/>
        <v>2852845506.1599998</v>
      </c>
      <c r="S107" s="33">
        <f t="shared" si="22"/>
        <v>2530915664.8000002</v>
      </c>
      <c r="T107" s="33">
        <f t="shared" si="22"/>
        <v>46624176881.220001</v>
      </c>
      <c r="U107" s="33">
        <f t="shared" si="22"/>
        <v>47453571644.629997</v>
      </c>
      <c r="V107" s="33">
        <f t="shared" si="22"/>
        <v>44129092273.259995</v>
      </c>
      <c r="W107" s="33">
        <f t="shared" si="22"/>
        <v>39820367702.190002</v>
      </c>
      <c r="X107" s="33">
        <f t="shared" si="22"/>
        <v>35779107183.520004</v>
      </c>
      <c r="Y107" s="33">
        <f t="shared" si="22"/>
        <v>38595633055.419998</v>
      </c>
      <c r="Z107" s="33">
        <f t="shared" si="22"/>
        <v>35454036397.25</v>
      </c>
      <c r="AA107" s="33">
        <f t="shared" si="22"/>
        <v>31991565468.779999</v>
      </c>
      <c r="AB107" s="33">
        <f t="shared" si="22"/>
        <v>28404775233.629997</v>
      </c>
      <c r="AC107" s="33">
        <f t="shared" si="22"/>
        <v>28530620402.029999</v>
      </c>
      <c r="AD107" s="33">
        <f t="shared" si="22"/>
        <v>25403379611.289997</v>
      </c>
      <c r="AE107" s="33">
        <f t="shared" si="22"/>
        <v>23083770116.279999</v>
      </c>
      <c r="AF107" s="33">
        <f t="shared" si="22"/>
        <v>21544955887.150002</v>
      </c>
      <c r="AG107" s="33">
        <f t="shared" si="22"/>
        <v>20540681024.259998</v>
      </c>
      <c r="AH107" s="33">
        <f t="shared" si="22"/>
        <v>18549389694.619999</v>
      </c>
      <c r="AI107" s="33">
        <f t="shared" si="22"/>
        <v>17721770193.439999</v>
      </c>
      <c r="AJ107" s="33">
        <f t="shared" si="22"/>
        <v>16737213296.220001</v>
      </c>
      <c r="AK107" s="33">
        <f t="shared" si="22"/>
        <v>15995948192.019999</v>
      </c>
      <c r="AL107" s="33">
        <f t="shared" si="22"/>
        <v>14651565394.209999</v>
      </c>
      <c r="AM107" s="33">
        <f t="shared" si="22"/>
        <v>14215679731.030001</v>
      </c>
      <c r="AN107" s="33">
        <f t="shared" si="22"/>
        <v>13166976369.08</v>
      </c>
      <c r="AO107" s="33">
        <f t="shared" si="22"/>
        <v>12608007479.039999</v>
      </c>
      <c r="AP107" s="33">
        <f t="shared" si="22"/>
        <v>11503418295.949999</v>
      </c>
      <c r="AQ107" s="33">
        <f t="shared" si="22"/>
        <v>10807004733.84</v>
      </c>
      <c r="AR107" s="33">
        <f t="shared" si="22"/>
        <v>9854634976.4699993</v>
      </c>
      <c r="AS107" s="33">
        <f t="shared" si="22"/>
        <v>9285941265.0299988</v>
      </c>
      <c r="AT107" s="33">
        <f t="shared" si="22"/>
        <v>8368855770.4400005</v>
      </c>
      <c r="AU107" s="33">
        <f t="shared" si="22"/>
        <v>6952899324.3299999</v>
      </c>
      <c r="AV107" s="33">
        <f t="shared" si="22"/>
        <v>6219411895.4899998</v>
      </c>
      <c r="AW107" s="33">
        <f t="shared" si="22"/>
        <v>5888376793.5900002</v>
      </c>
      <c r="AX107" s="33">
        <f t="shared" si="22"/>
        <v>5995028649.4300003</v>
      </c>
      <c r="AY107" s="33">
        <f t="shared" si="22"/>
        <v>5415044428.1099997</v>
      </c>
      <c r="AZ107" s="33">
        <f t="shared" si="22"/>
        <v>5058474356.1400003</v>
      </c>
      <c r="BA107" s="33">
        <f t="shared" si="22"/>
        <v>5588295571.7399998</v>
      </c>
      <c r="BB107" s="33">
        <f t="shared" si="22"/>
        <v>5162395081.5200005</v>
      </c>
      <c r="BC107" s="33">
        <f t="shared" si="22"/>
        <v>4765503347.0299997</v>
      </c>
      <c r="BD107" s="33">
        <f t="shared" si="22"/>
        <v>4691837330.75</v>
      </c>
      <c r="BE107" s="33">
        <f t="shared" si="22"/>
        <v>4600649163.9900007</v>
      </c>
      <c r="BF107" s="33">
        <f t="shared" si="22"/>
        <v>4216707746.73</v>
      </c>
      <c r="BG107" s="33">
        <f t="shared" si="22"/>
        <v>3900474366.1300001</v>
      </c>
      <c r="BH107" s="33">
        <f t="shared" si="22"/>
        <v>3817145295.6799998</v>
      </c>
      <c r="BI107" s="33">
        <f t="shared" si="22"/>
        <v>3727794494.04</v>
      </c>
      <c r="BJ107" s="33">
        <f t="shared" si="22"/>
        <v>3470524090.9299998</v>
      </c>
      <c r="BK107" s="33">
        <f t="shared" si="22"/>
        <v>3231516625.3400002</v>
      </c>
      <c r="BL107" s="33">
        <f t="shared" si="22"/>
        <v>3124773172.54</v>
      </c>
      <c r="BM107" s="33">
        <f t="shared" si="22"/>
        <v>3100472676.3099999</v>
      </c>
      <c r="BN107" s="33">
        <f t="shared" si="22"/>
        <v>2874733972.6900001</v>
      </c>
      <c r="BO107" s="33">
        <f t="shared" si="22"/>
        <v>2857804350.4700003</v>
      </c>
      <c r="BP107" s="33">
        <f t="shared" si="22"/>
        <v>2784052740.7799997</v>
      </c>
      <c r="BQ107" s="33">
        <f t="shared" si="22"/>
        <v>2751462376.5999999</v>
      </c>
      <c r="BR107" s="33">
        <f t="shared" ref="BR107:CK107" si="23">BR102+BR103</f>
        <v>2537631703.8100004</v>
      </c>
      <c r="BS107" s="33">
        <f t="shared" si="23"/>
        <v>561545403.24000001</v>
      </c>
      <c r="BT107" s="33">
        <f t="shared" si="23"/>
        <v>443779623.04000002</v>
      </c>
      <c r="BU107" s="33">
        <f t="shared" si="23"/>
        <v>285361855.23000002</v>
      </c>
      <c r="BV107" s="33">
        <f t="shared" si="23"/>
        <v>234091527.97999999</v>
      </c>
      <c r="BW107" s="33">
        <f t="shared" si="23"/>
        <v>0</v>
      </c>
      <c r="BX107" s="33">
        <f t="shared" si="23"/>
        <v>2089698452.7</v>
      </c>
      <c r="BY107" s="33">
        <f t="shared" si="23"/>
        <v>1764990217.6700001</v>
      </c>
      <c r="BZ107" s="33">
        <f t="shared" si="23"/>
        <v>1864618529.46</v>
      </c>
      <c r="CA107" s="33">
        <f t="shared" si="23"/>
        <v>392384778.43000001</v>
      </c>
      <c r="CB107" s="33">
        <f t="shared" si="23"/>
        <v>264958379.21000001</v>
      </c>
      <c r="CC107" s="33">
        <f t="shared" si="23"/>
        <v>225967479.94999999</v>
      </c>
      <c r="CD107" s="33">
        <f t="shared" si="23"/>
        <v>0</v>
      </c>
      <c r="CE107" s="33">
        <f t="shared" si="23"/>
        <v>1079738000</v>
      </c>
      <c r="CF107" s="33">
        <f t="shared" si="23"/>
        <v>1004228352.76</v>
      </c>
      <c r="CG107" s="33">
        <f t="shared" si="23"/>
        <v>492689900.37</v>
      </c>
      <c r="CH107" s="33">
        <f t="shared" si="23"/>
        <v>203800000</v>
      </c>
      <c r="CI107" s="33">
        <f t="shared" si="23"/>
        <v>162870000</v>
      </c>
      <c r="CJ107" s="33">
        <f t="shared" si="23"/>
        <v>92660000</v>
      </c>
      <c r="CK107" s="33">
        <f t="shared" si="23"/>
        <v>75420000</v>
      </c>
      <c r="CL107" s="33">
        <f>CL102+CL103</f>
        <v>0</v>
      </c>
    </row>
    <row r="108" spans="1:90" s="8" customFormat="1">
      <c r="A108" s="130" t="s">
        <v>75</v>
      </c>
      <c r="B108" s="38">
        <f>B89+B107</f>
        <v>117451258374.37</v>
      </c>
      <c r="C108" s="38">
        <f t="shared" ref="C108:J108" si="24">C89+C107</f>
        <v>96043042068.75</v>
      </c>
      <c r="D108" s="38">
        <f t="shared" si="24"/>
        <v>75933024490.050003</v>
      </c>
      <c r="E108" s="38">
        <f t="shared" si="24"/>
        <v>66261579868.690002</v>
      </c>
      <c r="F108" s="38">
        <f t="shared" si="24"/>
        <v>55389468523.029999</v>
      </c>
      <c r="G108" s="38">
        <f t="shared" si="24"/>
        <v>44156476162.149994</v>
      </c>
      <c r="H108" s="38">
        <f t="shared" si="24"/>
        <v>35454036397.25</v>
      </c>
      <c r="I108" s="38">
        <f t="shared" si="24"/>
        <v>25403379611.289997</v>
      </c>
      <c r="J108" s="38">
        <f t="shared" si="24"/>
        <v>18549389694.619999</v>
      </c>
      <c r="K108" s="38">
        <f t="shared" ref="C108:BN108" si="25">SUM(K89+K107)</f>
        <v>14651565394.209999</v>
      </c>
      <c r="L108" s="38">
        <f t="shared" si="25"/>
        <v>11503418295.949999</v>
      </c>
      <c r="M108" s="38">
        <f t="shared" si="25"/>
        <v>8368855770.4400005</v>
      </c>
      <c r="N108" s="38">
        <f t="shared" si="25"/>
        <v>5995028649.4300003</v>
      </c>
      <c r="O108" s="38">
        <f t="shared" si="25"/>
        <v>5162395081.5200005</v>
      </c>
      <c r="P108" s="38">
        <f t="shared" si="25"/>
        <v>4216707746.73</v>
      </c>
      <c r="Q108" s="38">
        <f t="shared" si="25"/>
        <v>3470524090.9299998</v>
      </c>
      <c r="R108" s="38">
        <f t="shared" si="25"/>
        <v>2852845506.1599998</v>
      </c>
      <c r="S108" s="38">
        <f t="shared" si="25"/>
        <v>2530915664.8000002</v>
      </c>
      <c r="T108" s="38">
        <f t="shared" si="25"/>
        <v>46624176881.220001</v>
      </c>
      <c r="U108" s="38">
        <f t="shared" si="25"/>
        <v>47453571644.629997</v>
      </c>
      <c r="V108" s="38">
        <f t="shared" si="25"/>
        <v>44129092273.259995</v>
      </c>
      <c r="W108" s="38">
        <f t="shared" si="25"/>
        <v>39820367702.190002</v>
      </c>
      <c r="X108" s="38">
        <f t="shared" si="25"/>
        <v>35779107183.520004</v>
      </c>
      <c r="Y108" s="38">
        <f t="shared" si="25"/>
        <v>38595633055.419998</v>
      </c>
      <c r="Z108" s="38">
        <f t="shared" si="25"/>
        <v>35454036397.25</v>
      </c>
      <c r="AA108" s="38">
        <f t="shared" si="25"/>
        <v>31991565468.779999</v>
      </c>
      <c r="AB108" s="38">
        <f t="shared" si="25"/>
        <v>28404775233.629997</v>
      </c>
      <c r="AC108" s="38">
        <f t="shared" si="25"/>
        <v>28530620402.029999</v>
      </c>
      <c r="AD108" s="38">
        <f t="shared" si="25"/>
        <v>25403379611.289997</v>
      </c>
      <c r="AE108" s="38">
        <f t="shared" si="25"/>
        <v>23083770116.279999</v>
      </c>
      <c r="AF108" s="38">
        <f t="shared" si="25"/>
        <v>21544955887.150002</v>
      </c>
      <c r="AG108" s="38">
        <f t="shared" si="25"/>
        <v>20540681024.259998</v>
      </c>
      <c r="AH108" s="38">
        <f t="shared" si="25"/>
        <v>18549389694.619999</v>
      </c>
      <c r="AI108" s="38">
        <f t="shared" si="25"/>
        <v>17721770193.439999</v>
      </c>
      <c r="AJ108" s="38">
        <f t="shared" si="25"/>
        <v>16737213296.220001</v>
      </c>
      <c r="AK108" s="38">
        <f t="shared" si="25"/>
        <v>15995948192.019999</v>
      </c>
      <c r="AL108" s="38">
        <f t="shared" si="25"/>
        <v>14651565394.209999</v>
      </c>
      <c r="AM108" s="38">
        <f t="shared" si="25"/>
        <v>14215679731.030001</v>
      </c>
      <c r="AN108" s="38">
        <f t="shared" si="25"/>
        <v>13166976369.08</v>
      </c>
      <c r="AO108" s="38">
        <f t="shared" si="25"/>
        <v>12608007479.039999</v>
      </c>
      <c r="AP108" s="38">
        <f t="shared" si="25"/>
        <v>11503418295.949999</v>
      </c>
      <c r="AQ108" s="38">
        <f t="shared" si="25"/>
        <v>10807004733.84</v>
      </c>
      <c r="AR108" s="38">
        <f t="shared" si="25"/>
        <v>9854634976.4699993</v>
      </c>
      <c r="AS108" s="38">
        <f t="shared" si="25"/>
        <v>9285941265.0299988</v>
      </c>
      <c r="AT108" s="38">
        <f t="shared" si="25"/>
        <v>8368855770.4400005</v>
      </c>
      <c r="AU108" s="38">
        <f t="shared" si="25"/>
        <v>6952899324.3299999</v>
      </c>
      <c r="AV108" s="38">
        <f t="shared" si="25"/>
        <v>6219411895.4899998</v>
      </c>
      <c r="AW108" s="38">
        <f t="shared" si="25"/>
        <v>5888376793.5900002</v>
      </c>
      <c r="AX108" s="38">
        <f t="shared" si="25"/>
        <v>5995028649.4300003</v>
      </c>
      <c r="AY108" s="38">
        <f t="shared" si="25"/>
        <v>5415044428.1099997</v>
      </c>
      <c r="AZ108" s="38">
        <f t="shared" si="25"/>
        <v>5058474356.1400003</v>
      </c>
      <c r="BA108" s="38">
        <f t="shared" si="25"/>
        <v>5588295571.7399998</v>
      </c>
      <c r="BB108" s="38">
        <f t="shared" si="25"/>
        <v>5162395081.5200005</v>
      </c>
      <c r="BC108" s="38">
        <f t="shared" si="25"/>
        <v>4765503347.0299997</v>
      </c>
      <c r="BD108" s="38">
        <f t="shared" si="25"/>
        <v>4691837330.75</v>
      </c>
      <c r="BE108" s="38">
        <f t="shared" si="25"/>
        <v>4600649163.9900007</v>
      </c>
      <c r="BF108" s="38">
        <f t="shared" si="25"/>
        <v>4216707746.73</v>
      </c>
      <c r="BG108" s="38">
        <f t="shared" si="25"/>
        <v>3900474366.1300001</v>
      </c>
      <c r="BH108" s="38">
        <f t="shared" si="25"/>
        <v>3817145295.6799998</v>
      </c>
      <c r="BI108" s="38">
        <f t="shared" si="25"/>
        <v>3727794494.04</v>
      </c>
      <c r="BJ108" s="38">
        <f t="shared" si="25"/>
        <v>3470524090.9299998</v>
      </c>
      <c r="BK108" s="38">
        <f t="shared" si="25"/>
        <v>3231516625.3400002</v>
      </c>
      <c r="BL108" s="38">
        <f t="shared" si="25"/>
        <v>3124773172.54</v>
      </c>
      <c r="BM108" s="38">
        <f t="shared" si="25"/>
        <v>3100472676.3099999</v>
      </c>
      <c r="BN108" s="38">
        <f t="shared" si="25"/>
        <v>2874733972.6900001</v>
      </c>
      <c r="BO108" s="38">
        <f t="shared" ref="BO108:CK108" si="26">SUM(BO89+BO107)</f>
        <v>2857804350.4700003</v>
      </c>
      <c r="BP108" s="38">
        <f t="shared" si="26"/>
        <v>2784052740.7799997</v>
      </c>
      <c r="BQ108" s="38">
        <f t="shared" si="26"/>
        <v>2751462376.5999999</v>
      </c>
      <c r="BR108" s="38">
        <f t="shared" si="26"/>
        <v>2537631703.8100004</v>
      </c>
      <c r="BS108" s="38">
        <f t="shared" si="26"/>
        <v>561545403.24000001</v>
      </c>
      <c r="BT108" s="38">
        <f t="shared" si="26"/>
        <v>443779623.04000002</v>
      </c>
      <c r="BU108" s="38">
        <f t="shared" si="26"/>
        <v>285361855.23000002</v>
      </c>
      <c r="BV108" s="38">
        <f t="shared" si="26"/>
        <v>234091527.97999999</v>
      </c>
      <c r="BW108" s="38">
        <f t="shared" si="26"/>
        <v>0</v>
      </c>
      <c r="BX108" s="38">
        <f t="shared" si="26"/>
        <v>2089698452.7</v>
      </c>
      <c r="BY108" s="38">
        <f t="shared" si="26"/>
        <v>1764990217.6700001</v>
      </c>
      <c r="BZ108" s="38">
        <f t="shared" si="26"/>
        <v>1864618529.46</v>
      </c>
      <c r="CA108" s="38">
        <f t="shared" si="26"/>
        <v>392384778.43000001</v>
      </c>
      <c r="CB108" s="38">
        <f t="shared" si="26"/>
        <v>264958379.21000001</v>
      </c>
      <c r="CC108" s="38">
        <f t="shared" si="26"/>
        <v>225967479.94999999</v>
      </c>
      <c r="CD108" s="38">
        <f t="shared" si="26"/>
        <v>0</v>
      </c>
      <c r="CE108" s="38">
        <f t="shared" si="26"/>
        <v>1079738000</v>
      </c>
      <c r="CF108" s="38">
        <f t="shared" si="26"/>
        <v>1004228352.76</v>
      </c>
      <c r="CG108" s="38">
        <f t="shared" si="26"/>
        <v>492689900.37</v>
      </c>
      <c r="CH108" s="38">
        <f t="shared" si="26"/>
        <v>203800000</v>
      </c>
      <c r="CI108" s="38">
        <f t="shared" si="26"/>
        <v>162870000</v>
      </c>
      <c r="CJ108" s="38">
        <f t="shared" si="26"/>
        <v>92660000</v>
      </c>
      <c r="CK108" s="38">
        <f t="shared" si="26"/>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workbookViewId="0">
      <selection activeCell="B67" sqref="B67"/>
    </sheetView>
  </sheetViews>
  <sheetFormatPr defaultRowHeight="13.5"/>
  <cols>
    <col min="1" max="1" width="56" style="17" bestFit="1" customWidth="1"/>
    <col min="2" max="9" width="23.25" bestFit="1" customWidth="1"/>
    <col min="10" max="16" width="22" bestFit="1" customWidth="1"/>
    <col min="17" max="19" width="19.5" bestFit="1" customWidth="1"/>
    <col min="20" max="20" width="23.25" bestFit="1" customWidth="1"/>
    <col min="21" max="21" width="24.5" bestFit="1" customWidth="1"/>
    <col min="22" max="47" width="23.25" bestFit="1" customWidth="1"/>
    <col min="48" max="49" width="20.75" bestFit="1" customWidth="1"/>
    <col min="50" max="50" width="23.25" bestFit="1" customWidth="1"/>
    <col min="51" max="53" width="20.75" bestFit="1" customWidth="1"/>
    <col min="54" max="54" width="23.25" bestFit="1" customWidth="1"/>
    <col min="55" max="74" width="20.75" bestFit="1" customWidth="1"/>
    <col min="75" max="75" width="9.625" bestFit="1" customWidth="1"/>
    <col min="76" max="81" width="20.75" bestFit="1" customWidth="1"/>
    <col min="82" max="82" width="9.625" bestFit="1" customWidth="1"/>
    <col min="83"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s="315" customFormat="1">
      <c r="A1" s="315">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row>
    <row r="2" spans="1:89">
      <c r="A2" s="17" t="s">
        <v>84</v>
      </c>
    </row>
    <row r="3" spans="1:89" s="6" customFormat="1">
      <c r="A3" s="18" t="s">
        <v>85</v>
      </c>
    </row>
    <row r="4" spans="1:89" s="190" customFormat="1">
      <c r="A4" s="190" t="s">
        <v>271</v>
      </c>
      <c r="B4" s="314">
        <v>73638872388.029999</v>
      </c>
      <c r="C4" s="314">
        <v>58217861314.169998</v>
      </c>
      <c r="D4" s="314">
        <v>38862189993.839996</v>
      </c>
      <c r="E4" s="314">
        <v>32659583725.279999</v>
      </c>
      <c r="F4" s="314">
        <v>31573928530.939999</v>
      </c>
      <c r="G4" s="314">
        <v>30921801316.599998</v>
      </c>
      <c r="H4" s="314">
        <v>26455335152.990002</v>
      </c>
      <c r="I4" s="314">
        <v>18402355207.299999</v>
      </c>
      <c r="J4" s="314">
        <v>11633283740.18</v>
      </c>
      <c r="K4" s="314">
        <v>9669999065.3899994</v>
      </c>
      <c r="L4" s="314">
        <v>8241685564.1099997</v>
      </c>
      <c r="M4" s="314">
        <v>7237430747.1199999</v>
      </c>
      <c r="N4" s="314">
        <v>4896186901.21</v>
      </c>
      <c r="O4" s="314">
        <v>3930515237.6100001</v>
      </c>
      <c r="P4" s="314">
        <v>3009793519.9200001</v>
      </c>
      <c r="Q4" s="314">
        <v>2401017934.9299998</v>
      </c>
      <c r="R4" s="314">
        <v>1838129976.3399999</v>
      </c>
      <c r="S4" s="314">
        <v>1619202408.97</v>
      </c>
    </row>
    <row r="5" spans="1:89">
      <c r="A5" s="19" t="s">
        <v>272</v>
      </c>
      <c r="B5" s="271">
        <v>6522921833.7700005</v>
      </c>
      <c r="C5" s="271">
        <v>5940436371.9700003</v>
      </c>
      <c r="D5" s="271">
        <v>3410104085.9699998</v>
      </c>
      <c r="E5" s="271">
        <v>2538337449.0599999</v>
      </c>
      <c r="F5" s="271">
        <v>2338550532.3299999</v>
      </c>
      <c r="G5" s="271">
        <v>2193920307.9899998</v>
      </c>
      <c r="H5" s="271">
        <v>2044306468.76</v>
      </c>
      <c r="I5" s="271">
        <v>1551233976.0599999</v>
      </c>
      <c r="J5" s="271">
        <v>1052931591.61</v>
      </c>
      <c r="K5" s="271">
        <v>950672855.26999998</v>
      </c>
      <c r="L5" s="271">
        <v>799713319.24000001</v>
      </c>
      <c r="M5" s="271">
        <v>871643568.33000004</v>
      </c>
      <c r="N5" s="271">
        <v>791179840.49000001</v>
      </c>
      <c r="O5" s="271">
        <v>687106816.67999995</v>
      </c>
      <c r="P5" s="271">
        <v>535056248.94999999</v>
      </c>
      <c r="Q5" s="271">
        <v>477388129.86000001</v>
      </c>
      <c r="R5" s="271">
        <v>340556444.79000002</v>
      </c>
      <c r="S5" s="271">
        <v>287538468.11000001</v>
      </c>
      <c r="T5" s="187"/>
      <c r="U5" s="187"/>
      <c r="V5" s="187"/>
      <c r="W5" s="187"/>
      <c r="X5" s="187"/>
      <c r="Y5" s="187"/>
      <c r="Z5" s="187"/>
      <c r="AA5" s="187"/>
      <c r="AB5" s="187"/>
      <c r="AC5" s="187"/>
      <c r="AD5" s="187"/>
      <c r="AE5" s="187"/>
      <c r="AF5" s="187"/>
      <c r="AG5" s="187"/>
      <c r="AH5" s="187"/>
      <c r="AI5" s="187"/>
      <c r="AJ5" s="187"/>
      <c r="AK5" s="187"/>
      <c r="AL5" s="187"/>
      <c r="AM5" s="187"/>
      <c r="AN5" s="187"/>
      <c r="AO5" s="187"/>
      <c r="AP5" s="187"/>
      <c r="AQ5" s="187"/>
      <c r="AR5" s="187"/>
      <c r="AS5" s="187"/>
      <c r="AT5" s="187"/>
      <c r="AU5" s="187"/>
      <c r="AV5" s="187"/>
      <c r="AW5" s="187"/>
      <c r="AX5" s="187"/>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row>
    <row r="6" spans="1:89" s="3" customFormat="1">
      <c r="A6" s="20" t="s">
        <v>273</v>
      </c>
      <c r="B6" s="27">
        <f>B4-B5</f>
        <v>67115950554.259995</v>
      </c>
      <c r="C6" s="27">
        <f t="shared" ref="C6:BN6" si="0">C4-C5</f>
        <v>52277424942.199997</v>
      </c>
      <c r="D6" s="27">
        <f t="shared" si="0"/>
        <v>35452085907.869995</v>
      </c>
      <c r="E6" s="27">
        <f t="shared" si="0"/>
        <v>30121246276.219997</v>
      </c>
      <c r="F6" s="27">
        <f t="shared" si="0"/>
        <v>29235377998.610001</v>
      </c>
      <c r="G6" s="27">
        <f t="shared" si="0"/>
        <v>28727881008.610001</v>
      </c>
      <c r="H6" s="27">
        <f t="shared" si="0"/>
        <v>24411028684.230003</v>
      </c>
      <c r="I6" s="27">
        <f t="shared" si="0"/>
        <v>16851121231.24</v>
      </c>
      <c r="J6" s="27">
        <f t="shared" si="0"/>
        <v>10580352148.57</v>
      </c>
      <c r="K6" s="27">
        <f t="shared" si="0"/>
        <v>8719326210.1199989</v>
      </c>
      <c r="L6" s="27">
        <f t="shared" si="0"/>
        <v>7441972244.8699999</v>
      </c>
      <c r="M6" s="27">
        <f t="shared" si="0"/>
        <v>6365787178.79</v>
      </c>
      <c r="N6" s="27">
        <f t="shared" si="0"/>
        <v>4105007060.7200003</v>
      </c>
      <c r="O6" s="27">
        <f t="shared" si="0"/>
        <v>3243408420.9300003</v>
      </c>
      <c r="P6" s="27">
        <f t="shared" si="0"/>
        <v>2474737270.9700003</v>
      </c>
      <c r="Q6" s="27">
        <f t="shared" si="0"/>
        <v>1923629805.0699997</v>
      </c>
      <c r="R6" s="27">
        <f t="shared" si="0"/>
        <v>1497573531.55</v>
      </c>
      <c r="S6" s="27">
        <f t="shared" si="0"/>
        <v>1331663940.8600001</v>
      </c>
      <c r="T6" s="27">
        <f t="shared" si="0"/>
        <v>0</v>
      </c>
      <c r="U6" s="27">
        <f t="shared" si="0"/>
        <v>0</v>
      </c>
      <c r="V6" s="27">
        <f t="shared" si="0"/>
        <v>0</v>
      </c>
      <c r="W6" s="27">
        <f t="shared" si="0"/>
        <v>0</v>
      </c>
      <c r="X6" s="27">
        <f t="shared" si="0"/>
        <v>0</v>
      </c>
      <c r="Y6" s="27">
        <f t="shared" si="0"/>
        <v>0</v>
      </c>
      <c r="Z6" s="27">
        <f t="shared" si="0"/>
        <v>0</v>
      </c>
      <c r="AA6" s="27">
        <f t="shared" si="0"/>
        <v>0</v>
      </c>
      <c r="AB6" s="27">
        <f t="shared" si="0"/>
        <v>0</v>
      </c>
      <c r="AC6" s="27">
        <f t="shared" si="0"/>
        <v>0</v>
      </c>
      <c r="AD6" s="27">
        <f t="shared" si="0"/>
        <v>0</v>
      </c>
      <c r="AE6" s="27">
        <f t="shared" si="0"/>
        <v>0</v>
      </c>
      <c r="AF6" s="27">
        <f t="shared" si="0"/>
        <v>0</v>
      </c>
      <c r="AG6" s="27">
        <f t="shared" si="0"/>
        <v>0</v>
      </c>
      <c r="AH6" s="27">
        <f t="shared" si="0"/>
        <v>0</v>
      </c>
      <c r="AI6" s="27">
        <f t="shared" si="0"/>
        <v>0</v>
      </c>
      <c r="AJ6" s="27">
        <f t="shared" si="0"/>
        <v>0</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274</v>
      </c>
      <c r="B7" s="57">
        <f>B6/B4*100</f>
        <v>91.1420128768426</v>
      </c>
      <c r="C7" s="57">
        <f t="shared" ref="C7:D7" si="2">C6/C4*100</f>
        <v>89.796196153766786</v>
      </c>
      <c r="D7" s="57">
        <f t="shared" si="2"/>
        <v>91.225136600612231</v>
      </c>
      <c r="E7" s="57">
        <f>E6/E4</f>
        <v>0.92227894052748705</v>
      </c>
      <c r="F7" s="57">
        <f t="shared" ref="F7:BQ7" si="3">F6/F4</f>
        <v>0.9259341285314433</v>
      </c>
      <c r="G7" s="57">
        <f t="shared" si="3"/>
        <v>0.92904940156858784</v>
      </c>
      <c r="H7" s="57">
        <f t="shared" si="3"/>
        <v>0.92272611717304409</v>
      </c>
      <c r="I7" s="57">
        <f t="shared" si="3"/>
        <v>0.91570459549413308</v>
      </c>
      <c r="J7" s="57">
        <f t="shared" si="3"/>
        <v>0.90948973521781318</v>
      </c>
      <c r="K7" s="57">
        <f t="shared" si="3"/>
        <v>0.90168842325201826</v>
      </c>
      <c r="L7" s="57">
        <f t="shared" si="3"/>
        <v>0.90296726160938423</v>
      </c>
      <c r="M7" s="57">
        <f t="shared" si="3"/>
        <v>0.87956450309706191</v>
      </c>
      <c r="N7" s="57">
        <f t="shared" si="3"/>
        <v>0.83840897897617539</v>
      </c>
      <c r="O7" s="57">
        <f t="shared" si="3"/>
        <v>0.82518657856729138</v>
      </c>
      <c r="P7" s="57">
        <f t="shared" si="3"/>
        <v>0.82222825406168676</v>
      </c>
      <c r="Q7" s="57">
        <f t="shared" si="3"/>
        <v>0.80117260978564153</v>
      </c>
      <c r="R7" s="57">
        <f t="shared" si="3"/>
        <v>0.81472667919376396</v>
      </c>
      <c r="S7" s="57">
        <f t="shared" si="3"/>
        <v>0.82241968853485858</v>
      </c>
      <c r="T7" s="57" t="e">
        <f t="shared" si="3"/>
        <v>#DIV/0!</v>
      </c>
      <c r="U7" s="57" t="e">
        <f t="shared" si="3"/>
        <v>#DIV/0!</v>
      </c>
      <c r="V7" s="57" t="e">
        <f t="shared" si="3"/>
        <v>#DIV/0!</v>
      </c>
      <c r="W7" s="57" t="e">
        <f t="shared" si="3"/>
        <v>#DIV/0!</v>
      </c>
      <c r="X7" s="57" t="e">
        <f t="shared" si="3"/>
        <v>#DIV/0!</v>
      </c>
      <c r="Y7" s="57" t="e">
        <f t="shared" si="3"/>
        <v>#DIV/0!</v>
      </c>
      <c r="Z7" s="57" t="e">
        <f t="shared" si="3"/>
        <v>#DIV/0!</v>
      </c>
      <c r="AA7" s="57" t="e">
        <f t="shared" si="3"/>
        <v>#DIV/0!</v>
      </c>
      <c r="AB7" s="57" t="e">
        <f t="shared" si="3"/>
        <v>#DIV/0!</v>
      </c>
      <c r="AC7" s="57" t="e">
        <f t="shared" si="3"/>
        <v>#DIV/0!</v>
      </c>
      <c r="AD7" s="57" t="e">
        <f t="shared" si="3"/>
        <v>#DIV/0!</v>
      </c>
      <c r="AE7" s="57" t="e">
        <f t="shared" si="3"/>
        <v>#DIV/0!</v>
      </c>
      <c r="AF7" s="57" t="e">
        <f t="shared" si="3"/>
        <v>#DIV/0!</v>
      </c>
      <c r="AG7" s="57" t="e">
        <f t="shared" si="3"/>
        <v>#DIV/0!</v>
      </c>
      <c r="AH7" s="57" t="e">
        <f t="shared" si="3"/>
        <v>#DIV/0!</v>
      </c>
      <c r="AI7" s="57" t="e">
        <f t="shared" si="3"/>
        <v>#DIV/0!</v>
      </c>
      <c r="AJ7" s="57" t="e">
        <f t="shared" si="3"/>
        <v>#DIV/0!</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275</v>
      </c>
      <c r="B8" s="271">
        <v>11288926846.969999</v>
      </c>
      <c r="C8" s="271">
        <v>8404214470.6899996</v>
      </c>
      <c r="D8" s="271">
        <v>6508926343.2600002</v>
      </c>
      <c r="E8" s="271">
        <v>3449170637.4000001</v>
      </c>
      <c r="F8" s="271">
        <v>2788994436.0500002</v>
      </c>
      <c r="G8" s="271">
        <v>2790747889.4899998</v>
      </c>
      <c r="H8" s="271">
        <v>2572644755.4200001</v>
      </c>
      <c r="I8" s="271">
        <v>2477391798.0100002</v>
      </c>
      <c r="J8" s="271">
        <v>1577013104.9000001</v>
      </c>
      <c r="K8" s="271">
        <v>940508549.65999997</v>
      </c>
      <c r="L8" s="271">
        <v>681761604.71000004</v>
      </c>
      <c r="M8" s="271">
        <v>604078928.40999997</v>
      </c>
      <c r="N8" s="271">
        <v>574699589.65999997</v>
      </c>
      <c r="O8" s="271">
        <v>530245028.45999998</v>
      </c>
      <c r="P8" s="271">
        <v>324855608.17000002</v>
      </c>
      <c r="Q8" s="271">
        <v>308189009.56</v>
      </c>
      <c r="R8" s="271">
        <v>320026615.94999999</v>
      </c>
      <c r="S8" s="271">
        <v>317884849.44</v>
      </c>
      <c r="T8" s="187"/>
      <c r="U8" s="187"/>
      <c r="V8" s="187"/>
      <c r="W8" s="187"/>
      <c r="X8" s="187"/>
      <c r="Y8" s="187"/>
      <c r="Z8" s="187"/>
      <c r="AA8" s="187"/>
      <c r="AB8" s="187"/>
      <c r="AC8" s="187"/>
      <c r="AD8" s="187"/>
      <c r="AE8" s="187"/>
      <c r="AF8" s="187"/>
      <c r="AG8" s="187"/>
      <c r="AH8" s="187"/>
      <c r="AI8" s="187"/>
      <c r="AJ8" s="187"/>
      <c r="AK8" s="187"/>
      <c r="AL8" s="187"/>
      <c r="AM8" s="187"/>
      <c r="AN8" s="187"/>
      <c r="AO8" s="187"/>
      <c r="AP8" s="187"/>
      <c r="AQ8" s="187"/>
      <c r="AR8" s="187"/>
      <c r="AS8" s="187"/>
      <c r="AT8" s="187"/>
      <c r="AU8" s="187"/>
      <c r="AV8" s="187"/>
      <c r="AW8" s="187"/>
      <c r="AX8" s="187"/>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row>
    <row r="9" spans="1:89">
      <c r="A9" s="17" t="s">
        <v>276</v>
      </c>
      <c r="B9" s="271">
        <v>2572076872.1599998</v>
      </c>
      <c r="C9" s="271">
        <v>2986068544.9899998</v>
      </c>
      <c r="D9" s="271">
        <v>1681052022.9000001</v>
      </c>
      <c r="E9" s="271">
        <v>1484961519.21</v>
      </c>
      <c r="F9" s="271">
        <v>1674733451.0599999</v>
      </c>
      <c r="G9" s="271">
        <v>1858132722.71</v>
      </c>
      <c r="H9" s="271">
        <v>1224553444.02</v>
      </c>
      <c r="I9" s="271">
        <v>720327727.88999999</v>
      </c>
      <c r="J9" s="271">
        <v>676531662.09000003</v>
      </c>
      <c r="K9" s="271">
        <v>621284334.75</v>
      </c>
      <c r="L9" s="271">
        <v>532024659.80000001</v>
      </c>
      <c r="M9" s="271">
        <v>560385186.98000002</v>
      </c>
      <c r="N9" s="271">
        <v>579353831.58000004</v>
      </c>
      <c r="O9" s="271">
        <v>475939394.32999998</v>
      </c>
      <c r="P9" s="271">
        <v>376522300.75</v>
      </c>
      <c r="Q9" s="271">
        <v>365256375.5</v>
      </c>
      <c r="R9" s="271">
        <v>308176458.60000002</v>
      </c>
      <c r="S9" s="271">
        <v>228319500.78</v>
      </c>
      <c r="T9" s="187"/>
      <c r="U9" s="187"/>
      <c r="V9" s="187"/>
      <c r="W9" s="187"/>
      <c r="X9" s="187"/>
      <c r="Y9" s="187"/>
      <c r="Z9" s="187"/>
      <c r="AA9" s="187"/>
      <c r="AB9" s="187"/>
      <c r="AC9" s="187"/>
      <c r="AD9" s="187"/>
      <c r="AE9" s="187"/>
      <c r="AF9" s="187"/>
      <c r="AG9" s="187"/>
      <c r="AH9" s="187"/>
      <c r="AI9" s="187"/>
      <c r="AJ9" s="187"/>
      <c r="AK9" s="187"/>
      <c r="AL9" s="187"/>
      <c r="AM9" s="187"/>
      <c r="AN9" s="187"/>
      <c r="AO9" s="187"/>
      <c r="AP9" s="187"/>
      <c r="AQ9" s="187"/>
      <c r="AR9" s="187"/>
      <c r="AS9" s="187"/>
      <c r="AT9" s="187"/>
      <c r="AU9" s="187"/>
      <c r="AV9" s="187"/>
      <c r="AW9" s="187"/>
      <c r="AX9" s="187"/>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row>
    <row r="10" spans="1:89">
      <c r="A10" s="17" t="s">
        <v>277</v>
      </c>
      <c r="B10" s="271">
        <v>5325940762.2399998</v>
      </c>
      <c r="C10" s="271">
        <v>4720542820.1400003</v>
      </c>
      <c r="D10" s="271">
        <v>4187189840.4200001</v>
      </c>
      <c r="E10" s="271">
        <v>3812852076.1900001</v>
      </c>
      <c r="F10" s="271">
        <v>3378499544.5900002</v>
      </c>
      <c r="G10" s="271">
        <v>2834740716</v>
      </c>
      <c r="H10" s="271">
        <v>2204190581.1300001</v>
      </c>
      <c r="I10" s="271">
        <v>1673872427.75</v>
      </c>
      <c r="J10" s="271">
        <v>1346014202.04</v>
      </c>
      <c r="K10" s="271">
        <v>1217158463.04</v>
      </c>
      <c r="L10" s="271">
        <v>941174062.44000006</v>
      </c>
      <c r="M10" s="271">
        <v>723155575.20000005</v>
      </c>
      <c r="N10" s="271">
        <v>492828170.27999997</v>
      </c>
      <c r="O10" s="271">
        <v>350685099.47000003</v>
      </c>
      <c r="P10" s="271">
        <v>311563047.88999999</v>
      </c>
      <c r="Q10" s="271">
        <v>291880260.69</v>
      </c>
      <c r="R10" s="271">
        <v>237706731.47</v>
      </c>
      <c r="S10" s="271">
        <v>181060278.22</v>
      </c>
      <c r="T10" s="187"/>
      <c r="U10" s="187"/>
      <c r="V10" s="187"/>
      <c r="W10" s="187"/>
      <c r="X10" s="187"/>
      <c r="Y10" s="187"/>
      <c r="Z10" s="187"/>
      <c r="AA10" s="187"/>
      <c r="AB10" s="187"/>
      <c r="AC10" s="187"/>
      <c r="AD10" s="187"/>
      <c r="AE10" s="187"/>
      <c r="AF10" s="187"/>
      <c r="AG10" s="187"/>
      <c r="AH10" s="187"/>
      <c r="AI10" s="187"/>
      <c r="AJ10" s="187"/>
      <c r="AK10" s="187"/>
      <c r="AL10" s="187"/>
      <c r="AM10" s="187"/>
      <c r="AN10" s="187"/>
      <c r="AO10" s="187"/>
      <c r="AP10" s="187"/>
      <c r="AQ10" s="187"/>
      <c r="AR10" s="187"/>
      <c r="AS10" s="187"/>
      <c r="AT10" s="187"/>
      <c r="AU10" s="187"/>
      <c r="AV10" s="187"/>
      <c r="AW10" s="187"/>
      <c r="AX10" s="187"/>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row>
    <row r="11" spans="1:89">
      <c r="A11" s="17" t="s">
        <v>278</v>
      </c>
      <c r="B11" s="271">
        <v>1289685.01</v>
      </c>
      <c r="C11" s="271">
        <v>-8053703.9500000002</v>
      </c>
      <c r="D11" s="271">
        <v>12327496.220000001</v>
      </c>
      <c r="E11" s="271">
        <v>-540313.39</v>
      </c>
      <c r="F11" s="271">
        <v>432745.88</v>
      </c>
      <c r="G11" s="271">
        <v>-2004032.3</v>
      </c>
      <c r="H11" s="271">
        <v>2979258.5</v>
      </c>
      <c r="I11" s="271">
        <v>-2500650.5699999998</v>
      </c>
      <c r="J11" s="271">
        <v>-3066975.05</v>
      </c>
      <c r="K11" s="271">
        <v>-300085.01</v>
      </c>
      <c r="L11" s="271">
        <v>450078.22</v>
      </c>
      <c r="M11" s="271">
        <v>-614738.65</v>
      </c>
      <c r="N11" s="271">
        <v>0</v>
      </c>
      <c r="O11" s="271">
        <v>0</v>
      </c>
      <c r="P11" s="271">
        <v>0</v>
      </c>
      <c r="Q11" s="271">
        <v>0</v>
      </c>
      <c r="R11" s="271">
        <v>0</v>
      </c>
      <c r="S11" s="271">
        <v>0</v>
      </c>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row>
    <row r="12" spans="1:89" s="7" customFormat="1">
      <c r="A12" s="21" t="s">
        <v>279</v>
      </c>
      <c r="B12" s="29">
        <f>B55</f>
        <v>463</v>
      </c>
      <c r="C12" s="29">
        <f t="shared" ref="C12:BN12" si="5">C55</f>
        <v>603</v>
      </c>
      <c r="D12" s="29">
        <f t="shared" si="5"/>
        <v>653</v>
      </c>
      <c r="E12" s="29">
        <f t="shared" si="5"/>
        <v>4084075.75</v>
      </c>
      <c r="F12" s="29">
        <f t="shared" si="5"/>
        <v>1204</v>
      </c>
      <c r="G12" s="29">
        <f t="shared" si="5"/>
        <v>868</v>
      </c>
      <c r="H12" s="29">
        <f t="shared" si="5"/>
        <v>644</v>
      </c>
      <c r="I12" s="29">
        <f t="shared" si="5"/>
        <v>787035.87</v>
      </c>
      <c r="J12" s="29">
        <f t="shared" si="5"/>
        <v>0</v>
      </c>
      <c r="K12" s="29">
        <f t="shared" si="5"/>
        <v>0</v>
      </c>
      <c r="L12" s="29">
        <f t="shared" si="5"/>
        <v>0</v>
      </c>
      <c r="M12" s="29">
        <f t="shared" si="5"/>
        <v>1633270.12</v>
      </c>
      <c r="N12" s="29">
        <f t="shared" si="5"/>
        <v>0</v>
      </c>
      <c r="O12" s="29">
        <f t="shared" si="5"/>
        <v>0</v>
      </c>
      <c r="P12" s="29">
        <f t="shared" si="5"/>
        <v>0</v>
      </c>
      <c r="Q12" s="29">
        <f t="shared" si="5"/>
        <v>831553.24</v>
      </c>
      <c r="R12" s="29">
        <f t="shared" si="5"/>
        <v>0</v>
      </c>
      <c r="S12" s="29">
        <f t="shared" si="5"/>
        <v>0</v>
      </c>
      <c r="T12" s="29">
        <f t="shared" si="5"/>
        <v>0</v>
      </c>
      <c r="U12" s="29">
        <f t="shared" si="5"/>
        <v>434996.18</v>
      </c>
      <c r="V12" s="29">
        <f t="shared" si="5"/>
        <v>0</v>
      </c>
      <c r="W12" s="29">
        <f t="shared" si="5"/>
        <v>0</v>
      </c>
      <c r="X12" s="29">
        <f t="shared" si="5"/>
        <v>0</v>
      </c>
      <c r="Y12" s="29">
        <f t="shared" si="5"/>
        <v>603190.06999999995</v>
      </c>
      <c r="Z12" s="29">
        <f t="shared" si="5"/>
        <v>0</v>
      </c>
      <c r="AA12" s="29">
        <f t="shared" si="5"/>
        <v>0</v>
      </c>
      <c r="AB12" s="29">
        <f t="shared" si="5"/>
        <v>0</v>
      </c>
      <c r="AC12" s="29">
        <f t="shared" si="5"/>
        <v>352310</v>
      </c>
      <c r="AD12" s="29">
        <f t="shared" si="5"/>
        <v>0</v>
      </c>
      <c r="AE12" s="29">
        <f t="shared" si="5"/>
        <v>0</v>
      </c>
      <c r="AF12" s="29">
        <f t="shared" si="5"/>
        <v>0</v>
      </c>
      <c r="AG12" s="29">
        <f t="shared" si="5"/>
        <v>284184.78000000003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280</v>
      </c>
      <c r="B13" s="271">
        <v>11619526.109999999</v>
      </c>
      <c r="C13" s="271">
        <v>12201990.51</v>
      </c>
      <c r="D13" s="271">
        <v>8553926.0600000005</v>
      </c>
      <c r="E13" s="271">
        <v>4823183.32</v>
      </c>
      <c r="F13" s="271">
        <v>6562552.1799999997</v>
      </c>
      <c r="G13" s="271">
        <v>32763249.140000001</v>
      </c>
      <c r="H13" s="271">
        <v>6756532.1900000004</v>
      </c>
      <c r="I13" s="271">
        <v>7181584.54</v>
      </c>
      <c r="J13" s="271">
        <v>5307144.91</v>
      </c>
      <c r="K13" s="271">
        <v>6247977</v>
      </c>
      <c r="L13" s="271">
        <v>6282035.79</v>
      </c>
      <c r="M13" s="271">
        <v>2917186.44</v>
      </c>
      <c r="N13" s="271">
        <v>1149619.55</v>
      </c>
      <c r="O13" s="271">
        <v>1762887.9</v>
      </c>
      <c r="P13" s="271">
        <v>3601893.97</v>
      </c>
      <c r="Q13" s="271">
        <v>1392334.71</v>
      </c>
      <c r="R13" s="271">
        <v>137822</v>
      </c>
      <c r="S13" s="271">
        <v>72208.039999999994</v>
      </c>
      <c r="T13" s="187"/>
      <c r="U13" s="187"/>
      <c r="V13" s="187"/>
      <c r="W13" s="187"/>
      <c r="X13" s="187"/>
      <c r="Y13" s="187"/>
      <c r="Z13" s="187"/>
      <c r="AA13" s="187"/>
      <c r="AB13" s="187"/>
      <c r="AC13" s="187"/>
      <c r="AD13" s="187"/>
      <c r="AE13" s="187"/>
      <c r="AF13" s="187"/>
      <c r="AG13" s="187"/>
      <c r="AH13" s="187"/>
      <c r="AI13" s="187"/>
      <c r="AJ13" s="187"/>
      <c r="AK13" s="187"/>
      <c r="AL13" s="187"/>
      <c r="AM13" s="187"/>
      <c r="AN13" s="187"/>
      <c r="AO13" s="187"/>
      <c r="AP13" s="187"/>
      <c r="AQ13" s="187"/>
      <c r="AR13" s="187"/>
      <c r="AS13" s="187"/>
      <c r="AT13" s="187"/>
      <c r="AU13" s="187"/>
      <c r="AV13" s="187"/>
      <c r="AW13" s="187"/>
      <c r="AX13" s="187"/>
      <c r="AY13" s="187"/>
      <c r="AZ13" s="187"/>
      <c r="BA13" s="187"/>
      <c r="BB13" s="187"/>
      <c r="BC13" s="187"/>
      <c r="BD13" s="187"/>
      <c r="BE13" s="187"/>
      <c r="BF13" s="187"/>
      <c r="BG13" s="187"/>
      <c r="BH13" s="187"/>
      <c r="BI13" s="187"/>
      <c r="BJ13" s="187"/>
      <c r="BK13" s="187"/>
      <c r="BL13" s="187"/>
      <c r="BM13" s="187"/>
      <c r="BN13" s="187"/>
      <c r="BO13" s="187"/>
      <c r="BP13" s="187"/>
      <c r="BQ13" s="187"/>
      <c r="BR13" s="187"/>
      <c r="BS13" s="187"/>
      <c r="BT13" s="187"/>
      <c r="BU13" s="187"/>
      <c r="BV13" s="187"/>
      <c r="BW13" s="187"/>
      <c r="BX13" s="187"/>
      <c r="BY13" s="187"/>
      <c r="BZ13" s="187"/>
      <c r="CA13" s="187"/>
      <c r="CB13" s="187"/>
      <c r="CC13" s="187"/>
      <c r="CD13" s="187"/>
      <c r="CE13" s="187"/>
      <c r="CF13" s="187"/>
      <c r="CG13" s="187"/>
      <c r="CH13" s="187"/>
      <c r="CI13" s="187"/>
      <c r="CJ13" s="187"/>
      <c r="CK13" s="187"/>
    </row>
    <row r="14" spans="1:89">
      <c r="A14" s="17" t="s">
        <v>281</v>
      </c>
      <c r="B14" s="271">
        <v>527003759.81999999</v>
      </c>
      <c r="C14" s="271">
        <v>212137381.36000001</v>
      </c>
      <c r="D14" s="271">
        <v>316298138.37</v>
      </c>
      <c r="E14" s="271">
        <v>162100184.84999999</v>
      </c>
      <c r="F14" s="271">
        <v>227193365.75</v>
      </c>
      <c r="G14" s="271">
        <v>391947775.17000002</v>
      </c>
      <c r="H14" s="271">
        <v>137005880.68000001</v>
      </c>
      <c r="I14" s="271">
        <v>8685535.8200000003</v>
      </c>
      <c r="J14" s="271">
        <v>3796643.04</v>
      </c>
      <c r="K14" s="271">
        <v>1228603.08</v>
      </c>
      <c r="L14" s="271">
        <v>11366252.66</v>
      </c>
      <c r="M14" s="271">
        <v>6233172.3099999996</v>
      </c>
      <c r="N14" s="271">
        <v>191818.51</v>
      </c>
      <c r="O14" s="271">
        <v>796935.44</v>
      </c>
      <c r="P14" s="271">
        <v>1036434.99</v>
      </c>
      <c r="Q14" s="271">
        <v>137513.69</v>
      </c>
      <c r="R14" s="271">
        <v>10611.88</v>
      </c>
      <c r="S14" s="271">
        <v>3004334.7</v>
      </c>
      <c r="T14" s="187"/>
      <c r="U14" s="187"/>
      <c r="V14" s="187"/>
      <c r="W14" s="187"/>
      <c r="X14" s="187"/>
      <c r="Y14" s="187"/>
      <c r="Z14" s="187"/>
      <c r="AA14" s="187"/>
      <c r="AB14" s="187"/>
      <c r="AC14" s="187"/>
      <c r="AD14" s="187"/>
      <c r="AE14" s="187"/>
      <c r="AF14" s="187"/>
      <c r="AG14" s="187"/>
      <c r="AH14" s="187"/>
      <c r="AI14" s="187"/>
      <c r="AJ14" s="187"/>
      <c r="AK14" s="187"/>
      <c r="AL14" s="187"/>
      <c r="AM14" s="187"/>
      <c r="AN14" s="187"/>
      <c r="AO14" s="187"/>
      <c r="AP14" s="187"/>
      <c r="AQ14" s="187"/>
      <c r="AR14" s="187"/>
      <c r="AS14" s="187"/>
      <c r="AT14" s="187"/>
      <c r="AU14" s="187"/>
      <c r="AV14" s="187"/>
      <c r="AW14" s="187"/>
      <c r="AX14" s="187"/>
      <c r="AY14" s="187"/>
      <c r="AZ14" s="187"/>
      <c r="BA14" s="187"/>
      <c r="BB14" s="187"/>
      <c r="BC14" s="187"/>
      <c r="BD14" s="187"/>
      <c r="BE14" s="187"/>
      <c r="BF14" s="187"/>
      <c r="BG14" s="187"/>
      <c r="BH14" s="187"/>
      <c r="BI14" s="187"/>
      <c r="BJ14" s="187"/>
      <c r="BK14" s="187"/>
      <c r="BL14" s="187"/>
      <c r="BM14" s="187"/>
      <c r="BN14" s="187"/>
      <c r="BO14" s="187"/>
      <c r="BP14" s="187"/>
      <c r="BQ14" s="187"/>
      <c r="BR14" s="187"/>
      <c r="BS14" s="187"/>
      <c r="BT14" s="187"/>
      <c r="BU14" s="187"/>
      <c r="BV14" s="187"/>
      <c r="BW14" s="187"/>
      <c r="BX14" s="187"/>
      <c r="BY14" s="187"/>
      <c r="BZ14" s="187"/>
      <c r="CA14" s="187"/>
      <c r="CB14" s="187"/>
      <c r="CC14" s="187"/>
      <c r="CD14" s="187"/>
      <c r="CE14" s="187"/>
      <c r="CF14" s="187"/>
      <c r="CG14" s="187"/>
      <c r="CH14" s="187"/>
      <c r="CI14" s="187"/>
      <c r="CJ14" s="187"/>
      <c r="CK14" s="187"/>
    </row>
    <row r="15" spans="1:89" s="2" customFormat="1">
      <c r="A15" s="20" t="s">
        <v>284</v>
      </c>
      <c r="B15" s="28">
        <f>B6-(B8+B9+B10+B11+B12)+B13-B14</f>
        <v>47412331691.169998</v>
      </c>
      <c r="C15" s="28">
        <f t="shared" ref="C15:BN15" si="7">C6-(C8+C9+C10+C11+C12)+C13-C14</f>
        <v>35974716816.480003</v>
      </c>
      <c r="D15" s="28">
        <f t="shared" si="7"/>
        <v>22754845339.759998</v>
      </c>
      <c r="E15" s="28">
        <f t="shared" si="7"/>
        <v>21213441279.529999</v>
      </c>
      <c r="F15" s="28">
        <f t="shared" si="7"/>
        <v>21172085803.459999</v>
      </c>
      <c r="G15" s="28">
        <f t="shared" si="7"/>
        <v>20887078318.68</v>
      </c>
      <c r="H15" s="28">
        <f t="shared" si="7"/>
        <v>18276410652.670002</v>
      </c>
      <c r="I15" s="28">
        <f t="shared" si="7"/>
        <v>11979738941.010002</v>
      </c>
      <c r="J15" s="28">
        <f t="shared" si="7"/>
        <v>6985370656.46</v>
      </c>
      <c r="K15" s="28">
        <f t="shared" si="7"/>
        <v>5945694321.5999994</v>
      </c>
      <c r="L15" s="28">
        <f t="shared" si="7"/>
        <v>5281477622.8300009</v>
      </c>
      <c r="M15" s="28">
        <f t="shared" si="7"/>
        <v>4473832970.8599997</v>
      </c>
      <c r="N15" s="28">
        <f t="shared" si="7"/>
        <v>2459083270.2400002</v>
      </c>
      <c r="O15" s="28">
        <f t="shared" si="7"/>
        <v>1887504851.1300004</v>
      </c>
      <c r="P15" s="28">
        <f t="shared" si="7"/>
        <v>1464361773.1400003</v>
      </c>
      <c r="Q15" s="28">
        <f t="shared" si="7"/>
        <v>958727427.09999967</v>
      </c>
      <c r="R15" s="28">
        <f t="shared" si="7"/>
        <v>631790935.64999998</v>
      </c>
      <c r="S15" s="28">
        <f t="shared" si="7"/>
        <v>601467185.75999999</v>
      </c>
      <c r="T15" s="28">
        <f t="shared" si="7"/>
        <v>0</v>
      </c>
      <c r="U15" s="28">
        <f t="shared" si="7"/>
        <v>-434996.18</v>
      </c>
      <c r="V15" s="28">
        <f t="shared" si="7"/>
        <v>0</v>
      </c>
      <c r="W15" s="28">
        <f t="shared" si="7"/>
        <v>0</v>
      </c>
      <c r="X15" s="28">
        <f t="shared" si="7"/>
        <v>0</v>
      </c>
      <c r="Y15" s="28">
        <f t="shared" si="7"/>
        <v>-603190.06999999995</v>
      </c>
      <c r="Z15" s="28">
        <f t="shared" si="7"/>
        <v>0</v>
      </c>
      <c r="AA15" s="28">
        <f t="shared" si="7"/>
        <v>0</v>
      </c>
      <c r="AB15" s="28">
        <f t="shared" si="7"/>
        <v>0</v>
      </c>
      <c r="AC15" s="28">
        <f t="shared" si="7"/>
        <v>-352310</v>
      </c>
      <c r="AD15" s="28">
        <f t="shared" si="7"/>
        <v>0</v>
      </c>
      <c r="AE15" s="28">
        <f t="shared" si="7"/>
        <v>0</v>
      </c>
      <c r="AF15" s="28">
        <f t="shared" si="7"/>
        <v>0</v>
      </c>
      <c r="AG15" s="28">
        <f t="shared" si="7"/>
        <v>-284184.78000000003</v>
      </c>
      <c r="AH15" s="28">
        <f t="shared" si="7"/>
        <v>0</v>
      </c>
      <c r="AI15" s="28">
        <f t="shared" si="7"/>
        <v>0</v>
      </c>
      <c r="AJ15" s="28">
        <f t="shared" si="7"/>
        <v>0</v>
      </c>
      <c r="AK15" s="28">
        <f t="shared" si="7"/>
        <v>0</v>
      </c>
      <c r="AL15" s="28">
        <f t="shared" si="7"/>
        <v>0</v>
      </c>
      <c r="AM15" s="28">
        <f t="shared" si="7"/>
        <v>0</v>
      </c>
      <c r="AN15" s="28">
        <f t="shared" si="7"/>
        <v>0</v>
      </c>
      <c r="AO15" s="28">
        <f t="shared" si="7"/>
        <v>0</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282</v>
      </c>
      <c r="B16" s="26">
        <f>B15*B41</f>
        <v>12996929223.056229</v>
      </c>
      <c r="C16" s="26">
        <f t="shared" ref="C16:BN16" si="9">C15*C41</f>
        <v>9717559625.0522003</v>
      </c>
      <c r="D16" s="26">
        <f t="shared" si="9"/>
        <v>6017989634.522172</v>
      </c>
      <c r="E16" s="26">
        <f t="shared" si="9"/>
        <v>5531406817.7262774</v>
      </c>
      <c r="F16" s="26">
        <f t="shared" si="9"/>
        <v>5579858158.3791866</v>
      </c>
      <c r="G16" s="26">
        <f t="shared" si="9"/>
        <v>5356649146.2497625</v>
      </c>
      <c r="H16" s="26">
        <f t="shared" si="9"/>
        <v>4585636579.8030777</v>
      </c>
      <c r="I16" s="26">
        <f t="shared" si="9"/>
        <v>2995778110.8237772</v>
      </c>
      <c r="J16" s="26">
        <f t="shared" si="9"/>
        <v>1777601453.355489</v>
      </c>
      <c r="K16" s="26">
        <f t="shared" si="9"/>
        <v>1493772871.4015179</v>
      </c>
      <c r="L16" s="26">
        <f t="shared" si="9"/>
        <v>1357848773.729573</v>
      </c>
      <c r="M16" s="26">
        <f t="shared" si="9"/>
        <v>1539946423.8760257</v>
      </c>
      <c r="N16" s="26">
        <f t="shared" si="9"/>
        <v>903487967.59684777</v>
      </c>
      <c r="O16" s="26">
        <f t="shared" si="9"/>
        <v>738335883.52364326</v>
      </c>
      <c r="P16" s="26">
        <f t="shared" si="9"/>
        <v>625266739.19938314</v>
      </c>
      <c r="Q16" s="26">
        <f t="shared" si="9"/>
        <v>362472894.15557933</v>
      </c>
      <c r="R16" s="26">
        <f t="shared" si="9"/>
        <v>249878240.62681243</v>
      </c>
      <c r="S16" s="26">
        <f t="shared" si="9"/>
        <v>262407132.77007383</v>
      </c>
      <c r="T16" s="26">
        <f t="shared" si="9"/>
        <v>0</v>
      </c>
      <c r="U16" s="26">
        <f t="shared" si="9"/>
        <v>-24963502.694677748</v>
      </c>
      <c r="V16" s="26">
        <f t="shared" si="9"/>
        <v>0</v>
      </c>
      <c r="W16" s="26">
        <f t="shared" si="9"/>
        <v>0</v>
      </c>
      <c r="X16" s="26">
        <f t="shared" si="9"/>
        <v>0</v>
      </c>
      <c r="Y16" s="26">
        <f t="shared" si="9"/>
        <v>-7119315.5115978029</v>
      </c>
      <c r="Z16" s="26">
        <f t="shared" si="9"/>
        <v>0</v>
      </c>
      <c r="AA16" s="26">
        <f t="shared" si="9"/>
        <v>0</v>
      </c>
      <c r="AB16" s="26">
        <f t="shared" si="9"/>
        <v>0</v>
      </c>
      <c r="AC16" s="26">
        <f t="shared" si="9"/>
        <v>-3838859.024058504</v>
      </c>
      <c r="AD16" s="26">
        <f t="shared" si="9"/>
        <v>0</v>
      </c>
      <c r="AE16" s="26">
        <f t="shared" si="9"/>
        <v>0</v>
      </c>
      <c r="AF16" s="26">
        <f t="shared" si="9"/>
        <v>0</v>
      </c>
      <c r="AG16" s="26">
        <f t="shared" si="9"/>
        <v>-3535137.1863841922</v>
      </c>
      <c r="AH16" s="26">
        <f t="shared" si="9"/>
        <v>0</v>
      </c>
      <c r="AI16" s="26">
        <f t="shared" si="9"/>
        <v>0</v>
      </c>
      <c r="AJ16" s="26">
        <f t="shared" si="9"/>
        <v>0</v>
      </c>
      <c r="AK16" s="26">
        <f t="shared" si="9"/>
        <v>0</v>
      </c>
      <c r="AL16" s="26">
        <f t="shared" si="9"/>
        <v>0</v>
      </c>
      <c r="AM16" s="26">
        <f t="shared" si="9"/>
        <v>0</v>
      </c>
      <c r="AN16" s="26">
        <f t="shared" si="9"/>
        <v>0</v>
      </c>
      <c r="AO16" s="26">
        <f t="shared" si="9"/>
        <v>0</v>
      </c>
      <c r="AP16" s="26">
        <f t="shared" si="9"/>
        <v>0</v>
      </c>
      <c r="AQ16" s="26">
        <f t="shared" si="9"/>
        <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t="e">
        <f t="shared" si="10"/>
        <v>#DIV/0!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283</v>
      </c>
      <c r="B17" s="27">
        <f>B15-B16</f>
        <v>34415402468.11377</v>
      </c>
      <c r="C17" s="27">
        <f t="shared" ref="C17:BN17" si="11">C15-C16</f>
        <v>26257157191.427803</v>
      </c>
      <c r="D17" s="27">
        <f t="shared" si="11"/>
        <v>16736855705.237827</v>
      </c>
      <c r="E17" s="27">
        <f t="shared" si="11"/>
        <v>15682034461.803722</v>
      </c>
      <c r="F17" s="27">
        <f t="shared" si="11"/>
        <v>15592227645.080812</v>
      </c>
      <c r="G17" s="27">
        <f t="shared" si="11"/>
        <v>15530429172.430237</v>
      </c>
      <c r="H17" s="27">
        <f t="shared" si="11"/>
        <v>13690774072.866924</v>
      </c>
      <c r="I17" s="27">
        <f t="shared" si="11"/>
        <v>8983960830.1862259</v>
      </c>
      <c r="J17" s="27">
        <f t="shared" si="11"/>
        <v>5207769203.1045113</v>
      </c>
      <c r="K17" s="27">
        <f t="shared" si="11"/>
        <v>4451921450.1984816</v>
      </c>
      <c r="L17" s="27">
        <f t="shared" si="11"/>
        <v>3923628849.1004276</v>
      </c>
      <c r="M17" s="27">
        <f t="shared" si="11"/>
        <v>2933886546.983974</v>
      </c>
      <c r="N17" s="27">
        <f t="shared" si="11"/>
        <v>1555595302.6431525</v>
      </c>
      <c r="O17" s="27">
        <f t="shared" si="11"/>
        <v>1149168967.6063571</v>
      </c>
      <c r="P17" s="27">
        <f t="shared" si="11"/>
        <v>839095033.9406172</v>
      </c>
      <c r="Q17" s="27">
        <f t="shared" si="11"/>
        <v>596254532.94442034</v>
      </c>
      <c r="R17" s="27">
        <f t="shared" si="11"/>
        <v>381912695.02318752</v>
      </c>
      <c r="S17" s="27">
        <f t="shared" si="11"/>
        <v>339060052.98992616</v>
      </c>
      <c r="T17" s="27">
        <f t="shared" si="11"/>
        <v>0</v>
      </c>
      <c r="U17" s="27">
        <f t="shared" si="11"/>
        <v>24528506.514677748</v>
      </c>
      <c r="V17" s="27">
        <f t="shared" si="11"/>
        <v>0</v>
      </c>
      <c r="W17" s="27">
        <f t="shared" si="11"/>
        <v>0</v>
      </c>
      <c r="X17" s="27">
        <f t="shared" si="11"/>
        <v>0</v>
      </c>
      <c r="Y17" s="27">
        <f t="shared" si="11"/>
        <v>6516125.4415978026</v>
      </c>
      <c r="Z17" s="27">
        <f t="shared" si="11"/>
        <v>0</v>
      </c>
      <c r="AA17" s="27">
        <f t="shared" si="11"/>
        <v>0</v>
      </c>
      <c r="AB17" s="27">
        <f t="shared" si="11"/>
        <v>0</v>
      </c>
      <c r="AC17" s="27">
        <f t="shared" si="11"/>
        <v>3486549.024058504</v>
      </c>
      <c r="AD17" s="27">
        <f t="shared" si="11"/>
        <v>0</v>
      </c>
      <c r="AE17" s="27">
        <f t="shared" si="11"/>
        <v>0</v>
      </c>
      <c r="AF17" s="27">
        <f t="shared" si="11"/>
        <v>0</v>
      </c>
      <c r="AG17" s="27">
        <f t="shared" si="11"/>
        <v>3250952.4063841924</v>
      </c>
      <c r="AH17" s="27">
        <f t="shared" si="11"/>
        <v>0</v>
      </c>
      <c r="AI17" s="27">
        <f t="shared" si="11"/>
        <v>0</v>
      </c>
      <c r="AJ17" s="27">
        <f t="shared" si="11"/>
        <v>0</v>
      </c>
      <c r="AK17" s="27">
        <f t="shared" si="11"/>
        <v>0</v>
      </c>
      <c r="AL17" s="27">
        <f t="shared" si="11"/>
        <v>0</v>
      </c>
      <c r="AM17" s="27">
        <f t="shared" si="11"/>
        <v>0</v>
      </c>
      <c r="AN17" s="27">
        <f t="shared" si="11"/>
        <v>0</v>
      </c>
      <c r="AO17" s="27">
        <f t="shared" si="11"/>
        <v>0</v>
      </c>
      <c r="AP17" s="27">
        <f t="shared" si="11"/>
        <v>0</v>
      </c>
      <c r="AQ17" s="27">
        <f t="shared" si="11"/>
        <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t="e">
        <f t="shared" si="12"/>
        <v>#DIV/0!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285</v>
      </c>
      <c r="B18" s="57">
        <f>B17/B4*100</f>
        <v>46.735374065434485</v>
      </c>
      <c r="C18" s="57">
        <f t="shared" ref="C18:D18" si="13">C17/C4*100</f>
        <v>45.101548903921881</v>
      </c>
      <c r="D18" s="57">
        <f t="shared" si="13"/>
        <v>43.06719643924022</v>
      </c>
      <c r="E18" s="57">
        <f>E17/E4</f>
        <v>0.48016639139417799</v>
      </c>
      <c r="F18" s="57">
        <f t="shared" ref="F18:BQ18" si="14">F17/F4</f>
        <v>0.49383236013224135</v>
      </c>
      <c r="G18" s="57">
        <f t="shared" si="14"/>
        <v>0.50224852729044966</v>
      </c>
      <c r="H18" s="57">
        <f t="shared" si="14"/>
        <v>0.51750522129822962</v>
      </c>
      <c r="I18" s="57">
        <f t="shared" si="14"/>
        <v>0.48819625145711748</v>
      </c>
      <c r="J18" s="57">
        <f t="shared" si="14"/>
        <v>0.4476611522091124</v>
      </c>
      <c r="K18" s="57">
        <f t="shared" si="14"/>
        <v>0.46038488939801481</v>
      </c>
      <c r="L18" s="57">
        <f t="shared" si="14"/>
        <v>0.47607116512508341</v>
      </c>
      <c r="M18" s="57">
        <f t="shared" si="14"/>
        <v>0.40537680421349237</v>
      </c>
      <c r="N18" s="57">
        <f t="shared" si="14"/>
        <v>0.31771567017973035</v>
      </c>
      <c r="O18" s="57">
        <f t="shared" si="14"/>
        <v>0.29237107558069764</v>
      </c>
      <c r="P18" s="57">
        <f t="shared" si="14"/>
        <v>0.27878823859083868</v>
      </c>
      <c r="Q18" s="57">
        <f t="shared" si="14"/>
        <v>0.248334060429167</v>
      </c>
      <c r="R18" s="57">
        <f t="shared" si="14"/>
        <v>0.20777240997050414</v>
      </c>
      <c r="S18" s="57">
        <f t="shared" si="14"/>
        <v>0.20939942474863754</v>
      </c>
      <c r="T18" s="57" t="e">
        <f t="shared" si="14"/>
        <v>#DIV/0!</v>
      </c>
      <c r="U18" s="57" t="e">
        <f t="shared" si="14"/>
        <v>#DIV/0!</v>
      </c>
      <c r="V18" s="57" t="e">
        <f t="shared" si="14"/>
        <v>#DIV/0!</v>
      </c>
      <c r="W18" s="57" t="e">
        <f t="shared" si="14"/>
        <v>#DIV/0!</v>
      </c>
      <c r="X18" s="57" t="e">
        <f t="shared" si="14"/>
        <v>#DIV/0!</v>
      </c>
      <c r="Y18" s="57" t="e">
        <f t="shared" si="14"/>
        <v>#DIV/0!</v>
      </c>
      <c r="Z18" s="57" t="e">
        <f t="shared" si="14"/>
        <v>#DIV/0!</v>
      </c>
      <c r="AA18" s="57" t="e">
        <f t="shared" si="14"/>
        <v>#DIV/0!</v>
      </c>
      <c r="AB18" s="57" t="e">
        <f t="shared" si="14"/>
        <v>#DIV/0!</v>
      </c>
      <c r="AC18" s="57" t="e">
        <f t="shared" si="14"/>
        <v>#DIV/0!</v>
      </c>
      <c r="AD18" s="57" t="e">
        <f t="shared" si="14"/>
        <v>#DIV/0!</v>
      </c>
      <c r="AE18" s="57" t="e">
        <f t="shared" si="14"/>
        <v>#DIV/0!</v>
      </c>
      <c r="AF18" s="57" t="e">
        <f t="shared" si="14"/>
        <v>#DIV/0!</v>
      </c>
      <c r="AG18" s="57" t="e">
        <f t="shared" si="14"/>
        <v>#DIV/0!</v>
      </c>
      <c r="AH18" s="57" t="e">
        <f t="shared" si="14"/>
        <v>#DIV/0!</v>
      </c>
      <c r="AI18" s="57" t="e">
        <f t="shared" si="14"/>
        <v>#DIV/0!</v>
      </c>
      <c r="AJ18" s="57" t="e">
        <f t="shared" si="14"/>
        <v>#DIV/0!</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286</v>
      </c>
      <c r="B20" s="271">
        <v>0</v>
      </c>
      <c r="C20" s="271">
        <v>0</v>
      </c>
      <c r="D20" s="271">
        <v>0</v>
      </c>
      <c r="E20" s="271">
        <v>0</v>
      </c>
      <c r="F20" s="271">
        <v>0</v>
      </c>
      <c r="G20" s="271">
        <v>0</v>
      </c>
      <c r="H20" s="271">
        <v>0</v>
      </c>
      <c r="I20" s="271">
        <v>0</v>
      </c>
      <c r="J20" s="271">
        <v>0</v>
      </c>
      <c r="K20" s="271">
        <v>0</v>
      </c>
      <c r="L20" s="271">
        <v>0</v>
      </c>
      <c r="M20" s="271">
        <v>0</v>
      </c>
      <c r="N20" s="271">
        <v>0</v>
      </c>
      <c r="O20" s="271">
        <v>0</v>
      </c>
      <c r="P20" s="271">
        <v>0</v>
      </c>
      <c r="Q20" s="271">
        <v>0</v>
      </c>
      <c r="R20" s="271">
        <v>0</v>
      </c>
      <c r="S20" s="271">
        <v>0</v>
      </c>
      <c r="T20" s="187"/>
      <c r="U20" s="187"/>
      <c r="V20" s="187"/>
      <c r="W20" s="187"/>
      <c r="X20" s="187"/>
      <c r="Y20" s="187"/>
      <c r="Z20" s="187"/>
      <c r="AA20" s="187"/>
      <c r="AB20" s="187"/>
      <c r="AC20" s="187"/>
      <c r="AD20" s="187"/>
      <c r="AE20" s="187"/>
      <c r="AF20" s="187"/>
      <c r="AG20" s="187"/>
      <c r="AH20" s="187"/>
      <c r="AI20" s="187"/>
      <c r="AJ20" s="187"/>
      <c r="AK20" s="187"/>
      <c r="AL20" s="187"/>
      <c r="AM20" s="187"/>
      <c r="AN20" s="187"/>
      <c r="AO20" s="187"/>
      <c r="AP20" s="187"/>
      <c r="AQ20" s="187"/>
      <c r="AR20" s="187"/>
      <c r="AS20" s="187"/>
      <c r="AT20" s="187"/>
      <c r="AU20" s="187"/>
      <c r="AV20" s="187"/>
      <c r="AW20" s="187"/>
      <c r="AX20" s="187"/>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c r="CD20" s="187"/>
      <c r="CE20" s="187"/>
      <c r="CF20" s="187"/>
      <c r="CG20" s="187"/>
      <c r="CH20" s="187"/>
      <c r="CI20" s="187"/>
      <c r="CJ20" s="187"/>
      <c r="CK20" s="187"/>
    </row>
    <row r="21" spans="1:89" s="16" customFormat="1">
      <c r="A21" s="18" t="s">
        <v>87</v>
      </c>
      <c r="B21" s="30"/>
      <c r="C21" s="30"/>
      <c r="D21" s="30"/>
      <c r="E21" s="30"/>
      <c r="F21" s="30"/>
      <c r="G21" s="30"/>
      <c r="H21" s="30"/>
      <c r="I21" s="30"/>
      <c r="J21" s="30"/>
      <c r="K21" s="30"/>
    </row>
    <row r="22" spans="1:89">
      <c r="A22" s="17" t="s">
        <v>287</v>
      </c>
      <c r="B22" s="271">
        <v>0</v>
      </c>
      <c r="C22" s="271">
        <v>0</v>
      </c>
      <c r="D22" s="271">
        <v>0</v>
      </c>
      <c r="E22" s="271">
        <v>0</v>
      </c>
      <c r="F22" s="271">
        <v>0</v>
      </c>
      <c r="G22" s="271">
        <v>0</v>
      </c>
      <c r="H22" s="271">
        <v>0</v>
      </c>
      <c r="I22" s="271">
        <v>0</v>
      </c>
      <c r="J22" s="271">
        <v>0</v>
      </c>
      <c r="K22" s="271">
        <v>0</v>
      </c>
      <c r="L22" s="271">
        <v>0</v>
      </c>
      <c r="M22" s="271">
        <v>0</v>
      </c>
      <c r="N22" s="271">
        <v>0</v>
      </c>
      <c r="O22" s="271">
        <v>0</v>
      </c>
      <c r="P22" s="271">
        <v>0</v>
      </c>
      <c r="Q22" s="271">
        <v>0</v>
      </c>
      <c r="R22" s="271">
        <v>0</v>
      </c>
      <c r="S22" s="271">
        <v>0</v>
      </c>
      <c r="T22" s="187"/>
      <c r="U22" s="187"/>
      <c r="V22" s="187"/>
      <c r="W22" s="187"/>
      <c r="X22" s="187"/>
      <c r="Y22" s="187"/>
      <c r="Z22" s="187"/>
      <c r="AA22" s="187"/>
      <c r="AB22" s="187"/>
      <c r="AC22" s="187"/>
      <c r="AD22" s="187"/>
      <c r="AE22" s="187"/>
      <c r="AF22" s="187"/>
      <c r="AG22" s="187"/>
      <c r="AH22" s="187"/>
      <c r="AI22" s="187"/>
      <c r="AJ22" s="187"/>
      <c r="AK22" s="187"/>
      <c r="AL22" s="187"/>
      <c r="AM22" s="187"/>
      <c r="AN22" s="187"/>
      <c r="AO22" s="187"/>
      <c r="AP22" s="187"/>
      <c r="AQ22" s="187"/>
      <c r="AR22" s="187"/>
      <c r="AS22" s="187"/>
      <c r="AT22" s="187"/>
      <c r="AU22" s="187"/>
      <c r="AV22" s="187"/>
      <c r="AW22" s="187"/>
      <c r="AX22" s="187"/>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c r="CD22" s="187"/>
      <c r="CE22" s="187"/>
      <c r="CF22" s="187"/>
      <c r="CG22" s="187"/>
      <c r="CH22" s="187"/>
      <c r="CI22" s="187"/>
      <c r="CJ22" s="187"/>
      <c r="CK22" s="187"/>
    </row>
    <row r="23" spans="1:89" s="7" customFormat="1">
      <c r="A23" s="21" t="s">
        <v>288</v>
      </c>
      <c r="B23" s="29">
        <f>-B52</f>
        <v>25636</v>
      </c>
      <c r="C23" s="29">
        <f t="shared" ref="C23:BN23" si="16">-C52</f>
        <v>27718</v>
      </c>
      <c r="D23" s="29">
        <f t="shared" si="16"/>
        <v>35317</v>
      </c>
      <c r="E23" s="29">
        <f t="shared" si="16"/>
        <v>60687396.93</v>
      </c>
      <c r="F23" s="29">
        <f t="shared" si="16"/>
        <v>34414</v>
      </c>
      <c r="G23" s="29">
        <f t="shared" si="16"/>
        <v>23309</v>
      </c>
      <c r="H23" s="29">
        <f t="shared" si="16"/>
        <v>16814</v>
      </c>
      <c r="I23" s="29">
        <f t="shared" si="16"/>
        <v>71491803.299999997</v>
      </c>
      <c r="J23" s="29">
        <f t="shared" si="16"/>
        <v>0</v>
      </c>
      <c r="K23" s="29">
        <f t="shared" si="16"/>
        <v>0</v>
      </c>
      <c r="L23" s="29">
        <f t="shared" si="16"/>
        <v>0</v>
      </c>
      <c r="M23" s="29">
        <f t="shared" si="16"/>
        <v>110261058.02</v>
      </c>
      <c r="N23" s="29">
        <f t="shared" si="16"/>
        <v>0</v>
      </c>
      <c r="O23" s="29">
        <f t="shared" si="16"/>
        <v>0</v>
      </c>
      <c r="P23" s="29">
        <f t="shared" si="16"/>
        <v>0</v>
      </c>
      <c r="Q23" s="29">
        <f t="shared" si="16"/>
        <v>134292919.63</v>
      </c>
      <c r="R23" s="29">
        <f t="shared" si="16"/>
        <v>0</v>
      </c>
      <c r="S23" s="29">
        <f t="shared" si="16"/>
        <v>0</v>
      </c>
      <c r="T23" s="29">
        <f t="shared" si="16"/>
        <v>0</v>
      </c>
      <c r="U23" s="29">
        <f t="shared" si="16"/>
        <v>429509360.86000001</v>
      </c>
      <c r="V23" s="29">
        <f t="shared" si="16"/>
        <v>0</v>
      </c>
      <c r="W23" s="29">
        <f t="shared" si="16"/>
        <v>0</v>
      </c>
      <c r="X23" s="29">
        <f t="shared" si="16"/>
        <v>0</v>
      </c>
      <c r="Y23" s="29">
        <f t="shared" si="16"/>
        <v>421711334.77999997</v>
      </c>
      <c r="Z23" s="29">
        <f t="shared" si="16"/>
        <v>0</v>
      </c>
      <c r="AA23" s="29">
        <f t="shared" si="16"/>
        <v>0</v>
      </c>
      <c r="AB23" s="29">
        <f t="shared" si="16"/>
        <v>0</v>
      </c>
      <c r="AC23" s="29">
        <f t="shared" si="16"/>
        <v>352218795.39999998</v>
      </c>
      <c r="AD23" s="29">
        <f t="shared" si="16"/>
        <v>0</v>
      </c>
      <c r="AE23" s="29">
        <f t="shared" si="16"/>
        <v>0</v>
      </c>
      <c r="AF23" s="29">
        <f t="shared" si="16"/>
        <v>0</v>
      </c>
      <c r="AG23" s="29">
        <f t="shared" si="16"/>
        <v>176861209.69</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289</v>
      </c>
      <c r="B24" s="26">
        <f>B67</f>
        <v>0</v>
      </c>
      <c r="C24" s="26">
        <f t="shared" ref="C24:BN24" si="18">C67</f>
        <v>0</v>
      </c>
      <c r="D24" s="26">
        <f t="shared" si="18"/>
        <v>0</v>
      </c>
      <c r="E24" s="26">
        <f>E67</f>
        <v>3869276.9</v>
      </c>
      <c r="F24" s="26">
        <f t="shared" si="18"/>
        <v>3095265.75</v>
      </c>
      <c r="G24" s="26">
        <f t="shared" si="18"/>
        <v>3010000</v>
      </c>
      <c r="H24" s="26">
        <f t="shared" si="18"/>
        <v>3103250</v>
      </c>
      <c r="I24" s="26">
        <f t="shared" si="18"/>
        <v>3383000</v>
      </c>
      <c r="J24" s="26">
        <f t="shared" si="18"/>
        <v>469050</v>
      </c>
      <c r="K24" s="26">
        <f t="shared" si="18"/>
        <v>1209447.26</v>
      </c>
      <c r="L24" s="26">
        <f t="shared" si="18"/>
        <v>1322250</v>
      </c>
      <c r="M24" s="26">
        <f t="shared" si="18"/>
        <v>1814950</v>
      </c>
      <c r="N24" s="26">
        <f t="shared" si="18"/>
        <v>3012928.94</v>
      </c>
      <c r="O24" s="26">
        <f t="shared" si="18"/>
        <v>427953.6</v>
      </c>
      <c r="P24" s="26">
        <f t="shared" si="18"/>
        <v>315063.71000000002</v>
      </c>
      <c r="Q24" s="26">
        <f t="shared" si="18"/>
        <v>0</v>
      </c>
      <c r="R24" s="26">
        <f t="shared" si="18"/>
        <v>0</v>
      </c>
      <c r="S24" s="26">
        <f t="shared" si="18"/>
        <v>0</v>
      </c>
      <c r="T24" s="26">
        <f t="shared" si="18"/>
        <v>3010000</v>
      </c>
      <c r="U24" s="26">
        <f t="shared" si="18"/>
        <v>0</v>
      </c>
      <c r="V24" s="26">
        <f t="shared" si="18"/>
        <v>3010000</v>
      </c>
      <c r="W24" s="26">
        <f t="shared" si="18"/>
        <v>3010000</v>
      </c>
      <c r="X24" s="26">
        <f t="shared" si="18"/>
        <v>3010000</v>
      </c>
      <c r="Y24" s="26">
        <f t="shared" si="18"/>
        <v>0</v>
      </c>
      <c r="Z24" s="26">
        <f t="shared" si="18"/>
        <v>3103250</v>
      </c>
      <c r="AA24" s="26">
        <f t="shared" si="18"/>
        <v>3103250</v>
      </c>
      <c r="AB24" s="26">
        <f t="shared" si="18"/>
        <v>3103250</v>
      </c>
      <c r="AC24" s="26">
        <f t="shared" si="18"/>
        <v>93250</v>
      </c>
      <c r="AD24" s="26">
        <f t="shared" si="18"/>
        <v>3383000</v>
      </c>
      <c r="AE24" s="26">
        <f t="shared" si="18"/>
        <v>3289750</v>
      </c>
      <c r="AF24" s="26">
        <f t="shared" si="18"/>
        <v>3196500</v>
      </c>
      <c r="AG24" s="26">
        <f t="shared" si="18"/>
        <v>93250</v>
      </c>
      <c r="AH24" s="26">
        <f t="shared" si="18"/>
        <v>469050</v>
      </c>
      <c r="AI24" s="26">
        <f t="shared" si="18"/>
        <v>375800</v>
      </c>
      <c r="AJ24" s="26">
        <f t="shared" si="18"/>
        <v>282550</v>
      </c>
      <c r="AK24" s="26">
        <f t="shared" si="18"/>
        <v>0</v>
      </c>
      <c r="AL24" s="26">
        <f t="shared" si="18"/>
        <v>1209447.26</v>
      </c>
      <c r="AM24" s="26">
        <f t="shared" si="18"/>
        <v>972122.26</v>
      </c>
      <c r="AN24" s="26">
        <f t="shared" si="18"/>
        <v>734797.26</v>
      </c>
      <c r="AO24" s="26">
        <f t="shared" si="18"/>
        <v>301075</v>
      </c>
      <c r="AP24" s="26">
        <f t="shared" si="18"/>
        <v>1322250</v>
      </c>
      <c r="AQ24" s="26">
        <f t="shared" si="18"/>
        <v>1021175</v>
      </c>
      <c r="AR24" s="26">
        <f t="shared" si="18"/>
        <v>720100</v>
      </c>
      <c r="AS24" s="26">
        <f t="shared" si="18"/>
        <v>419025</v>
      </c>
      <c r="AT24" s="26">
        <f t="shared" si="18"/>
        <v>1814950</v>
      </c>
      <c r="AU24" s="26">
        <f t="shared" si="18"/>
        <v>859950</v>
      </c>
      <c r="AV24" s="26">
        <f t="shared" si="18"/>
        <v>859950</v>
      </c>
      <c r="AW24" s="26">
        <f t="shared" si="18"/>
        <v>0</v>
      </c>
      <c r="AX24" s="26">
        <f t="shared" si="18"/>
        <v>3012928.94</v>
      </c>
      <c r="AY24" s="26">
        <f t="shared" si="18"/>
        <v>144435.35999999999</v>
      </c>
      <c r="AZ24" s="26">
        <f t="shared" si="18"/>
        <v>144435.35999999999</v>
      </c>
      <c r="BA24" s="26">
        <f t="shared" si="18"/>
        <v>0</v>
      </c>
      <c r="BB24" s="26">
        <f t="shared" si="18"/>
        <v>427953.6</v>
      </c>
      <c r="BC24" s="26">
        <f t="shared" si="18"/>
        <v>23718.23</v>
      </c>
      <c r="BD24" s="26">
        <f t="shared" si="18"/>
        <v>23718.23</v>
      </c>
      <c r="BE24" s="26">
        <f t="shared" si="18"/>
        <v>-187658.6</v>
      </c>
      <c r="BF24" s="26">
        <f t="shared" si="18"/>
        <v>315063.71000000002</v>
      </c>
      <c r="BG24" s="26">
        <f t="shared" si="18"/>
        <v>0</v>
      </c>
      <c r="BH24" s="26">
        <f t="shared" si="18"/>
        <v>0</v>
      </c>
      <c r="BI24" s="26">
        <f t="shared" si="18"/>
        <v>0</v>
      </c>
      <c r="BJ24" s="26">
        <f t="shared" si="18"/>
        <v>0</v>
      </c>
      <c r="BK24" s="26">
        <f t="shared" si="18"/>
        <v>0</v>
      </c>
      <c r="BL24" s="26">
        <f t="shared" si="18"/>
        <v>0</v>
      </c>
      <c r="BM24" s="26">
        <f t="shared" si="18"/>
        <v>0</v>
      </c>
      <c r="BN24" s="26">
        <f t="shared" si="18"/>
        <v>0</v>
      </c>
      <c r="BO24" s="26">
        <f t="shared" ref="BO24:CJ24" si="19">BO67</f>
        <v>0</v>
      </c>
      <c r="BP24" s="26">
        <f t="shared" si="19"/>
        <v>0</v>
      </c>
      <c r="BQ24" s="26">
        <f t="shared" si="19"/>
        <v>0</v>
      </c>
      <c r="BR24" s="26">
        <f t="shared" si="19"/>
        <v>0</v>
      </c>
      <c r="BS24" s="26">
        <f t="shared" si="19"/>
        <v>0</v>
      </c>
      <c r="BT24" s="26">
        <f t="shared" si="19"/>
        <v>0</v>
      </c>
      <c r="BU24" s="26">
        <f t="shared" si="19"/>
        <v>0</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c r="A25" s="21" t="s">
        <v>290</v>
      </c>
      <c r="B25" s="29">
        <f>-B54</f>
        <v>-3104</v>
      </c>
      <c r="C25" s="29">
        <f t="shared" ref="C25:BN25" si="20">-C54</f>
        <v>1424</v>
      </c>
      <c r="D25" s="29">
        <f t="shared" si="20"/>
        <v>340</v>
      </c>
      <c r="E25" s="29">
        <f t="shared" si="20"/>
        <v>0</v>
      </c>
      <c r="F25" s="29">
        <f t="shared" si="20"/>
        <v>-2684</v>
      </c>
      <c r="G25" s="29">
        <f t="shared" si="20"/>
        <v>377</v>
      </c>
      <c r="H25" s="29">
        <f t="shared" si="20"/>
        <v>-1008</v>
      </c>
      <c r="I25" s="29">
        <f t="shared" si="20"/>
        <v>0</v>
      </c>
      <c r="J25" s="29">
        <f t="shared" si="20"/>
        <v>0</v>
      </c>
      <c r="K25" s="29">
        <f t="shared" si="20"/>
        <v>0</v>
      </c>
      <c r="L25" s="29">
        <f t="shared" si="20"/>
        <v>0</v>
      </c>
      <c r="M25" s="29">
        <f t="shared" si="20"/>
        <v>0</v>
      </c>
      <c r="N25" s="29">
        <f t="shared" si="20"/>
        <v>0</v>
      </c>
      <c r="O25" s="29">
        <f t="shared" si="20"/>
        <v>0</v>
      </c>
      <c r="P25" s="29">
        <f t="shared" si="20"/>
        <v>0</v>
      </c>
      <c r="Q25" s="29">
        <f t="shared" si="20"/>
        <v>0</v>
      </c>
      <c r="R25" s="29">
        <f t="shared" si="20"/>
        <v>0</v>
      </c>
      <c r="S25" s="29">
        <f t="shared" si="20"/>
        <v>0</v>
      </c>
      <c r="T25" s="29">
        <f t="shared" si="20"/>
        <v>0</v>
      </c>
      <c r="U25" s="29">
        <f t="shared" si="20"/>
        <v>0</v>
      </c>
      <c r="V25" s="29">
        <f t="shared" si="20"/>
        <v>0</v>
      </c>
      <c r="W25" s="29">
        <f t="shared" si="20"/>
        <v>0</v>
      </c>
      <c r="X25" s="29">
        <f t="shared" si="20"/>
        <v>0</v>
      </c>
      <c r="Y25" s="29">
        <f t="shared" si="20"/>
        <v>0</v>
      </c>
      <c r="Z25" s="29">
        <f t="shared" si="20"/>
        <v>0</v>
      </c>
      <c r="AA25" s="29">
        <f t="shared" si="20"/>
        <v>0</v>
      </c>
      <c r="AB25" s="29">
        <f t="shared" si="20"/>
        <v>0</v>
      </c>
      <c r="AC25" s="29">
        <f t="shared" si="20"/>
        <v>-1114988.48</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291</v>
      </c>
      <c r="B26" s="271">
        <v>335850.7</v>
      </c>
      <c r="C26" s="271">
        <v>3839265.16</v>
      </c>
      <c r="D26" s="271">
        <v>1793233.91</v>
      </c>
      <c r="E26" s="271">
        <v>-12415031.48</v>
      </c>
      <c r="F26" s="271">
        <v>-619043.99</v>
      </c>
      <c r="G26" s="271">
        <v>0</v>
      </c>
      <c r="H26" s="271">
        <v>0</v>
      </c>
      <c r="I26" s="271">
        <v>0</v>
      </c>
      <c r="J26" s="271">
        <v>0</v>
      </c>
      <c r="K26" s="271">
        <v>0</v>
      </c>
      <c r="L26" s="271">
        <v>0</v>
      </c>
      <c r="M26" s="271">
        <v>0</v>
      </c>
      <c r="N26" s="271">
        <v>0</v>
      </c>
      <c r="O26" s="271">
        <v>0</v>
      </c>
      <c r="P26" s="271">
        <v>0</v>
      </c>
      <c r="Q26" s="271">
        <v>0</v>
      </c>
      <c r="R26" s="271">
        <v>0</v>
      </c>
      <c r="S26" s="271">
        <v>0</v>
      </c>
      <c r="T26" s="187"/>
      <c r="U26" s="187"/>
      <c r="V26" s="187"/>
      <c r="W26" s="187"/>
      <c r="X26" s="187"/>
      <c r="Y26" s="187"/>
      <c r="Z26" s="187"/>
      <c r="AA26" s="187"/>
      <c r="AB26" s="187"/>
      <c r="AC26" s="187"/>
      <c r="AD26" s="187"/>
      <c r="AE26" s="187"/>
      <c r="AF26" s="187"/>
      <c r="AG26" s="187"/>
      <c r="AH26" s="187"/>
      <c r="AI26" s="187"/>
      <c r="AJ26" s="187"/>
      <c r="AK26" s="187"/>
      <c r="AL26" s="187"/>
      <c r="AM26" s="187"/>
      <c r="AN26" s="187"/>
      <c r="AO26" s="187"/>
      <c r="AP26" s="187"/>
      <c r="AQ26" s="187"/>
      <c r="AR26" s="187"/>
      <c r="AS26" s="187"/>
      <c r="AT26" s="187"/>
      <c r="AU26" s="187"/>
      <c r="AV26" s="187"/>
      <c r="AW26" s="187"/>
      <c r="AX26" s="187"/>
      <c r="AY26" s="187"/>
      <c r="AZ26" s="187"/>
      <c r="BA26" s="187"/>
      <c r="BB26" s="187"/>
      <c r="BC26" s="187"/>
      <c r="BD26" s="187"/>
      <c r="BE26" s="187"/>
      <c r="BF26" s="187"/>
      <c r="BG26" s="187"/>
      <c r="BH26" s="187"/>
      <c r="BI26" s="187"/>
      <c r="BJ26" s="187"/>
      <c r="BK26" s="187"/>
      <c r="BL26" s="187"/>
      <c r="BM26" s="187"/>
      <c r="BN26" s="187"/>
      <c r="BO26" s="187"/>
      <c r="BP26" s="187"/>
      <c r="BQ26" s="187"/>
      <c r="BR26" s="187"/>
      <c r="BS26" s="187"/>
      <c r="BT26" s="187"/>
      <c r="BU26" s="187"/>
      <c r="BV26" s="187"/>
      <c r="BW26" s="187"/>
      <c r="BX26" s="187"/>
      <c r="BY26" s="187"/>
      <c r="BZ26" s="187"/>
      <c r="CA26" s="187"/>
      <c r="CB26" s="187"/>
      <c r="CC26" s="187"/>
      <c r="CD26" s="187"/>
      <c r="CE26" s="187"/>
      <c r="CF26" s="187"/>
      <c r="CG26" s="187"/>
      <c r="CH26" s="187"/>
      <c r="CI26" s="187"/>
      <c r="CJ26" s="187"/>
      <c r="CK26" s="187"/>
    </row>
    <row r="27" spans="1:89">
      <c r="A27" s="17" t="s">
        <v>292</v>
      </c>
      <c r="B27" s="26">
        <f>SUM(B22:B26)</f>
        <v>358382.7</v>
      </c>
      <c r="C27" s="26">
        <f t="shared" ref="C27:BN27" si="22">SUM(C22:C26)</f>
        <v>3868407.16</v>
      </c>
      <c r="D27" s="26">
        <f t="shared" si="22"/>
        <v>1828890.91</v>
      </c>
      <c r="E27" s="26">
        <f t="shared" si="22"/>
        <v>52141642.349999994</v>
      </c>
      <c r="F27" s="26">
        <f t="shared" si="22"/>
        <v>2507951.7599999998</v>
      </c>
      <c r="G27" s="26">
        <f t="shared" si="22"/>
        <v>3033686</v>
      </c>
      <c r="H27" s="26">
        <f t="shared" si="22"/>
        <v>3119056</v>
      </c>
      <c r="I27" s="26">
        <f t="shared" si="22"/>
        <v>74874803.299999997</v>
      </c>
      <c r="J27" s="26">
        <f t="shared" si="22"/>
        <v>469050</v>
      </c>
      <c r="K27" s="26">
        <f t="shared" si="22"/>
        <v>1209447.26</v>
      </c>
      <c r="L27" s="26">
        <f t="shared" si="22"/>
        <v>1322250</v>
      </c>
      <c r="M27" s="26">
        <f t="shared" si="22"/>
        <v>112076008.02</v>
      </c>
      <c r="N27" s="26">
        <f t="shared" si="22"/>
        <v>3012928.94</v>
      </c>
      <c r="O27" s="26">
        <f t="shared" si="22"/>
        <v>427953.6</v>
      </c>
      <c r="P27" s="26">
        <f t="shared" si="22"/>
        <v>315063.71000000002</v>
      </c>
      <c r="Q27" s="26">
        <f t="shared" si="22"/>
        <v>134292919.63</v>
      </c>
      <c r="R27" s="26">
        <f t="shared" si="22"/>
        <v>0</v>
      </c>
      <c r="S27" s="26">
        <f t="shared" si="22"/>
        <v>0</v>
      </c>
      <c r="T27" s="26">
        <f t="shared" si="22"/>
        <v>3010000</v>
      </c>
      <c r="U27" s="26">
        <f t="shared" si="22"/>
        <v>429509360.86000001</v>
      </c>
      <c r="V27" s="26">
        <f t="shared" si="22"/>
        <v>3010000</v>
      </c>
      <c r="W27" s="26">
        <f t="shared" si="22"/>
        <v>3010000</v>
      </c>
      <c r="X27" s="26">
        <f t="shared" si="22"/>
        <v>3010000</v>
      </c>
      <c r="Y27" s="26">
        <f t="shared" si="22"/>
        <v>421711334.77999997</v>
      </c>
      <c r="Z27" s="26">
        <f t="shared" si="22"/>
        <v>3103250</v>
      </c>
      <c r="AA27" s="26">
        <f t="shared" si="22"/>
        <v>3103250</v>
      </c>
      <c r="AB27" s="26">
        <f t="shared" si="22"/>
        <v>3103250</v>
      </c>
      <c r="AC27" s="26">
        <f t="shared" si="22"/>
        <v>351197056.91999996</v>
      </c>
      <c r="AD27" s="26">
        <f t="shared" si="22"/>
        <v>3383000</v>
      </c>
      <c r="AE27" s="26">
        <f t="shared" si="22"/>
        <v>3289750</v>
      </c>
      <c r="AF27" s="26">
        <f t="shared" si="22"/>
        <v>3196500</v>
      </c>
      <c r="AG27" s="26">
        <f t="shared" si="22"/>
        <v>176954459.69</v>
      </c>
      <c r="AH27" s="26">
        <f t="shared" si="22"/>
        <v>469050</v>
      </c>
      <c r="AI27" s="26">
        <f t="shared" si="22"/>
        <v>375800</v>
      </c>
      <c r="AJ27" s="26">
        <f t="shared" si="22"/>
        <v>282550</v>
      </c>
      <c r="AK27" s="26">
        <f t="shared" si="22"/>
        <v>0</v>
      </c>
      <c r="AL27" s="26">
        <f t="shared" si="22"/>
        <v>1209447.26</v>
      </c>
      <c r="AM27" s="26">
        <f t="shared" si="22"/>
        <v>972122.26</v>
      </c>
      <c r="AN27" s="26">
        <f t="shared" si="22"/>
        <v>734797.26</v>
      </c>
      <c r="AO27" s="26">
        <f t="shared" si="22"/>
        <v>301075</v>
      </c>
      <c r="AP27" s="26">
        <f t="shared" si="22"/>
        <v>1322250</v>
      </c>
      <c r="AQ27" s="26">
        <f t="shared" si="22"/>
        <v>1021175</v>
      </c>
      <c r="AR27" s="26">
        <f t="shared" si="22"/>
        <v>720100</v>
      </c>
      <c r="AS27" s="26">
        <f t="shared" si="22"/>
        <v>419025</v>
      </c>
      <c r="AT27" s="26">
        <f t="shared" si="22"/>
        <v>1814950</v>
      </c>
      <c r="AU27" s="26">
        <f t="shared" si="22"/>
        <v>859950</v>
      </c>
      <c r="AV27" s="26">
        <f t="shared" si="22"/>
        <v>859950</v>
      </c>
      <c r="AW27" s="26">
        <f t="shared" si="22"/>
        <v>0</v>
      </c>
      <c r="AX27" s="26">
        <f t="shared" si="22"/>
        <v>3012928.94</v>
      </c>
      <c r="AY27" s="26">
        <f t="shared" si="22"/>
        <v>144435.35999999999</v>
      </c>
      <c r="AZ27" s="26">
        <f t="shared" si="22"/>
        <v>144435.35999999999</v>
      </c>
      <c r="BA27" s="26">
        <f t="shared" si="22"/>
        <v>0</v>
      </c>
      <c r="BB27" s="26">
        <f t="shared" si="22"/>
        <v>427953.6</v>
      </c>
      <c r="BC27" s="26">
        <f t="shared" si="22"/>
        <v>23718.23</v>
      </c>
      <c r="BD27" s="26">
        <f t="shared" si="22"/>
        <v>23718.23</v>
      </c>
      <c r="BE27" s="26">
        <f t="shared" si="22"/>
        <v>-187658.6</v>
      </c>
      <c r="BF27" s="26">
        <f t="shared" si="22"/>
        <v>315063.71000000002</v>
      </c>
      <c r="BG27" s="26">
        <f t="shared" si="22"/>
        <v>0</v>
      </c>
      <c r="BH27" s="26">
        <f t="shared" si="22"/>
        <v>0</v>
      </c>
      <c r="BI27" s="26">
        <f t="shared" si="22"/>
        <v>0</v>
      </c>
      <c r="BJ27" s="26">
        <f t="shared" si="22"/>
        <v>0</v>
      </c>
      <c r="BK27" s="26">
        <f t="shared" si="22"/>
        <v>0</v>
      </c>
      <c r="BL27" s="26">
        <f t="shared" si="22"/>
        <v>0</v>
      </c>
      <c r="BM27" s="26">
        <f t="shared" si="22"/>
        <v>0</v>
      </c>
      <c r="BN27" s="26">
        <f t="shared" si="22"/>
        <v>0</v>
      </c>
      <c r="BO27" s="26">
        <f t="shared" ref="BO27:CJ27" si="23">SUM(BO22:BO26)</f>
        <v>0</v>
      </c>
      <c r="BP27" s="26">
        <f t="shared" si="23"/>
        <v>0</v>
      </c>
      <c r="BQ27" s="26">
        <f t="shared" si="23"/>
        <v>0</v>
      </c>
      <c r="BR27" s="26">
        <f t="shared" si="23"/>
        <v>0</v>
      </c>
      <c r="BS27" s="26">
        <f t="shared" si="23"/>
        <v>0</v>
      </c>
      <c r="BT27" s="26">
        <f t="shared" si="23"/>
        <v>0</v>
      </c>
      <c r="BU27" s="26">
        <f t="shared" si="23"/>
        <v>0</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c r="A28" s="17" t="s">
        <v>293</v>
      </c>
      <c r="B28" s="26">
        <f>SUM(B22:B25)*B41</f>
        <v>6176.5958097446255</v>
      </c>
      <c r="C28" s="26">
        <f t="shared" ref="C28:BN28" si="24">SUM(C22:C25)*C41</f>
        <v>7871.8930308171985</v>
      </c>
      <c r="D28" s="26">
        <f t="shared" si="24"/>
        <v>9430.2313724458108</v>
      </c>
      <c r="E28" s="26">
        <f t="shared" si="24"/>
        <v>16833158.800008953</v>
      </c>
      <c r="F28" s="26">
        <f t="shared" si="24"/>
        <v>824113.07552905881</v>
      </c>
      <c r="G28" s="26">
        <f t="shared" si="24"/>
        <v>778011.71010866552</v>
      </c>
      <c r="H28" s="26">
        <f t="shared" si="24"/>
        <v>782585.68161274947</v>
      </c>
      <c r="I28" s="26">
        <f t="shared" si="24"/>
        <v>18723972.023338988</v>
      </c>
      <c r="J28" s="26">
        <f t="shared" si="24"/>
        <v>119361.44876225246</v>
      </c>
      <c r="K28" s="26">
        <f t="shared" si="24"/>
        <v>303856.77578741172</v>
      </c>
      <c r="L28" s="26">
        <f t="shared" si="24"/>
        <v>339945.68741576554</v>
      </c>
      <c r="M28" s="26">
        <f t="shared" si="24"/>
        <v>38577892.5759767</v>
      </c>
      <c r="N28" s="26">
        <f t="shared" si="24"/>
        <v>1106975.5455042603</v>
      </c>
      <c r="O28" s="26">
        <f t="shared" si="24"/>
        <v>167402.7482228502</v>
      </c>
      <c r="P28" s="26">
        <f t="shared" si="24"/>
        <v>134528.81808662595</v>
      </c>
      <c r="Q28" s="26">
        <f t="shared" si="24"/>
        <v>50773078.84069892</v>
      </c>
      <c r="R28" s="26">
        <f t="shared" si="24"/>
        <v>0</v>
      </c>
      <c r="S28" s="26">
        <f t="shared" si="24"/>
        <v>0</v>
      </c>
      <c r="T28" s="26">
        <f t="shared" si="24"/>
        <v>135353473.47703582</v>
      </c>
      <c r="U28" s="26">
        <f t="shared" si="24"/>
        <v>24648625850.502705</v>
      </c>
      <c r="V28" s="26">
        <f t="shared" si="24"/>
        <v>38087599.518666297</v>
      </c>
      <c r="W28" s="26">
        <f t="shared" si="24"/>
        <v>34758960.413375378</v>
      </c>
      <c r="X28" s="26">
        <f t="shared" si="24"/>
        <v>31176602.18447696</v>
      </c>
      <c r="Y28" s="26">
        <f t="shared" si="24"/>
        <v>4977363183.5747366</v>
      </c>
      <c r="Z28" s="26">
        <f t="shared" si="24"/>
        <v>34334561.448558435</v>
      </c>
      <c r="AA28" s="26">
        <f t="shared" si="24"/>
        <v>37656688.368166879</v>
      </c>
      <c r="AB28" s="26">
        <f t="shared" si="24"/>
        <v>39971820.283591829</v>
      </c>
      <c r="AC28" s="26">
        <f t="shared" si="24"/>
        <v>3826732114.2747293</v>
      </c>
      <c r="AD28" s="26">
        <f t="shared" si="24"/>
        <v>29464260.139683824</v>
      </c>
      <c r="AE28" s="26">
        <f t="shared" si="24"/>
        <v>34947907.83822199</v>
      </c>
      <c r="AF28" s="26">
        <f t="shared" si="24"/>
        <v>36172567.674816862</v>
      </c>
      <c r="AG28" s="26">
        <f t="shared" si="24"/>
        <v>2201237838.0947828</v>
      </c>
      <c r="AH28" s="26">
        <f t="shared" si="24"/>
        <v>4828779.3905056082</v>
      </c>
      <c r="AI28" s="26">
        <f t="shared" si="24"/>
        <v>4051683.3194018714</v>
      </c>
      <c r="AJ28" s="26">
        <f t="shared" si="24"/>
        <v>3114610.2999850768</v>
      </c>
      <c r="AK28" s="26">
        <f t="shared" si="24"/>
        <v>0</v>
      </c>
      <c r="AL28" s="26">
        <f t="shared" si="24"/>
        <v>13701698.467048582</v>
      </c>
      <c r="AM28" s="26">
        <f t="shared" si="24"/>
        <v>14098416.138226768</v>
      </c>
      <c r="AN28" s="26">
        <f t="shared" si="24"/>
        <v>8109682.4750696477</v>
      </c>
      <c r="AO28" s="26">
        <f t="shared" si="24"/>
        <v>1572372.8464632742</v>
      </c>
      <c r="AP28" s="26">
        <f t="shared" si="24"/>
        <v>17632985.533708274</v>
      </c>
      <c r="AQ28" s="26">
        <f t="shared" si="24"/>
        <v>17767741.498170622</v>
      </c>
      <c r="AR28" s="26">
        <f t="shared" si="24"/>
        <v>12045853.101922436</v>
      </c>
      <c r="AS28" s="26">
        <f t="shared" si="24"/>
        <v>3192457.3942600493</v>
      </c>
      <c r="AT28" s="26">
        <f t="shared" si="24"/>
        <v>60654781.071368173</v>
      </c>
      <c r="AU28" s="26">
        <f t="shared" si="24"/>
        <v>18487569.654710572</v>
      </c>
      <c r="AV28" s="26">
        <f t="shared" si="24"/>
        <v>11875240.389697319</v>
      </c>
      <c r="AW28" s="26">
        <f t="shared" si="24"/>
        <v>0</v>
      </c>
      <c r="AX28" s="26">
        <f t="shared" si="24"/>
        <v>97359458.622120112</v>
      </c>
      <c r="AY28" s="26">
        <f t="shared" si="24"/>
        <v>5665694.4822836071</v>
      </c>
      <c r="AZ28" s="26">
        <f t="shared" si="24"/>
        <v>7134392.1352029666</v>
      </c>
      <c r="BA28" s="26">
        <f t="shared" si="24"/>
        <v>0</v>
      </c>
      <c r="BB28" s="26">
        <f t="shared" si="24"/>
        <v>9832403.5830422752</v>
      </c>
      <c r="BC28" s="26">
        <f t="shared" si="24"/>
        <v>692670.13852930593</v>
      </c>
      <c r="BD28" s="26">
        <f t="shared" si="24"/>
        <v>741143.80711067631</v>
      </c>
      <c r="BE28" s="26">
        <f t="shared" si="24"/>
        <v>-9151161.2568086386</v>
      </c>
      <c r="BF28" s="26">
        <f t="shared" si="24"/>
        <v>7622457.3793282202</v>
      </c>
      <c r="BG28" s="26">
        <f t="shared" si="24"/>
        <v>0</v>
      </c>
      <c r="BH28" s="26">
        <f t="shared" si="24"/>
        <v>0</v>
      </c>
      <c r="BI28" s="26">
        <f t="shared" si="24"/>
        <v>0</v>
      </c>
      <c r="BJ28" s="26">
        <f t="shared" si="24"/>
        <v>0</v>
      </c>
      <c r="BK28" s="26">
        <f t="shared" si="24"/>
        <v>0</v>
      </c>
      <c r="BL28" s="26">
        <f t="shared" si="24"/>
        <v>0</v>
      </c>
      <c r="BM28" s="26">
        <f t="shared" si="24"/>
        <v>0</v>
      </c>
      <c r="BN28" s="26">
        <f t="shared" si="24"/>
        <v>0</v>
      </c>
      <c r="BO28" s="26">
        <f t="shared" ref="BO28:CJ28" si="25">SUM(BO22:BO25)*BO41</f>
        <v>0</v>
      </c>
      <c r="BP28" s="26">
        <f t="shared" si="25"/>
        <v>0</v>
      </c>
      <c r="BQ28" s="26">
        <f t="shared" si="25"/>
        <v>0</v>
      </c>
      <c r="BR28" s="26">
        <f t="shared" si="25"/>
        <v>0</v>
      </c>
      <c r="BS28" s="26">
        <f t="shared" si="25"/>
        <v>0</v>
      </c>
      <c r="BT28" s="26">
        <f t="shared" si="25"/>
        <v>0</v>
      </c>
      <c r="BU28" s="26">
        <f t="shared" si="25"/>
        <v>0</v>
      </c>
      <c r="BV28" s="26">
        <f t="shared" si="25"/>
        <v>0</v>
      </c>
      <c r="BW28" s="26" t="e">
        <f t="shared" si="25"/>
        <v>#DIV/0!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294</v>
      </c>
      <c r="B29" s="28">
        <f>B27-B28</f>
        <v>352206.1041902554</v>
      </c>
      <c r="C29" s="28">
        <f t="shared" ref="C29:BN29" si="26">C27-C28</f>
        <v>3860535.266969183</v>
      </c>
      <c r="D29" s="28">
        <f t="shared" si="26"/>
        <v>1819460.6786275541</v>
      </c>
      <c r="E29" s="28">
        <f t="shared" si="26"/>
        <v>35308483.549991041</v>
      </c>
      <c r="F29" s="28">
        <f t="shared" si="26"/>
        <v>1683838.6844709408</v>
      </c>
      <c r="G29" s="28">
        <f t="shared" si="26"/>
        <v>2255674.2898913343</v>
      </c>
      <c r="H29" s="28">
        <f t="shared" si="26"/>
        <v>2336470.3183872504</v>
      </c>
      <c r="I29" s="28">
        <f t="shared" si="26"/>
        <v>56150831.276661009</v>
      </c>
      <c r="J29" s="28">
        <f t="shared" si="26"/>
        <v>349688.55123774754</v>
      </c>
      <c r="K29" s="28">
        <f t="shared" si="26"/>
        <v>905590.48421258829</v>
      </c>
      <c r="L29" s="28">
        <f t="shared" si="26"/>
        <v>982304.3125842344</v>
      </c>
      <c r="M29" s="28">
        <f t="shared" si="26"/>
        <v>73498115.444023296</v>
      </c>
      <c r="N29" s="28">
        <f t="shared" si="26"/>
        <v>1905953.3944957396</v>
      </c>
      <c r="O29" s="28">
        <f t="shared" si="26"/>
        <v>260550.85177714977</v>
      </c>
      <c r="P29" s="28">
        <f t="shared" si="26"/>
        <v>180534.89191337407</v>
      </c>
      <c r="Q29" s="28">
        <f t="shared" si="26"/>
        <v>83519840.789301068</v>
      </c>
      <c r="R29" s="28">
        <f t="shared" si="26"/>
        <v>0</v>
      </c>
      <c r="S29" s="28">
        <f t="shared" si="26"/>
        <v>0</v>
      </c>
      <c r="T29" s="28">
        <f t="shared" si="26"/>
        <v>-132343473.47703582</v>
      </c>
      <c r="U29" s="28">
        <f t="shared" si="26"/>
        <v>-24219116489.642704</v>
      </c>
      <c r="V29" s="28">
        <f t="shared" si="26"/>
        <v>-35077599.518666297</v>
      </c>
      <c r="W29" s="28">
        <f t="shared" si="26"/>
        <v>-31748960.413375378</v>
      </c>
      <c r="X29" s="28">
        <f t="shared" si="26"/>
        <v>-28166602.18447696</v>
      </c>
      <c r="Y29" s="28">
        <f t="shared" si="26"/>
        <v>-4555651848.7947369</v>
      </c>
      <c r="Z29" s="28">
        <f t="shared" si="26"/>
        <v>-31231311.448558435</v>
      </c>
      <c r="AA29" s="28">
        <f t="shared" si="26"/>
        <v>-34553438.368166879</v>
      </c>
      <c r="AB29" s="28">
        <f t="shared" si="26"/>
        <v>-36868570.283591829</v>
      </c>
      <c r="AC29" s="28">
        <f t="shared" si="26"/>
        <v>-3475535057.3547292</v>
      </c>
      <c r="AD29" s="28">
        <f t="shared" si="26"/>
        <v>-26081260.139683824</v>
      </c>
      <c r="AE29" s="28">
        <f t="shared" si="26"/>
        <v>-31658157.83822199</v>
      </c>
      <c r="AF29" s="28">
        <f t="shared" si="26"/>
        <v>-32976067.674816862</v>
      </c>
      <c r="AG29" s="28">
        <f t="shared" si="26"/>
        <v>-2024283378.4047828</v>
      </c>
      <c r="AH29" s="28">
        <f t="shared" si="26"/>
        <v>-4359729.3905056082</v>
      </c>
      <c r="AI29" s="28">
        <f t="shared" si="26"/>
        <v>-3675883.3194018714</v>
      </c>
      <c r="AJ29" s="28">
        <f t="shared" si="26"/>
        <v>-2832060.2999850768</v>
      </c>
      <c r="AK29" s="28">
        <f t="shared" si="26"/>
        <v>0</v>
      </c>
      <c r="AL29" s="28">
        <f t="shared" si="26"/>
        <v>-12492251.207048582</v>
      </c>
      <c r="AM29" s="28">
        <f t="shared" si="26"/>
        <v>-13126293.878226768</v>
      </c>
      <c r="AN29" s="28">
        <f t="shared" si="26"/>
        <v>-7374885.2150696479</v>
      </c>
      <c r="AO29" s="28">
        <f t="shared" si="26"/>
        <v>-1271297.8464632742</v>
      </c>
      <c r="AP29" s="28">
        <f t="shared" si="26"/>
        <v>-16310735.533708274</v>
      </c>
      <c r="AQ29" s="28">
        <f t="shared" si="26"/>
        <v>-16746566.498170622</v>
      </c>
      <c r="AR29" s="28">
        <f t="shared" si="26"/>
        <v>-11325753.101922436</v>
      </c>
      <c r="AS29" s="28">
        <f t="shared" si="26"/>
        <v>-2773432.3942600493</v>
      </c>
      <c r="AT29" s="28">
        <f t="shared" si="26"/>
        <v>-58839831.071368173</v>
      </c>
      <c r="AU29" s="28">
        <f t="shared" si="26"/>
        <v>-17627619.654710572</v>
      </c>
      <c r="AV29" s="28">
        <f t="shared" si="26"/>
        <v>-11015290.389697319</v>
      </c>
      <c r="AW29" s="28">
        <f t="shared" si="26"/>
        <v>0</v>
      </c>
      <c r="AX29" s="28">
        <f t="shared" si="26"/>
        <v>-94346529.682120115</v>
      </c>
      <c r="AY29" s="28">
        <f t="shared" si="26"/>
        <v>-5521259.1222836068</v>
      </c>
      <c r="AZ29" s="28">
        <f t="shared" si="26"/>
        <v>-6989956.7752029663</v>
      </c>
      <c r="BA29" s="28">
        <f t="shared" si="26"/>
        <v>0</v>
      </c>
      <c r="BB29" s="28">
        <f t="shared" si="26"/>
        <v>-9404449.9830422755</v>
      </c>
      <c r="BC29" s="28">
        <f t="shared" si="26"/>
        <v>-668951.90852930595</v>
      </c>
      <c r="BD29" s="28">
        <f t="shared" si="26"/>
        <v>-717425.57711067633</v>
      </c>
      <c r="BE29" s="28">
        <f t="shared" si="26"/>
        <v>8963502.6568086389</v>
      </c>
      <c r="BF29" s="28">
        <f t="shared" si="26"/>
        <v>-7307393.6693282202</v>
      </c>
      <c r="BG29" s="28">
        <f t="shared" si="26"/>
        <v>0</v>
      </c>
      <c r="BH29" s="28">
        <f t="shared" si="26"/>
        <v>0</v>
      </c>
      <c r="BI29" s="28">
        <f t="shared" si="26"/>
        <v>0</v>
      </c>
      <c r="BJ29" s="28">
        <f t="shared" si="26"/>
        <v>0</v>
      </c>
      <c r="BK29" s="28">
        <f t="shared" si="26"/>
        <v>0</v>
      </c>
      <c r="BL29" s="28">
        <f t="shared" si="26"/>
        <v>0</v>
      </c>
      <c r="BM29" s="28">
        <f t="shared" si="26"/>
        <v>0</v>
      </c>
      <c r="BN29" s="28">
        <f t="shared" si="26"/>
        <v>0</v>
      </c>
      <c r="BO29" s="28">
        <f t="shared" ref="BO29:CK29" si="27">BO27-BO28</f>
        <v>0</v>
      </c>
      <c r="BP29" s="28">
        <f t="shared" si="27"/>
        <v>0</v>
      </c>
      <c r="BQ29" s="28">
        <f t="shared" si="27"/>
        <v>0</v>
      </c>
      <c r="BR29" s="28">
        <f t="shared" si="27"/>
        <v>0</v>
      </c>
      <c r="BS29" s="28">
        <f t="shared" si="27"/>
        <v>0</v>
      </c>
      <c r="BT29" s="28">
        <f t="shared" si="27"/>
        <v>0</v>
      </c>
      <c r="BU29" s="28">
        <f t="shared" si="27"/>
        <v>0</v>
      </c>
      <c r="BV29" s="28">
        <f t="shared" si="27"/>
        <v>0</v>
      </c>
      <c r="BW29" s="28" t="e">
        <f t="shared" si="27"/>
        <v>#DIV/0!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295</v>
      </c>
      <c r="B31" s="26">
        <f>B15+B20+B27</f>
        <v>47412690073.869995</v>
      </c>
      <c r="C31" s="26">
        <f t="shared" ref="C31:BN31" si="28">C15+C20+C27</f>
        <v>35978585223.640007</v>
      </c>
      <c r="D31" s="26">
        <f t="shared" si="28"/>
        <v>22756674230.669998</v>
      </c>
      <c r="E31" s="26">
        <f t="shared" si="28"/>
        <v>21265582921.879997</v>
      </c>
      <c r="F31" s="26">
        <f t="shared" si="28"/>
        <v>21174593755.219997</v>
      </c>
      <c r="G31" s="26">
        <f t="shared" si="28"/>
        <v>20890112004.68</v>
      </c>
      <c r="H31" s="26">
        <f t="shared" si="28"/>
        <v>18279529708.670002</v>
      </c>
      <c r="I31" s="26">
        <f t="shared" si="28"/>
        <v>12054613744.310001</v>
      </c>
      <c r="J31" s="26">
        <f t="shared" si="28"/>
        <v>6985839706.46</v>
      </c>
      <c r="K31" s="26">
        <f t="shared" si="28"/>
        <v>5946903768.8599997</v>
      </c>
      <c r="L31" s="26">
        <f t="shared" si="28"/>
        <v>5282799872.8300009</v>
      </c>
      <c r="M31" s="26">
        <f t="shared" si="28"/>
        <v>4585908978.8800001</v>
      </c>
      <c r="N31" s="26">
        <f t="shared" si="28"/>
        <v>2462096199.1800003</v>
      </c>
      <c r="O31" s="26">
        <f t="shared" si="28"/>
        <v>1887932804.7300003</v>
      </c>
      <c r="P31" s="26">
        <f t="shared" si="28"/>
        <v>1464676836.8500004</v>
      </c>
      <c r="Q31" s="26">
        <f t="shared" si="28"/>
        <v>1093020346.7299995</v>
      </c>
      <c r="R31" s="26">
        <f t="shared" si="28"/>
        <v>631790935.64999998</v>
      </c>
      <c r="S31" s="26">
        <f t="shared" si="28"/>
        <v>601467185.75999999</v>
      </c>
      <c r="T31" s="26">
        <f t="shared" si="28"/>
        <v>3010000</v>
      </c>
      <c r="U31" s="26">
        <f t="shared" si="28"/>
        <v>429074364.68000001</v>
      </c>
      <c r="V31" s="26">
        <f t="shared" si="28"/>
        <v>3010000</v>
      </c>
      <c r="W31" s="26">
        <f t="shared" si="28"/>
        <v>3010000</v>
      </c>
      <c r="X31" s="26">
        <f t="shared" si="28"/>
        <v>3010000</v>
      </c>
      <c r="Y31" s="26">
        <f t="shared" si="28"/>
        <v>421108144.70999998</v>
      </c>
      <c r="Z31" s="26">
        <f t="shared" si="28"/>
        <v>3103250</v>
      </c>
      <c r="AA31" s="26">
        <f t="shared" si="28"/>
        <v>3103250</v>
      </c>
      <c r="AB31" s="26">
        <f t="shared" si="28"/>
        <v>3103250</v>
      </c>
      <c r="AC31" s="26">
        <f t="shared" si="28"/>
        <v>350844746.91999996</v>
      </c>
      <c r="AD31" s="26">
        <f t="shared" si="28"/>
        <v>3383000</v>
      </c>
      <c r="AE31" s="26">
        <f t="shared" si="28"/>
        <v>3289750</v>
      </c>
      <c r="AF31" s="26">
        <f t="shared" si="28"/>
        <v>3196500</v>
      </c>
      <c r="AG31" s="26">
        <f t="shared" si="28"/>
        <v>176670274.91</v>
      </c>
      <c r="AH31" s="26">
        <f t="shared" si="28"/>
        <v>469050</v>
      </c>
      <c r="AI31" s="26">
        <f t="shared" si="28"/>
        <v>375800</v>
      </c>
      <c r="AJ31" s="26">
        <f t="shared" si="28"/>
        <v>282550</v>
      </c>
      <c r="AK31" s="26">
        <f t="shared" si="28"/>
        <v>0</v>
      </c>
      <c r="AL31" s="26">
        <f t="shared" si="28"/>
        <v>1209447.26</v>
      </c>
      <c r="AM31" s="26">
        <f t="shared" si="28"/>
        <v>972122.26</v>
      </c>
      <c r="AN31" s="26">
        <f t="shared" si="28"/>
        <v>734797.26</v>
      </c>
      <c r="AO31" s="26">
        <f t="shared" si="28"/>
        <v>301075</v>
      </c>
      <c r="AP31" s="26">
        <f t="shared" si="28"/>
        <v>1322250</v>
      </c>
      <c r="AQ31" s="26">
        <f t="shared" si="28"/>
        <v>1021175</v>
      </c>
      <c r="AR31" s="26">
        <f t="shared" si="28"/>
        <v>720100</v>
      </c>
      <c r="AS31" s="26">
        <f t="shared" si="28"/>
        <v>419025</v>
      </c>
      <c r="AT31" s="26">
        <f t="shared" si="28"/>
        <v>1814950</v>
      </c>
      <c r="AU31" s="26">
        <f t="shared" si="28"/>
        <v>859950</v>
      </c>
      <c r="AV31" s="26">
        <f t="shared" si="28"/>
        <v>859950</v>
      </c>
      <c r="AW31" s="26">
        <f t="shared" si="28"/>
        <v>0</v>
      </c>
      <c r="AX31" s="26">
        <f t="shared" si="28"/>
        <v>3012928.94</v>
      </c>
      <c r="AY31" s="26">
        <f t="shared" si="28"/>
        <v>144435.35999999999</v>
      </c>
      <c r="AZ31" s="26">
        <f t="shared" si="28"/>
        <v>144435.35999999999</v>
      </c>
      <c r="BA31" s="26">
        <f t="shared" si="28"/>
        <v>0</v>
      </c>
      <c r="BB31" s="26">
        <f t="shared" si="28"/>
        <v>427953.6</v>
      </c>
      <c r="BC31" s="26">
        <f t="shared" si="28"/>
        <v>23718.23</v>
      </c>
      <c r="BD31" s="26">
        <f t="shared" si="28"/>
        <v>23718.23</v>
      </c>
      <c r="BE31" s="26">
        <f t="shared" si="28"/>
        <v>-187658.6</v>
      </c>
      <c r="BF31" s="26">
        <f t="shared" si="28"/>
        <v>315063.71000000002</v>
      </c>
      <c r="BG31" s="26">
        <f t="shared" si="28"/>
        <v>0</v>
      </c>
      <c r="BH31" s="26">
        <f t="shared" si="28"/>
        <v>0</v>
      </c>
      <c r="BI31" s="26">
        <f t="shared" si="28"/>
        <v>0</v>
      </c>
      <c r="BJ31" s="26">
        <f t="shared" si="28"/>
        <v>0</v>
      </c>
      <c r="BK31" s="26">
        <f t="shared" si="28"/>
        <v>0</v>
      </c>
      <c r="BL31" s="26">
        <f t="shared" si="28"/>
        <v>0</v>
      </c>
      <c r="BM31" s="26">
        <f t="shared" si="28"/>
        <v>0</v>
      </c>
      <c r="BN31" s="26">
        <f t="shared" si="28"/>
        <v>0</v>
      </c>
      <c r="BO31" s="26">
        <f t="shared" ref="BO31:CJ31" si="29">BO15+BO20+BO27</f>
        <v>0</v>
      </c>
      <c r="BP31" s="26">
        <f t="shared" si="29"/>
        <v>0</v>
      </c>
      <c r="BQ31" s="26">
        <f t="shared" si="29"/>
        <v>0</v>
      </c>
      <c r="BR31" s="26">
        <f t="shared" si="29"/>
        <v>0</v>
      </c>
      <c r="BS31" s="26">
        <f t="shared" si="29"/>
        <v>0</v>
      </c>
      <c r="BT31" s="26">
        <f t="shared" si="29"/>
        <v>0</v>
      </c>
      <c r="BU31" s="26">
        <f t="shared" si="29"/>
        <v>0</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c r="A32" s="57" t="s">
        <v>296</v>
      </c>
      <c r="B32" s="57">
        <f>B31/B4*100</f>
        <v>64.385410227407192</v>
      </c>
      <c r="C32" s="57">
        <f t="shared" ref="C32:D32" si="30">C31/C4*100</f>
        <v>61.799908844956079</v>
      </c>
      <c r="D32" s="57">
        <f t="shared" si="30"/>
        <v>58.557364457013705</v>
      </c>
      <c r="E32" s="57">
        <f>E31/E4</f>
        <v>0.65112841304892299</v>
      </c>
      <c r="F32" s="57">
        <f t="shared" ref="F32:BQ32" si="31">F31/F4</f>
        <v>0.67063538623236385</v>
      </c>
      <c r="G32" s="57">
        <f t="shared" si="31"/>
        <v>0.67557875399274991</v>
      </c>
      <c r="H32" s="57">
        <f t="shared" si="31"/>
        <v>0.69095816034687563</v>
      </c>
      <c r="I32" s="57">
        <f t="shared" si="31"/>
        <v>0.65505820361124634</v>
      </c>
      <c r="J32" s="57">
        <f t="shared" si="31"/>
        <v>0.60050454046192714</v>
      </c>
      <c r="K32" s="57">
        <f t="shared" si="31"/>
        <v>0.61498493729380277</v>
      </c>
      <c r="L32" s="57">
        <f t="shared" si="31"/>
        <v>0.6409853702542313</v>
      </c>
      <c r="M32" s="57">
        <f t="shared" si="31"/>
        <v>0.63363770087953886</v>
      </c>
      <c r="N32" s="57">
        <f t="shared" si="31"/>
        <v>0.50285992934043011</v>
      </c>
      <c r="O32" s="57">
        <f t="shared" si="31"/>
        <v>0.48032705398643405</v>
      </c>
      <c r="P32" s="57">
        <f t="shared" si="31"/>
        <v>0.48663698262229338</v>
      </c>
      <c r="Q32" s="57">
        <f t="shared" si="31"/>
        <v>0.45523206254678222</v>
      </c>
      <c r="R32" s="57">
        <f t="shared" si="31"/>
        <v>0.34371396135326249</v>
      </c>
      <c r="S32" s="57">
        <f t="shared" si="31"/>
        <v>0.37145892473233327</v>
      </c>
      <c r="T32" s="57" t="e">
        <f t="shared" si="31"/>
        <v>#DIV/0!</v>
      </c>
      <c r="U32" s="57" t="e">
        <f t="shared" si="31"/>
        <v>#DIV/0!</v>
      </c>
      <c r="V32" s="57" t="e">
        <f t="shared" si="31"/>
        <v>#DIV/0!</v>
      </c>
      <c r="W32" s="57" t="e">
        <f t="shared" si="31"/>
        <v>#DIV/0!</v>
      </c>
      <c r="X32" s="57" t="e">
        <f t="shared" si="31"/>
        <v>#DIV/0!</v>
      </c>
      <c r="Y32" s="57" t="e">
        <f t="shared" si="31"/>
        <v>#DIV/0!</v>
      </c>
      <c r="Z32" s="57" t="e">
        <f t="shared" si="31"/>
        <v>#DIV/0!</v>
      </c>
      <c r="AA32" s="57" t="e">
        <f t="shared" si="31"/>
        <v>#DIV/0!</v>
      </c>
      <c r="AB32" s="57" t="e">
        <f t="shared" si="31"/>
        <v>#DIV/0!</v>
      </c>
      <c r="AC32" s="57" t="e">
        <f t="shared" si="31"/>
        <v>#DIV/0!</v>
      </c>
      <c r="AD32" s="57" t="e">
        <f t="shared" si="31"/>
        <v>#DIV/0!</v>
      </c>
      <c r="AE32" s="57" t="e">
        <f t="shared" si="31"/>
        <v>#DIV/0!</v>
      </c>
      <c r="AF32" s="57" t="e">
        <f t="shared" si="31"/>
        <v>#DIV/0!</v>
      </c>
      <c r="AG32" s="57" t="e">
        <f t="shared" si="31"/>
        <v>#DIV/0!</v>
      </c>
      <c r="AH32" s="57" t="e">
        <f t="shared" si="31"/>
        <v>#DIV/0!</v>
      </c>
      <c r="AI32" s="57" t="e">
        <f t="shared" si="31"/>
        <v>#DIV/0!</v>
      </c>
      <c r="AJ32" s="57" t="e">
        <f t="shared" si="31"/>
        <v>#DIV/0!</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297</v>
      </c>
      <c r="B33" s="26">
        <f>B17+B20+B29</f>
        <v>34415754674.217957</v>
      </c>
      <c r="C33" s="26">
        <f t="shared" ref="C33:BN33" si="33">C17+C20+C29</f>
        <v>26261017726.694771</v>
      </c>
      <c r="D33" s="26">
        <f t="shared" si="33"/>
        <v>16738675165.916454</v>
      </c>
      <c r="E33" s="26">
        <f t="shared" si="33"/>
        <v>15717342945.353714</v>
      </c>
      <c r="F33" s="26">
        <f t="shared" si="33"/>
        <v>15593911483.765284</v>
      </c>
      <c r="G33" s="26">
        <f t="shared" si="33"/>
        <v>15532684846.720129</v>
      </c>
      <c r="H33" s="26">
        <f t="shared" si="33"/>
        <v>13693110543.185312</v>
      </c>
      <c r="I33" s="26">
        <f t="shared" si="33"/>
        <v>9040111661.4628868</v>
      </c>
      <c r="J33" s="26">
        <f t="shared" si="33"/>
        <v>5208118891.6557493</v>
      </c>
      <c r="K33" s="26">
        <f t="shared" si="33"/>
        <v>4452827040.6826944</v>
      </c>
      <c r="L33" s="26">
        <f t="shared" si="33"/>
        <v>3924611153.413012</v>
      </c>
      <c r="M33" s="26">
        <f t="shared" si="33"/>
        <v>3007384662.4279971</v>
      </c>
      <c r="N33" s="26">
        <f t="shared" si="33"/>
        <v>1557501256.0376482</v>
      </c>
      <c r="O33" s="26">
        <f t="shared" si="33"/>
        <v>1149429518.4581342</v>
      </c>
      <c r="P33" s="26">
        <f t="shared" si="33"/>
        <v>839275568.83253062</v>
      </c>
      <c r="Q33" s="26">
        <f t="shared" si="33"/>
        <v>679774373.73372138</v>
      </c>
      <c r="R33" s="26">
        <f t="shared" si="33"/>
        <v>381912695.02318752</v>
      </c>
      <c r="S33" s="26">
        <f t="shared" si="33"/>
        <v>339060052.98992616</v>
      </c>
      <c r="T33" s="26">
        <f t="shared" si="33"/>
        <v>-132343473.47703582</v>
      </c>
      <c r="U33" s="26">
        <f t="shared" si="33"/>
        <v>-24194587983.128025</v>
      </c>
      <c r="V33" s="26">
        <f t="shared" si="33"/>
        <v>-35077599.518666297</v>
      </c>
      <c r="W33" s="26">
        <f t="shared" si="33"/>
        <v>-31748960.413375378</v>
      </c>
      <c r="X33" s="26">
        <f t="shared" si="33"/>
        <v>-28166602.18447696</v>
      </c>
      <c r="Y33" s="26">
        <f t="shared" si="33"/>
        <v>-4549135723.3531389</v>
      </c>
      <c r="Z33" s="26">
        <f t="shared" si="33"/>
        <v>-31231311.448558435</v>
      </c>
      <c r="AA33" s="26">
        <f t="shared" si="33"/>
        <v>-34553438.368166879</v>
      </c>
      <c r="AB33" s="26">
        <f t="shared" si="33"/>
        <v>-36868570.283591829</v>
      </c>
      <c r="AC33" s="26">
        <f t="shared" si="33"/>
        <v>-3472048508.3306708</v>
      </c>
      <c r="AD33" s="26">
        <f t="shared" si="33"/>
        <v>-26081260.139683824</v>
      </c>
      <c r="AE33" s="26">
        <f t="shared" si="33"/>
        <v>-31658157.83822199</v>
      </c>
      <c r="AF33" s="26">
        <f t="shared" si="33"/>
        <v>-32976067.674816862</v>
      </c>
      <c r="AG33" s="26">
        <f t="shared" si="33"/>
        <v>-2021032425.9983985</v>
      </c>
      <c r="AH33" s="26">
        <f t="shared" si="33"/>
        <v>-4359729.3905056082</v>
      </c>
      <c r="AI33" s="26">
        <f t="shared" si="33"/>
        <v>-3675883.3194018714</v>
      </c>
      <c r="AJ33" s="26">
        <f t="shared" si="33"/>
        <v>-2832060.2999850768</v>
      </c>
      <c r="AK33" s="26">
        <f t="shared" si="33"/>
        <v>0</v>
      </c>
      <c r="AL33" s="26">
        <f t="shared" si="33"/>
        <v>-12492251.207048582</v>
      </c>
      <c r="AM33" s="26">
        <f t="shared" si="33"/>
        <v>-13126293.878226768</v>
      </c>
      <c r="AN33" s="26">
        <f t="shared" si="33"/>
        <v>-7374885.2150696479</v>
      </c>
      <c r="AO33" s="26">
        <f t="shared" si="33"/>
        <v>-1271297.8464632742</v>
      </c>
      <c r="AP33" s="26">
        <f t="shared" si="33"/>
        <v>-16310735.533708274</v>
      </c>
      <c r="AQ33" s="26">
        <f t="shared" si="33"/>
        <v>-16746566.498170622</v>
      </c>
      <c r="AR33" s="26">
        <f t="shared" si="33"/>
        <v>-11325753.101922436</v>
      </c>
      <c r="AS33" s="26">
        <f t="shared" si="33"/>
        <v>-2773432.3942600493</v>
      </c>
      <c r="AT33" s="26">
        <f t="shared" si="33"/>
        <v>-58839831.071368173</v>
      </c>
      <c r="AU33" s="26">
        <f t="shared" si="33"/>
        <v>-17627619.654710572</v>
      </c>
      <c r="AV33" s="26">
        <f t="shared" si="33"/>
        <v>-11015290.389697319</v>
      </c>
      <c r="AW33" s="26">
        <f t="shared" si="33"/>
        <v>0</v>
      </c>
      <c r="AX33" s="26">
        <f t="shared" si="33"/>
        <v>-94346529.682120115</v>
      </c>
      <c r="AY33" s="26">
        <f t="shared" si="33"/>
        <v>-5521259.1222836068</v>
      </c>
      <c r="AZ33" s="26">
        <f t="shared" si="33"/>
        <v>-6989956.7752029663</v>
      </c>
      <c r="BA33" s="26">
        <f t="shared" si="33"/>
        <v>0</v>
      </c>
      <c r="BB33" s="26">
        <f t="shared" si="33"/>
        <v>-9404449.9830422755</v>
      </c>
      <c r="BC33" s="26">
        <f t="shared" si="33"/>
        <v>-668951.90852930595</v>
      </c>
      <c r="BD33" s="26">
        <f t="shared" si="33"/>
        <v>-717425.57711067633</v>
      </c>
      <c r="BE33" s="26">
        <f t="shared" si="33"/>
        <v>8963502.6568086389</v>
      </c>
      <c r="BF33" s="26">
        <f t="shared" si="33"/>
        <v>-7307393.6693282202</v>
      </c>
      <c r="BG33" s="26">
        <f t="shared" si="33"/>
        <v>0</v>
      </c>
      <c r="BH33" s="26">
        <f t="shared" si="33"/>
        <v>0</v>
      </c>
      <c r="BI33" s="26">
        <f t="shared" si="33"/>
        <v>0</v>
      </c>
      <c r="BJ33" s="26">
        <f t="shared" si="33"/>
        <v>0</v>
      </c>
      <c r="BK33" s="26">
        <f t="shared" si="33"/>
        <v>0</v>
      </c>
      <c r="BL33" s="26">
        <f t="shared" si="33"/>
        <v>0</v>
      </c>
      <c r="BM33" s="26">
        <f t="shared" si="33"/>
        <v>0</v>
      </c>
      <c r="BN33" s="26">
        <f t="shared" si="33"/>
        <v>0</v>
      </c>
      <c r="BO33" s="26">
        <f t="shared" ref="BO33:CJ33" si="34">BO17+BO20+BO29</f>
        <v>0</v>
      </c>
      <c r="BP33" s="26">
        <f t="shared" si="34"/>
        <v>0</v>
      </c>
      <c r="BQ33" s="26">
        <f t="shared" si="34"/>
        <v>0</v>
      </c>
      <c r="BR33" s="26">
        <f t="shared" si="34"/>
        <v>0</v>
      </c>
      <c r="BS33" s="26">
        <f t="shared" si="34"/>
        <v>0</v>
      </c>
      <c r="BT33" s="26">
        <f t="shared" si="34"/>
        <v>0</v>
      </c>
      <c r="BU33" s="26">
        <f t="shared" si="34"/>
        <v>0</v>
      </c>
      <c r="BV33" s="26">
        <f t="shared" si="34"/>
        <v>0</v>
      </c>
      <c r="BW33" s="26" t="e">
        <f t="shared" si="34"/>
        <v>#DIV/0!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298</v>
      </c>
      <c r="B34" s="57">
        <f>B33/B4*100</f>
        <v>46.735852353725392</v>
      </c>
      <c r="C34" s="57">
        <f t="shared" ref="C34:D34" si="35">C33/C4*100</f>
        <v>45.10818009094907</v>
      </c>
      <c r="D34" s="57">
        <f t="shared" si="35"/>
        <v>43.071878266689765</v>
      </c>
      <c r="E34" s="57">
        <f>E33/E4</f>
        <v>0.48124749775018649</v>
      </c>
      <c r="F34" s="57">
        <f t="shared" ref="F34:BQ34" si="36">F33/F4</f>
        <v>0.49388569016631745</v>
      </c>
      <c r="G34" s="57">
        <f t="shared" si="36"/>
        <v>0.50232147499057866</v>
      </c>
      <c r="H34" s="57">
        <f t="shared" si="36"/>
        <v>0.51759353884570636</v>
      </c>
      <c r="I34" s="57">
        <f t="shared" si="36"/>
        <v>0.49124753650428288</v>
      </c>
      <c r="J34" s="57">
        <f t="shared" si="36"/>
        <v>0.44769121152504138</v>
      </c>
      <c r="K34" s="57">
        <f t="shared" si="36"/>
        <v>0.46047853888837043</v>
      </c>
      <c r="L34" s="57">
        <f t="shared" si="36"/>
        <v>0.47619035243269703</v>
      </c>
      <c r="M34" s="57">
        <f t="shared" si="36"/>
        <v>0.41553208141227871</v>
      </c>
      <c r="N34" s="57">
        <f t="shared" si="36"/>
        <v>0.3181049431860416</v>
      </c>
      <c r="O34" s="57">
        <f t="shared" si="36"/>
        <v>0.29243736481659321</v>
      </c>
      <c r="P34" s="57">
        <f t="shared" si="36"/>
        <v>0.27884822107492557</v>
      </c>
      <c r="Q34" s="57">
        <f t="shared" si="36"/>
        <v>0.28311924032068497</v>
      </c>
      <c r="R34" s="57">
        <f t="shared" si="36"/>
        <v>0.20777240997050414</v>
      </c>
      <c r="S34" s="57">
        <f t="shared" si="36"/>
        <v>0.20939942474863754</v>
      </c>
      <c r="T34" s="57" t="e">
        <f t="shared" si="36"/>
        <v>#DIV/0!</v>
      </c>
      <c r="U34" s="57" t="e">
        <f t="shared" si="36"/>
        <v>#DIV/0!</v>
      </c>
      <c r="V34" s="57" t="e">
        <f t="shared" si="36"/>
        <v>#DIV/0!</v>
      </c>
      <c r="W34" s="57" t="e">
        <f t="shared" si="36"/>
        <v>#DIV/0!</v>
      </c>
      <c r="X34" s="57" t="e">
        <f t="shared" si="36"/>
        <v>#DIV/0!</v>
      </c>
      <c r="Y34" s="57" t="e">
        <f t="shared" si="36"/>
        <v>#DIV/0!</v>
      </c>
      <c r="Z34" s="57" t="e">
        <f t="shared" si="36"/>
        <v>#DIV/0!</v>
      </c>
      <c r="AA34" s="57" t="e">
        <f t="shared" si="36"/>
        <v>#DIV/0!</v>
      </c>
      <c r="AB34" s="57" t="e">
        <f t="shared" si="36"/>
        <v>#DIV/0!</v>
      </c>
      <c r="AC34" s="57" t="e">
        <f t="shared" si="36"/>
        <v>#DIV/0!</v>
      </c>
      <c r="AD34" s="57" t="e">
        <f t="shared" si="36"/>
        <v>#DIV/0!</v>
      </c>
      <c r="AE34" s="57" t="e">
        <f t="shared" si="36"/>
        <v>#DIV/0!</v>
      </c>
      <c r="AF34" s="57" t="e">
        <f t="shared" si="36"/>
        <v>#DIV/0!</v>
      </c>
      <c r="AG34" s="57" t="e">
        <f t="shared" si="36"/>
        <v>#DIV/0!</v>
      </c>
      <c r="AH34" s="57" t="e">
        <f t="shared" si="36"/>
        <v>#DIV/0!</v>
      </c>
      <c r="AI34" s="57" t="e">
        <f t="shared" si="36"/>
        <v>#DIV/0!</v>
      </c>
      <c r="AJ34" s="57" t="e">
        <f t="shared" si="36"/>
        <v>#DIV/0!</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299</v>
      </c>
      <c r="B35" s="26">
        <f>B23+B68</f>
        <v>-3495573.23</v>
      </c>
      <c r="C35" s="26">
        <f t="shared" ref="C35:BN35" si="38">C23+C68</f>
        <v>-55694628.189999998</v>
      </c>
      <c r="D35" s="26">
        <f t="shared" si="38"/>
        <v>-33139871.52</v>
      </c>
      <c r="E35" s="26">
        <f t="shared" si="38"/>
        <v>-6579404.0399999991</v>
      </c>
      <c r="F35" s="26">
        <f t="shared" si="38"/>
        <v>-123134379.84</v>
      </c>
      <c r="G35" s="26">
        <f t="shared" si="38"/>
        <v>-429051055.68000001</v>
      </c>
      <c r="H35" s="26">
        <f t="shared" si="38"/>
        <v>-420959108.49000001</v>
      </c>
      <c r="I35" s="26">
        <f t="shared" si="38"/>
        <v>-279259693.62</v>
      </c>
      <c r="J35" s="26">
        <f t="shared" si="38"/>
        <v>-176577024.91</v>
      </c>
      <c r="K35" s="26">
        <f t="shared" si="38"/>
        <v>-133636115.78</v>
      </c>
      <c r="L35" s="26">
        <f t="shared" si="38"/>
        <v>-102500765.33</v>
      </c>
      <c r="M35" s="26">
        <f t="shared" si="38"/>
        <v>65517233.069999993</v>
      </c>
      <c r="N35" s="26">
        <f t="shared" si="38"/>
        <v>-25268367.890000001</v>
      </c>
      <c r="O35" s="26">
        <f t="shared" si="38"/>
        <v>-32264593.949999999</v>
      </c>
      <c r="P35" s="26">
        <f t="shared" si="38"/>
        <v>-25993795.539999999</v>
      </c>
      <c r="Q35" s="26">
        <f t="shared" si="38"/>
        <v>118242693.64</v>
      </c>
      <c r="R35" s="26">
        <f t="shared" si="38"/>
        <v>-17461501.870000001</v>
      </c>
      <c r="S35" s="26">
        <f t="shared" si="38"/>
        <v>-5742353.4900000002</v>
      </c>
      <c r="T35" s="26">
        <f t="shared" si="38"/>
        <v>-53889235.740000002</v>
      </c>
      <c r="U35" s="26">
        <f t="shared" si="38"/>
        <v>405386140.54000002</v>
      </c>
      <c r="V35" s="26">
        <f t="shared" si="38"/>
        <v>-429074364.68000001</v>
      </c>
      <c r="W35" s="26">
        <f t="shared" si="38"/>
        <v>-343826830.68000001</v>
      </c>
      <c r="X35" s="26">
        <f t="shared" si="38"/>
        <v>-238790533.41</v>
      </c>
      <c r="Y35" s="26">
        <f t="shared" si="38"/>
        <v>307192120.25</v>
      </c>
      <c r="Z35" s="26">
        <f t="shared" si="38"/>
        <v>-420975922.49000001</v>
      </c>
      <c r="AA35" s="26">
        <f t="shared" si="38"/>
        <v>-297465187.51999998</v>
      </c>
      <c r="AB35" s="26">
        <f t="shared" si="38"/>
        <v>-187200820.61000001</v>
      </c>
      <c r="AC35" s="26">
        <f t="shared" si="38"/>
        <v>254900009.31999999</v>
      </c>
      <c r="AD35" s="26">
        <f t="shared" si="38"/>
        <v>-350751496.92000002</v>
      </c>
      <c r="AE35" s="26">
        <f t="shared" si="38"/>
        <v>-217813505.31999999</v>
      </c>
      <c r="AF35" s="26">
        <f t="shared" si="38"/>
        <v>-148888545.19</v>
      </c>
      <c r="AG35" s="26">
        <f t="shared" si="38"/>
        <v>123387517.41999999</v>
      </c>
      <c r="AH35" s="26">
        <f t="shared" si="38"/>
        <v>-176577024.91</v>
      </c>
      <c r="AI35" s="26">
        <f t="shared" si="38"/>
        <v>-137330593.52000001</v>
      </c>
      <c r="AJ35" s="26">
        <f t="shared" si="38"/>
        <v>-99774773.510000005</v>
      </c>
      <c r="AK35" s="26">
        <f t="shared" si="38"/>
        <v>-46248011.119999997</v>
      </c>
      <c r="AL35" s="26">
        <f t="shared" si="38"/>
        <v>-133636115.78</v>
      </c>
      <c r="AM35" s="26">
        <f t="shared" si="38"/>
        <v>-90429443.689999998</v>
      </c>
      <c r="AN35" s="26">
        <f t="shared" si="38"/>
        <v>-87784729.510000005</v>
      </c>
      <c r="AO35" s="26">
        <f t="shared" si="38"/>
        <v>-81307397.079999998</v>
      </c>
      <c r="AP35" s="26">
        <f t="shared" si="38"/>
        <v>-102500765.33</v>
      </c>
      <c r="AQ35" s="26">
        <f t="shared" si="38"/>
        <v>-62182025.009999998</v>
      </c>
      <c r="AR35" s="26">
        <f t="shared" si="38"/>
        <v>-46122542.109999999</v>
      </c>
      <c r="AS35" s="26">
        <f t="shared" si="38"/>
        <v>-39680467.920000002</v>
      </c>
      <c r="AT35" s="26">
        <f t="shared" si="38"/>
        <v>-44743824.950000003</v>
      </c>
      <c r="AU35" s="26">
        <f t="shared" si="38"/>
        <v>-38158017.710000001</v>
      </c>
      <c r="AV35" s="26">
        <f t="shared" si="38"/>
        <v>-32966149.120000001</v>
      </c>
      <c r="AW35" s="26">
        <f t="shared" si="38"/>
        <v>-26751923.239999998</v>
      </c>
      <c r="AX35" s="26">
        <f t="shared" si="38"/>
        <v>-25268367.890000001</v>
      </c>
      <c r="AY35" s="26">
        <f t="shared" si="38"/>
        <v>-14469012.92</v>
      </c>
      <c r="AZ35" s="26">
        <f t="shared" si="38"/>
        <v>-6698234.1299999999</v>
      </c>
      <c r="BA35" s="26">
        <f t="shared" si="38"/>
        <v>-2819139.21</v>
      </c>
      <c r="BB35" s="26">
        <f t="shared" si="38"/>
        <v>-32264593.949999999</v>
      </c>
      <c r="BC35" s="26">
        <f t="shared" si="38"/>
        <v>-14225903.98</v>
      </c>
      <c r="BD35" s="26">
        <f t="shared" si="38"/>
        <v>-8107880.4500000002</v>
      </c>
      <c r="BE35" s="26">
        <f t="shared" si="38"/>
        <v>-3746924.02</v>
      </c>
      <c r="BF35" s="26">
        <f t="shared" si="38"/>
        <v>-25993795.539999999</v>
      </c>
      <c r="BG35" s="26">
        <f t="shared" si="38"/>
        <v>-22307046.379999999</v>
      </c>
      <c r="BH35" s="26">
        <f t="shared" si="38"/>
        <v>-9958861.9700000007</v>
      </c>
      <c r="BI35" s="26">
        <f t="shared" si="38"/>
        <v>-6747422.2300000004</v>
      </c>
      <c r="BJ35" s="26">
        <f t="shared" si="38"/>
        <v>-16050225.99</v>
      </c>
      <c r="BK35" s="26">
        <f t="shared" si="38"/>
        <v>-12245012.15</v>
      </c>
      <c r="BL35" s="26">
        <f t="shared" si="38"/>
        <v>-4371087.49</v>
      </c>
      <c r="BM35" s="26">
        <f t="shared" si="38"/>
        <v>-2211149.4700000002</v>
      </c>
      <c r="BN35" s="26">
        <f t="shared" si="38"/>
        <v>-17461501.870000001</v>
      </c>
      <c r="BO35" s="26">
        <f t="shared" ref="BO35:CJ35" si="39">BO23+BO68</f>
        <v>-15259418.529999999</v>
      </c>
      <c r="BP35" s="26">
        <f t="shared" si="39"/>
        <v>-11910236.880000001</v>
      </c>
      <c r="BQ35" s="26">
        <f t="shared" si="39"/>
        <v>-2661960.19</v>
      </c>
      <c r="BR35" s="26">
        <f t="shared" si="39"/>
        <v>-5742353.4900000002</v>
      </c>
      <c r="BS35" s="26">
        <f t="shared" si="39"/>
        <v>1336222</v>
      </c>
      <c r="BT35" s="26">
        <f t="shared" si="39"/>
        <v>6680065.6699999999</v>
      </c>
      <c r="BU35" s="26">
        <f t="shared" si="39"/>
        <v>11277315.43</v>
      </c>
      <c r="BV35" s="26">
        <f t="shared" si="39"/>
        <v>41920771.770000003</v>
      </c>
      <c r="BW35" s="26">
        <f t="shared" si="39"/>
        <v>0</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300</v>
      </c>
      <c r="B36" s="26">
        <f>B35*B41</f>
        <v>-958225.76624682616</v>
      </c>
      <c r="C36" s="26">
        <f t="shared" ref="C36:BN36" si="40">C35*C41</f>
        <v>-15044339.973331138</v>
      </c>
      <c r="D36" s="26">
        <f t="shared" si="40"/>
        <v>-8764524.6679958329</v>
      </c>
      <c r="E36" s="26">
        <f t="shared" si="40"/>
        <v>-1715580.225003368</v>
      </c>
      <c r="F36" s="26">
        <f t="shared" si="40"/>
        <v>-32451803.771497205</v>
      </c>
      <c r="G36" s="26">
        <f t="shared" si="40"/>
        <v>-110033386.96012872</v>
      </c>
      <c r="H36" s="26">
        <f t="shared" si="40"/>
        <v>-105620601.50530867</v>
      </c>
      <c r="I36" s="26">
        <f t="shared" si="40"/>
        <v>-69834583.332883328</v>
      </c>
      <c r="J36" s="26">
        <f t="shared" si="40"/>
        <v>-44934419.59574873</v>
      </c>
      <c r="K36" s="26">
        <f t="shared" si="40"/>
        <v>-33574212.462694779</v>
      </c>
      <c r="L36" s="26">
        <f t="shared" si="40"/>
        <v>-26352575.633011095</v>
      </c>
      <c r="M36" s="26">
        <f t="shared" si="40"/>
        <v>22551809.472002711</v>
      </c>
      <c r="N36" s="26">
        <f t="shared" si="40"/>
        <v>-9283811.8276480455</v>
      </c>
      <c r="O36" s="26">
        <f t="shared" si="40"/>
        <v>-12620951.65813384</v>
      </c>
      <c r="P36" s="26">
        <f t="shared" si="40"/>
        <v>-11099071.3325302</v>
      </c>
      <c r="Q36" s="26">
        <f t="shared" si="40"/>
        <v>44704855.796278208</v>
      </c>
      <c r="R36" s="26">
        <f t="shared" si="40"/>
        <v>-6906160.1231875718</v>
      </c>
      <c r="S36" s="26">
        <f t="shared" si="40"/>
        <v>-2505264.7099261545</v>
      </c>
      <c r="T36" s="26">
        <f t="shared" si="40"/>
        <v>-2423287455.292964</v>
      </c>
      <c r="U36" s="26">
        <f t="shared" si="40"/>
        <v>23264245703.848026</v>
      </c>
      <c r="V36" s="26">
        <f t="shared" si="40"/>
        <v>-5429372945.4013338</v>
      </c>
      <c r="W36" s="26">
        <f t="shared" si="40"/>
        <v>-3970452889.2566242</v>
      </c>
      <c r="X36" s="26">
        <f t="shared" si="40"/>
        <v>-2473314772.6055231</v>
      </c>
      <c r="Y36" s="26">
        <f t="shared" si="40"/>
        <v>3625718882.8331385</v>
      </c>
      <c r="Z36" s="26">
        <f t="shared" si="40"/>
        <v>-4657705205.541441</v>
      </c>
      <c r="AA36" s="26">
        <f t="shared" si="40"/>
        <v>-3609620193.9318333</v>
      </c>
      <c r="AB36" s="26">
        <f t="shared" si="40"/>
        <v>-2411264821.8364081</v>
      </c>
      <c r="AC36" s="26">
        <f t="shared" si="40"/>
        <v>2777455085.0406709</v>
      </c>
      <c r="AD36" s="26">
        <f t="shared" si="40"/>
        <v>-3054872406.0403161</v>
      </c>
      <c r="AE36" s="26">
        <f t="shared" si="40"/>
        <v>-2313892031.2617779</v>
      </c>
      <c r="AF36" s="26">
        <f t="shared" si="40"/>
        <v>-1684868129.7951832</v>
      </c>
      <c r="AG36" s="26">
        <f t="shared" si="40"/>
        <v>1534887973.8283985</v>
      </c>
      <c r="AH36" s="26">
        <f t="shared" si="40"/>
        <v>-1817826455.0094943</v>
      </c>
      <c r="AI36" s="26">
        <f t="shared" si="40"/>
        <v>-1480628193.2105982</v>
      </c>
      <c r="AJ36" s="26">
        <f t="shared" si="40"/>
        <v>-1099839098.4000149</v>
      </c>
      <c r="AK36" s="26">
        <f t="shared" si="40"/>
        <v>-448397873.24000001</v>
      </c>
      <c r="AL36" s="26">
        <f t="shared" si="40"/>
        <v>-1513949242.1729517</v>
      </c>
      <c r="AM36" s="26">
        <f t="shared" si="40"/>
        <v>-1311472826.7717733</v>
      </c>
      <c r="AN36" s="26">
        <f t="shared" si="40"/>
        <v>-968847219.82493019</v>
      </c>
      <c r="AO36" s="26">
        <f t="shared" si="40"/>
        <v>-424630219.66353673</v>
      </c>
      <c r="AP36" s="26">
        <f t="shared" si="40"/>
        <v>-1366908309.5162916</v>
      </c>
      <c r="AQ36" s="26">
        <f t="shared" si="40"/>
        <v>-1081924397.1018293</v>
      </c>
      <c r="AR36" s="26">
        <f t="shared" si="40"/>
        <v>-771539184.7580775</v>
      </c>
      <c r="AS36" s="26">
        <f t="shared" si="40"/>
        <v>-302316575.90573996</v>
      </c>
      <c r="AT36" s="26">
        <f t="shared" si="40"/>
        <v>-1495317725.9086318</v>
      </c>
      <c r="AU36" s="26">
        <f t="shared" si="40"/>
        <v>-820337240.88528943</v>
      </c>
      <c r="AV36" s="26">
        <f t="shared" si="40"/>
        <v>-455236869.03030264</v>
      </c>
      <c r="AW36" s="26">
        <f t="shared" si="40"/>
        <v>-312727702.22000003</v>
      </c>
      <c r="AX36" s="26">
        <f t="shared" si="40"/>
        <v>-816519296.34787989</v>
      </c>
      <c r="AY36" s="26">
        <f t="shared" si="40"/>
        <v>-567568818.7777164</v>
      </c>
      <c r="AZ36" s="26">
        <f t="shared" si="40"/>
        <v>-330859623.96479702</v>
      </c>
      <c r="BA36" s="26">
        <f t="shared" si="40"/>
        <v>-203934016.82000002</v>
      </c>
      <c r="BB36" s="26">
        <f t="shared" si="40"/>
        <v>-741291834.34695756</v>
      </c>
      <c r="BC36" s="26">
        <f t="shared" si="40"/>
        <v>-415455068.97147065</v>
      </c>
      <c r="BD36" s="26">
        <f t="shared" si="40"/>
        <v>-253353871.02288932</v>
      </c>
      <c r="BE36" s="26">
        <f t="shared" si="40"/>
        <v>-182718542.73680863</v>
      </c>
      <c r="BF36" s="26">
        <f t="shared" si="40"/>
        <v>-628877881.97067177</v>
      </c>
      <c r="BG36" s="26">
        <f t="shared" si="40"/>
        <v>-337778231.50999999</v>
      </c>
      <c r="BH36" s="26">
        <f t="shared" si="40"/>
        <v>-205660460.36000001</v>
      </c>
      <c r="BI36" s="26">
        <f t="shared" si="40"/>
        <v>-129839421.97</v>
      </c>
      <c r="BJ36" s="26">
        <f t="shared" si="40"/>
        <v>-368541117.19999999</v>
      </c>
      <c r="BK36" s="26">
        <f t="shared" si="40"/>
        <v>-226477466.31</v>
      </c>
      <c r="BL36" s="26">
        <f t="shared" si="40"/>
        <v>-148750335.91</v>
      </c>
      <c r="BM36" s="26">
        <f t="shared" si="40"/>
        <v>-116318861.01000001</v>
      </c>
      <c r="BN36" s="26">
        <f t="shared" si="40"/>
        <v>-256784400.75</v>
      </c>
      <c r="BO36" s="26">
        <f t="shared" ref="BO36:CJ36" si="41">BO35*BO41</f>
        <v>-208225146.55000001</v>
      </c>
      <c r="BP36" s="26">
        <f t="shared" si="41"/>
        <v>-155530625.22999999</v>
      </c>
      <c r="BQ36" s="26">
        <f t="shared" si="41"/>
        <v>-124206524.16</v>
      </c>
      <c r="BR36" s="26">
        <f t="shared" si="41"/>
        <v>-264912397.47999996</v>
      </c>
      <c r="BS36" s="26">
        <f t="shared" si="41"/>
        <v>-142925129</v>
      </c>
      <c r="BT36" s="26">
        <f t="shared" si="41"/>
        <v>-189560588.75</v>
      </c>
      <c r="BU36" s="26">
        <f t="shared" si="41"/>
        <v>-137902505.22</v>
      </c>
      <c r="BV36" s="26">
        <f t="shared" si="41"/>
        <v>-72074304.109999999</v>
      </c>
      <c r="BW36" s="26" t="e">
        <f t="shared" si="41"/>
        <v>#DIV/0!</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301</v>
      </c>
      <c r="B37" s="26">
        <f>B35-B36</f>
        <v>-2537347.4637531741</v>
      </c>
      <c r="C37" s="26">
        <f t="shared" ref="C37:BN37" si="42">C35-C36</f>
        <v>-40650288.216668859</v>
      </c>
      <c r="D37" s="26">
        <f t="shared" si="42"/>
        <v>-24375346.852004167</v>
      </c>
      <c r="E37" s="26">
        <f t="shared" si="42"/>
        <v>-4863823.8149966309</v>
      </c>
      <c r="F37" s="26">
        <f t="shared" si="42"/>
        <v>-90682576.068502799</v>
      </c>
      <c r="G37" s="26">
        <f t="shared" si="42"/>
        <v>-319017668.71987128</v>
      </c>
      <c r="H37" s="26">
        <f t="shared" si="42"/>
        <v>-315338506.98469132</v>
      </c>
      <c r="I37" s="26">
        <f t="shared" si="42"/>
        <v>-209425110.28711668</v>
      </c>
      <c r="J37" s="26">
        <f t="shared" si="42"/>
        <v>-131642605.31425127</v>
      </c>
      <c r="K37" s="26">
        <f t="shared" si="42"/>
        <v>-100061903.31730522</v>
      </c>
      <c r="L37" s="26">
        <f t="shared" si="42"/>
        <v>-76148189.69698891</v>
      </c>
      <c r="M37" s="26">
        <f t="shared" si="42"/>
        <v>42965423.597997278</v>
      </c>
      <c r="N37" s="26">
        <f t="shared" si="42"/>
        <v>-15984556.062351955</v>
      </c>
      <c r="O37" s="26">
        <f t="shared" si="42"/>
        <v>-19643642.291866161</v>
      </c>
      <c r="P37" s="26">
        <f t="shared" si="42"/>
        <v>-14894724.207469799</v>
      </c>
      <c r="Q37" s="26">
        <f t="shared" si="42"/>
        <v>73537837.843721792</v>
      </c>
      <c r="R37" s="26">
        <f t="shared" si="42"/>
        <v>-10555341.746812429</v>
      </c>
      <c r="S37" s="26">
        <f t="shared" si="42"/>
        <v>-3237088.7800738458</v>
      </c>
      <c r="T37" s="26">
        <f t="shared" si="42"/>
        <v>2369398219.5529642</v>
      </c>
      <c r="U37" s="26">
        <f t="shared" si="42"/>
        <v>-22858859563.308025</v>
      </c>
      <c r="V37" s="26">
        <f t="shared" si="42"/>
        <v>5000298580.7213335</v>
      </c>
      <c r="W37" s="26">
        <f t="shared" si="42"/>
        <v>3626626058.5766244</v>
      </c>
      <c r="X37" s="26">
        <f t="shared" si="42"/>
        <v>2234524239.1955233</v>
      </c>
      <c r="Y37" s="26">
        <f t="shared" si="42"/>
        <v>-3318526762.5831385</v>
      </c>
      <c r="Z37" s="26">
        <f t="shared" si="42"/>
        <v>4236729283.0514412</v>
      </c>
      <c r="AA37" s="26">
        <f t="shared" si="42"/>
        <v>3312155006.4118333</v>
      </c>
      <c r="AB37" s="26">
        <f t="shared" si="42"/>
        <v>2224064001.226408</v>
      </c>
      <c r="AC37" s="26">
        <f t="shared" si="42"/>
        <v>-2522555075.7206707</v>
      </c>
      <c r="AD37" s="26">
        <f t="shared" si="42"/>
        <v>2704120909.120316</v>
      </c>
      <c r="AE37" s="26">
        <f t="shared" si="42"/>
        <v>2096078525.9417779</v>
      </c>
      <c r="AF37" s="26">
        <f t="shared" si="42"/>
        <v>1535979584.6051831</v>
      </c>
      <c r="AG37" s="26">
        <f t="shared" si="42"/>
        <v>-1411500456.4083984</v>
      </c>
      <c r="AH37" s="26">
        <f t="shared" si="42"/>
        <v>1641249430.0994942</v>
      </c>
      <c r="AI37" s="26">
        <f t="shared" si="42"/>
        <v>1343297599.6905982</v>
      </c>
      <c r="AJ37" s="26">
        <f t="shared" si="42"/>
        <v>1000064324.8900149</v>
      </c>
      <c r="AK37" s="26">
        <f t="shared" si="42"/>
        <v>402149862.12</v>
      </c>
      <c r="AL37" s="26">
        <f t="shared" si="42"/>
        <v>1380313126.3929517</v>
      </c>
      <c r="AM37" s="26">
        <f t="shared" si="42"/>
        <v>1221043383.0817733</v>
      </c>
      <c r="AN37" s="26">
        <f t="shared" si="42"/>
        <v>881062490.3149302</v>
      </c>
      <c r="AO37" s="26">
        <f t="shared" si="42"/>
        <v>343322822.58353674</v>
      </c>
      <c r="AP37" s="26">
        <f t="shared" si="42"/>
        <v>1264407544.1862917</v>
      </c>
      <c r="AQ37" s="26">
        <f t="shared" si="42"/>
        <v>1019742372.0918293</v>
      </c>
      <c r="AR37" s="26">
        <f t="shared" si="42"/>
        <v>725416642.64807749</v>
      </c>
      <c r="AS37" s="26">
        <f t="shared" si="42"/>
        <v>262636107.98573995</v>
      </c>
      <c r="AT37" s="26">
        <f t="shared" si="42"/>
        <v>1450573900.9586318</v>
      </c>
      <c r="AU37" s="26">
        <f t="shared" si="42"/>
        <v>782179223.17528939</v>
      </c>
      <c r="AV37" s="26">
        <f t="shared" si="42"/>
        <v>422270719.91030264</v>
      </c>
      <c r="AW37" s="26">
        <f t="shared" si="42"/>
        <v>285975778.98000002</v>
      </c>
      <c r="AX37" s="26">
        <f t="shared" si="42"/>
        <v>791250928.4578799</v>
      </c>
      <c r="AY37" s="26">
        <f t="shared" si="42"/>
        <v>553099805.85771644</v>
      </c>
      <c r="AZ37" s="26">
        <f t="shared" si="42"/>
        <v>324161389.83479702</v>
      </c>
      <c r="BA37" s="26">
        <f t="shared" si="42"/>
        <v>201114877.61000001</v>
      </c>
      <c r="BB37" s="26">
        <f t="shared" si="42"/>
        <v>709027240.39695752</v>
      </c>
      <c r="BC37" s="26">
        <f t="shared" si="42"/>
        <v>401229164.99147063</v>
      </c>
      <c r="BD37" s="26">
        <f t="shared" si="42"/>
        <v>245245990.57288933</v>
      </c>
      <c r="BE37" s="26">
        <f t="shared" si="42"/>
        <v>178971618.71680862</v>
      </c>
      <c r="BF37" s="26">
        <f t="shared" si="42"/>
        <v>602884086.43067181</v>
      </c>
      <c r="BG37" s="26">
        <f t="shared" si="42"/>
        <v>315471185.13</v>
      </c>
      <c r="BH37" s="26">
        <f t="shared" si="42"/>
        <v>195701598.39000002</v>
      </c>
      <c r="BI37" s="26">
        <f t="shared" si="42"/>
        <v>123091999.73999999</v>
      </c>
      <c r="BJ37" s="26">
        <f t="shared" si="42"/>
        <v>352490891.20999998</v>
      </c>
      <c r="BK37" s="26">
        <f t="shared" si="42"/>
        <v>214232454.16</v>
      </c>
      <c r="BL37" s="26">
        <f t="shared" si="42"/>
        <v>144379248.41999999</v>
      </c>
      <c r="BM37" s="26">
        <f t="shared" si="42"/>
        <v>114107711.54000001</v>
      </c>
      <c r="BN37" s="26">
        <f t="shared" si="42"/>
        <v>239322898.88</v>
      </c>
      <c r="BO37" s="26">
        <f t="shared" ref="BO37:CJ37" si="43">BO35-BO36</f>
        <v>192965728.02000001</v>
      </c>
      <c r="BP37" s="26">
        <f t="shared" si="43"/>
        <v>143620388.34999999</v>
      </c>
      <c r="BQ37" s="26">
        <f t="shared" si="43"/>
        <v>121544563.97</v>
      </c>
      <c r="BR37" s="26">
        <f t="shared" si="43"/>
        <v>259170043.98999995</v>
      </c>
      <c r="BS37" s="26">
        <f t="shared" si="43"/>
        <v>144261351</v>
      </c>
      <c r="BT37" s="26">
        <f t="shared" si="43"/>
        <v>196240654.41999999</v>
      </c>
      <c r="BU37" s="26">
        <f t="shared" si="43"/>
        <v>149179820.65000001</v>
      </c>
      <c r="BV37" s="26">
        <f t="shared" si="43"/>
        <v>113995075.88</v>
      </c>
      <c r="BW37" s="26" t="e">
        <f t="shared" si="43"/>
        <v>#DIV/0!</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302</v>
      </c>
      <c r="B38" s="28">
        <f>B31-B35</f>
        <v>47416185647.099998</v>
      </c>
      <c r="C38" s="28">
        <f t="shared" ref="C38:BN38" si="44">C31-C35</f>
        <v>36034279851.830009</v>
      </c>
      <c r="D38" s="28">
        <f t="shared" si="44"/>
        <v>22789814102.189999</v>
      </c>
      <c r="E38" s="28">
        <f t="shared" si="44"/>
        <v>21272162325.919998</v>
      </c>
      <c r="F38" s="28">
        <f t="shared" si="44"/>
        <v>21297728135.059998</v>
      </c>
      <c r="G38" s="28">
        <f t="shared" si="44"/>
        <v>21319163060.360001</v>
      </c>
      <c r="H38" s="28">
        <f t="shared" si="44"/>
        <v>18700488817.160004</v>
      </c>
      <c r="I38" s="28">
        <f t="shared" si="44"/>
        <v>12333873437.930002</v>
      </c>
      <c r="J38" s="28">
        <f t="shared" si="44"/>
        <v>7162416731.3699999</v>
      </c>
      <c r="K38" s="28">
        <f t="shared" si="44"/>
        <v>6080539884.6399994</v>
      </c>
      <c r="L38" s="28">
        <f t="shared" si="44"/>
        <v>5385300638.1600008</v>
      </c>
      <c r="M38" s="28">
        <f t="shared" si="44"/>
        <v>4520391745.8100004</v>
      </c>
      <c r="N38" s="28">
        <f t="shared" si="44"/>
        <v>2487364567.0700002</v>
      </c>
      <c r="O38" s="28">
        <f t="shared" si="44"/>
        <v>1920197398.6800003</v>
      </c>
      <c r="P38" s="28">
        <f t="shared" si="44"/>
        <v>1490670632.3900003</v>
      </c>
      <c r="Q38" s="28">
        <f t="shared" si="44"/>
        <v>974777653.08999956</v>
      </c>
      <c r="R38" s="28">
        <f t="shared" si="44"/>
        <v>649252437.51999998</v>
      </c>
      <c r="S38" s="28">
        <f t="shared" si="44"/>
        <v>607209539.25</v>
      </c>
      <c r="T38" s="28">
        <f t="shared" si="44"/>
        <v>56899235.740000002</v>
      </c>
      <c r="U38" s="28">
        <f t="shared" si="44"/>
        <v>23688224.139999986</v>
      </c>
      <c r="V38" s="28">
        <f t="shared" si="44"/>
        <v>432084364.68000001</v>
      </c>
      <c r="W38" s="28">
        <f t="shared" si="44"/>
        <v>346836830.68000001</v>
      </c>
      <c r="X38" s="28">
        <f t="shared" si="44"/>
        <v>241800533.41</v>
      </c>
      <c r="Y38" s="28">
        <f t="shared" si="44"/>
        <v>113916024.45999998</v>
      </c>
      <c r="Z38" s="28">
        <f t="shared" si="44"/>
        <v>424079172.49000001</v>
      </c>
      <c r="AA38" s="28">
        <f t="shared" si="44"/>
        <v>300568437.51999998</v>
      </c>
      <c r="AB38" s="28">
        <f t="shared" si="44"/>
        <v>190304070.61000001</v>
      </c>
      <c r="AC38" s="28">
        <f t="shared" si="44"/>
        <v>95944737.599999964</v>
      </c>
      <c r="AD38" s="28">
        <f t="shared" si="44"/>
        <v>354134496.92000002</v>
      </c>
      <c r="AE38" s="28">
        <f t="shared" si="44"/>
        <v>221103255.31999999</v>
      </c>
      <c r="AF38" s="28">
        <f t="shared" si="44"/>
        <v>152085045.19</v>
      </c>
      <c r="AG38" s="28">
        <f t="shared" si="44"/>
        <v>53282757.49000001</v>
      </c>
      <c r="AH38" s="28">
        <f t="shared" si="44"/>
        <v>177046074.91</v>
      </c>
      <c r="AI38" s="28">
        <f t="shared" si="44"/>
        <v>137706393.52000001</v>
      </c>
      <c r="AJ38" s="28">
        <f t="shared" si="44"/>
        <v>100057323.51000001</v>
      </c>
      <c r="AK38" s="28">
        <f t="shared" si="44"/>
        <v>46248011.119999997</v>
      </c>
      <c r="AL38" s="28">
        <f t="shared" si="44"/>
        <v>134845563.03999999</v>
      </c>
      <c r="AM38" s="28">
        <f t="shared" si="44"/>
        <v>91401565.950000003</v>
      </c>
      <c r="AN38" s="28">
        <f t="shared" si="44"/>
        <v>88519526.770000011</v>
      </c>
      <c r="AO38" s="28">
        <f t="shared" si="44"/>
        <v>81608472.079999998</v>
      </c>
      <c r="AP38" s="28">
        <f t="shared" si="44"/>
        <v>103823015.33</v>
      </c>
      <c r="AQ38" s="28">
        <f t="shared" si="44"/>
        <v>63203200.009999998</v>
      </c>
      <c r="AR38" s="28">
        <f t="shared" si="44"/>
        <v>46842642.109999999</v>
      </c>
      <c r="AS38" s="28">
        <f t="shared" si="44"/>
        <v>40099492.920000002</v>
      </c>
      <c r="AT38" s="28">
        <f t="shared" si="44"/>
        <v>46558774.950000003</v>
      </c>
      <c r="AU38" s="28">
        <f t="shared" si="44"/>
        <v>39017967.710000001</v>
      </c>
      <c r="AV38" s="28">
        <f t="shared" si="44"/>
        <v>33826099.120000005</v>
      </c>
      <c r="AW38" s="28">
        <f t="shared" si="44"/>
        <v>26751923.239999998</v>
      </c>
      <c r="AX38" s="28">
        <f t="shared" si="44"/>
        <v>28281296.830000002</v>
      </c>
      <c r="AY38" s="28">
        <f t="shared" si="44"/>
        <v>14613448.279999999</v>
      </c>
      <c r="AZ38" s="28">
        <f t="shared" si="44"/>
        <v>6842669.4900000002</v>
      </c>
      <c r="BA38" s="28">
        <f t="shared" si="44"/>
        <v>2819139.21</v>
      </c>
      <c r="BB38" s="28">
        <f t="shared" si="44"/>
        <v>32692547.550000001</v>
      </c>
      <c r="BC38" s="28">
        <f t="shared" si="44"/>
        <v>14249622.210000001</v>
      </c>
      <c r="BD38" s="28">
        <f t="shared" si="44"/>
        <v>8131598.6800000006</v>
      </c>
      <c r="BE38" s="28">
        <f t="shared" si="44"/>
        <v>3559265.42</v>
      </c>
      <c r="BF38" s="28">
        <f t="shared" si="44"/>
        <v>26308859.25</v>
      </c>
      <c r="BG38" s="28">
        <f t="shared" si="44"/>
        <v>22307046.379999999</v>
      </c>
      <c r="BH38" s="28">
        <f t="shared" si="44"/>
        <v>9958861.9700000007</v>
      </c>
      <c r="BI38" s="28">
        <f t="shared" si="44"/>
        <v>6747422.2300000004</v>
      </c>
      <c r="BJ38" s="28">
        <f t="shared" si="44"/>
        <v>16050225.99</v>
      </c>
      <c r="BK38" s="28">
        <f t="shared" si="44"/>
        <v>12245012.15</v>
      </c>
      <c r="BL38" s="28">
        <f t="shared" si="44"/>
        <v>4371087.49</v>
      </c>
      <c r="BM38" s="28">
        <f t="shared" si="44"/>
        <v>2211149.4700000002</v>
      </c>
      <c r="BN38" s="28">
        <f t="shared" si="44"/>
        <v>17461501.870000001</v>
      </c>
      <c r="BO38" s="28">
        <f t="shared" ref="BO38:CJ38" si="45">BO31-BO35</f>
        <v>15259418.529999999</v>
      </c>
      <c r="BP38" s="28">
        <f t="shared" si="45"/>
        <v>11910236.880000001</v>
      </c>
      <c r="BQ38" s="28">
        <f t="shared" si="45"/>
        <v>2661960.19</v>
      </c>
      <c r="BR38" s="28">
        <f t="shared" si="45"/>
        <v>5742353.4900000002</v>
      </c>
      <c r="BS38" s="28">
        <f t="shared" si="45"/>
        <v>-1336222</v>
      </c>
      <c r="BT38" s="28">
        <f t="shared" si="45"/>
        <v>-6680065.6699999999</v>
      </c>
      <c r="BU38" s="28">
        <f t="shared" si="45"/>
        <v>-11277315.43</v>
      </c>
      <c r="BV38" s="28">
        <f t="shared" si="45"/>
        <v>-41920771.770000003</v>
      </c>
      <c r="BW38" s="28">
        <f t="shared" si="45"/>
        <v>0</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c r="A39" s="57" t="s">
        <v>303</v>
      </c>
      <c r="B39" s="57">
        <f>B38/B4*100</f>
        <v>64.390157140439186</v>
      </c>
      <c r="C39" s="57">
        <f t="shared" ref="C39:D39" si="46">C38/C4*100</f>
        <v>61.895574722974935</v>
      </c>
      <c r="D39" s="57">
        <f t="shared" si="46"/>
        <v>58.642639814694917</v>
      </c>
      <c r="E39" s="57">
        <f>E38/E4</f>
        <v>0.65132986705689022</v>
      </c>
      <c r="F39" s="57">
        <f t="shared" ref="F39:BQ39" si="47">F38/F4</f>
        <v>0.6745352614005532</v>
      </c>
      <c r="G39" s="57">
        <f t="shared" si="47"/>
        <v>0.68945411174720483</v>
      </c>
      <c r="H39" s="57">
        <f t="shared" si="47"/>
        <v>0.70687022897332152</v>
      </c>
      <c r="I39" s="57">
        <f t="shared" si="47"/>
        <v>0.6702334184396842</v>
      </c>
      <c r="J39" s="57">
        <f t="shared" si="47"/>
        <v>0.61568314599186225</v>
      </c>
      <c r="K39" s="57">
        <f t="shared" si="47"/>
        <v>0.62880459899969654</v>
      </c>
      <c r="L39" s="57">
        <f t="shared" si="47"/>
        <v>0.65342223945200306</v>
      </c>
      <c r="M39" s="57">
        <f t="shared" si="47"/>
        <v>0.62458514682282873</v>
      </c>
      <c r="N39" s="57">
        <f t="shared" si="47"/>
        <v>0.50802075518303746</v>
      </c>
      <c r="O39" s="57">
        <f t="shared" si="47"/>
        <v>0.48853579813307141</v>
      </c>
      <c r="P39" s="57">
        <f t="shared" si="47"/>
        <v>0.49527338753444528</v>
      </c>
      <c r="Q39" s="57">
        <f t="shared" si="47"/>
        <v>0.40598516108894395</v>
      </c>
      <c r="R39" s="57">
        <f t="shared" si="47"/>
        <v>0.35321356262997333</v>
      </c>
      <c r="S39" s="57">
        <f t="shared" si="47"/>
        <v>0.37500533341983816</v>
      </c>
      <c r="T39" s="57" t="e">
        <f t="shared" si="47"/>
        <v>#DIV/0!</v>
      </c>
      <c r="U39" s="57" t="e">
        <f t="shared" si="47"/>
        <v>#DIV/0!</v>
      </c>
      <c r="V39" s="57" t="e">
        <f t="shared" si="47"/>
        <v>#DIV/0!</v>
      </c>
      <c r="W39" s="57" t="e">
        <f t="shared" si="47"/>
        <v>#DIV/0!</v>
      </c>
      <c r="X39" s="57" t="e">
        <f t="shared" si="47"/>
        <v>#DIV/0!</v>
      </c>
      <c r="Y39" s="57" t="e">
        <f t="shared" si="47"/>
        <v>#DIV/0!</v>
      </c>
      <c r="Z39" s="57" t="e">
        <f t="shared" si="47"/>
        <v>#DIV/0!</v>
      </c>
      <c r="AA39" s="57" t="e">
        <f t="shared" si="47"/>
        <v>#DIV/0!</v>
      </c>
      <c r="AB39" s="57" t="e">
        <f t="shared" si="47"/>
        <v>#DIV/0!</v>
      </c>
      <c r="AC39" s="57" t="e">
        <f t="shared" si="47"/>
        <v>#DIV/0!</v>
      </c>
      <c r="AD39" s="57" t="e">
        <f t="shared" si="47"/>
        <v>#DIV/0!</v>
      </c>
      <c r="AE39" s="57" t="e">
        <f t="shared" si="47"/>
        <v>#DIV/0!</v>
      </c>
      <c r="AF39" s="57" t="e">
        <f t="shared" si="47"/>
        <v>#DIV/0!</v>
      </c>
      <c r="AG39" s="57" t="e">
        <f t="shared" si="47"/>
        <v>#DIV/0!</v>
      </c>
      <c r="AH39" s="57" t="e">
        <f t="shared" si="47"/>
        <v>#DIV/0!</v>
      </c>
      <c r="AI39" s="57" t="e">
        <f t="shared" si="47"/>
        <v>#DIV/0!</v>
      </c>
      <c r="AJ39" s="57" t="e">
        <f t="shared" si="47"/>
        <v>#DIV/0!</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304</v>
      </c>
      <c r="B40" s="26">
        <f>B60</f>
        <v>12997985690.66</v>
      </c>
      <c r="C40" s="26">
        <f t="shared" ref="C40:BN40" si="49">C60</f>
        <v>9733648906.6000004</v>
      </c>
      <c r="D40" s="26">
        <f t="shared" si="49"/>
        <v>6027237847.2299995</v>
      </c>
      <c r="E40" s="26">
        <f t="shared" si="49"/>
        <v>5546718336.1199999</v>
      </c>
      <c r="F40" s="26">
        <f t="shared" si="49"/>
        <v>5612970927.5</v>
      </c>
      <c r="G40" s="26">
        <f t="shared" si="49"/>
        <v>5467460544.9200001</v>
      </c>
      <c r="H40" s="26">
        <f t="shared" si="49"/>
        <v>4692039766.9899998</v>
      </c>
      <c r="I40" s="26">
        <f t="shared" si="49"/>
        <v>3084336666.1799998</v>
      </c>
      <c r="J40" s="26">
        <f t="shared" si="49"/>
        <v>1822655234.4000001</v>
      </c>
      <c r="K40" s="26">
        <f t="shared" si="49"/>
        <v>1527650940.6400001</v>
      </c>
      <c r="L40" s="26">
        <f t="shared" si="49"/>
        <v>1384541295.05</v>
      </c>
      <c r="M40" s="26">
        <f t="shared" si="49"/>
        <v>1555972506.98</v>
      </c>
      <c r="N40" s="26">
        <f t="shared" si="49"/>
        <v>913878754.97000003</v>
      </c>
      <c r="O40" s="26">
        <f t="shared" si="49"/>
        <v>751124237.92999995</v>
      </c>
      <c r="P40" s="26">
        <f t="shared" si="49"/>
        <v>636500339.35000002</v>
      </c>
      <c r="Q40" s="26">
        <f t="shared" si="49"/>
        <v>368541117.19999999</v>
      </c>
      <c r="R40" s="26">
        <f t="shared" si="49"/>
        <v>256784400.75</v>
      </c>
      <c r="S40" s="26">
        <f t="shared" si="49"/>
        <v>264912397.47999999</v>
      </c>
      <c r="T40" s="26">
        <f t="shared" si="49"/>
        <v>2558640928.77</v>
      </c>
      <c r="U40" s="26">
        <f t="shared" si="49"/>
        <v>1359416643.96</v>
      </c>
      <c r="V40" s="26">
        <f t="shared" si="49"/>
        <v>5467460544.9200001</v>
      </c>
      <c r="W40" s="26">
        <f t="shared" si="49"/>
        <v>4005211849.6700001</v>
      </c>
      <c r="X40" s="26">
        <f t="shared" si="49"/>
        <v>2504491374.79</v>
      </c>
      <c r="Y40" s="26">
        <f t="shared" si="49"/>
        <v>1344524985.23</v>
      </c>
      <c r="Z40" s="26">
        <f t="shared" si="49"/>
        <v>4692039766.9899998</v>
      </c>
      <c r="AA40" s="26">
        <f t="shared" si="49"/>
        <v>3647276882.3000002</v>
      </c>
      <c r="AB40" s="26">
        <f t="shared" si="49"/>
        <v>2451236642.1199999</v>
      </c>
      <c r="AC40" s="26">
        <f t="shared" si="49"/>
        <v>1045438170.21</v>
      </c>
      <c r="AD40" s="26">
        <f t="shared" si="49"/>
        <v>3084336666.1799998</v>
      </c>
      <c r="AE40" s="26">
        <f t="shared" si="49"/>
        <v>2348839939.0999999</v>
      </c>
      <c r="AF40" s="26">
        <f t="shared" si="49"/>
        <v>1721040697.47</v>
      </c>
      <c r="AG40" s="26">
        <f t="shared" si="49"/>
        <v>662814727.08000004</v>
      </c>
      <c r="AH40" s="26">
        <f t="shared" si="49"/>
        <v>1822655234.4000001</v>
      </c>
      <c r="AI40" s="26">
        <f t="shared" si="49"/>
        <v>1484679876.53</v>
      </c>
      <c r="AJ40" s="26">
        <f t="shared" si="49"/>
        <v>1102953708.7</v>
      </c>
      <c r="AK40" s="26">
        <f t="shared" si="49"/>
        <v>448397873.24000001</v>
      </c>
      <c r="AL40" s="26">
        <f t="shared" si="49"/>
        <v>1527650940.6400001</v>
      </c>
      <c r="AM40" s="26">
        <f t="shared" si="49"/>
        <v>1325571242.9100001</v>
      </c>
      <c r="AN40" s="26">
        <f t="shared" si="49"/>
        <v>976956902.29999995</v>
      </c>
      <c r="AO40" s="26">
        <f t="shared" si="49"/>
        <v>426202592.50999999</v>
      </c>
      <c r="AP40" s="26">
        <f t="shared" si="49"/>
        <v>1384541295.05</v>
      </c>
      <c r="AQ40" s="26">
        <f t="shared" si="49"/>
        <v>1099692138.5999999</v>
      </c>
      <c r="AR40" s="26">
        <f t="shared" si="49"/>
        <v>783585037.86000001</v>
      </c>
      <c r="AS40" s="26">
        <f t="shared" si="49"/>
        <v>305509033.30000001</v>
      </c>
      <c r="AT40" s="26">
        <f t="shared" si="49"/>
        <v>1555972506.98</v>
      </c>
      <c r="AU40" s="26">
        <f t="shared" si="49"/>
        <v>838824810.53999996</v>
      </c>
      <c r="AV40" s="26">
        <f t="shared" si="49"/>
        <v>467112109.42000002</v>
      </c>
      <c r="AW40" s="26">
        <f t="shared" si="49"/>
        <v>312727702.22000003</v>
      </c>
      <c r="AX40" s="26">
        <f t="shared" si="49"/>
        <v>913878754.97000003</v>
      </c>
      <c r="AY40" s="26">
        <f t="shared" si="49"/>
        <v>573234513.25999999</v>
      </c>
      <c r="AZ40" s="26">
        <f t="shared" si="49"/>
        <v>337994016.10000002</v>
      </c>
      <c r="BA40" s="26">
        <f t="shared" si="49"/>
        <v>203934016.81999999</v>
      </c>
      <c r="BB40" s="26">
        <f t="shared" si="49"/>
        <v>751124237.92999995</v>
      </c>
      <c r="BC40" s="26">
        <f t="shared" si="49"/>
        <v>416147739.11000001</v>
      </c>
      <c r="BD40" s="26">
        <f t="shared" si="49"/>
        <v>254095014.83000001</v>
      </c>
      <c r="BE40" s="26">
        <f t="shared" si="49"/>
        <v>173567381.47999999</v>
      </c>
      <c r="BF40" s="26">
        <f t="shared" si="49"/>
        <v>636500339.35000002</v>
      </c>
      <c r="BG40" s="26">
        <f t="shared" si="49"/>
        <v>337778231.50999999</v>
      </c>
      <c r="BH40" s="26">
        <f t="shared" si="49"/>
        <v>205660460.36000001</v>
      </c>
      <c r="BI40" s="26">
        <f t="shared" si="49"/>
        <v>129839421.97</v>
      </c>
      <c r="BJ40" s="26">
        <f t="shared" si="49"/>
        <v>368541117.19999999</v>
      </c>
      <c r="BK40" s="26">
        <f t="shared" si="49"/>
        <v>226477466.31</v>
      </c>
      <c r="BL40" s="26">
        <f t="shared" si="49"/>
        <v>148750335.91</v>
      </c>
      <c r="BM40" s="26">
        <f t="shared" si="49"/>
        <v>116318861.01000001</v>
      </c>
      <c r="BN40" s="26">
        <f t="shared" si="49"/>
        <v>256784400.75</v>
      </c>
      <c r="BO40" s="26">
        <f t="shared" ref="BO40:CJ40" si="50">BO60</f>
        <v>208225146.55000001</v>
      </c>
      <c r="BP40" s="26">
        <f t="shared" si="50"/>
        <v>155530625.22999999</v>
      </c>
      <c r="BQ40" s="26">
        <f t="shared" si="50"/>
        <v>124206524.16</v>
      </c>
      <c r="BR40" s="26">
        <f t="shared" si="50"/>
        <v>264912397.47999999</v>
      </c>
      <c r="BS40" s="26">
        <f t="shared" si="50"/>
        <v>142925129</v>
      </c>
      <c r="BT40" s="26">
        <f t="shared" si="50"/>
        <v>189560588.75</v>
      </c>
      <c r="BU40" s="26">
        <f t="shared" si="50"/>
        <v>137902505.22</v>
      </c>
      <c r="BV40" s="26">
        <f t="shared" si="50"/>
        <v>72074304.109999999</v>
      </c>
      <c r="BW40" s="26">
        <f t="shared" si="50"/>
        <v>0</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494</v>
      </c>
      <c r="B41" s="57">
        <f>B40/B38</f>
        <v>0.27412550194144442</v>
      </c>
      <c r="C41" s="57">
        <f t="shared" ref="C41:BN41" si="51">C40/C38</f>
        <v>0.27012192131004042</v>
      </c>
      <c r="D41" s="57">
        <f t="shared" si="51"/>
        <v>0.26447068941430324</v>
      </c>
      <c r="E41" s="57">
        <f t="shared" si="51"/>
        <v>0.26075009447259423</v>
      </c>
      <c r="F41" s="57">
        <f t="shared" si="51"/>
        <v>0.2635478719563526</v>
      </c>
      <c r="G41" s="57">
        <f t="shared" si="51"/>
        <v>0.25645756024475358</v>
      </c>
      <c r="H41" s="57">
        <f t="shared" si="51"/>
        <v>0.25090465884958446</v>
      </c>
      <c r="I41" s="57">
        <f t="shared" si="51"/>
        <v>0.25007040016276061</v>
      </c>
      <c r="J41" s="57">
        <f t="shared" si="51"/>
        <v>0.25447489342767821</v>
      </c>
      <c r="K41" s="57">
        <f t="shared" si="51"/>
        <v>0.25123606943175986</v>
      </c>
      <c r="L41" s="57">
        <f t="shared" si="51"/>
        <v>0.25709637921404088</v>
      </c>
      <c r="M41" s="57">
        <f t="shared" si="51"/>
        <v>0.34421187243832296</v>
      </c>
      <c r="N41" s="57">
        <f t="shared" si="51"/>
        <v>0.36740844790858573</v>
      </c>
      <c r="O41" s="57">
        <f t="shared" si="51"/>
        <v>0.39117032365857002</v>
      </c>
      <c r="P41" s="57">
        <f t="shared" si="51"/>
        <v>0.42698925270265475</v>
      </c>
      <c r="Q41" s="57">
        <f t="shared" si="51"/>
        <v>0.37807710920715293</v>
      </c>
      <c r="R41" s="57">
        <f t="shared" si="51"/>
        <v>0.39550779621384147</v>
      </c>
      <c r="S41" s="57">
        <f t="shared" si="51"/>
        <v>0.43627838555897652</v>
      </c>
      <c r="T41" s="57">
        <f t="shared" si="51"/>
        <v>44.967931387719545</v>
      </c>
      <c r="U41" s="57">
        <f t="shared" si="51"/>
        <v>57.387866474316503</v>
      </c>
      <c r="V41" s="57">
        <f t="shared" si="51"/>
        <v>12.653687547729666</v>
      </c>
      <c r="W41" s="57">
        <f t="shared" si="51"/>
        <v>11.54782737985893</v>
      </c>
      <c r="X41" s="57">
        <f t="shared" si="51"/>
        <v>10.357675144344505</v>
      </c>
      <c r="Y41" s="57">
        <f t="shared" si="51"/>
        <v>11.802773065541022</v>
      </c>
      <c r="Z41" s="57">
        <f t="shared" si="51"/>
        <v>11.064065559835152</v>
      </c>
      <c r="AA41" s="57">
        <f t="shared" si="51"/>
        <v>12.134597073444574</v>
      </c>
      <c r="AB41" s="57">
        <f t="shared" si="51"/>
        <v>12.880631687292944</v>
      </c>
      <c r="AC41" s="57">
        <f t="shared" si="51"/>
        <v>10.896253367938758</v>
      </c>
      <c r="AD41" s="57">
        <f t="shared" si="51"/>
        <v>8.7095063965958683</v>
      </c>
      <c r="AE41" s="57">
        <f t="shared" si="51"/>
        <v>10.623271628002732</v>
      </c>
      <c r="AF41" s="57">
        <f t="shared" si="51"/>
        <v>11.316304606543676</v>
      </c>
      <c r="AG41" s="57">
        <f t="shared" si="51"/>
        <v>12.43957254285114</v>
      </c>
      <c r="AH41" s="57">
        <f t="shared" si="51"/>
        <v>10.294807356370553</v>
      </c>
      <c r="AI41" s="57">
        <f t="shared" si="51"/>
        <v>10.781488343272676</v>
      </c>
      <c r="AJ41" s="57">
        <f t="shared" si="51"/>
        <v>11.023218191417721</v>
      </c>
      <c r="AK41" s="57">
        <f t="shared" si="51"/>
        <v>9.6955060851490309</v>
      </c>
      <c r="AL41" s="57">
        <f t="shared" si="51"/>
        <v>11.328892891988181</v>
      </c>
      <c r="AM41" s="57">
        <f t="shared" si="51"/>
        <v>14.502719172613913</v>
      </c>
      <c r="AN41" s="57">
        <f t="shared" si="51"/>
        <v>11.03662590558605</v>
      </c>
      <c r="AO41" s="57">
        <f t="shared" si="51"/>
        <v>5.2225287601536969</v>
      </c>
      <c r="AP41" s="57">
        <f t="shared" si="51"/>
        <v>13.335591252568179</v>
      </c>
      <c r="AQ41" s="57">
        <f t="shared" si="51"/>
        <v>17.399311085926136</v>
      </c>
      <c r="AR41" s="57">
        <f t="shared" si="51"/>
        <v>16.728028193198771</v>
      </c>
      <c r="AS41" s="57">
        <f t="shared" si="51"/>
        <v>7.6187754770241618</v>
      </c>
      <c r="AT41" s="57">
        <f t="shared" si="51"/>
        <v>33.419532808820172</v>
      </c>
      <c r="AU41" s="57">
        <f t="shared" si="51"/>
        <v>21.498423925473077</v>
      </c>
      <c r="AV41" s="57">
        <f t="shared" si="51"/>
        <v>13.809221919527088</v>
      </c>
      <c r="AW41" s="57">
        <f t="shared" si="51"/>
        <v>11.689914755452179</v>
      </c>
      <c r="AX41" s="57">
        <f t="shared" si="51"/>
        <v>32.313891419596544</v>
      </c>
      <c r="AY41" s="57">
        <f t="shared" si="51"/>
        <v>39.226505768972416</v>
      </c>
      <c r="AZ41" s="57">
        <f t="shared" si="51"/>
        <v>49.395052120221578</v>
      </c>
      <c r="BA41" s="57">
        <f t="shared" si="51"/>
        <v>72.339108369181957</v>
      </c>
      <c r="BB41" s="57">
        <f t="shared" si="51"/>
        <v>22.975396358489043</v>
      </c>
      <c r="BC41" s="57">
        <f t="shared" si="51"/>
        <v>29.204124360431024</v>
      </c>
      <c r="BD41" s="57">
        <f t="shared" si="51"/>
        <v>31.247854798215396</v>
      </c>
      <c r="BE41" s="57">
        <f t="shared" si="51"/>
        <v>48.764944728398476</v>
      </c>
      <c r="BF41" s="57">
        <f t="shared" si="51"/>
        <v>24.1933841867355</v>
      </c>
      <c r="BG41" s="57">
        <f t="shared" si="51"/>
        <v>15.142221240587208</v>
      </c>
      <c r="BH41" s="57">
        <f t="shared" si="51"/>
        <v>20.651000182503786</v>
      </c>
      <c r="BI41" s="57">
        <f t="shared" si="51"/>
        <v>19.242818597110379</v>
      </c>
      <c r="BJ41" s="57">
        <f t="shared" si="51"/>
        <v>22.961740067063069</v>
      </c>
      <c r="BK41" s="57">
        <f t="shared" si="51"/>
        <v>18.495487267442197</v>
      </c>
      <c r="BL41" s="57">
        <f t="shared" si="51"/>
        <v>34.030509856026697</v>
      </c>
      <c r="BM41" s="57">
        <f t="shared" si="51"/>
        <v>52.605607440007205</v>
      </c>
      <c r="BN41" s="57">
        <f t="shared" si="51"/>
        <v>14.70574539703096</v>
      </c>
      <c r="BO41" s="57">
        <f t="shared" ref="BO41:CJ41" si="52">BO40/BO38</f>
        <v>13.645680282025793</v>
      </c>
      <c r="BP41" s="57">
        <f t="shared" si="52"/>
        <v>13.058566911559192</v>
      </c>
      <c r="BQ41" s="57">
        <f t="shared" si="52"/>
        <v>46.659797778568581</v>
      </c>
      <c r="BR41" s="57">
        <f t="shared" si="52"/>
        <v>46.133070341512529</v>
      </c>
      <c r="BS41" s="57">
        <f t="shared" si="52"/>
        <v>-106.96211333146738</v>
      </c>
      <c r="BT41" s="57">
        <f t="shared" si="52"/>
        <v>-28.377054674972978</v>
      </c>
      <c r="BU41" s="57">
        <f t="shared" si="52"/>
        <v>-12.228309660750529</v>
      </c>
      <c r="BV41" s="57">
        <f t="shared" si="52"/>
        <v>-1.719298120402901</v>
      </c>
      <c r="BW41" s="57" t="e">
        <f t="shared" si="52"/>
        <v>#DIV/0!</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306</v>
      </c>
      <c r="B42" s="28">
        <f>B38-B40</f>
        <v>34418199956.440002</v>
      </c>
      <c r="C42" s="28">
        <f t="shared" ref="C42:BN42" si="53">C38-C40</f>
        <v>26300630945.230011</v>
      </c>
      <c r="D42" s="28">
        <f t="shared" si="53"/>
        <v>16762576254.959999</v>
      </c>
      <c r="E42" s="28">
        <f t="shared" si="53"/>
        <v>15725443989.799999</v>
      </c>
      <c r="F42" s="28">
        <f t="shared" si="53"/>
        <v>15684757207.559998</v>
      </c>
      <c r="G42" s="28">
        <f t="shared" si="53"/>
        <v>15851702515.440001</v>
      </c>
      <c r="H42" s="28">
        <f t="shared" si="53"/>
        <v>14008449050.170004</v>
      </c>
      <c r="I42" s="28">
        <f t="shared" si="53"/>
        <v>9249536771.7500019</v>
      </c>
      <c r="J42" s="28">
        <f t="shared" si="53"/>
        <v>5339761496.9699993</v>
      </c>
      <c r="K42" s="28">
        <f t="shared" si="53"/>
        <v>4552888943.999999</v>
      </c>
      <c r="L42" s="28">
        <f t="shared" si="53"/>
        <v>4000759343.1100006</v>
      </c>
      <c r="M42" s="28">
        <f t="shared" si="53"/>
        <v>2964419238.8300004</v>
      </c>
      <c r="N42" s="28">
        <f t="shared" si="53"/>
        <v>1573485812.1000001</v>
      </c>
      <c r="O42" s="28">
        <f t="shared" si="53"/>
        <v>1169073160.7500005</v>
      </c>
      <c r="P42" s="28">
        <f t="shared" si="53"/>
        <v>854170293.04000032</v>
      </c>
      <c r="Q42" s="28">
        <f t="shared" si="53"/>
        <v>606236535.88999963</v>
      </c>
      <c r="R42" s="28">
        <f t="shared" si="53"/>
        <v>392468036.76999998</v>
      </c>
      <c r="S42" s="28">
        <f t="shared" si="53"/>
        <v>342297141.76999998</v>
      </c>
      <c r="T42" s="28">
        <f t="shared" si="53"/>
        <v>-2501741693.0300002</v>
      </c>
      <c r="U42" s="28">
        <f t="shared" si="53"/>
        <v>-1335728419.8200002</v>
      </c>
      <c r="V42" s="28">
        <f t="shared" si="53"/>
        <v>-5035376180.2399998</v>
      </c>
      <c r="W42" s="28">
        <f t="shared" si="53"/>
        <v>-3658375018.9900002</v>
      </c>
      <c r="X42" s="28">
        <f t="shared" si="53"/>
        <v>-2262690841.3800001</v>
      </c>
      <c r="Y42" s="28">
        <f t="shared" si="53"/>
        <v>-1230608960.77</v>
      </c>
      <c r="Z42" s="28">
        <f t="shared" si="53"/>
        <v>-4267960594.5</v>
      </c>
      <c r="AA42" s="28">
        <f t="shared" si="53"/>
        <v>-3346708444.7800002</v>
      </c>
      <c r="AB42" s="28">
        <f t="shared" si="53"/>
        <v>-2260932571.5099998</v>
      </c>
      <c r="AC42" s="28">
        <f t="shared" si="53"/>
        <v>-949493432.61000013</v>
      </c>
      <c r="AD42" s="28">
        <f t="shared" si="53"/>
        <v>-2730202169.2599998</v>
      </c>
      <c r="AE42" s="28">
        <f t="shared" si="53"/>
        <v>-2127736683.78</v>
      </c>
      <c r="AF42" s="28">
        <f t="shared" si="53"/>
        <v>-1568955652.28</v>
      </c>
      <c r="AG42" s="28">
        <f t="shared" si="53"/>
        <v>-609531969.59000003</v>
      </c>
      <c r="AH42" s="28">
        <f t="shared" si="53"/>
        <v>-1645609159.49</v>
      </c>
      <c r="AI42" s="28">
        <f t="shared" si="53"/>
        <v>-1346973483.01</v>
      </c>
      <c r="AJ42" s="28">
        <f t="shared" si="53"/>
        <v>-1002896385.1900001</v>
      </c>
      <c r="AK42" s="28">
        <f t="shared" si="53"/>
        <v>-402149862.12</v>
      </c>
      <c r="AL42" s="28">
        <f t="shared" si="53"/>
        <v>-1392805377.6000001</v>
      </c>
      <c r="AM42" s="28">
        <f t="shared" si="53"/>
        <v>-1234169676.96</v>
      </c>
      <c r="AN42" s="28">
        <f t="shared" si="53"/>
        <v>-888437375.52999997</v>
      </c>
      <c r="AO42" s="28">
        <f t="shared" si="53"/>
        <v>-344594120.43000001</v>
      </c>
      <c r="AP42" s="28">
        <f t="shared" si="53"/>
        <v>-1280718279.72</v>
      </c>
      <c r="AQ42" s="28">
        <f t="shared" si="53"/>
        <v>-1036488938.5899999</v>
      </c>
      <c r="AR42" s="28">
        <f t="shared" si="53"/>
        <v>-736742395.75</v>
      </c>
      <c r="AS42" s="28">
        <f t="shared" si="53"/>
        <v>-265409540.38</v>
      </c>
      <c r="AT42" s="28">
        <f t="shared" si="53"/>
        <v>-1509413732.03</v>
      </c>
      <c r="AU42" s="28">
        <f t="shared" si="53"/>
        <v>-799806842.82999992</v>
      </c>
      <c r="AV42" s="28">
        <f t="shared" si="53"/>
        <v>-433286010.30000001</v>
      </c>
      <c r="AW42" s="28">
        <f t="shared" si="53"/>
        <v>-285975778.98000002</v>
      </c>
      <c r="AX42" s="28">
        <f t="shared" si="53"/>
        <v>-885597458.13999999</v>
      </c>
      <c r="AY42" s="28">
        <f t="shared" si="53"/>
        <v>-558621064.98000002</v>
      </c>
      <c r="AZ42" s="28">
        <f t="shared" si="53"/>
        <v>-331151346.61000001</v>
      </c>
      <c r="BA42" s="28">
        <f t="shared" si="53"/>
        <v>-201114877.60999998</v>
      </c>
      <c r="BB42" s="28">
        <f t="shared" si="53"/>
        <v>-718431690.38</v>
      </c>
      <c r="BC42" s="28">
        <f t="shared" si="53"/>
        <v>-401898116.90000004</v>
      </c>
      <c r="BD42" s="28">
        <f t="shared" si="53"/>
        <v>-245963416.15000001</v>
      </c>
      <c r="BE42" s="28">
        <f t="shared" si="53"/>
        <v>-170008116.06</v>
      </c>
      <c r="BF42" s="28">
        <f t="shared" si="53"/>
        <v>-610191480.10000002</v>
      </c>
      <c r="BG42" s="28">
        <f t="shared" si="53"/>
        <v>-315471185.13</v>
      </c>
      <c r="BH42" s="28">
        <f t="shared" si="53"/>
        <v>-195701598.39000002</v>
      </c>
      <c r="BI42" s="28">
        <f t="shared" si="53"/>
        <v>-123091999.73999999</v>
      </c>
      <c r="BJ42" s="28">
        <f t="shared" si="53"/>
        <v>-352490891.20999998</v>
      </c>
      <c r="BK42" s="28">
        <f t="shared" si="53"/>
        <v>-214232454.16</v>
      </c>
      <c r="BL42" s="28">
        <f t="shared" si="53"/>
        <v>-144379248.41999999</v>
      </c>
      <c r="BM42" s="28">
        <f t="shared" si="53"/>
        <v>-114107711.54000001</v>
      </c>
      <c r="BN42" s="28">
        <f t="shared" si="53"/>
        <v>-239322898.88</v>
      </c>
      <c r="BO42" s="28">
        <f t="shared" ref="BO42:CK42" si="54">BO38-BO40</f>
        <v>-192965728.02000001</v>
      </c>
      <c r="BP42" s="28">
        <f t="shared" si="54"/>
        <v>-143620388.34999999</v>
      </c>
      <c r="BQ42" s="28">
        <f t="shared" si="54"/>
        <v>-121544563.97</v>
      </c>
      <c r="BR42" s="28">
        <f t="shared" si="54"/>
        <v>-259170043.98999998</v>
      </c>
      <c r="BS42" s="28">
        <f t="shared" si="54"/>
        <v>-144261351</v>
      </c>
      <c r="BT42" s="28">
        <f t="shared" si="54"/>
        <v>-196240654.41999999</v>
      </c>
      <c r="BU42" s="28">
        <f t="shared" si="54"/>
        <v>-149179820.65000001</v>
      </c>
      <c r="BV42" s="28">
        <f t="shared" si="54"/>
        <v>-113995075.88</v>
      </c>
      <c r="BW42" s="28">
        <f t="shared" si="54"/>
        <v>0</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305</v>
      </c>
      <c r="B43" s="57">
        <f>B42/B4</f>
        <v>0.46739172994227818</v>
      </c>
      <c r="C43" s="57">
        <f t="shared" ref="C43:AH43" si="55">C42/C4</f>
        <v>0.45176223158215778</v>
      </c>
      <c r="D43" s="57">
        <f t="shared" si="55"/>
        <v>0.43133380433827884</v>
      </c>
      <c r="E43" s="57">
        <f t="shared" si="55"/>
        <v>0.48149554268898387</v>
      </c>
      <c r="F43" s="57">
        <f t="shared" si="55"/>
        <v>0.49676292869891542</v>
      </c>
      <c r="G43" s="57">
        <f t="shared" si="55"/>
        <v>0.51263839234780295</v>
      </c>
      <c r="H43" s="57">
        <f t="shared" si="55"/>
        <v>0.5295131953218426</v>
      </c>
      <c r="I43" s="57">
        <f t="shared" si="55"/>
        <v>0.50262787928801733</v>
      </c>
      <c r="J43" s="57">
        <f t="shared" si="55"/>
        <v>0.45900724303036539</v>
      </c>
      <c r="K43" s="57">
        <f t="shared" si="55"/>
        <v>0.47082620310639889</v>
      </c>
      <c r="L43" s="57">
        <f t="shared" si="55"/>
        <v>0.48542974759096302</v>
      </c>
      <c r="M43" s="57">
        <f t="shared" si="55"/>
        <v>0.40959552393777798</v>
      </c>
      <c r="N43" s="57">
        <f t="shared" si="55"/>
        <v>0.32136963801589008</v>
      </c>
      <c r="O43" s="57">
        <f t="shared" si="55"/>
        <v>0.2974350918585601</v>
      </c>
      <c r="P43" s="57">
        <f t="shared" si="55"/>
        <v>0.28379697390760017</v>
      </c>
      <c r="Q43" s="57">
        <f t="shared" si="55"/>
        <v>0.25249146500343578</v>
      </c>
      <c r="R43" s="57">
        <f t="shared" si="55"/>
        <v>0.21351484488135292</v>
      </c>
      <c r="S43" s="57">
        <f t="shared" si="55"/>
        <v>0.21139861197942544</v>
      </c>
      <c r="T43" s="57" t="e">
        <f t="shared" si="55"/>
        <v>#DIV/0!</v>
      </c>
      <c r="U43" s="57" t="e">
        <f t="shared" si="55"/>
        <v>#DIV/0!</v>
      </c>
      <c r="V43" s="57" t="e">
        <f t="shared" si="55"/>
        <v>#DIV/0!</v>
      </c>
      <c r="W43" s="57" t="e">
        <f t="shared" si="55"/>
        <v>#DIV/0!</v>
      </c>
      <c r="X43" s="57" t="e">
        <f t="shared" si="55"/>
        <v>#DIV/0!</v>
      </c>
      <c r="Y43" s="57" t="e">
        <f t="shared" si="55"/>
        <v>#DIV/0!</v>
      </c>
      <c r="Z43" s="57" t="e">
        <f t="shared" si="55"/>
        <v>#DIV/0!</v>
      </c>
      <c r="AA43" s="57" t="e">
        <f t="shared" si="55"/>
        <v>#DIV/0!</v>
      </c>
      <c r="AB43" s="57" t="e">
        <f t="shared" si="55"/>
        <v>#DIV/0!</v>
      </c>
      <c r="AC43" s="57" t="e">
        <f t="shared" si="55"/>
        <v>#DIV/0!</v>
      </c>
      <c r="AD43" s="57" t="e">
        <f t="shared" si="55"/>
        <v>#DIV/0!</v>
      </c>
      <c r="AE43" s="57" t="e">
        <f t="shared" si="55"/>
        <v>#DIV/0!</v>
      </c>
      <c r="AF43" s="57" t="e">
        <f t="shared" si="55"/>
        <v>#DIV/0!</v>
      </c>
      <c r="AG43" s="57" t="e">
        <f t="shared" si="55"/>
        <v>#DIV/0!</v>
      </c>
      <c r="AH43" s="57" t="e">
        <f t="shared" si="55"/>
        <v>#DIV/0!</v>
      </c>
      <c r="AI43" s="57" t="e">
        <f t="shared" ref="F43:BQ43" si="56">AI42/AI4</f>
        <v>#DIV/0!</v>
      </c>
      <c r="AJ43" s="57" t="e">
        <f t="shared" si="56"/>
        <v>#DIV/0!</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307</v>
      </c>
      <c r="B45" s="26">
        <f>B70*B69</f>
        <v>9392679033.8024006</v>
      </c>
      <c r="C45" s="26">
        <f t="shared" ref="C45:BN45" si="58">C70*C69</f>
        <v>7681570198.0064001</v>
      </c>
      <c r="D45" s="26">
        <f t="shared" si="58"/>
        <v>6071883428.3776007</v>
      </c>
      <c r="E45" s="26">
        <f t="shared" si="58"/>
        <v>5298733633.7032003</v>
      </c>
      <c r="F45" s="26">
        <f t="shared" si="58"/>
        <v>4424924067.2896004</v>
      </c>
      <c r="G45" s="26">
        <f t="shared" si="58"/>
        <v>3530327381.8608003</v>
      </c>
      <c r="H45" s="26">
        <f t="shared" si="58"/>
        <v>2836322911.7800002</v>
      </c>
      <c r="I45" s="26">
        <f t="shared" si="58"/>
        <v>2032270368.9032001</v>
      </c>
      <c r="J45" s="26">
        <f t="shared" si="58"/>
        <v>1483951175.5695999</v>
      </c>
      <c r="K45" s="26">
        <f t="shared" si="58"/>
        <v>1172125231.5367999</v>
      </c>
      <c r="L45" s="26">
        <f t="shared" si="58"/>
        <v>920273463.67600012</v>
      </c>
      <c r="M45" s="26">
        <f t="shared" si="58"/>
        <v>669508461.63520002</v>
      </c>
      <c r="N45" s="26">
        <f t="shared" si="58"/>
        <v>479602291.95440006</v>
      </c>
      <c r="O45" s="26">
        <f t="shared" si="58"/>
        <v>412991606.52160007</v>
      </c>
      <c r="P45" s="26">
        <f t="shared" si="58"/>
        <v>337336619.73839998</v>
      </c>
      <c r="Q45" s="26">
        <f t="shared" si="58"/>
        <v>277641927.2744</v>
      </c>
      <c r="R45" s="26">
        <f t="shared" si="58"/>
        <v>228227640.4928</v>
      </c>
      <c r="S45" s="26">
        <f t="shared" si="58"/>
        <v>202473253.18400002</v>
      </c>
      <c r="T45" s="26">
        <f t="shared" si="58"/>
        <v>3729934150.4976001</v>
      </c>
      <c r="U45" s="26">
        <f t="shared" si="58"/>
        <v>3796285731.5703998</v>
      </c>
      <c r="V45" s="26">
        <f t="shared" si="58"/>
        <v>3530327381.8608003</v>
      </c>
      <c r="W45" s="26">
        <f t="shared" si="58"/>
        <v>3185629416.1752005</v>
      </c>
      <c r="X45" s="26">
        <f t="shared" si="58"/>
        <v>2862328574.6815996</v>
      </c>
      <c r="Y45" s="26">
        <f t="shared" si="58"/>
        <v>3087650644.4335999</v>
      </c>
      <c r="Z45" s="26">
        <f t="shared" si="58"/>
        <v>2836322911.7800002</v>
      </c>
      <c r="AA45" s="26">
        <f t="shared" si="58"/>
        <v>2559325237.5023999</v>
      </c>
      <c r="AB45" s="26">
        <f t="shared" si="58"/>
        <v>2272382018.6904001</v>
      </c>
      <c r="AC45" s="26">
        <f t="shared" si="58"/>
        <v>2282449632.1623998</v>
      </c>
      <c r="AD45" s="26">
        <f t="shared" si="58"/>
        <v>2032270368.9032001</v>
      </c>
      <c r="AE45" s="26">
        <f t="shared" si="58"/>
        <v>1846701609.3023999</v>
      </c>
      <c r="AF45" s="26">
        <f t="shared" si="58"/>
        <v>1723596470.9720001</v>
      </c>
      <c r="AG45" s="26">
        <f t="shared" si="58"/>
        <v>1643254481.9408</v>
      </c>
      <c r="AH45" s="26">
        <f t="shared" si="58"/>
        <v>1483951175.5695999</v>
      </c>
      <c r="AI45" s="26">
        <f t="shared" si="58"/>
        <v>1417741615.4751999</v>
      </c>
      <c r="AJ45" s="26">
        <f t="shared" si="58"/>
        <v>1338977063.6975999</v>
      </c>
      <c r="AK45" s="26">
        <f t="shared" si="58"/>
        <v>1279675855.3616002</v>
      </c>
      <c r="AL45" s="26">
        <f t="shared" si="58"/>
        <v>1172125231.5367999</v>
      </c>
      <c r="AM45" s="26">
        <f t="shared" si="58"/>
        <v>1137254378.4824002</v>
      </c>
      <c r="AN45" s="26">
        <f t="shared" si="58"/>
        <v>1053358109.5264</v>
      </c>
      <c r="AO45" s="26">
        <f t="shared" si="58"/>
        <v>1008640598.3232001</v>
      </c>
      <c r="AP45" s="26">
        <f t="shared" si="58"/>
        <v>920273463.67600012</v>
      </c>
      <c r="AQ45" s="26">
        <f t="shared" si="58"/>
        <v>864560378.70720005</v>
      </c>
      <c r="AR45" s="26">
        <f t="shared" si="58"/>
        <v>788370798.11759996</v>
      </c>
      <c r="AS45" s="26">
        <f t="shared" si="58"/>
        <v>742875301.20240009</v>
      </c>
      <c r="AT45" s="26">
        <f t="shared" si="58"/>
        <v>669508461.63520002</v>
      </c>
      <c r="AU45" s="26">
        <f t="shared" si="58"/>
        <v>556231945.94640005</v>
      </c>
      <c r="AV45" s="26">
        <f t="shared" si="58"/>
        <v>497552951.63919997</v>
      </c>
      <c r="AW45" s="26">
        <f t="shared" si="58"/>
        <v>471070143.48720002</v>
      </c>
      <c r="AX45" s="26">
        <f t="shared" si="58"/>
        <v>479602291.95440006</v>
      </c>
      <c r="AY45" s="26">
        <f t="shared" si="58"/>
        <v>433203554.24879998</v>
      </c>
      <c r="AZ45" s="26">
        <f t="shared" si="58"/>
        <v>404677948.49120003</v>
      </c>
      <c r="BA45" s="26">
        <f t="shared" si="58"/>
        <v>447063645.7392</v>
      </c>
      <c r="BB45" s="26">
        <f t="shared" si="58"/>
        <v>412991606.52160007</v>
      </c>
      <c r="BC45" s="26">
        <f t="shared" si="58"/>
        <v>381240267.76239997</v>
      </c>
      <c r="BD45" s="26">
        <f t="shared" si="58"/>
        <v>375346986.45999998</v>
      </c>
      <c r="BE45" s="26">
        <f t="shared" si="58"/>
        <v>368051933.11919999</v>
      </c>
      <c r="BF45" s="26">
        <f t="shared" si="58"/>
        <v>337336619.73839998</v>
      </c>
      <c r="BG45" s="26">
        <f t="shared" si="58"/>
        <v>312037949.29040003</v>
      </c>
      <c r="BH45" s="26">
        <f t="shared" si="58"/>
        <v>305371623.65439999</v>
      </c>
      <c r="BI45" s="26">
        <f t="shared" si="58"/>
        <v>298223559.52319998</v>
      </c>
      <c r="BJ45" s="26">
        <f t="shared" si="58"/>
        <v>277641927.2744</v>
      </c>
      <c r="BK45" s="26">
        <f t="shared" si="58"/>
        <v>258521330.02720001</v>
      </c>
      <c r="BL45" s="26">
        <f t="shared" si="58"/>
        <v>249981853.80320001</v>
      </c>
      <c r="BM45" s="26">
        <f t="shared" si="58"/>
        <v>248037814.10479999</v>
      </c>
      <c r="BN45" s="26">
        <f t="shared" si="58"/>
        <v>229978717.8152</v>
      </c>
      <c r="BO45" s="26">
        <f t="shared" ref="BO45:CJ45" si="59">BO70*BO69</f>
        <v>228624348.03759998</v>
      </c>
      <c r="BP45" s="26">
        <f t="shared" si="59"/>
        <v>222724219.26240003</v>
      </c>
      <c r="BQ45" s="26">
        <f t="shared" si="59"/>
        <v>220116990.12799999</v>
      </c>
      <c r="BR45" s="26">
        <f t="shared" si="59"/>
        <v>203010536.3048</v>
      </c>
      <c r="BS45" s="26">
        <f t="shared" si="59"/>
        <v>44923632.259199999</v>
      </c>
      <c r="BT45" s="26">
        <f t="shared" si="59"/>
        <v>35502369.843200006</v>
      </c>
      <c r="BU45" s="26">
        <f t="shared" si="59"/>
        <v>22828948.418400001</v>
      </c>
      <c r="BV45" s="26">
        <f t="shared" si="59"/>
        <v>18727322.238400001</v>
      </c>
      <c r="BW45" s="26">
        <f t="shared" si="59"/>
        <v>0</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308</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309</v>
      </c>
      <c r="B47" s="28">
        <f>B42-B45</f>
        <v>25025520922.637604</v>
      </c>
      <c r="C47" s="28">
        <f t="shared" ref="C47:BN47" si="62">C42-C45</f>
        <v>18619060747.22361</v>
      </c>
      <c r="D47" s="28">
        <f t="shared" si="62"/>
        <v>10690692826.582397</v>
      </c>
      <c r="E47" s="28">
        <f t="shared" si="62"/>
        <v>10426710356.096798</v>
      </c>
      <c r="F47" s="28">
        <f t="shared" si="62"/>
        <v>11259833140.270397</v>
      </c>
      <c r="G47" s="28">
        <f t="shared" si="62"/>
        <v>12321375133.579201</v>
      </c>
      <c r="H47" s="28">
        <f t="shared" si="62"/>
        <v>11172126138.390003</v>
      </c>
      <c r="I47" s="28">
        <f t="shared" si="62"/>
        <v>7217266402.8468018</v>
      </c>
      <c r="J47" s="28">
        <f t="shared" si="62"/>
        <v>3855810321.4003992</v>
      </c>
      <c r="K47" s="28">
        <f t="shared" si="62"/>
        <v>3380763712.4631991</v>
      </c>
      <c r="L47" s="28">
        <f t="shared" si="62"/>
        <v>3080485879.4340005</v>
      </c>
      <c r="M47" s="28">
        <f t="shared" si="62"/>
        <v>2294910777.1948004</v>
      </c>
      <c r="N47" s="28">
        <f t="shared" si="62"/>
        <v>1093883520.1456001</v>
      </c>
      <c r="O47" s="28">
        <f t="shared" si="62"/>
        <v>756081554.22840047</v>
      </c>
      <c r="P47" s="28">
        <f t="shared" si="62"/>
        <v>516833673.30160034</v>
      </c>
      <c r="Q47" s="28">
        <f t="shared" si="62"/>
        <v>328594608.61559963</v>
      </c>
      <c r="R47" s="28">
        <f t="shared" si="62"/>
        <v>164240396.27719998</v>
      </c>
      <c r="S47" s="28">
        <f t="shared" si="62"/>
        <v>139823888.58599997</v>
      </c>
      <c r="T47" s="28">
        <f t="shared" si="62"/>
        <v>-6231675843.5276003</v>
      </c>
      <c r="U47" s="28">
        <f t="shared" si="62"/>
        <v>-5132014151.3903999</v>
      </c>
      <c r="V47" s="28">
        <f t="shared" si="62"/>
        <v>-8565703562.1007996</v>
      </c>
      <c r="W47" s="28">
        <f t="shared" si="62"/>
        <v>-6844004435.1652012</v>
      </c>
      <c r="X47" s="28">
        <f t="shared" si="62"/>
        <v>-5125019416.0615997</v>
      </c>
      <c r="Y47" s="28">
        <f t="shared" si="62"/>
        <v>-4318259605.2035999</v>
      </c>
      <c r="Z47" s="28">
        <f t="shared" si="62"/>
        <v>-7104283506.2800007</v>
      </c>
      <c r="AA47" s="28">
        <f t="shared" si="62"/>
        <v>-5906033682.2824001</v>
      </c>
      <c r="AB47" s="28">
        <f t="shared" si="62"/>
        <v>-4533314590.2003994</v>
      </c>
      <c r="AC47" s="28">
        <f t="shared" si="62"/>
        <v>-3231943064.7723999</v>
      </c>
      <c r="AD47" s="28">
        <f t="shared" si="62"/>
        <v>-4762472538.1632004</v>
      </c>
      <c r="AE47" s="28">
        <f t="shared" si="62"/>
        <v>-3974438293.0823998</v>
      </c>
      <c r="AF47" s="28">
        <f t="shared" si="62"/>
        <v>-3292552123.2519999</v>
      </c>
      <c r="AG47" s="28">
        <f t="shared" si="62"/>
        <v>-2252786451.5307999</v>
      </c>
      <c r="AH47" s="28">
        <f t="shared" si="62"/>
        <v>-3129560335.0595999</v>
      </c>
      <c r="AI47" s="28">
        <f t="shared" si="62"/>
        <v>-2764715098.4851999</v>
      </c>
      <c r="AJ47" s="28">
        <f t="shared" si="62"/>
        <v>-2341873448.8875999</v>
      </c>
      <c r="AK47" s="28">
        <f t="shared" si="62"/>
        <v>-1681825717.4816003</v>
      </c>
      <c r="AL47" s="28">
        <f t="shared" si="62"/>
        <v>-2564930609.1367998</v>
      </c>
      <c r="AM47" s="28">
        <f t="shared" si="62"/>
        <v>-2371424055.4424</v>
      </c>
      <c r="AN47" s="28">
        <f t="shared" si="62"/>
        <v>-1941795485.0563998</v>
      </c>
      <c r="AO47" s="28">
        <f t="shared" si="62"/>
        <v>-1353234718.7532001</v>
      </c>
      <c r="AP47" s="28">
        <f t="shared" si="62"/>
        <v>-2200991743.3959999</v>
      </c>
      <c r="AQ47" s="28">
        <f t="shared" si="62"/>
        <v>-1901049317.2972</v>
      </c>
      <c r="AR47" s="28">
        <f t="shared" si="62"/>
        <v>-1525113193.8676</v>
      </c>
      <c r="AS47" s="28">
        <f t="shared" si="62"/>
        <v>-1008284841.5824001</v>
      </c>
      <c r="AT47" s="28">
        <f t="shared" si="62"/>
        <v>-2178922193.6652002</v>
      </c>
      <c r="AU47" s="28">
        <f t="shared" si="62"/>
        <v>-1356038788.7764001</v>
      </c>
      <c r="AV47" s="28">
        <f t="shared" si="62"/>
        <v>-930838961.93919992</v>
      </c>
      <c r="AW47" s="28">
        <f t="shared" si="62"/>
        <v>-757045922.46720004</v>
      </c>
      <c r="AX47" s="28">
        <f t="shared" si="62"/>
        <v>-1365199750.0943999</v>
      </c>
      <c r="AY47" s="28">
        <f t="shared" si="62"/>
        <v>-991824619.22880006</v>
      </c>
      <c r="AZ47" s="28">
        <f t="shared" si="62"/>
        <v>-735829295.1012001</v>
      </c>
      <c r="BA47" s="28">
        <f t="shared" si="62"/>
        <v>-648178523.34920001</v>
      </c>
      <c r="BB47" s="28">
        <f t="shared" si="62"/>
        <v>-1131423296.9016001</v>
      </c>
      <c r="BC47" s="28">
        <f t="shared" si="62"/>
        <v>-783138384.66240001</v>
      </c>
      <c r="BD47" s="28">
        <f t="shared" si="62"/>
        <v>-621310402.61000001</v>
      </c>
      <c r="BE47" s="28">
        <f t="shared" si="62"/>
        <v>-538060049.17919993</v>
      </c>
      <c r="BF47" s="28">
        <f t="shared" si="62"/>
        <v>-947528099.83840001</v>
      </c>
      <c r="BG47" s="28">
        <f t="shared" si="62"/>
        <v>-627509134.42040002</v>
      </c>
      <c r="BH47" s="28">
        <f t="shared" si="62"/>
        <v>-501073222.04439998</v>
      </c>
      <c r="BI47" s="28">
        <f t="shared" si="62"/>
        <v>-421315559.26319999</v>
      </c>
      <c r="BJ47" s="28">
        <f t="shared" si="62"/>
        <v>-630132818.48440003</v>
      </c>
      <c r="BK47" s="28">
        <f t="shared" si="62"/>
        <v>-472753784.18720001</v>
      </c>
      <c r="BL47" s="28">
        <f t="shared" si="62"/>
        <v>-394361102.22319996</v>
      </c>
      <c r="BM47" s="28">
        <f t="shared" si="62"/>
        <v>-362145525.64480001</v>
      </c>
      <c r="BN47" s="28">
        <f t="shared" si="62"/>
        <v>-469301616.69519997</v>
      </c>
      <c r="BO47" s="28">
        <f t="shared" ref="BO47:CJ47" si="63">BO42-BO45</f>
        <v>-421590076.05760002</v>
      </c>
      <c r="BP47" s="28">
        <f t="shared" si="63"/>
        <v>-366344607.61240005</v>
      </c>
      <c r="BQ47" s="28">
        <f t="shared" si="63"/>
        <v>-341661554.09799999</v>
      </c>
      <c r="BR47" s="28">
        <f t="shared" si="63"/>
        <v>-462180580.29479998</v>
      </c>
      <c r="BS47" s="28">
        <f t="shared" si="63"/>
        <v>-189184983.25920001</v>
      </c>
      <c r="BT47" s="28">
        <f t="shared" si="63"/>
        <v>-231743024.26319999</v>
      </c>
      <c r="BU47" s="28">
        <f t="shared" si="63"/>
        <v>-172008769.0684</v>
      </c>
      <c r="BV47" s="28">
        <f t="shared" si="63"/>
        <v>-132722398.11839999</v>
      </c>
      <c r="BW47" s="28">
        <f t="shared" si="63"/>
        <v>0</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271" t="s">
        <v>638</v>
      </c>
      <c r="C51" s="271" t="s">
        <v>639</v>
      </c>
      <c r="D51" s="271" t="s">
        <v>640</v>
      </c>
      <c r="E51" s="271" t="s">
        <v>641</v>
      </c>
      <c r="F51" s="271" t="s">
        <v>642</v>
      </c>
      <c r="G51" s="271" t="s">
        <v>643</v>
      </c>
      <c r="H51" s="271" t="s">
        <v>644</v>
      </c>
      <c r="I51" s="271" t="s">
        <v>645</v>
      </c>
      <c r="J51" s="271" t="s">
        <v>646</v>
      </c>
      <c r="K51" s="271" t="s">
        <v>647</v>
      </c>
      <c r="L51" s="271" t="s">
        <v>648</v>
      </c>
      <c r="M51" s="271" t="s">
        <v>649</v>
      </c>
      <c r="N51" s="271" t="s">
        <v>650</v>
      </c>
      <c r="O51" s="271" t="s">
        <v>651</v>
      </c>
      <c r="P51" s="271" t="s">
        <v>652</v>
      </c>
      <c r="Q51" s="271" t="s">
        <v>653</v>
      </c>
      <c r="R51" s="271" t="s">
        <v>654</v>
      </c>
      <c r="S51" s="271" t="s">
        <v>655</v>
      </c>
      <c r="T51" s="187">
        <v>20140630</v>
      </c>
      <c r="U51" s="187">
        <v>20140331</v>
      </c>
      <c r="V51" s="187">
        <v>20131231</v>
      </c>
      <c r="W51" s="187">
        <v>20130930</v>
      </c>
      <c r="X51" s="187">
        <v>20130630</v>
      </c>
      <c r="Y51" s="187">
        <v>20130331</v>
      </c>
      <c r="Z51" s="187">
        <v>20121231</v>
      </c>
      <c r="AA51" s="187">
        <v>20120930</v>
      </c>
      <c r="AB51" s="187">
        <v>20120630</v>
      </c>
      <c r="AC51" s="187">
        <v>20120331</v>
      </c>
      <c r="AD51" s="187">
        <v>20111231</v>
      </c>
      <c r="AE51" s="187">
        <v>20110930</v>
      </c>
      <c r="AF51" s="187">
        <v>20110630</v>
      </c>
      <c r="AG51" s="187">
        <v>20110331</v>
      </c>
      <c r="AH51" s="187">
        <v>20101231</v>
      </c>
      <c r="AI51" s="187">
        <v>20100930</v>
      </c>
      <c r="AJ51" s="187">
        <v>20100630</v>
      </c>
      <c r="AK51" s="187">
        <v>20100331</v>
      </c>
      <c r="AL51" s="187">
        <v>20091231</v>
      </c>
      <c r="AM51" s="187">
        <v>20090930</v>
      </c>
      <c r="AN51" s="187">
        <v>20090630</v>
      </c>
      <c r="AO51" s="187">
        <v>20090331</v>
      </c>
      <c r="AP51" s="187">
        <v>20081231</v>
      </c>
      <c r="AQ51" s="187">
        <v>20080930</v>
      </c>
      <c r="AR51" s="187">
        <v>20080630</v>
      </c>
      <c r="AS51" s="187">
        <v>20080331</v>
      </c>
      <c r="AT51" s="187">
        <v>20071231</v>
      </c>
      <c r="AU51" s="187">
        <v>20070930</v>
      </c>
      <c r="AV51" s="187">
        <v>20070630</v>
      </c>
      <c r="AW51" s="187">
        <v>20070331</v>
      </c>
      <c r="AX51" s="187">
        <v>20061231</v>
      </c>
      <c r="AY51" s="187">
        <v>20060930</v>
      </c>
      <c r="AZ51" s="187">
        <v>20060630</v>
      </c>
      <c r="BA51" s="187">
        <v>20060331</v>
      </c>
      <c r="BB51" s="187">
        <v>20051231</v>
      </c>
      <c r="BC51" s="187">
        <v>20050930</v>
      </c>
      <c r="BD51" s="187">
        <v>20050630</v>
      </c>
      <c r="BE51" s="187">
        <v>20050331</v>
      </c>
      <c r="BF51" s="187">
        <v>20041231</v>
      </c>
      <c r="BG51" s="187">
        <v>20040930</v>
      </c>
      <c r="BH51" s="187">
        <v>20040630</v>
      </c>
      <c r="BI51" s="187">
        <v>20040331</v>
      </c>
      <c r="BJ51" s="187">
        <v>20031231</v>
      </c>
      <c r="BK51" s="187">
        <v>20030930</v>
      </c>
      <c r="BL51" s="187">
        <v>20030630</v>
      </c>
      <c r="BM51" s="187">
        <v>20030331</v>
      </c>
      <c r="BN51" s="187">
        <v>20021231</v>
      </c>
      <c r="BO51" s="187">
        <v>20020930</v>
      </c>
      <c r="BP51" s="187">
        <v>20020630</v>
      </c>
      <c r="BQ51" s="187">
        <v>20020331</v>
      </c>
      <c r="BR51" s="187">
        <v>20011231</v>
      </c>
      <c r="BS51" s="187">
        <v>20010630</v>
      </c>
      <c r="BT51" s="187">
        <v>20001231</v>
      </c>
      <c r="BU51" s="187">
        <v>19991231</v>
      </c>
      <c r="BV51" s="187">
        <v>19981231</v>
      </c>
      <c r="BW51" s="187">
        <v>19700101</v>
      </c>
      <c r="BX51" s="187">
        <v>19990630</v>
      </c>
      <c r="BY51" s="187">
        <v>19981231</v>
      </c>
      <c r="BZ51" s="187">
        <v>19980630</v>
      </c>
      <c r="CA51" s="187">
        <v>19971231</v>
      </c>
      <c r="CB51" s="187">
        <v>19961231</v>
      </c>
      <c r="CC51" s="187">
        <v>19951231</v>
      </c>
      <c r="CD51" s="187">
        <v>19700101</v>
      </c>
      <c r="CE51" s="187">
        <v>19941231</v>
      </c>
      <c r="CF51" s="187">
        <v>19940630</v>
      </c>
      <c r="CG51" s="187">
        <v>19930630</v>
      </c>
      <c r="CH51" s="187">
        <v>19921231</v>
      </c>
      <c r="CI51" s="187">
        <v>19911231</v>
      </c>
      <c r="CJ51" s="187">
        <v>19901231</v>
      </c>
      <c r="CK51" s="187">
        <v>19700101</v>
      </c>
    </row>
    <row r="52" spans="1:89" s="43" customFormat="1">
      <c r="A52" s="131" t="s">
        <v>456</v>
      </c>
      <c r="B52" s="42">
        <v>-25636</v>
      </c>
      <c r="C52" s="42">
        <v>-27718</v>
      </c>
      <c r="D52" s="42">
        <v>-35317</v>
      </c>
      <c r="E52" s="42">
        <v>-60687396.93</v>
      </c>
      <c r="F52" s="42">
        <v>-34414</v>
      </c>
      <c r="G52" s="42">
        <v>-23309</v>
      </c>
      <c r="H52" s="42">
        <v>-16814</v>
      </c>
      <c r="I52" s="42">
        <v>-71491803.299999997</v>
      </c>
      <c r="J52" s="42"/>
      <c r="K52" s="42"/>
      <c r="M52" s="43">
        <v>-110261058.02</v>
      </c>
      <c r="Q52" s="43">
        <v>-134292919.63</v>
      </c>
      <c r="U52" s="43">
        <v>-429509360.86000001</v>
      </c>
      <c r="Y52" s="43">
        <v>-421711334.77999997</v>
      </c>
      <c r="AC52" s="43">
        <v>-352218795.39999998</v>
      </c>
      <c r="AG52" s="43">
        <v>-176861209.69</v>
      </c>
    </row>
    <row r="53" spans="1:89" s="43" customFormat="1">
      <c r="A53" s="132" t="s">
        <v>90</v>
      </c>
      <c r="B53" s="42">
        <v>217</v>
      </c>
      <c r="C53" s="42">
        <v>189</v>
      </c>
      <c r="D53" s="42"/>
      <c r="E53" s="42">
        <v>880974.99</v>
      </c>
      <c r="F53" s="42"/>
      <c r="G53" s="42"/>
      <c r="H53" s="42"/>
      <c r="I53" s="42">
        <v>37529578.909999996</v>
      </c>
      <c r="J53" s="42"/>
      <c r="K53" s="42"/>
      <c r="M53" s="43">
        <v>41360986.93</v>
      </c>
      <c r="Q53" s="43">
        <v>10292572.550000001</v>
      </c>
      <c r="Y53" s="43">
        <v>132222.22</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c r="F54" s="42">
        <v>2684</v>
      </c>
      <c r="G54" s="42">
        <v>-377</v>
      </c>
      <c r="H54" s="42">
        <v>1008</v>
      </c>
      <c r="I54" s="42"/>
      <c r="J54" s="42"/>
      <c r="K54" s="42"/>
      <c r="AC54" s="43">
        <v>1114988.48</v>
      </c>
    </row>
    <row r="55" spans="1:89" s="43" customFormat="1">
      <c r="A55" s="132" t="s">
        <v>92</v>
      </c>
      <c r="B55" s="42">
        <v>463</v>
      </c>
      <c r="C55" s="42">
        <v>603</v>
      </c>
      <c r="D55" s="42">
        <v>653</v>
      </c>
      <c r="E55" s="42">
        <v>4084075.75</v>
      </c>
      <c r="F55" s="42">
        <v>1204</v>
      </c>
      <c r="G55" s="42">
        <v>868</v>
      </c>
      <c r="H55" s="42">
        <v>644</v>
      </c>
      <c r="I55" s="42">
        <v>787035.87</v>
      </c>
      <c r="J55" s="42"/>
      <c r="K55" s="42"/>
      <c r="M55" s="43">
        <v>1633270.12</v>
      </c>
      <c r="Q55" s="43">
        <v>831553.24</v>
      </c>
      <c r="U55" s="43">
        <v>434996.18</v>
      </c>
      <c r="Y55" s="43">
        <v>603190.06999999995</v>
      </c>
      <c r="AC55" s="43">
        <v>352310</v>
      </c>
      <c r="AG55" s="43">
        <v>284184.78000000003</v>
      </c>
    </row>
    <row r="56" spans="1:89" s="26" customFormat="1">
      <c r="A56" s="133" t="s">
        <v>93</v>
      </c>
      <c r="B56" s="44">
        <f>SUM(B52:B55)</f>
        <v>-21852</v>
      </c>
      <c r="C56" s="44">
        <f t="shared" ref="C56:D56" si="64">SUM(C52:C55)</f>
        <v>-28350</v>
      </c>
      <c r="D56" s="44">
        <f t="shared" si="64"/>
        <v>-35004</v>
      </c>
      <c r="E56" s="44">
        <f>SUM(E52:E55)</f>
        <v>-55722346.189999998</v>
      </c>
      <c r="F56" s="44">
        <f t="shared" ref="F56:BQ56" si="65">SUM(F52:F55)</f>
        <v>-30526</v>
      </c>
      <c r="G56" s="44">
        <f t="shared" si="65"/>
        <v>-22818</v>
      </c>
      <c r="H56" s="44">
        <f t="shared" si="65"/>
        <v>-15162</v>
      </c>
      <c r="I56" s="44">
        <f t="shared" si="65"/>
        <v>-33175188.52</v>
      </c>
      <c r="J56" s="44">
        <f t="shared" si="65"/>
        <v>0</v>
      </c>
      <c r="K56" s="44">
        <f t="shared" si="65"/>
        <v>0</v>
      </c>
      <c r="L56" s="44">
        <f t="shared" si="65"/>
        <v>0</v>
      </c>
      <c r="M56" s="44">
        <f t="shared" si="65"/>
        <v>-67266800.969999999</v>
      </c>
      <c r="N56" s="44">
        <f t="shared" si="65"/>
        <v>0</v>
      </c>
      <c r="O56" s="44">
        <f t="shared" si="65"/>
        <v>0</v>
      </c>
      <c r="P56" s="44">
        <f t="shared" si="65"/>
        <v>0</v>
      </c>
      <c r="Q56" s="44">
        <f t="shared" si="65"/>
        <v>-123168793.84</v>
      </c>
      <c r="R56" s="44">
        <f t="shared" si="65"/>
        <v>0</v>
      </c>
      <c r="S56" s="44">
        <f t="shared" si="65"/>
        <v>0</v>
      </c>
      <c r="T56" s="44">
        <f t="shared" si="65"/>
        <v>0</v>
      </c>
      <c r="U56" s="44">
        <f t="shared" si="65"/>
        <v>-429074364.68000001</v>
      </c>
      <c r="V56" s="44">
        <f t="shared" si="65"/>
        <v>0</v>
      </c>
      <c r="W56" s="44">
        <f t="shared" si="65"/>
        <v>0</v>
      </c>
      <c r="X56" s="44">
        <f t="shared" si="65"/>
        <v>0</v>
      </c>
      <c r="Y56" s="44">
        <f t="shared" si="65"/>
        <v>-420975922.48999995</v>
      </c>
      <c r="Z56" s="44">
        <f t="shared" si="65"/>
        <v>0</v>
      </c>
      <c r="AA56" s="44">
        <f t="shared" si="65"/>
        <v>0</v>
      </c>
      <c r="AB56" s="44">
        <f t="shared" si="65"/>
        <v>0</v>
      </c>
      <c r="AC56" s="44">
        <f t="shared" si="65"/>
        <v>-350751496.91999996</v>
      </c>
      <c r="AD56" s="44">
        <f t="shared" si="65"/>
        <v>0</v>
      </c>
      <c r="AE56" s="44">
        <f t="shared" si="65"/>
        <v>0</v>
      </c>
      <c r="AF56" s="44">
        <f t="shared" si="65"/>
        <v>0</v>
      </c>
      <c r="AG56" s="44">
        <f t="shared" si="65"/>
        <v>-176577024.91</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271">
        <v>37829617756.809998</v>
      </c>
      <c r="C59" s="271">
        <v>29006423236</v>
      </c>
      <c r="D59" s="271">
        <v>17930643109.880001</v>
      </c>
      <c r="E59" s="271">
        <v>16454996625.219999</v>
      </c>
      <c r="F59" s="271">
        <v>16269371509.83</v>
      </c>
      <c r="G59" s="271">
        <v>15964899881.049999</v>
      </c>
      <c r="H59" s="271">
        <v>14008450702.17</v>
      </c>
      <c r="I59" s="271">
        <v>9250323807.6200008</v>
      </c>
      <c r="J59" s="271">
        <v>5339761496.9700003</v>
      </c>
      <c r="K59" s="271">
        <v>4552888944</v>
      </c>
      <c r="L59" s="271">
        <v>4000759343.1100001</v>
      </c>
      <c r="M59" s="271">
        <v>2966052508.9499998</v>
      </c>
      <c r="N59" s="271">
        <v>1574308238.46</v>
      </c>
      <c r="O59" s="271">
        <v>1169122125.71</v>
      </c>
      <c r="P59" s="271">
        <v>854172175.46000004</v>
      </c>
      <c r="Q59" s="271">
        <v>608753496.05999994</v>
      </c>
      <c r="R59" s="271">
        <v>376798521.36000001</v>
      </c>
      <c r="S59" s="271">
        <v>328290723.13999999</v>
      </c>
      <c r="T59" s="187">
        <v>7664538017.5900002</v>
      </c>
      <c r="U59" s="187">
        <v>3952933461</v>
      </c>
      <c r="V59" s="187">
        <v>15964899881.049999</v>
      </c>
      <c r="W59" s="187">
        <v>11662175309.98</v>
      </c>
      <c r="X59" s="187">
        <v>7620914791.3100004</v>
      </c>
      <c r="Y59" s="187">
        <v>3773363242.9899998</v>
      </c>
      <c r="Z59" s="187">
        <v>14008450702.17</v>
      </c>
      <c r="AA59" s="187">
        <v>10937979773.700001</v>
      </c>
      <c r="AB59" s="187">
        <v>7348939538.5500002</v>
      </c>
      <c r="AC59" s="187">
        <v>3129490790.7399998</v>
      </c>
      <c r="AD59" s="187">
        <v>9250323807.6200008</v>
      </c>
      <c r="AE59" s="187">
        <v>6930714312.6099997</v>
      </c>
      <c r="AF59" s="187">
        <v>5166306192.5299997</v>
      </c>
      <c r="AG59" s="187">
        <v>1991291329.6400001</v>
      </c>
      <c r="AH59" s="187">
        <v>5339761496.9700003</v>
      </c>
      <c r="AI59" s="187">
        <v>4411104477.8299999</v>
      </c>
      <c r="AJ59" s="187">
        <v>3274562600.0700002</v>
      </c>
      <c r="AK59" s="187">
        <v>1344382797.8099999</v>
      </c>
      <c r="AL59" s="187">
        <v>4552888944</v>
      </c>
      <c r="AM59" s="187">
        <v>3979795618.1999998</v>
      </c>
      <c r="AN59" s="187">
        <v>2928842256.25</v>
      </c>
      <c r="AO59" s="187">
        <v>1278840567.8199999</v>
      </c>
      <c r="AP59" s="187">
        <v>4000759343.1100001</v>
      </c>
      <c r="AQ59" s="187">
        <v>3304198781</v>
      </c>
      <c r="AR59" s="187">
        <v>2351939273.6300001</v>
      </c>
      <c r="AS59" s="187">
        <v>917048744.59000003</v>
      </c>
      <c r="AT59" s="187">
        <v>2966052508.9499998</v>
      </c>
      <c r="AU59" s="187">
        <v>1669221956.1800001</v>
      </c>
      <c r="AV59" s="187">
        <v>893948241.40999997</v>
      </c>
      <c r="AW59" s="187">
        <v>561440706.10000002</v>
      </c>
      <c r="AX59" s="187">
        <v>1574308238.46</v>
      </c>
      <c r="AY59" s="187">
        <v>994042507.13999999</v>
      </c>
      <c r="AZ59" s="187">
        <v>634070818.38</v>
      </c>
      <c r="BA59" s="187">
        <v>468500544.70999998</v>
      </c>
      <c r="BB59" s="187">
        <v>1169122125.71</v>
      </c>
      <c r="BC59" s="187">
        <v>734632419.82000005</v>
      </c>
      <c r="BD59" s="187">
        <v>502705034.94</v>
      </c>
      <c r="BE59" s="187">
        <v>383941417.25999999</v>
      </c>
      <c r="BF59" s="187">
        <v>854172175.46000004</v>
      </c>
      <c r="BG59" s="187">
        <v>538075474.88</v>
      </c>
      <c r="BH59" s="187">
        <v>364062064.43000001</v>
      </c>
      <c r="BI59" s="187">
        <v>271330791.20999998</v>
      </c>
      <c r="BJ59" s="187">
        <v>608753496.05999994</v>
      </c>
      <c r="BK59" s="187">
        <v>369811690.47000003</v>
      </c>
      <c r="BL59" s="187">
        <v>262486045.78</v>
      </c>
      <c r="BM59" s="187">
        <v>225123681.74000001</v>
      </c>
      <c r="BN59" s="187">
        <v>392585970.76999998</v>
      </c>
      <c r="BO59" s="187">
        <v>320106986.66000003</v>
      </c>
      <c r="BP59" s="187">
        <v>246355376.97</v>
      </c>
      <c r="BQ59" s="187">
        <v>213798332.78999999</v>
      </c>
      <c r="BR59" s="187">
        <v>342365808.76999998</v>
      </c>
      <c r="BS59" s="187">
        <v>230067061.15000001</v>
      </c>
      <c r="BT59" s="187">
        <v>255284811.38</v>
      </c>
      <c r="BU59" s="187">
        <v>215690128.65000001</v>
      </c>
      <c r="BV59" s="187">
        <v>146891419.61000001</v>
      </c>
      <c r="BW59" s="187">
        <v>0</v>
      </c>
      <c r="BX59" s="187">
        <v>317076251.63999999</v>
      </c>
      <c r="BY59" s="187">
        <v>553291095.09000003</v>
      </c>
      <c r="BZ59" s="187">
        <v>252919406.88</v>
      </c>
      <c r="CA59" s="187">
        <v>341298375.86000001</v>
      </c>
      <c r="CB59" s="187">
        <v>259939328.41</v>
      </c>
      <c r="CC59" s="187">
        <v>216927477.38</v>
      </c>
      <c r="CD59" s="187">
        <v>0</v>
      </c>
      <c r="CE59" s="187">
        <v>162135000</v>
      </c>
      <c r="CF59" s="187">
        <v>90056788.769999996</v>
      </c>
      <c r="CG59" s="187">
        <v>54430000</v>
      </c>
      <c r="CH59" s="187">
        <v>80440000</v>
      </c>
      <c r="CI59" s="187">
        <v>58950000</v>
      </c>
      <c r="CJ59" s="187">
        <v>67670000</v>
      </c>
      <c r="CK59" s="187">
        <v>0</v>
      </c>
    </row>
    <row r="60" spans="1:89">
      <c r="A60" s="22" t="s">
        <v>95</v>
      </c>
      <c r="B60" s="271">
        <v>12997985690.66</v>
      </c>
      <c r="C60" s="271">
        <v>9733648906.6000004</v>
      </c>
      <c r="D60" s="271">
        <v>6027237847.2299995</v>
      </c>
      <c r="E60" s="271">
        <v>5546718336.1199999</v>
      </c>
      <c r="F60" s="271">
        <v>5612970927.5</v>
      </c>
      <c r="G60" s="271">
        <v>5467460544.9200001</v>
      </c>
      <c r="H60" s="271">
        <v>4692039766.9899998</v>
      </c>
      <c r="I60" s="271">
        <v>3084336666.1799998</v>
      </c>
      <c r="J60" s="271">
        <v>1822655234.4000001</v>
      </c>
      <c r="K60" s="271">
        <v>1527650940.6400001</v>
      </c>
      <c r="L60" s="271">
        <v>1384541295.05</v>
      </c>
      <c r="M60" s="271">
        <v>1555972506.98</v>
      </c>
      <c r="N60" s="271">
        <v>913878754.97000003</v>
      </c>
      <c r="O60" s="271">
        <v>751124237.92999995</v>
      </c>
      <c r="P60" s="271">
        <v>636500339.35000002</v>
      </c>
      <c r="Q60" s="271">
        <v>368541117.19999999</v>
      </c>
      <c r="R60" s="271">
        <v>256784400.75</v>
      </c>
      <c r="S60" s="271">
        <v>264912397.47999999</v>
      </c>
      <c r="T60" s="187">
        <v>2558640928.77</v>
      </c>
      <c r="U60" s="187">
        <v>1359416643.96</v>
      </c>
      <c r="V60" s="187">
        <v>5467460544.9200001</v>
      </c>
      <c r="W60" s="187">
        <v>4005211849.6700001</v>
      </c>
      <c r="X60" s="187">
        <v>2504491374.79</v>
      </c>
      <c r="Y60" s="187">
        <v>1344524985.23</v>
      </c>
      <c r="Z60" s="187">
        <v>4692039766.9899998</v>
      </c>
      <c r="AA60" s="187">
        <v>3647276882.3000002</v>
      </c>
      <c r="AB60" s="187">
        <v>2451236642.1199999</v>
      </c>
      <c r="AC60" s="187">
        <v>1045438170.21</v>
      </c>
      <c r="AD60" s="187">
        <v>3084336666.1799998</v>
      </c>
      <c r="AE60" s="187">
        <v>2348839939.0999999</v>
      </c>
      <c r="AF60" s="187">
        <v>1721040697.47</v>
      </c>
      <c r="AG60" s="187">
        <v>662814727.08000004</v>
      </c>
      <c r="AH60" s="187">
        <v>1822655234.4000001</v>
      </c>
      <c r="AI60" s="187">
        <v>1484679876.53</v>
      </c>
      <c r="AJ60" s="187">
        <v>1102953708.7</v>
      </c>
      <c r="AK60" s="187">
        <v>448397873.24000001</v>
      </c>
      <c r="AL60" s="187">
        <v>1527650940.6400001</v>
      </c>
      <c r="AM60" s="187">
        <v>1325571242.9100001</v>
      </c>
      <c r="AN60" s="187">
        <v>976956902.29999995</v>
      </c>
      <c r="AO60" s="187">
        <v>426202592.50999999</v>
      </c>
      <c r="AP60" s="187">
        <v>1384541295.05</v>
      </c>
      <c r="AQ60" s="187">
        <v>1099692138.5999999</v>
      </c>
      <c r="AR60" s="187">
        <v>783585037.86000001</v>
      </c>
      <c r="AS60" s="187">
        <v>305509033.30000001</v>
      </c>
      <c r="AT60" s="187">
        <v>1555972506.98</v>
      </c>
      <c r="AU60" s="187">
        <v>838824810.53999996</v>
      </c>
      <c r="AV60" s="187">
        <v>467112109.42000002</v>
      </c>
      <c r="AW60" s="187">
        <v>312727702.22000003</v>
      </c>
      <c r="AX60" s="187">
        <v>913878754.97000003</v>
      </c>
      <c r="AY60" s="187">
        <v>573234513.25999999</v>
      </c>
      <c r="AZ60" s="187">
        <v>337994016.10000002</v>
      </c>
      <c r="BA60" s="187">
        <v>203934016.81999999</v>
      </c>
      <c r="BB60" s="187">
        <v>751124237.92999995</v>
      </c>
      <c r="BC60" s="187">
        <v>416147739.11000001</v>
      </c>
      <c r="BD60" s="187">
        <v>254095014.83000001</v>
      </c>
      <c r="BE60" s="187">
        <v>173567381.47999999</v>
      </c>
      <c r="BF60" s="187">
        <v>636500339.35000002</v>
      </c>
      <c r="BG60" s="187">
        <v>337778231.50999999</v>
      </c>
      <c r="BH60" s="187">
        <v>205660460.36000001</v>
      </c>
      <c r="BI60" s="187">
        <v>129839421.97</v>
      </c>
      <c r="BJ60" s="187">
        <v>368541117.19999999</v>
      </c>
      <c r="BK60" s="187">
        <v>226477466.31</v>
      </c>
      <c r="BL60" s="187">
        <v>148750335.91</v>
      </c>
      <c r="BM60" s="187">
        <v>116318861.01000001</v>
      </c>
      <c r="BN60" s="187">
        <v>256784400.75</v>
      </c>
      <c r="BO60" s="187">
        <v>208225146.55000001</v>
      </c>
      <c r="BP60" s="187">
        <v>155530625.22999999</v>
      </c>
      <c r="BQ60" s="187">
        <v>124206524.16</v>
      </c>
      <c r="BR60" s="187">
        <v>264912397.47999999</v>
      </c>
      <c r="BS60" s="187">
        <v>142925129</v>
      </c>
      <c r="BT60" s="187">
        <v>189560588.75</v>
      </c>
      <c r="BU60" s="187">
        <v>137902505.22</v>
      </c>
      <c r="BV60" s="187">
        <v>72074304.109999999</v>
      </c>
      <c r="BW60" s="187">
        <v>0</v>
      </c>
      <c r="BX60" s="187">
        <v>66653678.539999999</v>
      </c>
      <c r="BY60" s="187">
        <v>260578360.56999999</v>
      </c>
      <c r="BZ60" s="187">
        <v>44632836.509999998</v>
      </c>
      <c r="CA60" s="187">
        <v>168102185.13</v>
      </c>
      <c r="CB60" s="187">
        <v>128029818.47</v>
      </c>
      <c r="CC60" s="187">
        <v>106844876.92</v>
      </c>
      <c r="CD60" s="187">
        <v>0</v>
      </c>
      <c r="CE60" s="187">
        <v>27810000</v>
      </c>
      <c r="CF60" s="187">
        <v>16447145.279999999</v>
      </c>
      <c r="CG60" s="187">
        <v>4330000</v>
      </c>
      <c r="CH60" s="187">
        <v>4220000</v>
      </c>
      <c r="CI60" s="187">
        <v>12510000</v>
      </c>
      <c r="CJ60" s="187">
        <v>3630000</v>
      </c>
      <c r="CK60" s="187">
        <v>0</v>
      </c>
    </row>
    <row r="61" spans="1:89">
      <c r="A61" s="22" t="s">
        <v>94</v>
      </c>
      <c r="B61" s="271">
        <v>50827603447.470001</v>
      </c>
      <c r="C61" s="271">
        <v>38740072142.599998</v>
      </c>
      <c r="D61" s="271">
        <v>23957880957.110001</v>
      </c>
      <c r="E61" s="271">
        <v>22001714961.34</v>
      </c>
      <c r="F61" s="271">
        <v>21882342437.330002</v>
      </c>
      <c r="G61" s="271">
        <v>21432360425.970001</v>
      </c>
      <c r="H61" s="271">
        <v>18700490469.16</v>
      </c>
      <c r="I61" s="271">
        <v>12334660473.799999</v>
      </c>
      <c r="J61" s="271">
        <v>7162416731.3699999</v>
      </c>
      <c r="K61" s="271">
        <v>6080539884.6400003</v>
      </c>
      <c r="L61" s="271">
        <v>5385300638.1599998</v>
      </c>
      <c r="M61" s="271">
        <v>4522025015.9300003</v>
      </c>
      <c r="N61" s="271">
        <v>2488186993.4299998</v>
      </c>
      <c r="O61" s="271">
        <v>1920246363.6400001</v>
      </c>
      <c r="P61" s="271">
        <v>1490672514.8099999</v>
      </c>
      <c r="Q61" s="271">
        <v>977294613.25999999</v>
      </c>
      <c r="R61" s="271">
        <v>649370371.51999998</v>
      </c>
      <c r="S61" s="271">
        <v>607278206.25</v>
      </c>
      <c r="T61" s="187">
        <v>10223178946.360001</v>
      </c>
      <c r="U61" s="187">
        <v>5312350104.96</v>
      </c>
      <c r="V61" s="187">
        <v>21432360425.970001</v>
      </c>
      <c r="W61" s="187">
        <v>15667387159.65</v>
      </c>
      <c r="X61" s="187">
        <v>10125406166.1</v>
      </c>
      <c r="Y61" s="187">
        <v>5117888228.2200003</v>
      </c>
      <c r="Z61" s="187">
        <v>18700490469.16</v>
      </c>
      <c r="AA61" s="187">
        <v>14585256656</v>
      </c>
      <c r="AB61" s="187">
        <v>9800176180.6700001</v>
      </c>
      <c r="AC61" s="187">
        <v>4174928960.9499998</v>
      </c>
      <c r="AD61" s="187">
        <v>12334660473.799999</v>
      </c>
      <c r="AE61" s="187">
        <v>9279554251.7099991</v>
      </c>
      <c r="AF61" s="187">
        <v>6887346890</v>
      </c>
      <c r="AG61" s="187">
        <v>2654106056.7199998</v>
      </c>
      <c r="AH61" s="187">
        <v>7162416731.3699999</v>
      </c>
      <c r="AI61" s="187">
        <v>5895784354.3599997</v>
      </c>
      <c r="AJ61" s="187">
        <v>4377516308.7700005</v>
      </c>
      <c r="AK61" s="187">
        <v>1792780671.05</v>
      </c>
      <c r="AL61" s="187">
        <v>6080539884.6400003</v>
      </c>
      <c r="AM61" s="187">
        <v>5305366861.1099997</v>
      </c>
      <c r="AN61" s="187">
        <v>3905799158.5500002</v>
      </c>
      <c r="AO61" s="187">
        <v>1705043160.3299999</v>
      </c>
      <c r="AP61" s="187">
        <v>5385300638.1599998</v>
      </c>
      <c r="AQ61" s="187">
        <v>4403890919.6000004</v>
      </c>
      <c r="AR61" s="187">
        <v>3135524311.4899998</v>
      </c>
      <c r="AS61" s="187">
        <v>1222557777.8900001</v>
      </c>
      <c r="AT61" s="187">
        <v>4522025015.9300003</v>
      </c>
      <c r="AU61" s="187">
        <v>2508046766.7199998</v>
      </c>
      <c r="AV61" s="187">
        <v>1361060350.8299999</v>
      </c>
      <c r="AW61" s="187">
        <v>874168408.32000005</v>
      </c>
      <c r="AX61" s="187">
        <v>2488186993.4299998</v>
      </c>
      <c r="AY61" s="187">
        <v>1567277020.4000001</v>
      </c>
      <c r="AZ61" s="187">
        <v>972064834.48000002</v>
      </c>
      <c r="BA61" s="187">
        <v>672434561.52999997</v>
      </c>
      <c r="BB61" s="187">
        <v>1920246363.6400001</v>
      </c>
      <c r="BC61" s="187">
        <v>1150780158.9300001</v>
      </c>
      <c r="BD61" s="187">
        <v>756800049.76999998</v>
      </c>
      <c r="BE61" s="187">
        <v>557508798.74000001</v>
      </c>
      <c r="BF61" s="187">
        <v>1490672514.8099999</v>
      </c>
      <c r="BG61" s="187">
        <v>875853706.38999999</v>
      </c>
      <c r="BH61" s="187">
        <v>569722524.78999996</v>
      </c>
      <c r="BI61" s="187">
        <v>401170213.18000001</v>
      </c>
      <c r="BJ61" s="187">
        <v>977294613.25999999</v>
      </c>
      <c r="BK61" s="187">
        <v>596289156.77999997</v>
      </c>
      <c r="BL61" s="187">
        <v>411236381.69</v>
      </c>
      <c r="BM61" s="187">
        <v>341442542.75</v>
      </c>
      <c r="BN61" s="187">
        <v>649370371.51999998</v>
      </c>
      <c r="BO61" s="187">
        <v>528332133.20999998</v>
      </c>
      <c r="BP61" s="187">
        <v>401886002.19999999</v>
      </c>
      <c r="BQ61" s="187">
        <v>338004856.94999999</v>
      </c>
      <c r="BR61" s="187">
        <v>607278206.25</v>
      </c>
      <c r="BS61" s="187">
        <v>372992200</v>
      </c>
      <c r="BT61" s="187">
        <v>444845400.13</v>
      </c>
      <c r="BU61" s="187">
        <v>353592633.87</v>
      </c>
      <c r="BV61" s="187">
        <v>218965723.72</v>
      </c>
      <c r="BW61" s="187">
        <v>0</v>
      </c>
      <c r="BX61" s="187">
        <v>383729930.18000001</v>
      </c>
      <c r="BY61" s="187">
        <v>813869455.65999997</v>
      </c>
      <c r="BZ61" s="187">
        <v>297552243.38999999</v>
      </c>
      <c r="CA61" s="187">
        <v>509400560.99000001</v>
      </c>
      <c r="CB61" s="187">
        <v>387969146.88</v>
      </c>
      <c r="CC61" s="187">
        <v>323772354.30000001</v>
      </c>
      <c r="CD61" s="187">
        <v>0</v>
      </c>
      <c r="CE61" s="187">
        <v>189945000</v>
      </c>
      <c r="CF61" s="187">
        <v>106503934.05</v>
      </c>
      <c r="CG61" s="187">
        <v>58750000</v>
      </c>
      <c r="CH61" s="187">
        <v>84660000</v>
      </c>
      <c r="CI61" s="187">
        <v>71460000</v>
      </c>
      <c r="CJ61" s="187">
        <v>71300000</v>
      </c>
      <c r="CK61" s="187">
        <v>0</v>
      </c>
    </row>
    <row r="62" spans="1:89">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c r="A65" s="22" t="s">
        <v>98</v>
      </c>
      <c r="B65" s="271">
        <v>0</v>
      </c>
      <c r="C65" s="271">
        <v>0</v>
      </c>
      <c r="D65" s="271">
        <v>0</v>
      </c>
      <c r="E65" s="271">
        <v>3869276.9</v>
      </c>
      <c r="F65" s="271">
        <v>3095265.75</v>
      </c>
      <c r="G65" s="271">
        <v>3010000</v>
      </c>
      <c r="H65" s="271">
        <v>3103250</v>
      </c>
      <c r="I65" s="271">
        <v>3383000</v>
      </c>
      <c r="J65" s="271">
        <v>469050</v>
      </c>
      <c r="K65" s="271">
        <v>1209447.26</v>
      </c>
      <c r="L65" s="271">
        <v>1322250</v>
      </c>
      <c r="M65" s="271">
        <v>1814950</v>
      </c>
      <c r="N65" s="271">
        <v>3012928.94</v>
      </c>
      <c r="O65" s="271">
        <v>427953.6</v>
      </c>
      <c r="P65" s="271">
        <v>315063.71000000002</v>
      </c>
      <c r="Q65" s="271">
        <v>0</v>
      </c>
      <c r="R65" s="271">
        <v>0</v>
      </c>
      <c r="S65" s="271">
        <v>0</v>
      </c>
      <c r="T65" s="187">
        <v>3010000</v>
      </c>
      <c r="U65" s="187">
        <v>0</v>
      </c>
      <c r="V65" s="187">
        <v>3010000</v>
      </c>
      <c r="W65" s="187">
        <v>3010000</v>
      </c>
      <c r="X65" s="187">
        <v>3010000</v>
      </c>
      <c r="Y65" s="187">
        <v>0</v>
      </c>
      <c r="Z65" s="187">
        <v>3103250</v>
      </c>
      <c r="AA65" s="187">
        <v>3103250</v>
      </c>
      <c r="AB65" s="187">
        <v>3103250</v>
      </c>
      <c r="AC65" s="187">
        <v>93250</v>
      </c>
      <c r="AD65" s="187">
        <v>3383000</v>
      </c>
      <c r="AE65" s="187">
        <v>3289750</v>
      </c>
      <c r="AF65" s="187">
        <v>3196500</v>
      </c>
      <c r="AG65" s="187">
        <v>93250</v>
      </c>
      <c r="AH65" s="187">
        <v>469050</v>
      </c>
      <c r="AI65" s="187">
        <v>375800</v>
      </c>
      <c r="AJ65" s="187">
        <v>282550</v>
      </c>
      <c r="AK65" s="187">
        <v>0</v>
      </c>
      <c r="AL65" s="187">
        <v>1209447.26</v>
      </c>
      <c r="AM65" s="187">
        <v>972122.26</v>
      </c>
      <c r="AN65" s="187">
        <v>734797.26</v>
      </c>
      <c r="AO65" s="187">
        <v>301075</v>
      </c>
      <c r="AP65" s="187">
        <v>1322250</v>
      </c>
      <c r="AQ65" s="187">
        <v>1021175</v>
      </c>
      <c r="AR65" s="187">
        <v>720100</v>
      </c>
      <c r="AS65" s="187">
        <v>419025</v>
      </c>
      <c r="AT65" s="187">
        <v>1814950</v>
      </c>
      <c r="AU65" s="187">
        <v>859950</v>
      </c>
      <c r="AV65" s="187">
        <v>859950</v>
      </c>
      <c r="AW65" s="187">
        <v>0</v>
      </c>
      <c r="AX65" s="187">
        <v>3012928.94</v>
      </c>
      <c r="AY65" s="187">
        <v>144435.35999999999</v>
      </c>
      <c r="AZ65" s="187">
        <v>144435.35999999999</v>
      </c>
      <c r="BA65" s="187">
        <v>0</v>
      </c>
      <c r="BB65" s="187">
        <v>427953.6</v>
      </c>
      <c r="BC65" s="187">
        <v>23718.23</v>
      </c>
      <c r="BD65" s="187">
        <v>23718.23</v>
      </c>
      <c r="BE65" s="187">
        <v>-187658.6</v>
      </c>
      <c r="BF65" s="187">
        <v>315063.71000000002</v>
      </c>
      <c r="BG65" s="187">
        <v>0</v>
      </c>
      <c r="BH65" s="187">
        <v>0</v>
      </c>
      <c r="BI65" s="187">
        <v>0</v>
      </c>
      <c r="BJ65" s="187">
        <v>0</v>
      </c>
      <c r="BK65" s="187">
        <v>0</v>
      </c>
      <c r="BL65" s="187">
        <v>0</v>
      </c>
      <c r="BM65" s="187">
        <v>0</v>
      </c>
      <c r="BN65" s="187">
        <v>0</v>
      </c>
      <c r="BO65" s="187">
        <v>0</v>
      </c>
      <c r="BP65" s="187">
        <v>0</v>
      </c>
      <c r="BQ65" s="187">
        <v>0</v>
      </c>
      <c r="BR65" s="187">
        <v>0</v>
      </c>
      <c r="BS65" s="187">
        <v>0</v>
      </c>
      <c r="BT65" s="187">
        <v>0</v>
      </c>
      <c r="BU65" s="187">
        <v>0</v>
      </c>
      <c r="BV65" s="187">
        <v>0</v>
      </c>
      <c r="BW65" s="187">
        <v>0</v>
      </c>
      <c r="BX65" s="187">
        <v>0</v>
      </c>
      <c r="BY65" s="187">
        <v>0</v>
      </c>
      <c r="BZ65" s="187">
        <v>0</v>
      </c>
      <c r="CA65" s="187">
        <v>0</v>
      </c>
      <c r="CB65" s="187">
        <v>0</v>
      </c>
      <c r="CC65" s="187">
        <v>0</v>
      </c>
      <c r="CD65" s="187">
        <v>0</v>
      </c>
      <c r="CE65" s="187">
        <v>7729000</v>
      </c>
      <c r="CF65" s="187">
        <v>2092581.44</v>
      </c>
      <c r="CG65" s="187">
        <v>0</v>
      </c>
      <c r="CH65" s="187">
        <v>0</v>
      </c>
      <c r="CI65" s="187">
        <v>0</v>
      </c>
      <c r="CJ65" s="187">
        <v>0</v>
      </c>
      <c r="CK65" s="187">
        <v>0</v>
      </c>
    </row>
    <row r="66" spans="1:89">
      <c r="A66" s="22" t="s">
        <v>99</v>
      </c>
      <c r="B66" s="271">
        <v>0</v>
      </c>
      <c r="C66" s="271">
        <v>0</v>
      </c>
      <c r="D66" s="271">
        <v>0</v>
      </c>
      <c r="E66" s="271">
        <v>0</v>
      </c>
      <c r="F66" s="271">
        <v>0</v>
      </c>
      <c r="G66" s="271">
        <v>0</v>
      </c>
      <c r="H66" s="271">
        <v>0</v>
      </c>
      <c r="I66" s="271">
        <v>0</v>
      </c>
      <c r="J66" s="271">
        <v>0</v>
      </c>
      <c r="K66" s="271">
        <v>0</v>
      </c>
      <c r="L66" s="271">
        <v>0</v>
      </c>
      <c r="M66" s="271">
        <v>0</v>
      </c>
      <c r="N66" s="271">
        <v>0</v>
      </c>
      <c r="O66" s="271">
        <v>0</v>
      </c>
      <c r="P66" s="271">
        <v>0</v>
      </c>
      <c r="Q66" s="271">
        <v>0</v>
      </c>
      <c r="R66" s="271">
        <v>0</v>
      </c>
      <c r="S66" s="271">
        <v>0</v>
      </c>
      <c r="T66" s="187">
        <v>0</v>
      </c>
      <c r="U66" s="187">
        <v>0</v>
      </c>
      <c r="V66" s="187">
        <v>0</v>
      </c>
      <c r="W66" s="187">
        <v>0</v>
      </c>
      <c r="X66" s="187">
        <v>0</v>
      </c>
      <c r="Y66" s="187">
        <v>0</v>
      </c>
      <c r="Z66" s="187">
        <v>0</v>
      </c>
      <c r="AA66" s="187">
        <v>0</v>
      </c>
      <c r="AB66" s="187">
        <v>0</v>
      </c>
      <c r="AC66" s="187">
        <v>0</v>
      </c>
      <c r="AD66" s="187">
        <v>0</v>
      </c>
      <c r="AE66" s="187">
        <v>0</v>
      </c>
      <c r="AF66" s="187">
        <v>0</v>
      </c>
      <c r="AG66" s="187">
        <v>0</v>
      </c>
      <c r="AH66" s="187">
        <v>0</v>
      </c>
      <c r="AI66" s="187">
        <v>0</v>
      </c>
      <c r="AJ66" s="187">
        <v>0</v>
      </c>
      <c r="AK66" s="187">
        <v>0</v>
      </c>
      <c r="AL66" s="187">
        <v>0</v>
      </c>
      <c r="AM66" s="187">
        <v>0</v>
      </c>
      <c r="AN66" s="187">
        <v>0</v>
      </c>
      <c r="AO66" s="187">
        <v>0</v>
      </c>
      <c r="AP66" s="187">
        <v>0</v>
      </c>
      <c r="AQ66" s="187">
        <v>0</v>
      </c>
      <c r="AR66" s="187">
        <v>0</v>
      </c>
      <c r="AS66" s="187">
        <v>0</v>
      </c>
      <c r="AT66" s="187">
        <v>0</v>
      </c>
      <c r="AU66" s="187">
        <v>0</v>
      </c>
      <c r="AV66" s="187">
        <v>0</v>
      </c>
      <c r="AW66" s="187">
        <v>0</v>
      </c>
      <c r="AX66" s="187">
        <v>0</v>
      </c>
      <c r="AY66" s="187">
        <v>0</v>
      </c>
      <c r="AZ66" s="187">
        <v>0</v>
      </c>
      <c r="BA66" s="187">
        <v>0</v>
      </c>
      <c r="BB66" s="187">
        <v>0</v>
      </c>
      <c r="BC66" s="187">
        <v>0</v>
      </c>
      <c r="BD66" s="187">
        <v>0</v>
      </c>
      <c r="BE66" s="187">
        <v>0</v>
      </c>
      <c r="BF66" s="187">
        <v>0</v>
      </c>
      <c r="BG66" s="187">
        <v>0</v>
      </c>
      <c r="BH66" s="187">
        <v>0</v>
      </c>
      <c r="BI66" s="187">
        <v>0</v>
      </c>
      <c r="BJ66" s="187">
        <v>0</v>
      </c>
      <c r="BK66" s="187">
        <v>0</v>
      </c>
      <c r="BL66" s="187">
        <v>0</v>
      </c>
      <c r="BM66" s="187">
        <v>0</v>
      </c>
      <c r="BN66" s="187">
        <v>0</v>
      </c>
      <c r="BO66" s="187">
        <v>0</v>
      </c>
      <c r="BP66" s="187">
        <v>0</v>
      </c>
      <c r="BQ66" s="187">
        <v>0</v>
      </c>
      <c r="BR66" s="187">
        <v>0</v>
      </c>
      <c r="BS66" s="187">
        <v>0</v>
      </c>
      <c r="BT66" s="187">
        <v>0</v>
      </c>
      <c r="BU66" s="187">
        <v>0</v>
      </c>
      <c r="BV66" s="187">
        <v>0</v>
      </c>
      <c r="BW66" s="187">
        <v>0</v>
      </c>
      <c r="BX66" s="187">
        <v>0</v>
      </c>
      <c r="BY66" s="187">
        <v>0</v>
      </c>
      <c r="BZ66" s="187">
        <v>0</v>
      </c>
      <c r="CA66" s="187">
        <v>0</v>
      </c>
      <c r="CB66" s="187">
        <v>0</v>
      </c>
      <c r="CC66" s="187">
        <v>0</v>
      </c>
      <c r="CD66" s="187">
        <v>0</v>
      </c>
      <c r="CE66" s="187">
        <v>0</v>
      </c>
      <c r="CF66" s="187">
        <v>0</v>
      </c>
      <c r="CG66" s="187">
        <v>0</v>
      </c>
      <c r="CH66" s="187">
        <v>0</v>
      </c>
      <c r="CI66" s="187">
        <v>0</v>
      </c>
      <c r="CJ66" s="187">
        <v>0</v>
      </c>
      <c r="CK66" s="187">
        <v>0</v>
      </c>
    </row>
    <row r="67" spans="1:89">
      <c r="A67" s="22" t="s">
        <v>100</v>
      </c>
      <c r="B67" s="4">
        <f>B65-B66</f>
        <v>0</v>
      </c>
      <c r="C67" s="4">
        <f t="shared" ref="C67:BN67" si="67">C65-C66</f>
        <v>0</v>
      </c>
      <c r="D67" s="4">
        <f t="shared" si="67"/>
        <v>0</v>
      </c>
      <c r="E67" s="4">
        <f t="shared" si="67"/>
        <v>3869276.9</v>
      </c>
      <c r="F67" s="4">
        <f t="shared" si="67"/>
        <v>3095265.75</v>
      </c>
      <c r="G67" s="4">
        <f t="shared" si="67"/>
        <v>3010000</v>
      </c>
      <c r="H67" s="4">
        <f t="shared" si="67"/>
        <v>3103250</v>
      </c>
      <c r="I67" s="4">
        <f t="shared" si="67"/>
        <v>3383000</v>
      </c>
      <c r="J67" s="4">
        <f t="shared" si="67"/>
        <v>469050</v>
      </c>
      <c r="K67" s="4">
        <f t="shared" si="67"/>
        <v>1209447.26</v>
      </c>
      <c r="L67" s="4">
        <f t="shared" si="67"/>
        <v>1322250</v>
      </c>
      <c r="M67" s="4">
        <f t="shared" si="67"/>
        <v>1814950</v>
      </c>
      <c r="N67" s="4">
        <f t="shared" si="67"/>
        <v>3012928.94</v>
      </c>
      <c r="O67" s="4">
        <f t="shared" si="67"/>
        <v>427953.6</v>
      </c>
      <c r="P67" s="4">
        <f t="shared" si="67"/>
        <v>315063.71000000002</v>
      </c>
      <c r="Q67" s="4">
        <f t="shared" si="67"/>
        <v>0</v>
      </c>
      <c r="R67" s="4">
        <f t="shared" si="67"/>
        <v>0</v>
      </c>
      <c r="S67" s="4">
        <f t="shared" si="67"/>
        <v>0</v>
      </c>
      <c r="T67" s="4">
        <f t="shared" si="67"/>
        <v>3010000</v>
      </c>
      <c r="U67" s="4">
        <f t="shared" si="67"/>
        <v>0</v>
      </c>
      <c r="V67" s="4">
        <f t="shared" si="67"/>
        <v>3010000</v>
      </c>
      <c r="W67" s="4">
        <f t="shared" si="67"/>
        <v>3010000</v>
      </c>
      <c r="X67" s="4">
        <f t="shared" si="67"/>
        <v>3010000</v>
      </c>
      <c r="Y67" s="4">
        <f t="shared" si="67"/>
        <v>0</v>
      </c>
      <c r="Z67" s="4">
        <f t="shared" si="67"/>
        <v>3103250</v>
      </c>
      <c r="AA67" s="4">
        <f t="shared" si="67"/>
        <v>3103250</v>
      </c>
      <c r="AB67" s="4">
        <f t="shared" si="67"/>
        <v>3103250</v>
      </c>
      <c r="AC67" s="4">
        <f t="shared" si="67"/>
        <v>93250</v>
      </c>
      <c r="AD67" s="4">
        <f t="shared" si="67"/>
        <v>3383000</v>
      </c>
      <c r="AE67" s="4">
        <f t="shared" si="67"/>
        <v>3289750</v>
      </c>
      <c r="AF67" s="4">
        <f t="shared" si="67"/>
        <v>3196500</v>
      </c>
      <c r="AG67" s="4">
        <f t="shared" si="67"/>
        <v>93250</v>
      </c>
      <c r="AH67" s="4">
        <f t="shared" si="67"/>
        <v>469050</v>
      </c>
      <c r="AI67" s="4">
        <f t="shared" si="67"/>
        <v>375800</v>
      </c>
      <c r="AJ67" s="4">
        <f t="shared" si="67"/>
        <v>282550</v>
      </c>
      <c r="AK67" s="4">
        <f t="shared" si="67"/>
        <v>0</v>
      </c>
      <c r="AL67" s="4">
        <f t="shared" si="67"/>
        <v>1209447.26</v>
      </c>
      <c r="AM67" s="4">
        <f t="shared" si="67"/>
        <v>972122.26</v>
      </c>
      <c r="AN67" s="4">
        <f t="shared" si="67"/>
        <v>734797.26</v>
      </c>
      <c r="AO67" s="4">
        <f t="shared" si="67"/>
        <v>301075</v>
      </c>
      <c r="AP67" s="4">
        <f t="shared" si="67"/>
        <v>1322250</v>
      </c>
      <c r="AQ67" s="4">
        <f t="shared" si="67"/>
        <v>1021175</v>
      </c>
      <c r="AR67" s="4">
        <f t="shared" si="67"/>
        <v>720100</v>
      </c>
      <c r="AS67" s="4">
        <f t="shared" si="67"/>
        <v>419025</v>
      </c>
      <c r="AT67" s="4">
        <f t="shared" si="67"/>
        <v>1814950</v>
      </c>
      <c r="AU67" s="4">
        <f t="shared" si="67"/>
        <v>859950</v>
      </c>
      <c r="AV67" s="4">
        <f t="shared" si="67"/>
        <v>859950</v>
      </c>
      <c r="AW67" s="4">
        <f t="shared" si="67"/>
        <v>0</v>
      </c>
      <c r="AX67" s="4">
        <f t="shared" si="67"/>
        <v>3012928.94</v>
      </c>
      <c r="AY67" s="4">
        <f t="shared" si="67"/>
        <v>144435.35999999999</v>
      </c>
      <c r="AZ67" s="4">
        <f t="shared" si="67"/>
        <v>144435.35999999999</v>
      </c>
      <c r="BA67" s="4">
        <f t="shared" si="67"/>
        <v>0</v>
      </c>
      <c r="BB67" s="4">
        <f t="shared" si="67"/>
        <v>427953.6</v>
      </c>
      <c r="BC67" s="4">
        <f t="shared" si="67"/>
        <v>23718.23</v>
      </c>
      <c r="BD67" s="4">
        <f t="shared" si="67"/>
        <v>23718.23</v>
      </c>
      <c r="BE67" s="4">
        <f t="shared" si="67"/>
        <v>-187658.6</v>
      </c>
      <c r="BF67" s="4">
        <f t="shared" si="67"/>
        <v>315063.71000000002</v>
      </c>
      <c r="BG67" s="4">
        <f t="shared" si="67"/>
        <v>0</v>
      </c>
      <c r="BH67" s="4">
        <f t="shared" si="67"/>
        <v>0</v>
      </c>
      <c r="BI67" s="4">
        <f t="shared" si="67"/>
        <v>0</v>
      </c>
      <c r="BJ67" s="4">
        <f t="shared" si="67"/>
        <v>0</v>
      </c>
      <c r="BK67" s="4">
        <f t="shared" si="67"/>
        <v>0</v>
      </c>
      <c r="BL67" s="4">
        <f t="shared" si="67"/>
        <v>0</v>
      </c>
      <c r="BM67" s="4">
        <f t="shared" si="67"/>
        <v>0</v>
      </c>
      <c r="BN67" s="4">
        <f t="shared" si="67"/>
        <v>0</v>
      </c>
      <c r="BO67" s="4">
        <f t="shared" ref="BO67:CJ67" si="68">BO65-BO66</f>
        <v>0</v>
      </c>
      <c r="BP67" s="4">
        <f t="shared" si="68"/>
        <v>0</v>
      </c>
      <c r="BQ67" s="4">
        <f t="shared" si="68"/>
        <v>0</v>
      </c>
      <c r="BR67" s="4">
        <f t="shared" si="68"/>
        <v>0</v>
      </c>
      <c r="BS67" s="4">
        <f t="shared" si="68"/>
        <v>0</v>
      </c>
      <c r="BT67" s="4">
        <f t="shared" si="68"/>
        <v>0</v>
      </c>
      <c r="BU67" s="4">
        <f t="shared" si="68"/>
        <v>0</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c r="A68" s="22" t="s">
        <v>101</v>
      </c>
      <c r="B68" s="271">
        <v>-3521209.23</v>
      </c>
      <c r="C68" s="271">
        <v>-55722346.189999998</v>
      </c>
      <c r="D68" s="271">
        <v>-33175188.52</v>
      </c>
      <c r="E68" s="271">
        <v>-67266800.969999999</v>
      </c>
      <c r="F68" s="271">
        <v>-123168793.84</v>
      </c>
      <c r="G68" s="271">
        <v>-429074364.68000001</v>
      </c>
      <c r="H68" s="271">
        <v>-420975922.49000001</v>
      </c>
      <c r="I68" s="271">
        <v>-350751496.92000002</v>
      </c>
      <c r="J68" s="271">
        <v>-176577024.91</v>
      </c>
      <c r="K68" s="271">
        <v>-133636115.78</v>
      </c>
      <c r="L68" s="271">
        <v>-102500765.33</v>
      </c>
      <c r="M68" s="271">
        <v>-44743824.950000003</v>
      </c>
      <c r="N68" s="271">
        <v>-25268367.890000001</v>
      </c>
      <c r="O68" s="271">
        <v>-32264593.949999999</v>
      </c>
      <c r="P68" s="271">
        <v>-25993795.539999999</v>
      </c>
      <c r="Q68" s="271">
        <v>-16050225.99</v>
      </c>
      <c r="R68" s="271">
        <v>-17461501.870000001</v>
      </c>
      <c r="S68" s="271">
        <v>-5742353.4900000002</v>
      </c>
      <c r="T68" s="187">
        <v>-53889235.740000002</v>
      </c>
      <c r="U68" s="187">
        <v>-24123220.32</v>
      </c>
      <c r="V68" s="187">
        <v>-429074364.68000001</v>
      </c>
      <c r="W68" s="187">
        <v>-343826830.68000001</v>
      </c>
      <c r="X68" s="187">
        <v>-238790533.41</v>
      </c>
      <c r="Y68" s="187">
        <v>-114519214.53</v>
      </c>
      <c r="Z68" s="187">
        <v>-420975922.49000001</v>
      </c>
      <c r="AA68" s="187">
        <v>-297465187.51999998</v>
      </c>
      <c r="AB68" s="187">
        <v>-187200820.61000001</v>
      </c>
      <c r="AC68" s="187">
        <v>-97318786.079999998</v>
      </c>
      <c r="AD68" s="187">
        <v>-350751496.92000002</v>
      </c>
      <c r="AE68" s="187">
        <v>-217813505.31999999</v>
      </c>
      <c r="AF68" s="187">
        <v>-148888545.19</v>
      </c>
      <c r="AG68" s="187">
        <v>-53473692.270000003</v>
      </c>
      <c r="AH68" s="187">
        <v>-176577024.91</v>
      </c>
      <c r="AI68" s="187">
        <v>-137330593.52000001</v>
      </c>
      <c r="AJ68" s="187">
        <v>-99774773.510000005</v>
      </c>
      <c r="AK68" s="187">
        <v>-46248011.119999997</v>
      </c>
      <c r="AL68" s="187">
        <v>-133636115.78</v>
      </c>
      <c r="AM68" s="187">
        <v>-90429443.689999998</v>
      </c>
      <c r="AN68" s="187">
        <v>-87784729.510000005</v>
      </c>
      <c r="AO68" s="187">
        <v>-81307397.079999998</v>
      </c>
      <c r="AP68" s="187">
        <v>-102500765.33</v>
      </c>
      <c r="AQ68" s="187">
        <v>-62182025.009999998</v>
      </c>
      <c r="AR68" s="187">
        <v>-46122542.109999999</v>
      </c>
      <c r="AS68" s="187">
        <v>-39680467.920000002</v>
      </c>
      <c r="AT68" s="187">
        <v>-44743824.950000003</v>
      </c>
      <c r="AU68" s="187">
        <v>-38158017.710000001</v>
      </c>
      <c r="AV68" s="187">
        <v>-32966149.120000001</v>
      </c>
      <c r="AW68" s="187">
        <v>-26751923.239999998</v>
      </c>
      <c r="AX68" s="187">
        <v>-25268367.890000001</v>
      </c>
      <c r="AY68" s="187">
        <v>-14469012.92</v>
      </c>
      <c r="AZ68" s="187">
        <v>-6698234.1299999999</v>
      </c>
      <c r="BA68" s="187">
        <v>-2819139.21</v>
      </c>
      <c r="BB68" s="187">
        <v>-32264593.949999999</v>
      </c>
      <c r="BC68" s="187">
        <v>-14225903.98</v>
      </c>
      <c r="BD68" s="187">
        <v>-8107880.4500000002</v>
      </c>
      <c r="BE68" s="187">
        <v>-3746924.02</v>
      </c>
      <c r="BF68" s="187">
        <v>-25993795.539999999</v>
      </c>
      <c r="BG68" s="187">
        <v>-22307046.379999999</v>
      </c>
      <c r="BH68" s="187">
        <v>-9958861.9700000007</v>
      </c>
      <c r="BI68" s="187">
        <v>-6747422.2300000004</v>
      </c>
      <c r="BJ68" s="187">
        <v>-16050225.99</v>
      </c>
      <c r="BK68" s="187">
        <v>-12245012.15</v>
      </c>
      <c r="BL68" s="187">
        <v>-4371087.49</v>
      </c>
      <c r="BM68" s="187">
        <v>-2211149.4700000002</v>
      </c>
      <c r="BN68" s="187">
        <v>-17461501.870000001</v>
      </c>
      <c r="BO68" s="187">
        <v>-15259418.529999999</v>
      </c>
      <c r="BP68" s="187">
        <v>-11910236.880000001</v>
      </c>
      <c r="BQ68" s="187">
        <v>-2661960.19</v>
      </c>
      <c r="BR68" s="187">
        <v>-5742353.4900000002</v>
      </c>
      <c r="BS68" s="187">
        <v>1336222</v>
      </c>
      <c r="BT68" s="187">
        <v>6680065.6699999999</v>
      </c>
      <c r="BU68" s="187">
        <v>11277315.43</v>
      </c>
      <c r="BV68" s="187">
        <v>41920771.770000003</v>
      </c>
      <c r="BW68" s="187">
        <v>0</v>
      </c>
      <c r="BX68" s="187">
        <v>-9593131.2100000009</v>
      </c>
      <c r="BY68" s="187">
        <v>-42791521.079999998</v>
      </c>
      <c r="BZ68" s="187">
        <v>-3834295.55</v>
      </c>
      <c r="CA68" s="187">
        <v>11835075.34</v>
      </c>
      <c r="CB68" s="187">
        <v>16252757.800000001</v>
      </c>
      <c r="CC68" s="187">
        <v>12407743.33</v>
      </c>
      <c r="CD68" s="187">
        <v>0</v>
      </c>
      <c r="CE68" s="187">
        <v>0</v>
      </c>
      <c r="CF68" s="187">
        <v>0</v>
      </c>
      <c r="CG68" s="187">
        <v>0</v>
      </c>
      <c r="CH68" s="187">
        <v>0</v>
      </c>
      <c r="CI68" s="187">
        <v>0</v>
      </c>
      <c r="CJ68" s="187">
        <v>0</v>
      </c>
      <c r="CK68" s="187">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271">
        <v>117408487922.53</v>
      </c>
      <c r="C70" s="271">
        <v>96019627475.080002</v>
      </c>
      <c r="D70" s="271">
        <v>75898542854.720001</v>
      </c>
      <c r="E70" s="271">
        <v>66234170421.290001</v>
      </c>
      <c r="F70" s="271">
        <v>55311550841.120003</v>
      </c>
      <c r="G70" s="271">
        <v>44129092273.260002</v>
      </c>
      <c r="H70" s="271">
        <v>35454036397.25</v>
      </c>
      <c r="I70" s="271">
        <v>25403379611.290001</v>
      </c>
      <c r="J70" s="271">
        <v>18549389694.619999</v>
      </c>
      <c r="K70" s="271">
        <v>14651565394.209999</v>
      </c>
      <c r="L70" s="271">
        <v>11503418295.950001</v>
      </c>
      <c r="M70" s="271">
        <v>8368855770.4399996</v>
      </c>
      <c r="N70" s="271">
        <v>5995028649.4300003</v>
      </c>
      <c r="O70" s="271">
        <v>5162395081.5200005</v>
      </c>
      <c r="P70" s="271">
        <v>4216707746.73</v>
      </c>
      <c r="Q70" s="271">
        <v>3470524090.9299998</v>
      </c>
      <c r="R70" s="271">
        <v>2852845506.1599998</v>
      </c>
      <c r="S70" s="271">
        <v>2530915664.8000002</v>
      </c>
      <c r="T70" s="187">
        <v>46624176881.220001</v>
      </c>
      <c r="U70" s="187">
        <v>47453571644.629997</v>
      </c>
      <c r="V70" s="187">
        <v>44129092273.260002</v>
      </c>
      <c r="W70" s="187">
        <v>39820367702.190002</v>
      </c>
      <c r="X70" s="187">
        <v>35779107183.519997</v>
      </c>
      <c r="Y70" s="187">
        <v>38595633055.419998</v>
      </c>
      <c r="Z70" s="187">
        <v>35454036397.25</v>
      </c>
      <c r="AA70" s="187">
        <v>31991565468.779999</v>
      </c>
      <c r="AB70" s="187">
        <v>28404775233.630001</v>
      </c>
      <c r="AC70" s="187">
        <v>28530620402.029999</v>
      </c>
      <c r="AD70" s="187">
        <v>25403379611.290001</v>
      </c>
      <c r="AE70" s="187">
        <v>23083770116.279999</v>
      </c>
      <c r="AF70" s="187">
        <v>21544955887.150002</v>
      </c>
      <c r="AG70" s="187">
        <v>20540681024.259998</v>
      </c>
      <c r="AH70" s="187">
        <v>18549389694.619999</v>
      </c>
      <c r="AI70" s="187">
        <v>17721770193.439999</v>
      </c>
      <c r="AJ70" s="187">
        <v>16737213296.219999</v>
      </c>
      <c r="AK70" s="187">
        <v>15995948192.02</v>
      </c>
      <c r="AL70" s="187">
        <v>14651565394.209999</v>
      </c>
      <c r="AM70" s="187">
        <v>14215679731.030001</v>
      </c>
      <c r="AN70" s="187">
        <v>13166976369.08</v>
      </c>
      <c r="AO70" s="187">
        <v>12608007479.040001</v>
      </c>
      <c r="AP70" s="187">
        <v>11503418295.950001</v>
      </c>
      <c r="AQ70" s="187">
        <v>10807004733.84</v>
      </c>
      <c r="AR70" s="187">
        <v>9854634976.4699993</v>
      </c>
      <c r="AS70" s="187">
        <v>9285941265.0300007</v>
      </c>
      <c r="AT70" s="187">
        <v>8368855770.4399996</v>
      </c>
      <c r="AU70" s="187">
        <v>6952899324.3299999</v>
      </c>
      <c r="AV70" s="187">
        <v>6219411895.4899998</v>
      </c>
      <c r="AW70" s="187">
        <v>5888376793.5900002</v>
      </c>
      <c r="AX70" s="187">
        <v>5995028649.4300003</v>
      </c>
      <c r="AY70" s="187">
        <v>5415044428.1099997</v>
      </c>
      <c r="AZ70" s="187">
        <v>5058474356.1400003</v>
      </c>
      <c r="BA70" s="187">
        <v>5588295571.7399998</v>
      </c>
      <c r="BB70" s="187">
        <v>5162395081.5200005</v>
      </c>
      <c r="BC70" s="187">
        <v>4765503347.0299997</v>
      </c>
      <c r="BD70" s="187">
        <v>4691837330.75</v>
      </c>
      <c r="BE70" s="187">
        <v>4600649163.9899998</v>
      </c>
      <c r="BF70" s="187">
        <v>4216707746.73</v>
      </c>
      <c r="BG70" s="187">
        <v>3900474366.1300001</v>
      </c>
      <c r="BH70" s="187">
        <v>3817145295.6799998</v>
      </c>
      <c r="BI70" s="187">
        <v>3727794494.04</v>
      </c>
      <c r="BJ70" s="187">
        <v>3470524090.9299998</v>
      </c>
      <c r="BK70" s="187">
        <v>3231516625.3400002</v>
      </c>
      <c r="BL70" s="187">
        <v>3124773172.54</v>
      </c>
      <c r="BM70" s="187">
        <v>3100472676.3099999</v>
      </c>
      <c r="BN70" s="187">
        <v>2874733972.6900001</v>
      </c>
      <c r="BO70" s="187">
        <v>2857804350.4699998</v>
      </c>
      <c r="BP70" s="187">
        <v>2784052740.7800002</v>
      </c>
      <c r="BQ70" s="187">
        <v>2751462376.5999999</v>
      </c>
      <c r="BR70" s="187">
        <v>2537631703.8099999</v>
      </c>
      <c r="BS70" s="187">
        <v>561545403.24000001</v>
      </c>
      <c r="BT70" s="187">
        <v>443779623.04000002</v>
      </c>
      <c r="BU70" s="187">
        <v>285361855.23000002</v>
      </c>
      <c r="BV70" s="187">
        <v>234091527.97999999</v>
      </c>
      <c r="BW70" s="187">
        <v>0</v>
      </c>
      <c r="BX70" s="187">
        <v>2089698452.7</v>
      </c>
      <c r="BY70" s="187">
        <v>1764990217.6700001</v>
      </c>
      <c r="BZ70" s="187">
        <v>1864618529.46</v>
      </c>
      <c r="CA70" s="187">
        <v>392384778.43000001</v>
      </c>
      <c r="CB70" s="187">
        <v>264958379.21000001</v>
      </c>
      <c r="CC70" s="187">
        <v>225967479.94999999</v>
      </c>
      <c r="CD70" s="187">
        <v>0</v>
      </c>
      <c r="CE70" s="187">
        <v>1079738000</v>
      </c>
      <c r="CF70" s="187">
        <v>1004228352.76</v>
      </c>
      <c r="CG70" s="187">
        <v>492689900.37</v>
      </c>
      <c r="CH70" s="187">
        <v>0</v>
      </c>
      <c r="CI70" s="187">
        <v>0</v>
      </c>
      <c r="CJ70" s="187">
        <v>0</v>
      </c>
      <c r="CK70" s="187">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zoomScale="95" zoomScaleNormal="95" workbookViewId="0">
      <selection activeCell="D49" sqref="D49"/>
    </sheetView>
  </sheetViews>
  <sheetFormatPr defaultRowHeight="13.5"/>
  <cols>
    <col min="1" max="1" width="74.625" style="17" bestFit="1" customWidth="1"/>
    <col min="2" max="2" width="22" bestFit="1" customWidth="1"/>
    <col min="3" max="4" width="20.5" bestFit="1" customWidth="1"/>
    <col min="5" max="5" width="22" bestFit="1" customWidth="1"/>
    <col min="6" max="8" width="20.5" bestFit="1" customWidth="1"/>
    <col min="9" max="9" width="22" bestFit="1" customWidth="1"/>
    <col min="10" max="10" width="20.5" bestFit="1" customWidth="1"/>
    <col min="11" max="12" width="19.375" bestFit="1" customWidth="1"/>
    <col min="13" max="13" width="22" bestFit="1" customWidth="1"/>
    <col min="14" max="15" width="19.375" bestFit="1" customWidth="1"/>
    <col min="16" max="16" width="20.5" bestFit="1" customWidth="1"/>
    <col min="17" max="17" width="22" bestFit="1" customWidth="1"/>
    <col min="18" max="18" width="20.5" bestFit="1" customWidth="1"/>
    <col min="19" max="19" width="19.375" bestFit="1" customWidth="1"/>
    <col min="20" max="20" width="20.5" bestFit="1" customWidth="1"/>
    <col min="21" max="21" width="22" bestFit="1" customWidth="1"/>
    <col min="22" max="22" width="20.5" bestFit="1" customWidth="1"/>
    <col min="23" max="24" width="19.375" bestFit="1" customWidth="1"/>
    <col min="25" max="25" width="22" bestFit="1" customWidth="1"/>
    <col min="26" max="28" width="19.375" bestFit="1" customWidth="1"/>
    <col min="29" max="29" width="22" bestFit="1" customWidth="1"/>
    <col min="30" max="32" width="19.375" bestFit="1" customWidth="1"/>
    <col min="33" max="33" width="22" bestFit="1" customWidth="1"/>
    <col min="34" max="36" width="19.375" bestFit="1" customWidth="1"/>
    <col min="37" max="37" width="22" bestFit="1" customWidth="1"/>
    <col min="38" max="66" width="19.375" bestFit="1" customWidth="1"/>
    <col min="67" max="67" width="17.25" bestFit="1" customWidth="1"/>
    <col min="68" max="74" width="19.375" bestFit="1" customWidth="1"/>
  </cols>
  <sheetData>
    <row r="1" spans="1:74" s="6" customFormat="1">
      <c r="A1" s="104">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5" customFormat="1">
      <c r="A2" s="46" t="s">
        <v>179</v>
      </c>
    </row>
    <row r="3" spans="1:74" s="190" customFormat="1">
      <c r="A3" s="190" t="s">
        <v>207</v>
      </c>
      <c r="B3" s="271">
        <v>0</v>
      </c>
      <c r="C3" s="271">
        <v>16450</v>
      </c>
      <c r="D3" s="271">
        <v>92084.5</v>
      </c>
      <c r="E3" s="271">
        <v>8772937.3900000006</v>
      </c>
      <c r="F3" s="271">
        <v>10226939.390000001</v>
      </c>
      <c r="G3" s="271">
        <v>0</v>
      </c>
      <c r="H3" s="271">
        <v>79000</v>
      </c>
      <c r="I3" s="271">
        <v>41600</v>
      </c>
      <c r="J3" s="271">
        <v>0</v>
      </c>
      <c r="K3" s="271">
        <v>0</v>
      </c>
      <c r="L3" s="271">
        <v>50000</v>
      </c>
      <c r="M3" s="271">
        <v>0</v>
      </c>
      <c r="N3" s="271">
        <v>5950</v>
      </c>
      <c r="O3" s="271">
        <v>0</v>
      </c>
      <c r="P3" s="271">
        <v>0</v>
      </c>
      <c r="Q3" s="271">
        <v>0</v>
      </c>
      <c r="R3" s="271">
        <v>0</v>
      </c>
      <c r="S3" s="271">
        <v>0</v>
      </c>
      <c r="T3" s="187">
        <v>1047680</v>
      </c>
      <c r="U3" s="187">
        <v>173418</v>
      </c>
      <c r="V3" s="187">
        <v>0</v>
      </c>
      <c r="W3" s="187">
        <v>0</v>
      </c>
      <c r="X3" s="187">
        <v>0</v>
      </c>
      <c r="Y3" s="187">
        <v>0</v>
      </c>
      <c r="Z3" s="187">
        <v>79000</v>
      </c>
      <c r="AA3" s="187">
        <v>0</v>
      </c>
      <c r="AB3" s="187">
        <v>0</v>
      </c>
      <c r="AC3" s="187">
        <v>0</v>
      </c>
      <c r="AD3" s="187">
        <v>41600</v>
      </c>
      <c r="AE3" s="187">
        <v>40000</v>
      </c>
      <c r="AF3" s="187">
        <v>40000</v>
      </c>
      <c r="AG3" s="187">
        <v>40000</v>
      </c>
      <c r="AH3" s="187">
        <v>0</v>
      </c>
      <c r="AI3" s="187">
        <v>0</v>
      </c>
      <c r="AJ3" s="187">
        <v>0</v>
      </c>
      <c r="AK3" s="187">
        <v>2500</v>
      </c>
      <c r="AL3" s="187">
        <v>0</v>
      </c>
      <c r="AM3" s="187">
        <v>0</v>
      </c>
      <c r="AN3" s="187">
        <v>0</v>
      </c>
      <c r="AO3" s="187">
        <v>0</v>
      </c>
      <c r="AP3" s="187">
        <v>50000</v>
      </c>
      <c r="AQ3" s="187">
        <v>50000</v>
      </c>
      <c r="AR3" s="187">
        <v>0</v>
      </c>
      <c r="AS3" s="187">
        <v>0</v>
      </c>
      <c r="AT3" s="187">
        <v>0</v>
      </c>
      <c r="AU3" s="187">
        <v>0</v>
      </c>
      <c r="AV3" s="187">
        <v>0</v>
      </c>
      <c r="AW3" s="187">
        <v>0</v>
      </c>
      <c r="AX3" s="187">
        <v>5950</v>
      </c>
      <c r="AY3" s="187">
        <v>0</v>
      </c>
      <c r="AZ3" s="187">
        <v>0</v>
      </c>
      <c r="BA3" s="187">
        <v>0</v>
      </c>
      <c r="BB3" s="187">
        <v>0</v>
      </c>
      <c r="BC3" s="187">
        <v>0</v>
      </c>
      <c r="BD3" s="187">
        <v>0</v>
      </c>
      <c r="BE3" s="187">
        <v>0</v>
      </c>
      <c r="BF3" s="187">
        <v>0</v>
      </c>
      <c r="BG3" s="187">
        <v>0</v>
      </c>
      <c r="BH3" s="187">
        <v>0</v>
      </c>
      <c r="BI3" s="187">
        <v>0</v>
      </c>
      <c r="BJ3" s="187">
        <v>0</v>
      </c>
      <c r="BK3" s="187">
        <v>0</v>
      </c>
      <c r="BL3" s="187">
        <v>0</v>
      </c>
      <c r="BM3" s="187">
        <v>0</v>
      </c>
      <c r="BN3" s="187">
        <v>0</v>
      </c>
      <c r="BO3" s="187">
        <v>0</v>
      </c>
      <c r="BP3" s="187">
        <v>0</v>
      </c>
      <c r="BQ3" s="187">
        <v>0</v>
      </c>
      <c r="BR3" s="187">
        <v>0</v>
      </c>
      <c r="BS3" s="187">
        <v>0</v>
      </c>
      <c r="BT3" s="190">
        <v>1680</v>
      </c>
      <c r="BU3" s="190">
        <v>25980.76</v>
      </c>
      <c r="BV3" s="190">
        <v>0</v>
      </c>
    </row>
    <row r="4" spans="1:74" s="190" customFormat="1">
      <c r="A4" s="190" t="s">
        <v>191</v>
      </c>
      <c r="B4" s="271">
        <v>1606750226.28</v>
      </c>
      <c r="C4" s="271">
        <v>1125017192.45</v>
      </c>
      <c r="D4" s="271">
        <v>1019178136.92</v>
      </c>
      <c r="E4" s="271">
        <v>2061470481.3199999</v>
      </c>
      <c r="F4" s="271">
        <v>4431065066.0500002</v>
      </c>
      <c r="G4" s="271">
        <v>5405740026.2299995</v>
      </c>
      <c r="H4" s="271">
        <v>4211900807.9099998</v>
      </c>
      <c r="I4" s="271">
        <v>2184528163.1100001</v>
      </c>
      <c r="J4" s="271">
        <v>1731913788.52</v>
      </c>
      <c r="K4" s="271">
        <v>1356601530.0899999</v>
      </c>
      <c r="L4" s="271">
        <v>1010735786.04</v>
      </c>
      <c r="M4" s="271">
        <v>772456652.49000001</v>
      </c>
      <c r="N4" s="271">
        <v>737075587.27999997</v>
      </c>
      <c r="O4" s="271">
        <v>540843725.72000003</v>
      </c>
      <c r="P4" s="271">
        <v>355190020.75</v>
      </c>
      <c r="Q4" s="271">
        <v>334880557.62</v>
      </c>
      <c r="R4" s="271">
        <v>467451921.25</v>
      </c>
      <c r="S4" s="271">
        <v>331691548.18000001</v>
      </c>
      <c r="T4" s="187">
        <v>2846115154.8499999</v>
      </c>
      <c r="U4" s="187">
        <v>2024967912.28</v>
      </c>
      <c r="V4" s="187">
        <v>5405740026.2299995</v>
      </c>
      <c r="W4" s="187">
        <v>3944662952.02</v>
      </c>
      <c r="X4" s="187">
        <v>2527195939.4299998</v>
      </c>
      <c r="Y4" s="187">
        <v>1124939088.24</v>
      </c>
      <c r="Z4" s="187">
        <v>4211900807.9099998</v>
      </c>
      <c r="AA4" s="187">
        <v>3041808991.9499998</v>
      </c>
      <c r="AB4" s="187">
        <v>1701317277.73</v>
      </c>
      <c r="AC4" s="187">
        <v>678815042.40999997</v>
      </c>
      <c r="AD4" s="187">
        <v>2184528163.1100001</v>
      </c>
      <c r="AE4" s="187">
        <v>1234305197.8399999</v>
      </c>
      <c r="AF4" s="187">
        <v>747055064.26999998</v>
      </c>
      <c r="AG4" s="187">
        <v>300691471.88</v>
      </c>
      <c r="AH4" s="187">
        <v>1731913788.52</v>
      </c>
      <c r="AI4" s="187">
        <v>1394221713.73</v>
      </c>
      <c r="AJ4" s="187">
        <v>1079662311.3</v>
      </c>
      <c r="AK4" s="187">
        <v>469039504.07999998</v>
      </c>
      <c r="AL4" s="187">
        <v>1356601530.0899999</v>
      </c>
      <c r="AM4" s="187">
        <v>1058500946.42</v>
      </c>
      <c r="AN4" s="187">
        <v>689017762.13</v>
      </c>
      <c r="AO4" s="187">
        <v>288879016.69</v>
      </c>
      <c r="AP4" s="187">
        <v>1010735786.04</v>
      </c>
      <c r="AQ4" s="187">
        <v>643869405.12</v>
      </c>
      <c r="AR4" s="187">
        <v>409784280.75</v>
      </c>
      <c r="AS4" s="187">
        <v>174666400.53</v>
      </c>
      <c r="AT4" s="187">
        <v>772456652.49000001</v>
      </c>
      <c r="AU4" s="187">
        <v>545583793.12</v>
      </c>
      <c r="AV4" s="187">
        <v>332503082.61000001</v>
      </c>
      <c r="AW4" s="187">
        <v>182658817.77000001</v>
      </c>
      <c r="AX4" s="187">
        <v>737075587.27999997</v>
      </c>
      <c r="AY4" s="187">
        <v>544313686.75999999</v>
      </c>
      <c r="AZ4" s="187">
        <v>311944622.32999998</v>
      </c>
      <c r="BA4" s="187">
        <v>104814535.87</v>
      </c>
      <c r="BB4" s="187">
        <v>540843725.72000003</v>
      </c>
      <c r="BC4" s="187">
        <v>388631291.38999999</v>
      </c>
      <c r="BD4" s="187">
        <v>242680051.99000001</v>
      </c>
      <c r="BE4" s="187">
        <v>101989194.91</v>
      </c>
      <c r="BF4" s="187">
        <v>355190020.75</v>
      </c>
      <c r="BG4" s="187">
        <v>228190946.83000001</v>
      </c>
      <c r="BH4" s="187">
        <v>138326737.52000001</v>
      </c>
      <c r="BI4" s="187">
        <v>73503913.549999997</v>
      </c>
      <c r="BJ4" s="187">
        <v>334880557.62</v>
      </c>
      <c r="BK4" s="187">
        <v>299863886.41000003</v>
      </c>
      <c r="BL4" s="187">
        <v>201234233.88</v>
      </c>
      <c r="BM4" s="187">
        <v>106650497.18000001</v>
      </c>
      <c r="BN4" s="187">
        <v>467451921.25</v>
      </c>
      <c r="BO4" s="187">
        <v>260755471.34</v>
      </c>
      <c r="BP4" s="187">
        <v>331691548.18000001</v>
      </c>
      <c r="BQ4" s="187">
        <v>0</v>
      </c>
      <c r="BR4" s="187">
        <v>33823984.460000001</v>
      </c>
      <c r="BS4" s="187">
        <v>0</v>
      </c>
      <c r="BT4" s="190">
        <v>6757461.4400000004</v>
      </c>
      <c r="BU4" s="190">
        <v>585117171</v>
      </c>
      <c r="BV4" s="190">
        <v>0</v>
      </c>
    </row>
    <row r="5" spans="1:74" s="47" customFormat="1">
      <c r="A5" s="47" t="s">
        <v>182</v>
      </c>
      <c r="B5" s="47">
        <f t="shared" ref="B5:D5" si="0">B4-B3</f>
        <v>1606750226.28</v>
      </c>
      <c r="C5" s="47">
        <f t="shared" si="0"/>
        <v>1125000742.45</v>
      </c>
      <c r="D5" s="47">
        <f t="shared" si="0"/>
        <v>1019086052.42</v>
      </c>
      <c r="E5" s="47">
        <f>E4-E3</f>
        <v>2052697543.9299998</v>
      </c>
      <c r="F5" s="47">
        <f t="shared" ref="F5:AR5" si="1">F4-F3</f>
        <v>4420838126.6599998</v>
      </c>
      <c r="G5" s="47">
        <f t="shared" si="1"/>
        <v>5405740026.2299995</v>
      </c>
      <c r="H5" s="47">
        <f t="shared" si="1"/>
        <v>4211821807.9099998</v>
      </c>
      <c r="I5" s="47">
        <f t="shared" si="1"/>
        <v>2184486563.1100001</v>
      </c>
      <c r="J5" s="47">
        <f t="shared" si="1"/>
        <v>1731913788.52</v>
      </c>
      <c r="K5" s="47">
        <f t="shared" si="1"/>
        <v>1356601530.0899999</v>
      </c>
      <c r="L5" s="47">
        <f t="shared" si="1"/>
        <v>1010685786.04</v>
      </c>
      <c r="M5" s="47">
        <f t="shared" si="1"/>
        <v>772456652.49000001</v>
      </c>
      <c r="N5" s="47">
        <f t="shared" si="1"/>
        <v>737069637.27999997</v>
      </c>
      <c r="O5" s="47">
        <f t="shared" si="1"/>
        <v>540843725.72000003</v>
      </c>
      <c r="P5" s="47">
        <f t="shared" si="1"/>
        <v>355190020.75</v>
      </c>
      <c r="Q5" s="47">
        <f t="shared" si="1"/>
        <v>334880557.62</v>
      </c>
      <c r="R5" s="47">
        <f t="shared" si="1"/>
        <v>467451921.25</v>
      </c>
      <c r="S5" s="47">
        <f t="shared" si="1"/>
        <v>331691548.18000001</v>
      </c>
      <c r="T5" s="47">
        <f t="shared" si="1"/>
        <v>2845067474.8499999</v>
      </c>
      <c r="U5" s="47">
        <f t="shared" si="1"/>
        <v>2024794494.28</v>
      </c>
      <c r="V5" s="47">
        <f t="shared" si="1"/>
        <v>5405740026.2299995</v>
      </c>
      <c r="W5" s="47">
        <f t="shared" si="1"/>
        <v>3944662952.02</v>
      </c>
      <c r="X5" s="47">
        <f t="shared" si="1"/>
        <v>2527195939.4299998</v>
      </c>
      <c r="Y5" s="47">
        <f t="shared" si="1"/>
        <v>1124939088.24</v>
      </c>
      <c r="Z5" s="47">
        <f t="shared" si="1"/>
        <v>4211821807.9099998</v>
      </c>
      <c r="AA5" s="47">
        <f t="shared" si="1"/>
        <v>3041808991.9499998</v>
      </c>
      <c r="AB5" s="47">
        <f t="shared" si="1"/>
        <v>1701317277.73</v>
      </c>
      <c r="AC5" s="47">
        <f t="shared" si="1"/>
        <v>678815042.40999997</v>
      </c>
      <c r="AD5" s="47">
        <f t="shared" si="1"/>
        <v>2184486563.1100001</v>
      </c>
      <c r="AE5" s="47">
        <f t="shared" si="1"/>
        <v>1234265197.8399999</v>
      </c>
      <c r="AF5" s="47">
        <f t="shared" si="1"/>
        <v>747015064.26999998</v>
      </c>
      <c r="AG5" s="47">
        <f t="shared" si="1"/>
        <v>300651471.88</v>
      </c>
      <c r="AH5" s="47">
        <f t="shared" si="1"/>
        <v>1731913788.52</v>
      </c>
      <c r="AI5" s="47">
        <f t="shared" si="1"/>
        <v>1394221713.73</v>
      </c>
      <c r="AJ5" s="47">
        <f t="shared" si="1"/>
        <v>1079662311.3</v>
      </c>
      <c r="AK5" s="47">
        <f t="shared" si="1"/>
        <v>469037004.07999998</v>
      </c>
      <c r="AL5" s="47">
        <f t="shared" si="1"/>
        <v>1356601530.0899999</v>
      </c>
      <c r="AM5" s="47">
        <f t="shared" si="1"/>
        <v>1058500946.42</v>
      </c>
      <c r="AN5" s="47">
        <f t="shared" si="1"/>
        <v>689017762.13</v>
      </c>
      <c r="AO5" s="47">
        <f t="shared" si="1"/>
        <v>288879016.69</v>
      </c>
      <c r="AP5" s="47">
        <f t="shared" si="1"/>
        <v>1010685786.04</v>
      </c>
      <c r="AQ5" s="47">
        <f t="shared" si="1"/>
        <v>643819405.12</v>
      </c>
      <c r="AR5" s="47">
        <f t="shared" si="1"/>
        <v>409784280.75</v>
      </c>
    </row>
    <row r="6" spans="1:74" s="105" customFormat="1">
      <c r="A6" s="105" t="s">
        <v>192</v>
      </c>
      <c r="B6" s="271">
        <v>1084662728.5799999</v>
      </c>
      <c r="C6" s="271">
        <v>1035052733.45</v>
      </c>
      <c r="D6" s="271">
        <v>842728072.03999996</v>
      </c>
      <c r="E6" s="271">
        <v>761458678.28999996</v>
      </c>
      <c r="F6" s="271">
        <v>675349786.98000002</v>
      </c>
      <c r="G6" s="271">
        <v>520481867.72000003</v>
      </c>
      <c r="H6" s="271">
        <v>414952194.94</v>
      </c>
      <c r="I6" s="271">
        <v>331356736.88</v>
      </c>
      <c r="J6" s="271">
        <v>267815117.52000001</v>
      </c>
      <c r="K6" s="271">
        <v>187387081.41</v>
      </c>
      <c r="L6" s="271">
        <v>147042974.22999999</v>
      </c>
      <c r="M6" s="271">
        <v>103823977.31999999</v>
      </c>
      <c r="N6" s="271">
        <v>84717392.170000002</v>
      </c>
      <c r="O6" s="271">
        <v>64659106.390000001</v>
      </c>
      <c r="P6" s="271">
        <v>55088524.049999997</v>
      </c>
      <c r="Q6" s="271">
        <v>58391200.810000002</v>
      </c>
      <c r="R6" s="271">
        <v>20409817.800000001</v>
      </c>
      <c r="S6" s="271">
        <v>11587498.189999999</v>
      </c>
      <c r="T6" s="187">
        <v>321291816.05000001</v>
      </c>
      <c r="U6" s="187">
        <v>0</v>
      </c>
      <c r="V6" s="187">
        <v>520481867.72000003</v>
      </c>
      <c r="W6" s="187">
        <v>0</v>
      </c>
      <c r="X6" s="187">
        <v>254184419.62</v>
      </c>
      <c r="Y6" s="187">
        <v>0</v>
      </c>
      <c r="Z6" s="187">
        <v>414952194.94</v>
      </c>
      <c r="AA6" s="187">
        <v>0</v>
      </c>
      <c r="AB6" s="187">
        <v>200507000.40000001</v>
      </c>
      <c r="AC6" s="187">
        <v>0</v>
      </c>
      <c r="AD6" s="187">
        <v>331356736.88</v>
      </c>
      <c r="AE6" s="187">
        <v>0</v>
      </c>
      <c r="AF6" s="187">
        <v>158950782.41999999</v>
      </c>
      <c r="AG6" s="187">
        <v>0</v>
      </c>
      <c r="AH6" s="187">
        <v>267815117.52000001</v>
      </c>
      <c r="AI6" s="187">
        <v>0</v>
      </c>
      <c r="AJ6" s="187">
        <v>122119373.3</v>
      </c>
      <c r="AK6" s="187">
        <v>0</v>
      </c>
      <c r="AL6" s="187">
        <v>187387081.41</v>
      </c>
      <c r="AM6" s="187">
        <v>0</v>
      </c>
      <c r="AN6" s="187">
        <v>89093818.810000002</v>
      </c>
      <c r="AO6" s="187">
        <v>0</v>
      </c>
      <c r="AP6" s="187">
        <v>147042974.22999999</v>
      </c>
      <c r="AQ6" s="187">
        <v>0</v>
      </c>
      <c r="AR6" s="187">
        <v>70037352.950000003</v>
      </c>
      <c r="AS6" s="187">
        <v>0</v>
      </c>
      <c r="AT6" s="187">
        <v>103823977.31999999</v>
      </c>
      <c r="AU6" s="187">
        <v>0</v>
      </c>
      <c r="AV6" s="187">
        <v>49772665.390000001</v>
      </c>
      <c r="AW6" s="187">
        <v>0</v>
      </c>
      <c r="AX6" s="187">
        <v>84717392.170000002</v>
      </c>
      <c r="AY6" s="187">
        <v>62546557.289999999</v>
      </c>
      <c r="AZ6" s="187">
        <v>40854031.590000004</v>
      </c>
      <c r="BA6" s="187">
        <v>20555222.16</v>
      </c>
      <c r="BB6" s="187">
        <v>64659106.390000001</v>
      </c>
      <c r="BC6" s="187">
        <v>14382986.699999999</v>
      </c>
      <c r="BD6" s="187">
        <v>31667890.949999999</v>
      </c>
      <c r="BE6" s="187">
        <v>15524717.93</v>
      </c>
      <c r="BF6" s="187">
        <v>55088524.049999997</v>
      </c>
      <c r="BG6" s="187">
        <v>40655791.490000002</v>
      </c>
      <c r="BH6" s="187">
        <v>26579528.530000001</v>
      </c>
      <c r="BI6" s="187">
        <v>12725361.800000001</v>
      </c>
      <c r="BJ6" s="187">
        <v>58391200.810000002</v>
      </c>
      <c r="BK6" s="187">
        <v>47752591.530000001</v>
      </c>
      <c r="BL6" s="187">
        <v>35569491.770000003</v>
      </c>
      <c r="BM6" s="187">
        <v>23864812.800000001</v>
      </c>
      <c r="BN6" s="187">
        <v>20409817.800000001</v>
      </c>
      <c r="BO6" s="187">
        <v>9446489.4299999997</v>
      </c>
      <c r="BP6" s="187">
        <v>11587498.189999999</v>
      </c>
      <c r="BQ6" s="187">
        <v>0</v>
      </c>
      <c r="BR6" s="187">
        <v>10108725</v>
      </c>
      <c r="BS6" s="187">
        <v>0</v>
      </c>
      <c r="BT6" s="190">
        <v>29633190.559999999</v>
      </c>
      <c r="BU6" s="190">
        <v>42460875.850000001</v>
      </c>
      <c r="BV6" s="190">
        <v>0</v>
      </c>
    </row>
    <row r="7" spans="1:74" s="190" customFormat="1">
      <c r="A7" s="190" t="s">
        <v>193</v>
      </c>
      <c r="B7" s="271">
        <v>80431667.219999999</v>
      </c>
      <c r="C7" s="271">
        <v>80522705.769999996</v>
      </c>
      <c r="D7" s="271">
        <v>80457895.989999995</v>
      </c>
      <c r="E7" s="271">
        <v>79883270.420000002</v>
      </c>
      <c r="F7" s="271">
        <v>77607523.200000003</v>
      </c>
      <c r="G7" s="271">
        <v>31617810.780000001</v>
      </c>
      <c r="H7" s="271">
        <v>15994854.35</v>
      </c>
      <c r="I7" s="271">
        <v>11855582.220000001</v>
      </c>
      <c r="J7" s="271">
        <v>14719853.449999999</v>
      </c>
      <c r="K7" s="271">
        <v>11552408.130000001</v>
      </c>
      <c r="L7" s="271">
        <v>6995493.6799999997</v>
      </c>
      <c r="M7" s="271">
        <v>8419605.2599999998</v>
      </c>
      <c r="N7" s="271">
        <v>3228097.47</v>
      </c>
      <c r="O7" s="271">
        <v>1721214.26</v>
      </c>
      <c r="P7" s="271">
        <v>171205.04</v>
      </c>
      <c r="Q7" s="271">
        <v>170000.04</v>
      </c>
      <c r="R7" s="271">
        <v>170000.04</v>
      </c>
      <c r="S7" s="271">
        <v>676000.04</v>
      </c>
      <c r="T7" s="187">
        <v>38383088.600000001</v>
      </c>
      <c r="U7" s="187">
        <v>0</v>
      </c>
      <c r="V7" s="187">
        <v>31617810.780000001</v>
      </c>
      <c r="W7" s="187">
        <v>0</v>
      </c>
      <c r="X7" s="187">
        <v>11204325.32</v>
      </c>
      <c r="Y7" s="187">
        <v>0</v>
      </c>
      <c r="Z7" s="187">
        <v>15994854.35</v>
      </c>
      <c r="AA7" s="187">
        <v>0</v>
      </c>
      <c r="AB7" s="187">
        <v>6655978.8700000001</v>
      </c>
      <c r="AC7" s="187">
        <v>0</v>
      </c>
      <c r="AD7" s="187">
        <v>11855582.220000001</v>
      </c>
      <c r="AE7" s="187">
        <v>0</v>
      </c>
      <c r="AF7" s="187">
        <v>5646985.7000000002</v>
      </c>
      <c r="AG7" s="187">
        <v>0</v>
      </c>
      <c r="AH7" s="187">
        <v>14719853.449999999</v>
      </c>
      <c r="AI7" s="187">
        <v>0</v>
      </c>
      <c r="AJ7" s="187">
        <v>5961975.2400000002</v>
      </c>
      <c r="AK7" s="187">
        <v>0</v>
      </c>
      <c r="AL7" s="187">
        <v>11552408.130000001</v>
      </c>
      <c r="AM7" s="187">
        <v>0</v>
      </c>
      <c r="AN7" s="187">
        <v>5728173.5</v>
      </c>
      <c r="AO7" s="187">
        <v>0</v>
      </c>
      <c r="AP7" s="187">
        <v>6995493.6799999997</v>
      </c>
      <c r="AQ7" s="187">
        <v>0</v>
      </c>
      <c r="AR7" s="187">
        <v>3361247.64</v>
      </c>
      <c r="AS7" s="187">
        <v>0</v>
      </c>
      <c r="AT7" s="187">
        <v>8419605.2599999998</v>
      </c>
      <c r="AU7" s="187">
        <v>0</v>
      </c>
      <c r="AV7" s="187">
        <v>3214603.12</v>
      </c>
      <c r="AW7" s="187">
        <v>0</v>
      </c>
      <c r="AX7" s="187">
        <v>3228097.47</v>
      </c>
      <c r="AY7" s="187">
        <v>507627.19</v>
      </c>
      <c r="AZ7" s="187">
        <v>303570.90999999997</v>
      </c>
      <c r="BA7" s="187">
        <v>141331.29</v>
      </c>
      <c r="BB7" s="187">
        <v>1721214.26</v>
      </c>
      <c r="BC7" s="187">
        <v>84999.84</v>
      </c>
      <c r="BD7" s="187">
        <v>84999.84</v>
      </c>
      <c r="BE7" s="187">
        <v>42500.01</v>
      </c>
      <c r="BF7" s="187">
        <v>171205.04</v>
      </c>
      <c r="BG7" s="187">
        <v>127500.03</v>
      </c>
      <c r="BH7" s="187">
        <v>85000.02</v>
      </c>
      <c r="BI7" s="187">
        <v>42500.01</v>
      </c>
      <c r="BJ7" s="187">
        <v>170000.04</v>
      </c>
      <c r="BK7" s="187">
        <v>127500.03</v>
      </c>
      <c r="BL7" s="187">
        <v>85000.02</v>
      </c>
      <c r="BM7" s="187">
        <v>42500.01</v>
      </c>
      <c r="BN7" s="187">
        <v>170000.04</v>
      </c>
      <c r="BO7" s="187">
        <v>85000.02</v>
      </c>
      <c r="BP7" s="187">
        <v>676000.04</v>
      </c>
      <c r="BQ7" s="187">
        <v>0</v>
      </c>
      <c r="BR7" s="187">
        <v>3477429</v>
      </c>
      <c r="BS7" s="187">
        <v>0</v>
      </c>
      <c r="BT7" s="190">
        <v>1394056.95</v>
      </c>
      <c r="BU7" s="190">
        <v>2442875.52</v>
      </c>
      <c r="BV7" s="190">
        <v>0</v>
      </c>
    </row>
    <row r="8" spans="1:74" s="190" customFormat="1">
      <c r="A8" s="190" t="s">
        <v>194</v>
      </c>
      <c r="B8" s="271">
        <v>10331100.619999999</v>
      </c>
      <c r="C8" s="271">
        <v>10259101.970000001</v>
      </c>
      <c r="D8" s="271">
        <v>11008704.17</v>
      </c>
      <c r="E8" s="271">
        <v>6804749.0199999996</v>
      </c>
      <c r="F8" s="271">
        <v>3842650.48</v>
      </c>
      <c r="G8" s="271">
        <v>4197830.59</v>
      </c>
      <c r="H8" s="271">
        <v>3854764.8</v>
      </c>
      <c r="I8" s="271">
        <v>4896216.72</v>
      </c>
      <c r="J8" s="271">
        <v>3034894.25</v>
      </c>
      <c r="K8" s="271">
        <v>8627818.8800000008</v>
      </c>
      <c r="L8" s="271">
        <v>10613073.470000001</v>
      </c>
      <c r="M8" s="271">
        <v>65846168.600000001</v>
      </c>
      <c r="N8" s="271">
        <v>8744492.6899999995</v>
      </c>
      <c r="O8" s="271">
        <v>12051388.76</v>
      </c>
      <c r="P8" s="271">
        <v>11374067.689999999</v>
      </c>
      <c r="Q8" s="271">
        <v>5297418.04</v>
      </c>
      <c r="R8" s="271">
        <v>-5629054.3700000001</v>
      </c>
      <c r="S8" s="271">
        <v>2083990</v>
      </c>
      <c r="T8" s="187">
        <v>1851383.57</v>
      </c>
      <c r="U8" s="187">
        <v>0</v>
      </c>
      <c r="V8" s="187">
        <v>4197830.59</v>
      </c>
      <c r="W8" s="187">
        <v>0</v>
      </c>
      <c r="X8" s="187">
        <v>1942477.92</v>
      </c>
      <c r="Y8" s="187">
        <v>0</v>
      </c>
      <c r="Z8" s="187">
        <v>3854764.8</v>
      </c>
      <c r="AA8" s="187">
        <v>0</v>
      </c>
      <c r="AB8" s="187">
        <v>1919834.64</v>
      </c>
      <c r="AC8" s="187">
        <v>0</v>
      </c>
      <c r="AD8" s="187">
        <v>4896216.72</v>
      </c>
      <c r="AE8" s="187">
        <v>0</v>
      </c>
      <c r="AF8" s="187">
        <v>863163.66</v>
      </c>
      <c r="AG8" s="187">
        <v>0</v>
      </c>
      <c r="AH8" s="187">
        <v>3034894.25</v>
      </c>
      <c r="AI8" s="187">
        <v>0</v>
      </c>
      <c r="AJ8" s="187">
        <v>2588560.7999999998</v>
      </c>
      <c r="AK8" s="187">
        <v>0</v>
      </c>
      <c r="AL8" s="187">
        <v>8627818.8800000008</v>
      </c>
      <c r="AM8" s="187">
        <v>0</v>
      </c>
      <c r="AN8" s="187">
        <v>4684138.12</v>
      </c>
      <c r="AO8" s="187">
        <v>0</v>
      </c>
      <c r="AP8" s="187">
        <v>10613073.470000001</v>
      </c>
      <c r="AQ8" s="187">
        <v>0</v>
      </c>
      <c r="AR8" s="187">
        <v>6441361.3099999996</v>
      </c>
      <c r="AS8" s="187">
        <v>0</v>
      </c>
      <c r="AT8" s="187">
        <v>65846168.600000001</v>
      </c>
      <c r="AU8" s="187">
        <v>0</v>
      </c>
      <c r="AV8" s="187">
        <v>4580442.62</v>
      </c>
      <c r="AW8" s="187">
        <v>0</v>
      </c>
      <c r="AX8" s="187">
        <v>8744492.6899999995</v>
      </c>
      <c r="AY8" s="187">
        <v>6440605.7699999996</v>
      </c>
      <c r="AZ8" s="187">
        <v>4187782.96</v>
      </c>
      <c r="BA8" s="187">
        <v>2098114.34</v>
      </c>
      <c r="BB8" s="187">
        <v>12051388.76</v>
      </c>
      <c r="BC8" s="187">
        <v>2203602.2400000002</v>
      </c>
      <c r="BD8" s="187">
        <v>4623317.43</v>
      </c>
      <c r="BE8" s="187">
        <v>967986.57</v>
      </c>
      <c r="BF8" s="187">
        <v>11374067.689999999</v>
      </c>
      <c r="BG8" s="187">
        <v>2772944.12</v>
      </c>
      <c r="BH8" s="187">
        <v>2416531.69</v>
      </c>
      <c r="BI8" s="187">
        <v>1638077.4399999999</v>
      </c>
      <c r="BJ8" s="187">
        <v>5297418.04</v>
      </c>
      <c r="BK8" s="187">
        <v>2483546</v>
      </c>
      <c r="BL8" s="187">
        <v>1638442.04</v>
      </c>
      <c r="BM8" s="187">
        <v>642970.9</v>
      </c>
      <c r="BN8" s="187">
        <v>-5629054.3700000001</v>
      </c>
      <c r="BO8" s="187">
        <v>1086189.98</v>
      </c>
      <c r="BP8" s="187">
        <v>2083990</v>
      </c>
      <c r="BQ8" s="187">
        <v>0</v>
      </c>
      <c r="BR8" s="187">
        <v>0</v>
      </c>
      <c r="BS8" s="187">
        <v>0</v>
      </c>
      <c r="BT8" s="190">
        <v>0</v>
      </c>
      <c r="BU8" s="190">
        <v>0</v>
      </c>
      <c r="BV8" s="190">
        <v>0</v>
      </c>
    </row>
    <row r="9" spans="1:74" s="190" customFormat="1">
      <c r="A9" s="190" t="s">
        <v>195</v>
      </c>
      <c r="B9" s="271">
        <v>0</v>
      </c>
      <c r="C9" s="271">
        <v>0</v>
      </c>
      <c r="D9" s="271">
        <v>0</v>
      </c>
      <c r="E9" s="271">
        <v>0</v>
      </c>
      <c r="F9" s="271">
        <v>0</v>
      </c>
      <c r="G9" s="271">
        <v>0</v>
      </c>
      <c r="H9" s="271">
        <v>0</v>
      </c>
      <c r="I9" s="271">
        <v>0</v>
      </c>
      <c r="J9" s="271">
        <v>0</v>
      </c>
      <c r="K9" s="271">
        <v>0</v>
      </c>
      <c r="L9" s="271">
        <v>0</v>
      </c>
      <c r="M9" s="271">
        <v>900998.31</v>
      </c>
      <c r="N9" s="271">
        <v>0</v>
      </c>
      <c r="O9" s="271">
        <v>0</v>
      </c>
      <c r="P9" s="271">
        <v>0</v>
      </c>
      <c r="Q9" s="271">
        <v>0</v>
      </c>
      <c r="R9" s="271">
        <v>0</v>
      </c>
      <c r="S9" s="271">
        <v>0</v>
      </c>
      <c r="T9" s="187">
        <v>0</v>
      </c>
      <c r="U9" s="187">
        <v>0</v>
      </c>
      <c r="V9" s="187">
        <v>0</v>
      </c>
      <c r="W9" s="187">
        <v>0</v>
      </c>
      <c r="X9" s="187">
        <v>0</v>
      </c>
      <c r="Y9" s="187">
        <v>0</v>
      </c>
      <c r="Z9" s="187">
        <v>0</v>
      </c>
      <c r="AA9" s="187">
        <v>0</v>
      </c>
      <c r="AB9" s="187">
        <v>0</v>
      </c>
      <c r="AC9" s="187">
        <v>0</v>
      </c>
      <c r="AD9" s="187">
        <v>0</v>
      </c>
      <c r="AE9" s="187">
        <v>0</v>
      </c>
      <c r="AF9" s="187">
        <v>0</v>
      </c>
      <c r="AG9" s="187">
        <v>0</v>
      </c>
      <c r="AH9" s="187">
        <v>0</v>
      </c>
      <c r="AI9" s="187">
        <v>0</v>
      </c>
      <c r="AJ9" s="187">
        <v>0</v>
      </c>
      <c r="AK9" s="187">
        <v>0</v>
      </c>
      <c r="AL9" s="187">
        <v>0</v>
      </c>
      <c r="AM9" s="187">
        <v>0</v>
      </c>
      <c r="AN9" s="187">
        <v>0</v>
      </c>
      <c r="AO9" s="187">
        <v>0</v>
      </c>
      <c r="AP9" s="187">
        <v>0</v>
      </c>
      <c r="AQ9" s="187">
        <v>0</v>
      </c>
      <c r="AR9" s="187">
        <v>0</v>
      </c>
      <c r="AS9" s="187">
        <v>0</v>
      </c>
      <c r="AT9" s="187">
        <v>900998.31</v>
      </c>
      <c r="AU9" s="187">
        <v>0</v>
      </c>
      <c r="AV9" s="187">
        <v>-98880</v>
      </c>
      <c r="AW9" s="187">
        <v>0</v>
      </c>
      <c r="AX9" s="187">
        <v>0</v>
      </c>
      <c r="AY9" s="187">
        <v>0</v>
      </c>
      <c r="AZ9" s="187">
        <v>0</v>
      </c>
      <c r="BA9" s="187">
        <v>0</v>
      </c>
      <c r="BB9" s="187">
        <v>0</v>
      </c>
      <c r="BC9" s="187">
        <v>0</v>
      </c>
      <c r="BD9" s="187">
        <v>0</v>
      </c>
      <c r="BE9" s="187">
        <v>0</v>
      </c>
      <c r="BF9" s="187">
        <v>0</v>
      </c>
      <c r="BG9" s="187">
        <v>0</v>
      </c>
      <c r="BH9" s="187">
        <v>0</v>
      </c>
      <c r="BI9" s="187">
        <v>0</v>
      </c>
      <c r="BJ9" s="187">
        <v>0</v>
      </c>
      <c r="BK9" s="187">
        <v>0</v>
      </c>
      <c r="BL9" s="187">
        <v>0</v>
      </c>
      <c r="BM9" s="187">
        <v>0</v>
      </c>
      <c r="BN9" s="187">
        <v>0</v>
      </c>
      <c r="BO9" s="187">
        <v>0</v>
      </c>
      <c r="BP9" s="187">
        <v>0</v>
      </c>
      <c r="BQ9" s="187">
        <v>0</v>
      </c>
      <c r="BR9" s="187">
        <v>0</v>
      </c>
      <c r="BS9" s="187">
        <v>0</v>
      </c>
      <c r="BT9" s="190">
        <v>-1680</v>
      </c>
      <c r="BU9" s="190">
        <v>0</v>
      </c>
      <c r="BV9" s="190">
        <v>0</v>
      </c>
    </row>
    <row r="10" spans="1:74" s="190" customFormat="1">
      <c r="A10" s="190" t="s">
        <v>196</v>
      </c>
      <c r="B10" s="271">
        <v>1808930.93</v>
      </c>
      <c r="C10" s="271">
        <v>3291895.5</v>
      </c>
      <c r="D10" s="271">
        <v>1869869.13</v>
      </c>
      <c r="E10" s="271">
        <v>-17419.86</v>
      </c>
      <c r="F10" s="271">
        <v>85119583.319999993</v>
      </c>
      <c r="G10" s="271">
        <v>8997287.1699999999</v>
      </c>
      <c r="H10" s="271">
        <v>155718.82</v>
      </c>
      <c r="I10" s="271">
        <v>-888534.94</v>
      </c>
      <c r="J10" s="271">
        <v>617857.77</v>
      </c>
      <c r="K10" s="271">
        <v>227122.97</v>
      </c>
      <c r="L10" s="271">
        <v>3241808.24</v>
      </c>
      <c r="M10" s="271">
        <v>3146711.19</v>
      </c>
      <c r="N10" s="271">
        <v>0</v>
      </c>
      <c r="O10" s="271">
        <v>0</v>
      </c>
      <c r="P10" s="271">
        <v>210396.99</v>
      </c>
      <c r="Q10" s="271">
        <v>0</v>
      </c>
      <c r="R10" s="271">
        <v>0</v>
      </c>
      <c r="S10" s="271">
        <v>602996.92000000004</v>
      </c>
      <c r="T10" s="187">
        <v>5620616.7999999998</v>
      </c>
      <c r="U10" s="187">
        <v>0</v>
      </c>
      <c r="V10" s="187">
        <v>8997287.1699999999</v>
      </c>
      <c r="W10" s="187">
        <v>0</v>
      </c>
      <c r="X10" s="187">
        <v>175182.81</v>
      </c>
      <c r="Y10" s="187">
        <v>0</v>
      </c>
      <c r="Z10" s="187">
        <v>155718.82</v>
      </c>
      <c r="AA10" s="187">
        <v>0</v>
      </c>
      <c r="AB10" s="187">
        <v>84152.4</v>
      </c>
      <c r="AC10" s="187">
        <v>0</v>
      </c>
      <c r="AD10" s="187">
        <v>-888534.94</v>
      </c>
      <c r="AE10" s="187">
        <v>0</v>
      </c>
      <c r="AF10" s="187">
        <v>-886934.94</v>
      </c>
      <c r="AG10" s="187">
        <v>0</v>
      </c>
      <c r="AH10" s="187">
        <v>617857.77</v>
      </c>
      <c r="AI10" s="187">
        <v>0</v>
      </c>
      <c r="AJ10" s="187">
        <v>561791.21</v>
      </c>
      <c r="AK10" s="187">
        <v>0</v>
      </c>
      <c r="AL10" s="187">
        <v>227122.97</v>
      </c>
      <c r="AM10" s="187">
        <v>0</v>
      </c>
      <c r="AN10" s="187">
        <v>8880.69</v>
      </c>
      <c r="AO10" s="187">
        <v>0</v>
      </c>
      <c r="AP10" s="187">
        <v>3241808.24</v>
      </c>
      <c r="AQ10" s="187">
        <v>0</v>
      </c>
      <c r="AR10" s="187">
        <v>3118790.2</v>
      </c>
      <c r="AS10" s="187">
        <v>0</v>
      </c>
      <c r="AT10" s="187">
        <v>3146711.19</v>
      </c>
      <c r="AU10" s="187">
        <v>0</v>
      </c>
      <c r="AV10" s="187">
        <v>149474.44</v>
      </c>
      <c r="AW10" s="187">
        <v>0</v>
      </c>
      <c r="AX10" s="187">
        <v>0</v>
      </c>
      <c r="AY10" s="187">
        <v>0</v>
      </c>
      <c r="AZ10" s="187">
        <v>0</v>
      </c>
      <c r="BA10" s="187">
        <v>0</v>
      </c>
      <c r="BB10" s="187">
        <v>0</v>
      </c>
      <c r="BC10" s="187">
        <v>0</v>
      </c>
      <c r="BD10" s="187">
        <v>0</v>
      </c>
      <c r="BE10" s="187">
        <v>0</v>
      </c>
      <c r="BF10" s="187">
        <v>210396.99</v>
      </c>
      <c r="BG10" s="187">
        <v>627297.24</v>
      </c>
      <c r="BH10" s="187">
        <v>0</v>
      </c>
      <c r="BI10" s="187">
        <v>0</v>
      </c>
      <c r="BJ10" s="187">
        <v>0</v>
      </c>
      <c r="BK10" s="187">
        <v>8291.7099999999991</v>
      </c>
      <c r="BL10" s="187">
        <v>8291.7099999999991</v>
      </c>
      <c r="BM10" s="187">
        <v>7741.71</v>
      </c>
      <c r="BN10" s="187">
        <v>0</v>
      </c>
      <c r="BO10" s="187">
        <v>0</v>
      </c>
      <c r="BP10" s="187">
        <v>602996.92000000004</v>
      </c>
      <c r="BQ10" s="187">
        <v>0</v>
      </c>
      <c r="BR10" s="187">
        <v>216575</v>
      </c>
      <c r="BS10" s="187">
        <v>0</v>
      </c>
      <c r="BT10" s="190">
        <v>7101</v>
      </c>
      <c r="BU10" s="190">
        <v>0</v>
      </c>
      <c r="BV10" s="190">
        <v>0</v>
      </c>
    </row>
    <row r="11" spans="1:74" s="47" customFormat="1">
      <c r="A11" s="135" t="s">
        <v>183</v>
      </c>
      <c r="B11" s="47">
        <f t="shared" ref="B11:D11" si="2">B5-B6-B7-B8-B9-B10</f>
        <v>429515798.93000001</v>
      </c>
      <c r="C11" s="47">
        <f t="shared" si="2"/>
        <v>-4125694.2399999965</v>
      </c>
      <c r="D11" s="47">
        <f t="shared" si="2"/>
        <v>83021511.090000004</v>
      </c>
      <c r="E11" s="47">
        <f>E5-E6-E7-E8-E9-E10</f>
        <v>1204568266.0599997</v>
      </c>
      <c r="F11" s="47">
        <f t="shared" ref="F11:BQ11" si="3">F5-F6-F7-F8-F9-F10</f>
        <v>3578918582.6799998</v>
      </c>
      <c r="G11" s="47">
        <f t="shared" si="3"/>
        <v>4840445229.9699993</v>
      </c>
      <c r="H11" s="47">
        <f t="shared" si="3"/>
        <v>3776864274.9999995</v>
      </c>
      <c r="I11" s="47">
        <f t="shared" si="3"/>
        <v>1837266562.23</v>
      </c>
      <c r="J11" s="47">
        <f t="shared" si="3"/>
        <v>1445726065.53</v>
      </c>
      <c r="K11" s="47">
        <f t="shared" si="3"/>
        <v>1148807098.6999996</v>
      </c>
      <c r="L11" s="47">
        <f t="shared" si="3"/>
        <v>842792436.41999996</v>
      </c>
      <c r="M11" s="47">
        <f t="shared" si="3"/>
        <v>590319191.81000006</v>
      </c>
      <c r="N11" s="47">
        <f t="shared" si="3"/>
        <v>640379654.94999993</v>
      </c>
      <c r="O11" s="47">
        <f t="shared" si="3"/>
        <v>462412016.31000006</v>
      </c>
      <c r="P11" s="47">
        <f t="shared" si="3"/>
        <v>288345826.97999996</v>
      </c>
      <c r="Q11" s="47">
        <f t="shared" si="3"/>
        <v>271021938.72999996</v>
      </c>
      <c r="R11" s="47">
        <f t="shared" si="3"/>
        <v>452501157.77999997</v>
      </c>
      <c r="S11" s="47">
        <f t="shared" si="3"/>
        <v>316741063.02999997</v>
      </c>
      <c r="T11" s="47">
        <f t="shared" si="3"/>
        <v>2477920569.8299994</v>
      </c>
      <c r="U11" s="47">
        <f t="shared" si="3"/>
        <v>2024794494.28</v>
      </c>
      <c r="V11" s="47">
        <f t="shared" si="3"/>
        <v>4840445229.9699993</v>
      </c>
      <c r="W11" s="47">
        <f t="shared" si="3"/>
        <v>3944662952.02</v>
      </c>
      <c r="X11" s="47">
        <f t="shared" si="3"/>
        <v>2259689533.7599998</v>
      </c>
      <c r="Y11" s="47">
        <f t="shared" si="3"/>
        <v>1124939088.24</v>
      </c>
      <c r="Z11" s="47">
        <f t="shared" si="3"/>
        <v>3776864274.9999995</v>
      </c>
      <c r="AA11" s="47">
        <f t="shared" si="3"/>
        <v>3041808991.9499998</v>
      </c>
      <c r="AB11" s="47">
        <f t="shared" si="3"/>
        <v>1492150311.4199998</v>
      </c>
      <c r="AC11" s="47">
        <f t="shared" si="3"/>
        <v>678815042.40999997</v>
      </c>
      <c r="AD11" s="47">
        <f t="shared" si="3"/>
        <v>1837266562.23</v>
      </c>
      <c r="AE11" s="47">
        <f t="shared" si="3"/>
        <v>1234265197.8399999</v>
      </c>
      <c r="AF11" s="47">
        <f t="shared" si="3"/>
        <v>582441067.43000007</v>
      </c>
      <c r="AG11" s="47">
        <f t="shared" si="3"/>
        <v>300651471.88</v>
      </c>
      <c r="AH11" s="47">
        <f t="shared" si="3"/>
        <v>1445726065.53</v>
      </c>
      <c r="AI11" s="47">
        <f t="shared" si="3"/>
        <v>1394221713.73</v>
      </c>
      <c r="AJ11" s="47">
        <f t="shared" si="3"/>
        <v>948430610.75</v>
      </c>
      <c r="AK11" s="47">
        <f t="shared" si="3"/>
        <v>469037004.07999998</v>
      </c>
      <c r="AL11" s="47">
        <f t="shared" si="3"/>
        <v>1148807098.6999996</v>
      </c>
      <c r="AM11" s="47">
        <f t="shared" si="3"/>
        <v>1058500946.42</v>
      </c>
      <c r="AN11" s="47">
        <f t="shared" si="3"/>
        <v>589502751.00999987</v>
      </c>
      <c r="AO11" s="47">
        <f t="shared" si="3"/>
        <v>288879016.69</v>
      </c>
      <c r="AP11" s="47">
        <f t="shared" si="3"/>
        <v>842792436.41999996</v>
      </c>
      <c r="AQ11" s="47">
        <f t="shared" si="3"/>
        <v>643819405.12</v>
      </c>
      <c r="AR11" s="47">
        <f t="shared" si="3"/>
        <v>326825528.65000004</v>
      </c>
      <c r="AS11" s="47">
        <f t="shared" si="3"/>
        <v>0</v>
      </c>
      <c r="AT11" s="47">
        <f t="shared" si="3"/>
        <v>-182137460.68000001</v>
      </c>
      <c r="AU11" s="47">
        <f t="shared" si="3"/>
        <v>0</v>
      </c>
      <c r="AV11" s="47">
        <f t="shared" si="3"/>
        <v>-57618305.569999993</v>
      </c>
      <c r="AW11" s="47">
        <f t="shared" si="3"/>
        <v>0</v>
      </c>
      <c r="AX11" s="47">
        <f t="shared" si="3"/>
        <v>-96689982.329999998</v>
      </c>
      <c r="AY11" s="47">
        <f t="shared" si="3"/>
        <v>-69494790.25</v>
      </c>
      <c r="AZ11" s="47">
        <f t="shared" si="3"/>
        <v>-45345385.460000001</v>
      </c>
      <c r="BA11" s="47">
        <f t="shared" si="3"/>
        <v>-22794667.789999999</v>
      </c>
      <c r="BB11" s="47">
        <f t="shared" si="3"/>
        <v>-78431709.409999996</v>
      </c>
      <c r="BC11" s="47">
        <f t="shared" si="3"/>
        <v>-16671588.779999999</v>
      </c>
      <c r="BD11" s="47">
        <f t="shared" si="3"/>
        <v>-36376208.219999999</v>
      </c>
      <c r="BE11" s="47">
        <f t="shared" si="3"/>
        <v>-16535204.51</v>
      </c>
      <c r="BF11" s="47">
        <f t="shared" si="3"/>
        <v>-66844193.769999996</v>
      </c>
      <c r="BG11" s="47">
        <f t="shared" si="3"/>
        <v>-44183532.880000003</v>
      </c>
      <c r="BH11" s="47">
        <f t="shared" si="3"/>
        <v>-29081060.240000002</v>
      </c>
      <c r="BI11" s="47">
        <f t="shared" si="3"/>
        <v>-14405939.25</v>
      </c>
      <c r="BJ11" s="47">
        <f t="shared" si="3"/>
        <v>-63858618.890000001</v>
      </c>
      <c r="BK11" s="47">
        <f t="shared" si="3"/>
        <v>-50371929.270000003</v>
      </c>
      <c r="BL11" s="47">
        <f t="shared" si="3"/>
        <v>-37301225.540000007</v>
      </c>
      <c r="BM11" s="47">
        <f t="shared" si="3"/>
        <v>-24558025.420000002</v>
      </c>
      <c r="BN11" s="47">
        <f t="shared" si="3"/>
        <v>-14950763.469999999</v>
      </c>
      <c r="BO11" s="47">
        <f t="shared" si="3"/>
        <v>-10617679.43</v>
      </c>
      <c r="BP11" s="47">
        <f t="shared" si="3"/>
        <v>-14950485.15</v>
      </c>
      <c r="BQ11" s="47">
        <f t="shared" si="3"/>
        <v>0</v>
      </c>
      <c r="BR11" s="47">
        <f t="shared" ref="BR11:BS11" si="4">BR5-BR6-BR7-BR8-BR9-BR10</f>
        <v>-13802729</v>
      </c>
      <c r="BS11" s="47">
        <f t="shared" si="4"/>
        <v>0</v>
      </c>
    </row>
    <row r="12" spans="1:74" s="26" customFormat="1">
      <c r="A12" s="17" t="s">
        <v>184</v>
      </c>
      <c r="B12" s="190">
        <f t="shared" ref="B12" si="5">F34</f>
        <v>18298236150.310001</v>
      </c>
      <c r="C12" s="190">
        <f t="shared" ref="C12" si="6">G34</f>
        <v>13522567242.82</v>
      </c>
      <c r="D12" s="190">
        <f t="shared" ref="D12" si="7">H34</f>
        <v>8773132339.5799999</v>
      </c>
      <c r="E12" s="26">
        <f t="shared" ref="E12:Q12" si="8">I34</f>
        <v>7071236794.9799995</v>
      </c>
      <c r="F12" s="26">
        <f t="shared" si="8"/>
        <v>5287295112.3800001</v>
      </c>
      <c r="G12" s="26">
        <f t="shared" si="8"/>
        <v>4114037784.3299999</v>
      </c>
      <c r="H12" s="26">
        <f t="shared" si="8"/>
        <v>3513436953.5100002</v>
      </c>
      <c r="I12" s="26">
        <f t="shared" si="8"/>
        <v>3209968937.0300002</v>
      </c>
      <c r="J12" s="26">
        <f t="shared" si="8"/>
        <v>2638340763.6999998</v>
      </c>
      <c r="K12" s="26">
        <f t="shared" si="8"/>
        <v>2038076176.98</v>
      </c>
      <c r="L12" s="26">
        <f t="shared" si="8"/>
        <v>1601014475.77</v>
      </c>
      <c r="M12" s="26">
        <f t="shared" si="8"/>
        <v>1200336776.9300001</v>
      </c>
      <c r="N12" s="26">
        <f t="shared" si="8"/>
        <v>939648707.25</v>
      </c>
      <c r="O12" s="26">
        <f t="shared" si="8"/>
        <v>0</v>
      </c>
      <c r="P12" s="26">
        <f t="shared" si="8"/>
        <v>16579774564.629999</v>
      </c>
      <c r="Q12" s="26">
        <f t="shared" si="8"/>
        <v>15583608259.01</v>
      </c>
      <c r="R12" s="190">
        <f t="shared" ref="R12" si="9">V34</f>
        <v>13522567242.82</v>
      </c>
      <c r="S12" s="190">
        <f t="shared" ref="S12" si="10">W34</f>
        <v>9433590713.1000004</v>
      </c>
      <c r="T12" s="190">
        <f t="shared" ref="T12" si="11">X34</f>
        <v>8937733311.7900009</v>
      </c>
      <c r="U12" s="190">
        <f t="shared" ref="U12" si="12">Y34</f>
        <v>9046122215.5200005</v>
      </c>
      <c r="V12" s="190">
        <f t="shared" ref="V12" si="13">Z34</f>
        <v>8773132339.5799999</v>
      </c>
      <c r="W12" s="190">
        <f t="shared" ref="W12" si="14">AA34</f>
        <v>7348983711.5200005</v>
      </c>
      <c r="X12" s="190">
        <f t="shared" ref="X12" si="15">AB34</f>
        <v>7287172510.8199997</v>
      </c>
      <c r="Y12" s="190">
        <f t="shared" ref="Y12" si="16">AC34</f>
        <v>7174957543.2700005</v>
      </c>
      <c r="Z12" s="190">
        <f t="shared" ref="Z12" si="17">AD34</f>
        <v>7071236794.9799995</v>
      </c>
      <c r="AA12" s="190">
        <f t="shared" ref="AA12" si="18">AE34</f>
        <v>5907593182.6300001</v>
      </c>
      <c r="AB12" s="190">
        <f t="shared" ref="AB12" si="19">AF34</f>
        <v>5450664776.8999996</v>
      </c>
      <c r="AC12" s="190">
        <f t="shared" ref="AC12" si="20">AG34</f>
        <v>5404910754.6800003</v>
      </c>
      <c r="AD12" s="190">
        <f t="shared" ref="AD12" si="21">AH34</f>
        <v>5287295112.3800001</v>
      </c>
      <c r="AE12" s="190">
        <f t="shared" ref="AE12" si="22">AI34</f>
        <v>4854322092.2399998</v>
      </c>
      <c r="AF12" s="190">
        <f t="shared" ref="AF12" si="23">AJ34</f>
        <v>4750522574.4799995</v>
      </c>
      <c r="AG12" s="190">
        <f t="shared" ref="AG12" si="24">AK34</f>
        <v>4223497907.46</v>
      </c>
      <c r="AH12" s="190">
        <f t="shared" ref="AH12" si="25">AL34</f>
        <v>4114037784.3299999</v>
      </c>
      <c r="AI12" s="190">
        <f t="shared" ref="AI12" si="26">AM34</f>
        <v>3893081948.3499999</v>
      </c>
      <c r="AJ12" s="190">
        <f t="shared" ref="AJ12" si="27">AN34</f>
        <v>3756937589.1599998</v>
      </c>
      <c r="AK12" s="190">
        <f t="shared" ref="AK12" si="28">AO34</f>
        <v>3728677824.9000001</v>
      </c>
      <c r="AL12" s="190">
        <f t="shared" ref="AL12" si="29">AP34</f>
        <v>3513436953.5100002</v>
      </c>
      <c r="AM12" s="190">
        <f t="shared" ref="AM12" si="30">AQ34</f>
        <v>3739014271</v>
      </c>
      <c r="AN12" s="190">
        <f t="shared" ref="AN12" si="31">AR34</f>
        <v>3526080172.4299998</v>
      </c>
      <c r="AO12" s="190">
        <f t="shared" ref="AO12" si="32">AS34</f>
        <v>3338338900.5300002</v>
      </c>
      <c r="AP12" s="190">
        <f t="shared" ref="AP12" si="33">AT34</f>
        <v>3209968937.0300002</v>
      </c>
      <c r="AQ12" s="190">
        <f t="shared" ref="AQ12" si="34">AU34</f>
        <v>3086136003.2399998</v>
      </c>
      <c r="AR12" s="190">
        <f t="shared" ref="AR12" si="35">AV34</f>
        <v>2952999545.0700002</v>
      </c>
      <c r="AS12" s="190">
        <f t="shared" ref="AS12" si="36">AW34</f>
        <v>2845284852.9899998</v>
      </c>
      <c r="AT12" s="190">
        <f t="shared" ref="AT12" si="37">AX34</f>
        <v>2638340763.6999998</v>
      </c>
      <c r="AU12" s="190">
        <f t="shared" ref="AU12" si="38">AY34</f>
        <v>2450389777.1900001</v>
      </c>
      <c r="AV12" s="190">
        <f t="shared" ref="AV12" si="39">AZ34</f>
        <v>2263427977.0500002</v>
      </c>
      <c r="AW12" s="190">
        <f t="shared" ref="AW12" si="40">BA34</f>
        <v>2115638921.48</v>
      </c>
      <c r="AX12" s="190">
        <f t="shared" ref="AX12" si="41">BB34</f>
        <v>2038076176.98</v>
      </c>
      <c r="AY12" s="190">
        <f t="shared" ref="AY12" si="42">BC34</f>
        <v>1904956898.72</v>
      </c>
      <c r="AZ12" s="190">
        <f t="shared" ref="AZ12" si="43">BD34</f>
        <v>1780876639.3299999</v>
      </c>
      <c r="BA12" s="190">
        <f t="shared" ref="BA12" si="44">BE34</f>
        <v>1685409788.29</v>
      </c>
      <c r="BB12" s="190">
        <f t="shared" ref="BB12" si="45">BF34</f>
        <v>1601014475.77</v>
      </c>
      <c r="BC12" s="190">
        <f t="shared" ref="BC12" si="46">BG34</f>
        <v>1463570659.45</v>
      </c>
      <c r="BD12" s="190">
        <f t="shared" ref="BD12" si="47">BH34</f>
        <v>1398793760.26</v>
      </c>
      <c r="BE12" s="190">
        <f t="shared" ref="BE12" si="48">BI34</f>
        <v>1332300138.5599999</v>
      </c>
      <c r="BF12" s="190">
        <f t="shared" ref="BF12" si="49">BJ34</f>
        <v>1200336776.9300001</v>
      </c>
      <c r="BG12" s="190">
        <f t="shared" ref="BG12" si="50">BK34</f>
        <v>1165910893.28</v>
      </c>
      <c r="BH12" s="190">
        <f t="shared" ref="BH12" si="51">BL34</f>
        <v>1092933336.0799999</v>
      </c>
      <c r="BI12" s="190">
        <f t="shared" ref="BI12" si="52">BM34</f>
        <v>1019774319.86</v>
      </c>
      <c r="BJ12" s="190">
        <f t="shared" ref="BJ12" si="53">BN34</f>
        <v>939648707.25</v>
      </c>
      <c r="BK12" s="190">
        <f t="shared" ref="BK12" si="54">BO34</f>
        <v>859601030.65999997</v>
      </c>
      <c r="BL12" s="190">
        <f t="shared" ref="BL12" si="55">BP34</f>
        <v>748821426.96000004</v>
      </c>
      <c r="BM12" s="190">
        <f t="shared" ref="BM12" si="56">BQ34</f>
        <v>3513436953.5100002</v>
      </c>
      <c r="BN12" s="190">
        <f t="shared" ref="BN12" si="57">BR34</f>
        <v>3739014271</v>
      </c>
    </row>
    <row r="13" spans="1:74" s="217" customFormat="1">
      <c r="A13" s="217" t="s">
        <v>237</v>
      </c>
      <c r="B13" s="217">
        <f t="shared" ref="B13:D13" si="58">B11/B12</f>
        <v>2.3473071142035912E-2</v>
      </c>
      <c r="C13" s="217">
        <f t="shared" si="58"/>
        <v>-3.0509696612457908E-4</v>
      </c>
      <c r="D13" s="217">
        <f t="shared" si="58"/>
        <v>9.4631549914559396E-3</v>
      </c>
      <c r="E13" s="217">
        <f>E11/E12</f>
        <v>0.17034760692997084</v>
      </c>
      <c r="F13" s="217">
        <f t="shared" ref="F13:AR13" si="59">F11/F12</f>
        <v>0.67689026366243454</v>
      </c>
      <c r="G13" s="217">
        <f t="shared" si="59"/>
        <v>1.1765680053807042</v>
      </c>
      <c r="H13" s="217">
        <f t="shared" si="59"/>
        <v>1.0749771021867434</v>
      </c>
      <c r="I13" s="217">
        <f t="shared" si="59"/>
        <v>0.57236272321373838</v>
      </c>
      <c r="J13" s="217">
        <f t="shared" si="59"/>
        <v>0.54796790673185025</v>
      </c>
      <c r="K13" s="217">
        <f t="shared" si="59"/>
        <v>0.56367230610697283</v>
      </c>
      <c r="L13" s="217">
        <f t="shared" si="59"/>
        <v>0.52641150294076078</v>
      </c>
      <c r="M13" s="217">
        <f t="shared" si="59"/>
        <v>0.49179463893442438</v>
      </c>
      <c r="N13" s="217">
        <f t="shared" si="59"/>
        <v>0.68150964292192928</v>
      </c>
      <c r="O13" s="217" t="e">
        <f t="shared" si="59"/>
        <v>#DIV/0!</v>
      </c>
      <c r="P13" s="217">
        <f t="shared" si="59"/>
        <v>1.739142024253662E-2</v>
      </c>
      <c r="Q13" s="217">
        <f t="shared" si="59"/>
        <v>1.7391475339050746E-2</v>
      </c>
      <c r="R13" s="217">
        <f t="shared" si="59"/>
        <v>3.3462666493321518E-2</v>
      </c>
      <c r="S13" s="217">
        <f t="shared" si="59"/>
        <v>3.3575875047255975E-2</v>
      </c>
      <c r="T13" s="217">
        <f t="shared" si="59"/>
        <v>0.27724261659959226</v>
      </c>
      <c r="U13" s="217">
        <f t="shared" si="59"/>
        <v>0.22383010598797312</v>
      </c>
      <c r="V13" s="217">
        <f t="shared" si="59"/>
        <v>0.55173512066292707</v>
      </c>
      <c r="W13" s="217">
        <f t="shared" si="59"/>
        <v>0.53676305552786696</v>
      </c>
      <c r="X13" s="217">
        <f t="shared" si="59"/>
        <v>0.31009140107563132</v>
      </c>
      <c r="Y13" s="217">
        <f t="shared" si="59"/>
        <v>0.15678686340035217</v>
      </c>
      <c r="Z13" s="217">
        <f t="shared" si="59"/>
        <v>0.53411650387401322</v>
      </c>
      <c r="AA13" s="217">
        <f t="shared" si="59"/>
        <v>0.51489818237548601</v>
      </c>
      <c r="AB13" s="217">
        <f t="shared" si="59"/>
        <v>0.27375565596030699</v>
      </c>
      <c r="AC13" s="217">
        <f t="shared" si="59"/>
        <v>0.12559227584326496</v>
      </c>
      <c r="AD13" s="217">
        <f t="shared" si="59"/>
        <v>0.34748704643478484</v>
      </c>
      <c r="AE13" s="217">
        <f t="shared" si="59"/>
        <v>0.25426108411987453</v>
      </c>
      <c r="AF13" s="217">
        <f t="shared" si="59"/>
        <v>0.12260568354287951</v>
      </c>
      <c r="AG13" s="217">
        <f t="shared" si="59"/>
        <v>7.1185419874118264E-2</v>
      </c>
      <c r="AH13" s="217">
        <f t="shared" si="59"/>
        <v>0.3514129284462677</v>
      </c>
      <c r="AI13" s="217">
        <f t="shared" si="59"/>
        <v>0.35812801585666887</v>
      </c>
      <c r="AJ13" s="217">
        <f t="shared" si="59"/>
        <v>0.25244779511018073</v>
      </c>
      <c r="AK13" s="217">
        <f t="shared" si="59"/>
        <v>0.12579177555855986</v>
      </c>
      <c r="AL13" s="217">
        <f t="shared" si="59"/>
        <v>0.32697529908778245</v>
      </c>
      <c r="AM13" s="217">
        <f t="shared" si="59"/>
        <v>0.28309625738253835</v>
      </c>
      <c r="AN13" s="217">
        <f t="shared" si="59"/>
        <v>0.16718359259646209</v>
      </c>
      <c r="AO13" s="217">
        <f t="shared" si="59"/>
        <v>8.6533759842099045E-2</v>
      </c>
      <c r="AP13" s="217">
        <f t="shared" si="59"/>
        <v>0.26255470160399352</v>
      </c>
      <c r="AQ13" s="217">
        <f t="shared" si="59"/>
        <v>0.20861666642172674</v>
      </c>
      <c r="AR13" s="217">
        <f t="shared" si="59"/>
        <v>0.11067578022341101</v>
      </c>
    </row>
    <row r="14" spans="1:74" s="48" customFormat="1">
      <c r="A14" s="46" t="s">
        <v>180</v>
      </c>
    </row>
    <row r="15" spans="1:74" s="26" customFormat="1">
      <c r="A15" s="17" t="s">
        <v>200</v>
      </c>
      <c r="B15" s="271">
        <v>0</v>
      </c>
      <c r="C15" s="271">
        <v>0</v>
      </c>
      <c r="D15" s="271">
        <v>0</v>
      </c>
      <c r="E15" s="271">
        <v>0</v>
      </c>
      <c r="F15" s="271">
        <v>0</v>
      </c>
      <c r="G15" s="271">
        <v>0</v>
      </c>
      <c r="H15" s="271">
        <v>0</v>
      </c>
      <c r="I15" s="271">
        <v>0</v>
      </c>
      <c r="J15" s="271">
        <v>0</v>
      </c>
      <c r="K15" s="271">
        <v>0</v>
      </c>
      <c r="L15" s="271">
        <v>0</v>
      </c>
      <c r="M15" s="271">
        <v>0</v>
      </c>
      <c r="N15" s="271">
        <v>0</v>
      </c>
      <c r="O15" s="271">
        <v>0</v>
      </c>
      <c r="P15" s="271">
        <v>0</v>
      </c>
      <c r="Q15" s="271">
        <v>0</v>
      </c>
      <c r="R15" s="271">
        <v>0</v>
      </c>
      <c r="S15" s="271">
        <v>0</v>
      </c>
      <c r="T15" s="187">
        <v>0</v>
      </c>
      <c r="U15" s="187">
        <v>0</v>
      </c>
      <c r="V15" s="187">
        <v>0</v>
      </c>
      <c r="W15" s="187">
        <v>0</v>
      </c>
      <c r="X15" s="187">
        <v>0</v>
      </c>
      <c r="Y15" s="187">
        <v>0</v>
      </c>
      <c r="Z15" s="187">
        <v>0</v>
      </c>
      <c r="AA15" s="187">
        <v>0</v>
      </c>
      <c r="AB15" s="187">
        <v>0</v>
      </c>
      <c r="AC15" s="187">
        <v>0</v>
      </c>
      <c r="AD15" s="187">
        <v>0</v>
      </c>
      <c r="AE15" s="187">
        <v>0</v>
      </c>
      <c r="AF15" s="187">
        <v>0</v>
      </c>
      <c r="AG15" s="187">
        <v>0</v>
      </c>
      <c r="AH15" s="187">
        <v>0</v>
      </c>
      <c r="AI15" s="187">
        <v>0</v>
      </c>
      <c r="AJ15" s="187">
        <v>0</v>
      </c>
      <c r="AK15" s="187">
        <v>0</v>
      </c>
      <c r="AL15" s="187">
        <v>0</v>
      </c>
      <c r="AM15" s="187">
        <v>0</v>
      </c>
      <c r="AN15" s="187">
        <v>0</v>
      </c>
      <c r="AO15" s="187">
        <v>0</v>
      </c>
      <c r="AP15" s="187">
        <v>0</v>
      </c>
      <c r="AQ15" s="187">
        <v>0</v>
      </c>
      <c r="AR15" s="187">
        <v>0</v>
      </c>
      <c r="AS15" s="187">
        <v>0</v>
      </c>
      <c r="AT15" s="187">
        <v>0</v>
      </c>
      <c r="AU15" s="187">
        <v>0</v>
      </c>
      <c r="AV15" s="187">
        <v>0</v>
      </c>
      <c r="AW15" s="187">
        <v>0</v>
      </c>
      <c r="AX15" s="187">
        <v>0</v>
      </c>
      <c r="AY15" s="187">
        <v>0</v>
      </c>
      <c r="AZ15" s="187">
        <v>0</v>
      </c>
      <c r="BA15" s="187">
        <v>0</v>
      </c>
      <c r="BB15" s="187">
        <v>0</v>
      </c>
      <c r="BC15" s="187">
        <v>0</v>
      </c>
      <c r="BD15" s="187">
        <v>0</v>
      </c>
      <c r="BE15" s="187">
        <v>0</v>
      </c>
      <c r="BF15" s="187">
        <v>0</v>
      </c>
      <c r="BG15" s="187">
        <v>0</v>
      </c>
      <c r="BH15" s="187">
        <v>0</v>
      </c>
      <c r="BI15" s="187">
        <v>0</v>
      </c>
      <c r="BJ15" s="187">
        <v>0</v>
      </c>
      <c r="BK15" s="187">
        <v>0</v>
      </c>
      <c r="BL15" s="187">
        <v>0</v>
      </c>
      <c r="BM15" s="187">
        <v>0</v>
      </c>
      <c r="BN15" s="187">
        <v>0</v>
      </c>
      <c r="BO15" s="187">
        <v>0</v>
      </c>
      <c r="BP15" s="187">
        <v>0</v>
      </c>
      <c r="BQ15" s="187">
        <v>0</v>
      </c>
      <c r="BR15" s="187">
        <v>0</v>
      </c>
      <c r="BS15" s="187">
        <v>0</v>
      </c>
      <c r="BT15" s="187">
        <v>0</v>
      </c>
      <c r="BU15" s="187">
        <v>0</v>
      </c>
      <c r="BV15" s="187">
        <v>0</v>
      </c>
    </row>
    <row r="16" spans="1:74" s="26" customFormat="1">
      <c r="A16" s="17" t="s">
        <v>201</v>
      </c>
      <c r="B16" s="271">
        <v>0</v>
      </c>
      <c r="C16" s="271">
        <v>0</v>
      </c>
      <c r="D16" s="271">
        <v>0</v>
      </c>
      <c r="E16" s="271">
        <v>0</v>
      </c>
      <c r="F16" s="271">
        <v>0</v>
      </c>
      <c r="G16" s="271">
        <v>0</v>
      </c>
      <c r="H16" s="271">
        <v>0</v>
      </c>
      <c r="I16" s="271">
        <v>0</v>
      </c>
      <c r="J16" s="271">
        <v>0</v>
      </c>
      <c r="K16" s="271">
        <v>0</v>
      </c>
      <c r="L16" s="271">
        <v>0</v>
      </c>
      <c r="M16" s="271">
        <v>0</v>
      </c>
      <c r="N16" s="271">
        <v>0</v>
      </c>
      <c r="O16" s="271">
        <v>0</v>
      </c>
      <c r="P16" s="271">
        <v>0</v>
      </c>
      <c r="Q16" s="271">
        <v>0</v>
      </c>
      <c r="R16" s="271">
        <v>0</v>
      </c>
      <c r="S16" s="271">
        <v>0</v>
      </c>
      <c r="T16" s="187">
        <v>0</v>
      </c>
      <c r="U16" s="187">
        <v>0</v>
      </c>
      <c r="V16" s="187">
        <v>0</v>
      </c>
      <c r="W16" s="187">
        <v>0</v>
      </c>
      <c r="X16" s="187">
        <v>0</v>
      </c>
      <c r="Y16" s="187">
        <v>0</v>
      </c>
      <c r="Z16" s="187">
        <v>0</v>
      </c>
      <c r="AA16" s="187">
        <v>0</v>
      </c>
      <c r="AB16" s="187">
        <v>0</v>
      </c>
      <c r="AC16" s="187">
        <v>0</v>
      </c>
      <c r="AD16" s="187">
        <v>0</v>
      </c>
      <c r="AE16" s="187">
        <v>0</v>
      </c>
      <c r="AF16" s="187">
        <v>0</v>
      </c>
      <c r="AG16" s="187">
        <v>0</v>
      </c>
      <c r="AH16" s="187">
        <v>0</v>
      </c>
      <c r="AI16" s="187">
        <v>0</v>
      </c>
      <c r="AJ16" s="187">
        <v>0</v>
      </c>
      <c r="AK16" s="187">
        <v>0</v>
      </c>
      <c r="AL16" s="187">
        <v>0</v>
      </c>
      <c r="AM16" s="187">
        <v>0</v>
      </c>
      <c r="AN16" s="187">
        <v>0</v>
      </c>
      <c r="AO16" s="187">
        <v>0</v>
      </c>
      <c r="AP16" s="187">
        <v>0</v>
      </c>
      <c r="AQ16" s="187">
        <v>0</v>
      </c>
      <c r="AR16" s="187">
        <v>0</v>
      </c>
      <c r="AS16" s="187">
        <v>0</v>
      </c>
      <c r="AT16" s="187">
        <v>0</v>
      </c>
      <c r="AU16" s="187">
        <v>0</v>
      </c>
      <c r="AV16" s="187">
        <v>0</v>
      </c>
      <c r="AW16" s="187">
        <v>0</v>
      </c>
      <c r="AX16" s="187">
        <v>0</v>
      </c>
      <c r="AY16" s="187">
        <v>0</v>
      </c>
      <c r="AZ16" s="187">
        <v>0</v>
      </c>
      <c r="BA16" s="187">
        <v>0</v>
      </c>
      <c r="BB16" s="187">
        <v>0</v>
      </c>
      <c r="BC16" s="187">
        <v>0</v>
      </c>
      <c r="BD16" s="187">
        <v>0</v>
      </c>
      <c r="BE16" s="187">
        <v>0</v>
      </c>
      <c r="BF16" s="187">
        <v>0</v>
      </c>
      <c r="BG16" s="187">
        <v>0</v>
      </c>
      <c r="BH16" s="187">
        <v>0</v>
      </c>
      <c r="BI16" s="187">
        <v>0</v>
      </c>
      <c r="BJ16" s="187">
        <v>0</v>
      </c>
      <c r="BK16" s="187">
        <v>0</v>
      </c>
      <c r="BL16" s="187">
        <v>0</v>
      </c>
      <c r="BM16" s="187">
        <v>0</v>
      </c>
      <c r="BN16" s="187">
        <v>0</v>
      </c>
      <c r="BO16" s="187">
        <v>0</v>
      </c>
      <c r="BP16" s="187">
        <v>0</v>
      </c>
      <c r="BQ16" s="187">
        <v>0</v>
      </c>
      <c r="BR16" s="187">
        <v>0</v>
      </c>
      <c r="BS16" s="187">
        <v>0</v>
      </c>
      <c r="BT16" s="187">
        <v>0</v>
      </c>
      <c r="BU16" s="187">
        <v>0</v>
      </c>
      <c r="BV16" s="187">
        <v>0</v>
      </c>
    </row>
    <row r="17" spans="1:74" s="47" customFormat="1">
      <c r="A17" s="135" t="s">
        <v>185</v>
      </c>
      <c r="B17" s="47">
        <f t="shared" ref="B17:D17" si="60">B16-B15</f>
        <v>0</v>
      </c>
      <c r="C17" s="47">
        <f t="shared" si="60"/>
        <v>0</v>
      </c>
      <c r="D17" s="47">
        <f t="shared" si="60"/>
        <v>0</v>
      </c>
      <c r="E17" s="47">
        <f>E16-E15</f>
        <v>0</v>
      </c>
      <c r="F17" s="47">
        <f t="shared" ref="F17:AV17" si="61">F16-F15</f>
        <v>0</v>
      </c>
      <c r="G17" s="47">
        <f t="shared" si="61"/>
        <v>0</v>
      </c>
      <c r="H17" s="47">
        <f t="shared" si="61"/>
        <v>0</v>
      </c>
      <c r="I17" s="47">
        <f t="shared" si="61"/>
        <v>0</v>
      </c>
      <c r="J17" s="47">
        <f t="shared" si="61"/>
        <v>0</v>
      </c>
      <c r="K17" s="47">
        <f t="shared" si="61"/>
        <v>0</v>
      </c>
      <c r="L17" s="47">
        <f t="shared" si="61"/>
        <v>0</v>
      </c>
      <c r="M17" s="47">
        <f t="shared" si="61"/>
        <v>0</v>
      </c>
      <c r="N17" s="47">
        <f t="shared" si="61"/>
        <v>0</v>
      </c>
      <c r="O17" s="47">
        <f t="shared" si="61"/>
        <v>0</v>
      </c>
      <c r="P17" s="47">
        <f t="shared" si="61"/>
        <v>0</v>
      </c>
      <c r="Q17" s="47">
        <f t="shared" si="61"/>
        <v>0</v>
      </c>
      <c r="R17" s="47">
        <f t="shared" si="61"/>
        <v>0</v>
      </c>
      <c r="S17" s="47">
        <f t="shared" si="61"/>
        <v>0</v>
      </c>
      <c r="T17" s="47">
        <f t="shared" si="61"/>
        <v>0</v>
      </c>
      <c r="U17" s="47">
        <f t="shared" si="61"/>
        <v>0</v>
      </c>
      <c r="V17" s="47">
        <f t="shared" si="61"/>
        <v>0</v>
      </c>
      <c r="W17" s="47">
        <f t="shared" si="61"/>
        <v>0</v>
      </c>
      <c r="X17" s="47">
        <f t="shared" si="61"/>
        <v>0</v>
      </c>
      <c r="Y17" s="47">
        <f t="shared" si="61"/>
        <v>0</v>
      </c>
      <c r="Z17" s="47">
        <f t="shared" si="61"/>
        <v>0</v>
      </c>
      <c r="AA17" s="47">
        <f t="shared" si="61"/>
        <v>0</v>
      </c>
      <c r="AB17" s="47">
        <f t="shared" si="61"/>
        <v>0</v>
      </c>
      <c r="AC17" s="47">
        <f t="shared" si="61"/>
        <v>0</v>
      </c>
      <c r="AD17" s="47">
        <f t="shared" si="61"/>
        <v>0</v>
      </c>
      <c r="AE17" s="47">
        <f t="shared" si="61"/>
        <v>0</v>
      </c>
      <c r="AF17" s="47">
        <f t="shared" si="61"/>
        <v>0</v>
      </c>
      <c r="AG17" s="47">
        <f t="shared" si="61"/>
        <v>0</v>
      </c>
      <c r="AH17" s="47">
        <f t="shared" si="61"/>
        <v>0</v>
      </c>
      <c r="AI17" s="47">
        <f t="shared" si="61"/>
        <v>0</v>
      </c>
      <c r="AJ17" s="47">
        <f t="shared" si="61"/>
        <v>0</v>
      </c>
      <c r="AK17" s="47">
        <f t="shared" si="61"/>
        <v>0</v>
      </c>
      <c r="AL17" s="47">
        <f t="shared" si="61"/>
        <v>0</v>
      </c>
      <c r="AM17" s="47">
        <f t="shared" si="61"/>
        <v>0</v>
      </c>
      <c r="AN17" s="47">
        <f t="shared" si="61"/>
        <v>0</v>
      </c>
      <c r="AO17" s="47">
        <f t="shared" si="61"/>
        <v>0</v>
      </c>
      <c r="AP17" s="47">
        <f t="shared" si="61"/>
        <v>0</v>
      </c>
      <c r="AQ17" s="47">
        <f t="shared" si="61"/>
        <v>0</v>
      </c>
      <c r="AR17" s="47">
        <f t="shared" si="61"/>
        <v>0</v>
      </c>
      <c r="AS17" s="47">
        <f t="shared" si="61"/>
        <v>0</v>
      </c>
      <c r="AT17" s="47">
        <f t="shared" si="61"/>
        <v>0</v>
      </c>
      <c r="AU17" s="47">
        <f t="shared" si="61"/>
        <v>0</v>
      </c>
      <c r="AV17" s="47">
        <f t="shared" si="61"/>
        <v>0</v>
      </c>
    </row>
    <row r="18" spans="1:74" s="48" customFormat="1">
      <c r="A18" s="46" t="s">
        <v>181</v>
      </c>
    </row>
    <row r="19" spans="1:74" s="190" customFormat="1">
      <c r="A19" s="190" t="s">
        <v>186</v>
      </c>
      <c r="B19" s="190">
        <f t="shared" ref="B19:D19" si="62">B5+B17</f>
        <v>1606750226.28</v>
      </c>
      <c r="C19" s="190">
        <f t="shared" si="62"/>
        <v>1125000742.45</v>
      </c>
      <c r="D19" s="190">
        <f t="shared" si="62"/>
        <v>1019086052.42</v>
      </c>
      <c r="E19" s="190">
        <f>E5+E17</f>
        <v>2052697543.9299998</v>
      </c>
      <c r="F19" s="190">
        <f t="shared" ref="F19:AS19" si="63">F5+F17</f>
        <v>4420838126.6599998</v>
      </c>
      <c r="G19" s="190">
        <f t="shared" si="63"/>
        <v>5405740026.2299995</v>
      </c>
      <c r="H19" s="190">
        <f t="shared" si="63"/>
        <v>4211821807.9099998</v>
      </c>
      <c r="I19" s="190">
        <f t="shared" si="63"/>
        <v>2184486563.1100001</v>
      </c>
      <c r="J19" s="190">
        <f t="shared" si="63"/>
        <v>1731913788.52</v>
      </c>
      <c r="K19" s="190">
        <f t="shared" si="63"/>
        <v>1356601530.0899999</v>
      </c>
      <c r="L19" s="190">
        <f t="shared" si="63"/>
        <v>1010685786.04</v>
      </c>
      <c r="M19" s="190">
        <f t="shared" si="63"/>
        <v>772456652.49000001</v>
      </c>
      <c r="N19" s="190">
        <f t="shared" si="63"/>
        <v>737069637.27999997</v>
      </c>
      <c r="O19" s="190">
        <f t="shared" si="63"/>
        <v>540843725.72000003</v>
      </c>
      <c r="P19" s="190">
        <f t="shared" si="63"/>
        <v>355190020.75</v>
      </c>
      <c r="Q19" s="190">
        <f t="shared" si="63"/>
        <v>334880557.62</v>
      </c>
      <c r="R19" s="190">
        <f t="shared" si="63"/>
        <v>467451921.25</v>
      </c>
      <c r="S19" s="190">
        <f t="shared" si="63"/>
        <v>331691548.18000001</v>
      </c>
      <c r="T19" s="190">
        <f t="shared" si="63"/>
        <v>2845067474.8499999</v>
      </c>
      <c r="U19" s="190">
        <f t="shared" si="63"/>
        <v>2024794494.28</v>
      </c>
      <c r="V19" s="190">
        <f t="shared" si="63"/>
        <v>5405740026.2299995</v>
      </c>
      <c r="W19" s="190">
        <f t="shared" si="63"/>
        <v>3944662952.02</v>
      </c>
      <c r="X19" s="190">
        <f t="shared" si="63"/>
        <v>2527195939.4299998</v>
      </c>
      <c r="Y19" s="190">
        <f t="shared" si="63"/>
        <v>1124939088.24</v>
      </c>
      <c r="Z19" s="190">
        <f t="shared" si="63"/>
        <v>4211821807.9099998</v>
      </c>
      <c r="AA19" s="190">
        <f t="shared" si="63"/>
        <v>3041808991.9499998</v>
      </c>
      <c r="AB19" s="190">
        <f t="shared" si="63"/>
        <v>1701317277.73</v>
      </c>
      <c r="AC19" s="190">
        <f t="shared" si="63"/>
        <v>678815042.40999997</v>
      </c>
      <c r="AD19" s="190">
        <f t="shared" si="63"/>
        <v>2184486563.1100001</v>
      </c>
      <c r="AE19" s="190">
        <f t="shared" si="63"/>
        <v>1234265197.8399999</v>
      </c>
      <c r="AF19" s="190">
        <f t="shared" si="63"/>
        <v>747015064.26999998</v>
      </c>
      <c r="AG19" s="190">
        <f t="shared" si="63"/>
        <v>300651471.88</v>
      </c>
      <c r="AH19" s="190">
        <f t="shared" si="63"/>
        <v>1731913788.52</v>
      </c>
      <c r="AI19" s="190">
        <f t="shared" si="63"/>
        <v>1394221713.73</v>
      </c>
      <c r="AJ19" s="190">
        <f t="shared" si="63"/>
        <v>1079662311.3</v>
      </c>
      <c r="AK19" s="190">
        <f t="shared" si="63"/>
        <v>469037004.07999998</v>
      </c>
      <c r="AL19" s="190">
        <f t="shared" si="63"/>
        <v>1356601530.0899999</v>
      </c>
      <c r="AM19" s="190">
        <f t="shared" si="63"/>
        <v>1058500946.42</v>
      </c>
      <c r="AN19" s="190">
        <f t="shared" si="63"/>
        <v>689017762.13</v>
      </c>
      <c r="AO19" s="190">
        <f t="shared" si="63"/>
        <v>288879016.69</v>
      </c>
      <c r="AP19" s="190">
        <f t="shared" si="63"/>
        <v>1010685786.04</v>
      </c>
      <c r="AQ19" s="190">
        <f t="shared" si="63"/>
        <v>643819405.12</v>
      </c>
      <c r="AR19" s="190">
        <f t="shared" si="63"/>
        <v>409784280.75</v>
      </c>
      <c r="AS19" s="190">
        <f t="shared" si="63"/>
        <v>0</v>
      </c>
    </row>
    <row r="20" spans="1:74" s="190" customFormat="1">
      <c r="A20" s="190" t="s">
        <v>187</v>
      </c>
      <c r="B20" s="271">
        <v>41385234406.720001</v>
      </c>
      <c r="C20" s="271">
        <v>22153036084.130001</v>
      </c>
      <c r="D20" s="271">
        <v>37451249647.050003</v>
      </c>
      <c r="E20" s="271">
        <v>17436340141.720001</v>
      </c>
      <c r="F20" s="271">
        <v>12632522436.6</v>
      </c>
      <c r="G20" s="271">
        <v>12655024861.92</v>
      </c>
      <c r="H20" s="271">
        <v>11921310609.25</v>
      </c>
      <c r="I20" s="271">
        <v>10148564689.530001</v>
      </c>
      <c r="J20" s="271">
        <v>6201476519.5699997</v>
      </c>
      <c r="K20" s="271">
        <v>4223937144.1900001</v>
      </c>
      <c r="L20" s="271">
        <v>5247488535.7399998</v>
      </c>
      <c r="M20" s="271">
        <v>1743303211.3800001</v>
      </c>
      <c r="N20" s="271">
        <v>2105171033.6900001</v>
      </c>
      <c r="O20" s="271">
        <v>1693707488.3199999</v>
      </c>
      <c r="P20" s="271">
        <v>975784480.20000005</v>
      </c>
      <c r="Q20" s="271">
        <v>941706242.08000004</v>
      </c>
      <c r="R20" s="271">
        <v>434582378.66000003</v>
      </c>
      <c r="S20" s="271">
        <v>42283037.350000001</v>
      </c>
      <c r="T20" s="187">
        <v>4288743348.5</v>
      </c>
      <c r="U20" s="187">
        <v>173915705.72</v>
      </c>
      <c r="V20" s="187">
        <v>12655024861.92</v>
      </c>
      <c r="W20" s="187">
        <v>9245117959.3099995</v>
      </c>
      <c r="X20" s="187">
        <v>5215024506.9099998</v>
      </c>
      <c r="Y20" s="187">
        <v>790228914.26999998</v>
      </c>
      <c r="Z20" s="187">
        <v>11921310609.25</v>
      </c>
      <c r="AA20" s="187">
        <v>7561565324.8999996</v>
      </c>
      <c r="AB20" s="187">
        <v>4459709495.3299999</v>
      </c>
      <c r="AC20" s="187">
        <v>1339500999.5999999</v>
      </c>
      <c r="AD20" s="187">
        <v>10148564689.530001</v>
      </c>
      <c r="AE20" s="187">
        <v>9026937978.2999992</v>
      </c>
      <c r="AF20" s="187">
        <v>5327897835.0799999</v>
      </c>
      <c r="AG20" s="187">
        <v>3411131919.8499999</v>
      </c>
      <c r="AH20" s="187">
        <v>6201476519.5699997</v>
      </c>
      <c r="AI20" s="187">
        <v>3964406933.9299998</v>
      </c>
      <c r="AJ20" s="187">
        <v>1766383110.55</v>
      </c>
      <c r="AK20" s="187">
        <v>824771903.73000002</v>
      </c>
      <c r="AL20" s="187">
        <v>4223937144.1900001</v>
      </c>
      <c r="AM20" s="187">
        <v>2077542093.22</v>
      </c>
      <c r="AN20" s="187">
        <v>548187840.42999995</v>
      </c>
      <c r="AO20" s="187">
        <v>-130764695.25</v>
      </c>
      <c r="AP20" s="187">
        <v>5247488535.7399998</v>
      </c>
      <c r="AQ20" s="187">
        <v>3068605688.1700001</v>
      </c>
      <c r="AR20" s="187">
        <v>1495681406.98</v>
      </c>
      <c r="AS20" s="187">
        <v>992687155.95000005</v>
      </c>
      <c r="AT20" s="187">
        <v>1743303211.3800001</v>
      </c>
      <c r="AU20" s="187">
        <v>1548259234.8800001</v>
      </c>
      <c r="AV20" s="187">
        <v>685813057.54999995</v>
      </c>
      <c r="AW20" s="187">
        <v>380543066.07999998</v>
      </c>
      <c r="AX20" s="187">
        <v>2105171033.6900001</v>
      </c>
      <c r="AY20" s="187">
        <v>1490129273.8</v>
      </c>
      <c r="AZ20" s="187">
        <v>594871612.89999998</v>
      </c>
      <c r="BA20" s="187">
        <v>222204247.83000001</v>
      </c>
      <c r="BB20" s="187">
        <v>1693707488.3199999</v>
      </c>
      <c r="BC20" s="187">
        <v>883720092.28999996</v>
      </c>
      <c r="BD20" s="187">
        <v>436604511.29000002</v>
      </c>
      <c r="BE20" s="187">
        <v>242281053.09999999</v>
      </c>
      <c r="BF20" s="187">
        <v>975784480.20000005</v>
      </c>
      <c r="BG20" s="187">
        <v>372675167.5</v>
      </c>
      <c r="BH20" s="187">
        <v>-37984534.130000003</v>
      </c>
      <c r="BI20" s="187">
        <v>-181383371.87</v>
      </c>
      <c r="BJ20" s="187">
        <v>941706242.08000004</v>
      </c>
      <c r="BK20" s="187">
        <v>439378658.54000002</v>
      </c>
      <c r="BL20" s="187">
        <v>-33965937.280000001</v>
      </c>
      <c r="BM20" s="187">
        <v>9112186.6699999999</v>
      </c>
      <c r="BN20" s="187">
        <v>434582378.66000003</v>
      </c>
      <c r="BO20" s="187">
        <v>-180120845.05000001</v>
      </c>
      <c r="BP20" s="187">
        <v>42283037.350000001</v>
      </c>
      <c r="BQ20" s="187">
        <v>-86280877.689999998</v>
      </c>
      <c r="BR20" s="187">
        <v>443124645.68000001</v>
      </c>
      <c r="BS20" s="187">
        <v>0</v>
      </c>
      <c r="BT20" s="190">
        <v>436278873.26999998</v>
      </c>
      <c r="BU20" s="190">
        <v>359005459.04000002</v>
      </c>
      <c r="BV20" s="190">
        <v>0</v>
      </c>
    </row>
    <row r="21" spans="1:74" s="218" customFormat="1">
      <c r="A21" s="218" t="s">
        <v>551</v>
      </c>
      <c r="B21" s="218">
        <f t="shared" ref="B21:D21" si="64">B20/B19</f>
        <v>25.757105074468502</v>
      </c>
      <c r="C21" s="218">
        <f t="shared" si="64"/>
        <v>19.691574634773701</v>
      </c>
      <c r="D21" s="218">
        <f t="shared" si="64"/>
        <v>36.749840269244572</v>
      </c>
      <c r="E21" s="218">
        <f>E20/E19</f>
        <v>8.4943542672814765</v>
      </c>
      <c r="F21" s="218">
        <f t="shared" ref="F21:AS21" si="65">F20/F19</f>
        <v>2.8574949081304712</v>
      </c>
      <c r="G21" s="218">
        <f t="shared" si="65"/>
        <v>2.3410346780486413</v>
      </c>
      <c r="H21" s="218">
        <f t="shared" si="65"/>
        <v>2.8304404015528903</v>
      </c>
      <c r="I21" s="218">
        <f t="shared" si="65"/>
        <v>4.6457437005617175</v>
      </c>
      <c r="J21" s="218">
        <f t="shared" si="65"/>
        <v>3.5807074004933277</v>
      </c>
      <c r="K21" s="218">
        <f t="shared" si="65"/>
        <v>3.1136166740942528</v>
      </c>
      <c r="L21" s="218">
        <f t="shared" si="65"/>
        <v>5.1920078507291088</v>
      </c>
      <c r="M21" s="218">
        <f t="shared" si="65"/>
        <v>2.2568298243797806</v>
      </c>
      <c r="N21" s="218">
        <f t="shared" si="65"/>
        <v>2.8561358753817205</v>
      </c>
      <c r="O21" s="218">
        <f t="shared" si="65"/>
        <v>3.1316023608580208</v>
      </c>
      <c r="P21" s="218">
        <f t="shared" si="65"/>
        <v>2.7472181739216275</v>
      </c>
      <c r="Q21" s="218">
        <f t="shared" si="65"/>
        <v>2.8120660356418337</v>
      </c>
      <c r="R21" s="218">
        <f t="shared" si="65"/>
        <v>0.9296835864914097</v>
      </c>
      <c r="S21" s="218">
        <f t="shared" si="65"/>
        <v>0.12747698149683978</v>
      </c>
      <c r="T21" s="218">
        <f t="shared" si="65"/>
        <v>1.5074311545901438</v>
      </c>
      <c r="U21" s="218">
        <f t="shared" si="65"/>
        <v>8.5893015914112789E-2</v>
      </c>
      <c r="V21" s="218">
        <f t="shared" si="65"/>
        <v>2.3410346780486413</v>
      </c>
      <c r="W21" s="218">
        <f t="shared" si="65"/>
        <v>2.3437028896412353</v>
      </c>
      <c r="X21" s="218">
        <f t="shared" si="65"/>
        <v>2.0635616042047893</v>
      </c>
      <c r="Y21" s="218">
        <f t="shared" si="65"/>
        <v>0.70246373561997577</v>
      </c>
      <c r="Z21" s="218">
        <f t="shared" si="65"/>
        <v>2.8304404015528903</v>
      </c>
      <c r="AA21" s="218">
        <f t="shared" si="65"/>
        <v>2.4858777605402955</v>
      </c>
      <c r="AB21" s="218">
        <f t="shared" si="65"/>
        <v>2.6213273407064981</v>
      </c>
      <c r="AC21" s="218">
        <f t="shared" si="65"/>
        <v>1.973293041421657</v>
      </c>
      <c r="AD21" s="218">
        <f t="shared" si="65"/>
        <v>4.6457437005617175</v>
      </c>
      <c r="AE21" s="218">
        <f t="shared" si="65"/>
        <v>7.3136129853595513</v>
      </c>
      <c r="AF21" s="218">
        <f t="shared" si="65"/>
        <v>7.1322495220180633</v>
      </c>
      <c r="AG21" s="218">
        <f t="shared" si="65"/>
        <v>11.345801497394618</v>
      </c>
      <c r="AH21" s="218">
        <f t="shared" si="65"/>
        <v>3.5807074004933277</v>
      </c>
      <c r="AI21" s="218">
        <f t="shared" si="65"/>
        <v>2.8434551656234874</v>
      </c>
      <c r="AJ21" s="218">
        <f t="shared" si="65"/>
        <v>1.6360514691145727</v>
      </c>
      <c r="AK21" s="218">
        <f t="shared" si="65"/>
        <v>1.7584367471128677</v>
      </c>
      <c r="AL21" s="218">
        <f t="shared" si="65"/>
        <v>3.1136166740942528</v>
      </c>
      <c r="AM21" s="218">
        <f t="shared" si="65"/>
        <v>1.9627210540023998</v>
      </c>
      <c r="AN21" s="218">
        <f t="shared" si="65"/>
        <v>0.79560770499639299</v>
      </c>
      <c r="AO21" s="218">
        <f t="shared" si="65"/>
        <v>-0.4526624908527897</v>
      </c>
      <c r="AP21" s="218">
        <f t="shared" si="65"/>
        <v>5.1920078507291088</v>
      </c>
      <c r="AQ21" s="218">
        <f t="shared" si="65"/>
        <v>4.7662522498806164</v>
      </c>
      <c r="AR21" s="218">
        <f t="shared" si="65"/>
        <v>3.6499238190458581</v>
      </c>
      <c r="AS21" s="218" t="e">
        <f t="shared" si="65"/>
        <v>#DIV/0!</v>
      </c>
    </row>
    <row r="22" spans="1:74" s="190" customFormat="1">
      <c r="A22" s="190" t="s">
        <v>188</v>
      </c>
      <c r="B22" s="190">
        <f t="shared" ref="B22:D22" si="66">F35</f>
        <v>27855320602.540001</v>
      </c>
      <c r="C22" s="190">
        <f t="shared" si="66"/>
        <v>25423608478.91</v>
      </c>
      <c r="D22" s="190">
        <f t="shared" si="66"/>
        <v>22376612663.389999</v>
      </c>
      <c r="E22" s="190">
        <f>I35</f>
        <v>18539872922.09</v>
      </c>
      <c r="F22" s="190">
        <f t="shared" ref="F22:Y22" si="67">J35</f>
        <v>12991122314.630001</v>
      </c>
      <c r="G22" s="190">
        <f t="shared" si="67"/>
        <v>9755064755.2399998</v>
      </c>
      <c r="H22" s="190">
        <f t="shared" si="67"/>
        <v>8138505441.1599998</v>
      </c>
      <c r="I22" s="190">
        <f t="shared" si="67"/>
        <v>4784290700.0200005</v>
      </c>
      <c r="J22" s="190">
        <f t="shared" si="67"/>
        <v>4505867488.6400003</v>
      </c>
      <c r="K22" s="190">
        <f t="shared" si="67"/>
        <v>3891989433.5300002</v>
      </c>
      <c r="L22" s="190">
        <f t="shared" si="67"/>
        <v>2898327418.8499999</v>
      </c>
      <c r="M22" s="190">
        <f t="shared" si="67"/>
        <v>2340047386.8499999</v>
      </c>
      <c r="N22" s="190">
        <f t="shared" si="67"/>
        <v>1780307690.6400001</v>
      </c>
      <c r="O22" s="190">
        <f t="shared" si="67"/>
        <v>1956436570.0999999</v>
      </c>
      <c r="P22" s="190">
        <f t="shared" si="67"/>
        <v>0</v>
      </c>
      <c r="Q22" s="190">
        <f t="shared" si="67"/>
        <v>0</v>
      </c>
      <c r="R22" s="190">
        <f t="shared" si="67"/>
        <v>0</v>
      </c>
      <c r="S22" s="190">
        <f t="shared" si="67"/>
        <v>0</v>
      </c>
      <c r="T22" s="190">
        <f t="shared" si="67"/>
        <v>0</v>
      </c>
      <c r="U22" s="190">
        <f t="shared" si="67"/>
        <v>0</v>
      </c>
      <c r="V22" s="190">
        <f t="shared" si="67"/>
        <v>0</v>
      </c>
      <c r="W22" s="190">
        <f t="shared" si="67"/>
        <v>0</v>
      </c>
      <c r="X22" s="190">
        <f t="shared" si="67"/>
        <v>0</v>
      </c>
      <c r="Y22" s="190">
        <f t="shared" si="67"/>
        <v>0</v>
      </c>
      <c r="Z22" s="190">
        <f t="shared" ref="Z22" si="68">AD35</f>
        <v>0</v>
      </c>
      <c r="AA22" s="190">
        <f t="shared" ref="AA22" si="69">AE35</f>
        <v>0</v>
      </c>
      <c r="AB22" s="190">
        <f t="shared" ref="AB22" si="70">AF35</f>
        <v>0</v>
      </c>
      <c r="AC22" s="190">
        <f t="shared" ref="AC22" si="71">AG35</f>
        <v>0</v>
      </c>
      <c r="AD22" s="190">
        <f t="shared" ref="AD22" si="72">AH35</f>
        <v>0</v>
      </c>
      <c r="AE22" s="190">
        <f t="shared" ref="AE22" si="73">AI35</f>
        <v>0</v>
      </c>
      <c r="AF22" s="190">
        <f t="shared" ref="AF22" si="74">AJ35</f>
        <v>0</v>
      </c>
      <c r="AG22" s="190">
        <f t="shared" ref="AG22" si="75">AK35</f>
        <v>0</v>
      </c>
      <c r="AH22" s="190">
        <f t="shared" ref="AH22" si="76">AL35</f>
        <v>0</v>
      </c>
      <c r="AI22" s="190">
        <f t="shared" ref="AI22" si="77">AM35</f>
        <v>0</v>
      </c>
      <c r="AJ22" s="190">
        <f t="shared" ref="AJ22" si="78">AN35</f>
        <v>0</v>
      </c>
      <c r="AK22" s="190">
        <f t="shared" ref="AK22" si="79">AO35</f>
        <v>0</v>
      </c>
      <c r="AL22" s="190">
        <f t="shared" ref="AL22" si="80">AP35</f>
        <v>0</v>
      </c>
      <c r="AM22" s="190">
        <f t="shared" ref="AM22" si="81">AQ35</f>
        <v>0</v>
      </c>
      <c r="AN22" s="190">
        <f t="shared" ref="AN22" si="82">AR35</f>
        <v>0</v>
      </c>
      <c r="AO22" s="190">
        <f t="shared" ref="AO22" si="83">AS35</f>
        <v>0</v>
      </c>
      <c r="AP22" s="190">
        <f t="shared" ref="AP22" si="84">AT35</f>
        <v>0</v>
      </c>
      <c r="AQ22" s="190">
        <f t="shared" ref="AQ22" si="85">AU35</f>
        <v>0</v>
      </c>
      <c r="AR22" s="190">
        <f t="shared" ref="AR22" si="86">AV35</f>
        <v>0</v>
      </c>
      <c r="AS22" s="190">
        <f t="shared" ref="AS22" si="87">AW35</f>
        <v>0</v>
      </c>
    </row>
    <row r="23" spans="1:74" s="190" customFormat="1">
      <c r="A23" s="190" t="s">
        <v>189</v>
      </c>
      <c r="B23" s="190">
        <f t="shared" ref="B23:D23" si="88">B20+B22-B19</f>
        <v>67633804782.980011</v>
      </c>
      <c r="C23" s="190">
        <f t="shared" si="88"/>
        <v>46451643820.590004</v>
      </c>
      <c r="D23" s="190">
        <f t="shared" si="88"/>
        <v>58808776258.020004</v>
      </c>
      <c r="E23" s="190">
        <f>E20+E22-E19</f>
        <v>33923515519.879997</v>
      </c>
      <c r="F23" s="190">
        <f t="shared" ref="F23:AS23" si="89">F20+F22-F19</f>
        <v>21202806624.570004</v>
      </c>
      <c r="G23" s="190">
        <f t="shared" si="89"/>
        <v>17004349590.93</v>
      </c>
      <c r="H23" s="190">
        <f t="shared" si="89"/>
        <v>15847994242.5</v>
      </c>
      <c r="I23" s="190">
        <f t="shared" si="89"/>
        <v>12748368826.440001</v>
      </c>
      <c r="J23" s="190">
        <f t="shared" si="89"/>
        <v>8975430219.6899986</v>
      </c>
      <c r="K23" s="190">
        <f t="shared" si="89"/>
        <v>6759325047.6300001</v>
      </c>
      <c r="L23" s="190">
        <f t="shared" si="89"/>
        <v>7135130168.5500002</v>
      </c>
      <c r="M23" s="190">
        <f t="shared" si="89"/>
        <v>3310893945.7399998</v>
      </c>
      <c r="N23" s="190">
        <f t="shared" si="89"/>
        <v>3148409087.0500002</v>
      </c>
      <c r="O23" s="190">
        <f t="shared" si="89"/>
        <v>3109300332.6999998</v>
      </c>
      <c r="P23" s="190">
        <f t="shared" si="89"/>
        <v>620594459.45000005</v>
      </c>
      <c r="Q23" s="190">
        <f t="shared" si="89"/>
        <v>606825684.46000004</v>
      </c>
      <c r="R23" s="190">
        <f t="shared" si="89"/>
        <v>-32869542.589999974</v>
      </c>
      <c r="S23" s="190">
        <f t="shared" si="89"/>
        <v>-289408510.82999998</v>
      </c>
      <c r="T23" s="190">
        <f t="shared" si="89"/>
        <v>1443675873.6500001</v>
      </c>
      <c r="U23" s="190">
        <f t="shared" si="89"/>
        <v>-1850878788.5599999</v>
      </c>
      <c r="V23" s="190">
        <f t="shared" si="89"/>
        <v>7249284835.6900005</v>
      </c>
      <c r="W23" s="190">
        <f t="shared" si="89"/>
        <v>5300455007.289999</v>
      </c>
      <c r="X23" s="190">
        <f t="shared" si="89"/>
        <v>2687828567.48</v>
      </c>
      <c r="Y23" s="190">
        <f t="shared" si="89"/>
        <v>-334710173.97000003</v>
      </c>
      <c r="Z23" s="190">
        <f t="shared" si="89"/>
        <v>7709488801.3400002</v>
      </c>
      <c r="AA23" s="190">
        <f t="shared" si="89"/>
        <v>4519756332.9499998</v>
      </c>
      <c r="AB23" s="190">
        <f t="shared" si="89"/>
        <v>2758392217.5999999</v>
      </c>
      <c r="AC23" s="190">
        <f t="shared" si="89"/>
        <v>660685957.18999994</v>
      </c>
      <c r="AD23" s="190">
        <f t="shared" si="89"/>
        <v>7964078126.4200001</v>
      </c>
      <c r="AE23" s="190">
        <f t="shared" si="89"/>
        <v>7792672780.4599991</v>
      </c>
      <c r="AF23" s="190">
        <f t="shared" si="89"/>
        <v>4580882770.8099995</v>
      </c>
      <c r="AG23" s="190">
        <f t="shared" si="89"/>
        <v>3110480447.9699998</v>
      </c>
      <c r="AH23" s="190">
        <f t="shared" si="89"/>
        <v>4469562731.0499992</v>
      </c>
      <c r="AI23" s="190">
        <f t="shared" si="89"/>
        <v>2570185220.1999998</v>
      </c>
      <c r="AJ23" s="190">
        <f t="shared" si="89"/>
        <v>686720799.25</v>
      </c>
      <c r="AK23" s="190">
        <f t="shared" si="89"/>
        <v>355734899.65000004</v>
      </c>
      <c r="AL23" s="190">
        <f t="shared" si="89"/>
        <v>2867335614.1000004</v>
      </c>
      <c r="AM23" s="190">
        <f t="shared" si="89"/>
        <v>1019041146.8000001</v>
      </c>
      <c r="AN23" s="190">
        <f t="shared" si="89"/>
        <v>-140829921.70000005</v>
      </c>
      <c r="AO23" s="190">
        <f t="shared" si="89"/>
        <v>-419643711.94</v>
      </c>
      <c r="AP23" s="190">
        <f t="shared" si="89"/>
        <v>4236802749.6999998</v>
      </c>
      <c r="AQ23" s="190">
        <f t="shared" si="89"/>
        <v>2424786283.0500002</v>
      </c>
      <c r="AR23" s="190">
        <f t="shared" si="89"/>
        <v>1085897126.23</v>
      </c>
      <c r="AS23" s="190">
        <f t="shared" si="89"/>
        <v>992687155.95000005</v>
      </c>
    </row>
    <row r="24" spans="1:74" s="218" customFormat="1">
      <c r="A24" s="218" t="s">
        <v>190</v>
      </c>
      <c r="B24" s="271">
        <v>-16441093160.059999</v>
      </c>
      <c r="C24" s="271">
        <v>-8899177880.7999992</v>
      </c>
      <c r="D24" s="271">
        <v>-8334512252.2299995</v>
      </c>
      <c r="E24" s="271">
        <v>-5588019638.6099997</v>
      </c>
      <c r="F24" s="271">
        <v>-5041426729.3299999</v>
      </c>
      <c r="G24" s="271">
        <v>-7385971074.4700003</v>
      </c>
      <c r="H24" s="271">
        <v>-3914524622.8499999</v>
      </c>
      <c r="I24" s="271">
        <v>-2661850366.8699999</v>
      </c>
      <c r="J24" s="271">
        <v>-1292845230.8</v>
      </c>
      <c r="K24" s="271">
        <v>-1234985747.28</v>
      </c>
      <c r="L24" s="271">
        <v>-883910258.55999994</v>
      </c>
      <c r="M24" s="271">
        <v>-705361407.20000005</v>
      </c>
      <c r="N24" s="271">
        <v>-755992791.29999995</v>
      </c>
      <c r="O24" s="271">
        <v>-159201747.91999999</v>
      </c>
      <c r="P24" s="271">
        <v>-62314427.450000003</v>
      </c>
      <c r="Q24" s="271">
        <v>-47085988.25</v>
      </c>
      <c r="R24" s="271">
        <v>-139259336.87</v>
      </c>
      <c r="S24" s="271">
        <v>1784861497.47</v>
      </c>
      <c r="T24" s="187">
        <v>-5105391867.6199999</v>
      </c>
      <c r="U24" s="187">
        <v>0</v>
      </c>
      <c r="V24" s="187">
        <v>-7385971074.4700003</v>
      </c>
      <c r="W24" s="187">
        <v>-7344303718.8999996</v>
      </c>
      <c r="X24" s="187">
        <v>-6790393654.46</v>
      </c>
      <c r="Y24" s="187">
        <v>-98380859.950000003</v>
      </c>
      <c r="Z24" s="187">
        <v>-3914524622.8499999</v>
      </c>
      <c r="AA24" s="187">
        <v>-4110858633.6399999</v>
      </c>
      <c r="AB24" s="187">
        <v>-55171122.340000004</v>
      </c>
      <c r="AC24" s="187">
        <v>-52942881.479999997</v>
      </c>
      <c r="AD24" s="187">
        <v>-2661850366.8699999</v>
      </c>
      <c r="AE24" s="187">
        <v>-2429434494.6599998</v>
      </c>
      <c r="AF24" s="187">
        <v>-220195976.41</v>
      </c>
      <c r="AG24" s="187">
        <v>25385.15</v>
      </c>
      <c r="AH24" s="187">
        <v>-1292845230.8</v>
      </c>
      <c r="AI24" s="187">
        <v>-1254440727.04</v>
      </c>
      <c r="AJ24" s="187">
        <v>-139400387.33000001</v>
      </c>
      <c r="AK24" s="187">
        <v>-137180771.31999999</v>
      </c>
      <c r="AL24" s="187">
        <v>-1234985747.28</v>
      </c>
      <c r="AM24" s="187">
        <v>-1234562872.4200001</v>
      </c>
      <c r="AN24" s="187">
        <v>-174163995.50999999</v>
      </c>
      <c r="AO24" s="187">
        <v>-1757047.92</v>
      </c>
      <c r="AP24" s="187">
        <v>-883910258.55999994</v>
      </c>
      <c r="AQ24" s="187">
        <v>-768599888.52999997</v>
      </c>
      <c r="AR24" s="187">
        <v>-765854695.45000005</v>
      </c>
      <c r="AS24" s="187">
        <v>593163.85</v>
      </c>
      <c r="AT24" s="187">
        <v>-705361407.20000005</v>
      </c>
      <c r="AU24" s="187">
        <v>-706511053.74000001</v>
      </c>
      <c r="AV24" s="187">
        <v>-666067.11</v>
      </c>
      <c r="AW24" s="187">
        <v>380084.65</v>
      </c>
      <c r="AX24" s="187">
        <v>-755992791.29999995</v>
      </c>
      <c r="AY24" s="187">
        <v>-753897232.23000002</v>
      </c>
      <c r="AZ24" s="187">
        <v>-755816503.44000006</v>
      </c>
      <c r="BA24" s="187">
        <v>-33670958.609999999</v>
      </c>
      <c r="BB24" s="187">
        <v>-159201747.91999999</v>
      </c>
      <c r="BC24" s="187">
        <v>-176408943</v>
      </c>
      <c r="BD24" s="187">
        <v>-27037107.960000001</v>
      </c>
      <c r="BE24" s="187">
        <v>-13693935.66</v>
      </c>
      <c r="BF24" s="187">
        <v>-62314427.450000003</v>
      </c>
      <c r="BG24" s="187">
        <v>-65242641.060000002</v>
      </c>
      <c r="BH24" s="187">
        <v>9054041.3900000006</v>
      </c>
      <c r="BI24" s="187">
        <v>5959082.6799999997</v>
      </c>
      <c r="BJ24" s="187">
        <v>-47085988.25</v>
      </c>
      <c r="BK24" s="187">
        <v>-51029499.060000002</v>
      </c>
      <c r="BL24" s="187">
        <v>-8858203.8399999999</v>
      </c>
      <c r="BM24" s="187">
        <v>2188358.4300000002</v>
      </c>
      <c r="BN24" s="187">
        <v>-139259336.87</v>
      </c>
      <c r="BO24" s="187">
        <v>2240036.12</v>
      </c>
      <c r="BP24" s="187">
        <v>1784861497.47</v>
      </c>
      <c r="BQ24" s="187">
        <v>-37060123.060000002</v>
      </c>
      <c r="BR24" s="187">
        <v>-146707692.88</v>
      </c>
      <c r="BS24" s="187">
        <v>0</v>
      </c>
      <c r="BT24" s="190">
        <v>-237866348.78</v>
      </c>
      <c r="BU24" s="190">
        <v>1108113819.7</v>
      </c>
      <c r="BV24" s="190">
        <v>0</v>
      </c>
    </row>
    <row r="25" spans="1:74" s="236" customFormat="1" ht="138.6" customHeight="1">
      <c r="A25" s="272" t="s">
        <v>627</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c r="A26" s="17" t="s">
        <v>515</v>
      </c>
      <c r="E26" s="26">
        <f>现金流量表!E15</f>
        <v>60050000</v>
      </c>
      <c r="F26" s="26">
        <f>现金流量表!F15</f>
        <v>5000000</v>
      </c>
      <c r="G26" s="26">
        <f>现金流量表!G15</f>
        <v>0</v>
      </c>
      <c r="H26" s="26">
        <f>现金流量表!H15</f>
        <v>10000000</v>
      </c>
      <c r="I26" s="26">
        <f>现金流量表!I15</f>
        <v>0</v>
      </c>
      <c r="J26" s="26">
        <f>现金流量表!J15</f>
        <v>17000000</v>
      </c>
      <c r="K26" s="26">
        <f>现金流量表!K15</f>
        <v>25000000</v>
      </c>
      <c r="L26" s="26">
        <f>现金流量表!L15</f>
        <v>21000000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516</v>
      </c>
      <c r="E27" s="26">
        <f>现金流量表!E22</f>
        <v>25050000</v>
      </c>
      <c r="F27" s="26">
        <f>现金流量表!F22</f>
        <v>15000000</v>
      </c>
      <c r="G27" s="26">
        <f>现金流量表!G22</f>
        <v>0</v>
      </c>
      <c r="H27" s="26">
        <f>现金流量表!H22</f>
        <v>0</v>
      </c>
      <c r="I27" s="26">
        <f>现金流量表!I22</f>
        <v>0</v>
      </c>
      <c r="J27" s="26">
        <f>现金流量表!J22</f>
        <v>50000000</v>
      </c>
      <c r="K27" s="26">
        <f>现金流量表!K22</f>
        <v>10000000</v>
      </c>
      <c r="L27" s="26">
        <f>现金流量表!L22</f>
        <v>5000000</v>
      </c>
      <c r="M27" s="26">
        <f>现金流量表!M22</f>
        <v>17000000</v>
      </c>
      <c r="N27" s="26">
        <f>现金流量表!N22</f>
        <v>41000000</v>
      </c>
      <c r="O27" s="26">
        <f>现金流量表!O22</f>
        <v>0</v>
      </c>
      <c r="P27" s="26">
        <f>现金流量表!P22</f>
        <v>0</v>
      </c>
      <c r="Q27" s="26">
        <f>现金流量表!Q22</f>
        <v>0</v>
      </c>
      <c r="R27" s="26">
        <f>现金流量表!R22</f>
        <v>4000000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517</v>
      </c>
      <c r="E28" s="26">
        <f>E27-E26</f>
        <v>-35000000</v>
      </c>
      <c r="F28" s="26">
        <f t="shared" ref="F28:BQ28" si="90">F27-F26</f>
        <v>10000000</v>
      </c>
      <c r="G28" s="26">
        <f t="shared" si="90"/>
        <v>0</v>
      </c>
      <c r="H28" s="26">
        <f t="shared" si="90"/>
        <v>-10000000</v>
      </c>
      <c r="I28" s="26">
        <f t="shared" si="90"/>
        <v>0</v>
      </c>
      <c r="J28" s="26">
        <f t="shared" si="90"/>
        <v>33000000</v>
      </c>
      <c r="K28" s="26">
        <f t="shared" si="90"/>
        <v>-15000000</v>
      </c>
      <c r="L28" s="26">
        <f t="shared" si="90"/>
        <v>-16000000</v>
      </c>
      <c r="M28" s="26">
        <f t="shared" si="90"/>
        <v>17000000</v>
      </c>
      <c r="N28" s="26">
        <f t="shared" si="90"/>
        <v>41000000</v>
      </c>
      <c r="O28" s="26">
        <f t="shared" si="90"/>
        <v>0</v>
      </c>
      <c r="P28" s="26">
        <f t="shared" si="90"/>
        <v>0</v>
      </c>
      <c r="Q28" s="26">
        <f t="shared" si="90"/>
        <v>0</v>
      </c>
      <c r="R28" s="26">
        <f t="shared" si="90"/>
        <v>4000000</v>
      </c>
      <c r="S28" s="26">
        <f t="shared" si="90"/>
        <v>0</v>
      </c>
      <c r="T28" s="26">
        <f t="shared" si="90"/>
        <v>0</v>
      </c>
      <c r="U28" s="26">
        <f t="shared" si="90"/>
        <v>0</v>
      </c>
      <c r="V28" s="26">
        <f t="shared" si="90"/>
        <v>0</v>
      </c>
      <c r="W28" s="26">
        <f t="shared" si="90"/>
        <v>0</v>
      </c>
      <c r="X28" s="26">
        <f t="shared" si="90"/>
        <v>0</v>
      </c>
      <c r="Y28" s="26">
        <f t="shared" si="90"/>
        <v>0</v>
      </c>
      <c r="Z28" s="26">
        <f t="shared" si="90"/>
        <v>0</v>
      </c>
      <c r="AA28" s="26">
        <f t="shared" si="90"/>
        <v>0</v>
      </c>
      <c r="AB28" s="26">
        <f t="shared" si="90"/>
        <v>0</v>
      </c>
      <c r="AC28" s="26">
        <f t="shared" si="90"/>
        <v>0</v>
      </c>
      <c r="AD28" s="26">
        <f t="shared" si="90"/>
        <v>0</v>
      </c>
      <c r="AE28" s="26">
        <f t="shared" si="90"/>
        <v>0</v>
      </c>
      <c r="AF28" s="26">
        <f t="shared" si="90"/>
        <v>0</v>
      </c>
      <c r="AG28" s="26">
        <f t="shared" si="90"/>
        <v>0</v>
      </c>
      <c r="AH28" s="26">
        <f t="shared" si="90"/>
        <v>0</v>
      </c>
      <c r="AI28" s="26">
        <f t="shared" si="90"/>
        <v>0</v>
      </c>
      <c r="AJ28" s="26">
        <f t="shared" si="90"/>
        <v>0</v>
      </c>
      <c r="AK28" s="26">
        <f t="shared" si="90"/>
        <v>0</v>
      </c>
      <c r="AL28" s="26">
        <f t="shared" si="90"/>
        <v>0</v>
      </c>
      <c r="AM28" s="26">
        <f t="shared" si="90"/>
        <v>0</v>
      </c>
      <c r="AN28" s="26">
        <f t="shared" si="90"/>
        <v>0</v>
      </c>
      <c r="AO28" s="26">
        <f t="shared" si="90"/>
        <v>0</v>
      </c>
      <c r="AP28" s="26">
        <f t="shared" si="90"/>
        <v>0</v>
      </c>
      <c r="AQ28" s="26">
        <f t="shared" si="90"/>
        <v>0</v>
      </c>
      <c r="AR28" s="26">
        <f t="shared" si="90"/>
        <v>0</v>
      </c>
      <c r="AS28" s="26">
        <f t="shared" si="90"/>
        <v>0</v>
      </c>
      <c r="AT28" s="26">
        <f t="shared" si="90"/>
        <v>0</v>
      </c>
      <c r="AU28" s="26">
        <f t="shared" si="90"/>
        <v>0</v>
      </c>
      <c r="AV28" s="26">
        <f t="shared" si="90"/>
        <v>0</v>
      </c>
      <c r="AW28" s="26">
        <f t="shared" si="90"/>
        <v>0</v>
      </c>
      <c r="AX28" s="26">
        <f t="shared" si="90"/>
        <v>0</v>
      </c>
      <c r="AY28" s="26">
        <f t="shared" si="90"/>
        <v>0</v>
      </c>
      <c r="AZ28" s="26">
        <f t="shared" si="90"/>
        <v>0</v>
      </c>
      <c r="BA28" s="26">
        <f t="shared" si="90"/>
        <v>0</v>
      </c>
      <c r="BB28" s="26">
        <f t="shared" si="90"/>
        <v>0</v>
      </c>
      <c r="BC28" s="26">
        <f t="shared" si="90"/>
        <v>0</v>
      </c>
      <c r="BD28" s="26">
        <f t="shared" si="90"/>
        <v>0</v>
      </c>
      <c r="BE28" s="26">
        <f t="shared" si="90"/>
        <v>0</v>
      </c>
      <c r="BF28" s="26">
        <f t="shared" si="90"/>
        <v>0</v>
      </c>
      <c r="BG28" s="26">
        <f t="shared" si="90"/>
        <v>0</v>
      </c>
      <c r="BH28" s="26">
        <f t="shared" si="90"/>
        <v>0</v>
      </c>
      <c r="BI28" s="26">
        <f t="shared" si="90"/>
        <v>0</v>
      </c>
      <c r="BJ28" s="26">
        <f t="shared" si="90"/>
        <v>0</v>
      </c>
      <c r="BK28" s="26">
        <f t="shared" si="90"/>
        <v>0</v>
      </c>
      <c r="BL28" s="26">
        <f t="shared" si="90"/>
        <v>0</v>
      </c>
      <c r="BM28" s="26">
        <f t="shared" si="90"/>
        <v>0</v>
      </c>
      <c r="BN28" s="26">
        <f t="shared" si="90"/>
        <v>0</v>
      </c>
      <c r="BO28" s="26">
        <f t="shared" si="90"/>
        <v>0</v>
      </c>
      <c r="BP28" s="26">
        <f t="shared" si="90"/>
        <v>0</v>
      </c>
      <c r="BQ28" s="26">
        <f t="shared" si="90"/>
        <v>0</v>
      </c>
      <c r="BR28" s="26">
        <f t="shared" ref="BR28:BV28" si="91">BR27-BR26</f>
        <v>0</v>
      </c>
      <c r="BS28" s="26">
        <f t="shared" si="91"/>
        <v>0</v>
      </c>
      <c r="BT28" s="26">
        <f t="shared" si="91"/>
        <v>0</v>
      </c>
      <c r="BU28" s="26">
        <f t="shared" si="91"/>
        <v>0</v>
      </c>
      <c r="BV28" s="26">
        <f t="shared" si="91"/>
        <v>0</v>
      </c>
    </row>
    <row r="29" spans="1:74" s="26" customFormat="1" ht="16.149999999999999" customHeight="1">
      <c r="A29" s="179" t="s">
        <v>518</v>
      </c>
      <c r="E29" s="180" t="e">
        <f>POWER(E28/U28,1/5)-1</f>
        <v>#DIV/0!</v>
      </c>
    </row>
    <row r="30" spans="1:74" s="30" customFormat="1" ht="15" customHeight="1" thickBot="1">
      <c r="A30" s="136" t="s">
        <v>202</v>
      </c>
      <c r="B30" s="271" t="s">
        <v>638</v>
      </c>
      <c r="C30" s="271" t="s">
        <v>639</v>
      </c>
      <c r="D30" s="271" t="s">
        <v>640</v>
      </c>
      <c r="E30" s="271" t="s">
        <v>641</v>
      </c>
      <c r="F30" s="271" t="s">
        <v>642</v>
      </c>
      <c r="G30" s="271" t="s">
        <v>643</v>
      </c>
      <c r="H30" s="271" t="s">
        <v>644</v>
      </c>
      <c r="I30" s="271" t="s">
        <v>645</v>
      </c>
      <c r="J30" s="271" t="s">
        <v>646</v>
      </c>
      <c r="K30" s="271" t="s">
        <v>647</v>
      </c>
      <c r="L30" s="271" t="s">
        <v>648</v>
      </c>
      <c r="M30" s="271" t="s">
        <v>649</v>
      </c>
      <c r="N30" s="271" t="s">
        <v>650</v>
      </c>
      <c r="O30" s="271" t="s">
        <v>651</v>
      </c>
      <c r="P30" s="271" t="s">
        <v>652</v>
      </c>
      <c r="Q30" s="271" t="s">
        <v>653</v>
      </c>
      <c r="R30" s="271" t="s">
        <v>654</v>
      </c>
      <c r="S30" s="271" t="s">
        <v>655</v>
      </c>
      <c r="T30" s="1">
        <v>41820</v>
      </c>
      <c r="U30" s="1">
        <v>41729</v>
      </c>
      <c r="V30" s="1">
        <v>41639</v>
      </c>
      <c r="W30" s="1">
        <v>41547</v>
      </c>
      <c r="X30" s="1">
        <v>41455</v>
      </c>
      <c r="Y30" s="1">
        <v>41364</v>
      </c>
      <c r="Z30" s="1">
        <v>41274</v>
      </c>
      <c r="AA30" s="1">
        <v>41182</v>
      </c>
      <c r="AB30" s="1">
        <v>41090</v>
      </c>
      <c r="AC30" s="1">
        <v>40999</v>
      </c>
      <c r="AD30" s="1">
        <v>40908</v>
      </c>
      <c r="AE30" s="1">
        <v>40816</v>
      </c>
      <c r="AF30" s="1">
        <v>40724</v>
      </c>
      <c r="AG30" s="1">
        <v>40633</v>
      </c>
      <c r="AH30" s="1">
        <v>40543</v>
      </c>
      <c r="AI30" s="1">
        <v>40451</v>
      </c>
      <c r="AJ30" s="1">
        <v>40359</v>
      </c>
      <c r="AK30" s="1">
        <v>40268</v>
      </c>
      <c r="AL30" s="1">
        <v>40178</v>
      </c>
      <c r="AM30" s="1">
        <v>40086</v>
      </c>
      <c r="AN30" s="1">
        <v>39994</v>
      </c>
      <c r="AO30" s="1">
        <v>39903</v>
      </c>
      <c r="AP30" s="1">
        <v>39813</v>
      </c>
      <c r="AQ30" s="1">
        <v>39721</v>
      </c>
      <c r="AR30" s="1">
        <v>39629</v>
      </c>
      <c r="AS30" s="1">
        <v>39538</v>
      </c>
      <c r="AT30" s="1">
        <v>39447</v>
      </c>
      <c r="AU30" s="1">
        <v>39355</v>
      </c>
      <c r="AV30" s="1">
        <v>39263</v>
      </c>
      <c r="AW30" s="1">
        <v>39172</v>
      </c>
      <c r="AX30" s="1">
        <v>39082</v>
      </c>
      <c r="AY30" s="1">
        <v>38990</v>
      </c>
      <c r="AZ30" s="1">
        <v>38898</v>
      </c>
      <c r="BA30" s="1">
        <v>38807</v>
      </c>
      <c r="BB30" s="1">
        <v>38717</v>
      </c>
      <c r="BC30" s="1">
        <v>38625</v>
      </c>
      <c r="BD30" s="1">
        <v>38533</v>
      </c>
      <c r="BE30" s="1">
        <v>38442</v>
      </c>
      <c r="BF30" s="1">
        <v>38352</v>
      </c>
      <c r="BG30" s="1">
        <v>38260</v>
      </c>
      <c r="BH30" s="1">
        <v>38168</v>
      </c>
      <c r="BI30" s="1">
        <v>38077</v>
      </c>
      <c r="BJ30" s="1">
        <v>37986</v>
      </c>
      <c r="BK30" s="1">
        <v>37894</v>
      </c>
      <c r="BL30" s="1">
        <v>37802</v>
      </c>
      <c r="BM30" s="1">
        <v>37711</v>
      </c>
      <c r="BN30" s="1">
        <v>37621</v>
      </c>
      <c r="BO30" s="1">
        <v>37437</v>
      </c>
      <c r="BP30" s="1">
        <v>37256</v>
      </c>
      <c r="BQ30" s="1">
        <v>37072</v>
      </c>
      <c r="BR30" s="1">
        <v>36891</v>
      </c>
      <c r="BS30" s="1">
        <v>25569</v>
      </c>
      <c r="BT30" s="1">
        <v>36341</v>
      </c>
      <c r="BU30" s="1">
        <v>36160</v>
      </c>
      <c r="BV30" s="1">
        <v>25569</v>
      </c>
    </row>
    <row r="31" spans="1:74" s="51" customFormat="1" ht="17.45" customHeight="1">
      <c r="A31" s="175" t="s">
        <v>197</v>
      </c>
      <c r="B31" s="271">
        <v>21984839428.439999</v>
      </c>
      <c r="C31" s="271">
        <v>22360930913.48</v>
      </c>
      <c r="D31" s="271">
        <v>22753989474.84</v>
      </c>
      <c r="E31" s="271">
        <v>21296949399.18</v>
      </c>
      <c r="F31" s="271">
        <v>18302236150.310001</v>
      </c>
      <c r="G31" s="271">
        <v>13522567242.82</v>
      </c>
      <c r="H31" s="271">
        <v>8773132339.5799999</v>
      </c>
      <c r="I31" s="271">
        <v>7071236794.9799995</v>
      </c>
      <c r="J31" s="271">
        <v>5287295112.3800001</v>
      </c>
      <c r="K31" s="271">
        <v>4114037784.3299999</v>
      </c>
      <c r="L31" s="271">
        <v>3513436953.5100002</v>
      </c>
      <c r="M31" s="271">
        <v>3209968937.0300002</v>
      </c>
      <c r="N31" s="271">
        <v>2638340763.6999998</v>
      </c>
      <c r="O31" s="271">
        <v>2038076176.98</v>
      </c>
      <c r="P31" s="271">
        <v>1601014475.77</v>
      </c>
      <c r="Q31" s="271">
        <v>1200336776.9300001</v>
      </c>
      <c r="R31" s="271">
        <v>939648707.25</v>
      </c>
      <c r="S31" s="271">
        <v>0</v>
      </c>
      <c r="T31" s="187">
        <v>16579774564.629999</v>
      </c>
      <c r="U31" s="187">
        <v>15583608259.01</v>
      </c>
      <c r="V31" s="187">
        <v>13522567242.82</v>
      </c>
      <c r="W31" s="187">
        <v>9433590713.1000004</v>
      </c>
      <c r="X31" s="187">
        <v>8937733311.7900009</v>
      </c>
      <c r="Y31" s="187">
        <v>9046122215.5200005</v>
      </c>
      <c r="Z31" s="187">
        <v>8773132339.5799999</v>
      </c>
      <c r="AA31" s="187">
        <v>7348983711.5200005</v>
      </c>
      <c r="AB31" s="187">
        <v>7287172510.8199997</v>
      </c>
      <c r="AC31" s="187">
        <v>7174957543.2700005</v>
      </c>
      <c r="AD31" s="187">
        <v>7071236794.9799995</v>
      </c>
      <c r="AE31" s="187">
        <v>5907593182.6300001</v>
      </c>
      <c r="AF31" s="187">
        <v>5450664776.8999996</v>
      </c>
      <c r="AG31" s="187">
        <v>5404910754.6800003</v>
      </c>
      <c r="AH31" s="187">
        <v>5287295112.3800001</v>
      </c>
      <c r="AI31" s="187">
        <v>4854322092.2399998</v>
      </c>
      <c r="AJ31" s="187">
        <v>4750522574.4799995</v>
      </c>
      <c r="AK31" s="187">
        <v>4223497907.46</v>
      </c>
      <c r="AL31" s="187">
        <v>4114037784.3299999</v>
      </c>
      <c r="AM31" s="187">
        <v>3893081948.3499999</v>
      </c>
      <c r="AN31" s="187">
        <v>3756937589.1599998</v>
      </c>
      <c r="AO31" s="187">
        <v>3728677824.9000001</v>
      </c>
      <c r="AP31" s="187">
        <v>3513436953.5100002</v>
      </c>
      <c r="AQ31" s="187">
        <v>3739014271</v>
      </c>
      <c r="AR31" s="187">
        <v>3526080172.4299998</v>
      </c>
      <c r="AS31" s="187">
        <v>3338338900.5300002</v>
      </c>
      <c r="AT31" s="187">
        <v>3209968937.0300002</v>
      </c>
      <c r="AU31" s="187">
        <v>3086136003.2399998</v>
      </c>
      <c r="AV31" s="187">
        <v>2952999545.0700002</v>
      </c>
      <c r="AW31" s="187">
        <v>2845284852.9899998</v>
      </c>
      <c r="AX31" s="187">
        <v>2638340763.6999998</v>
      </c>
      <c r="AY31" s="187">
        <v>2450389777.1900001</v>
      </c>
      <c r="AZ31" s="187">
        <v>2263427977.0500002</v>
      </c>
      <c r="BA31" s="187">
        <v>2115638921.48</v>
      </c>
      <c r="BB31" s="187">
        <v>2038076176.98</v>
      </c>
      <c r="BC31" s="187">
        <v>1904956898.72</v>
      </c>
      <c r="BD31" s="187">
        <v>1780876639.3299999</v>
      </c>
      <c r="BE31" s="187">
        <v>1685409788.29</v>
      </c>
      <c r="BF31" s="187">
        <v>1601014475.77</v>
      </c>
      <c r="BG31" s="187">
        <v>1463570659.45</v>
      </c>
      <c r="BH31" s="187">
        <v>1398793760.26</v>
      </c>
      <c r="BI31" s="187">
        <v>1332300138.5599999</v>
      </c>
      <c r="BJ31" s="187">
        <v>1200336776.9300001</v>
      </c>
      <c r="BK31" s="187">
        <v>1165910893.28</v>
      </c>
      <c r="BL31" s="187">
        <v>1092933336.0799999</v>
      </c>
      <c r="BM31" s="187">
        <v>1019774319.86</v>
      </c>
      <c r="BN31" s="187">
        <v>939648707.25</v>
      </c>
      <c r="BO31" s="187">
        <v>859601030.65999997</v>
      </c>
      <c r="BP31" s="187">
        <v>748821426.96000004</v>
      </c>
      <c r="BQ31" s="187">
        <v>611201680.95000005</v>
      </c>
      <c r="BR31" s="187">
        <v>593463444.27999997</v>
      </c>
      <c r="BS31" s="187">
        <v>203349614.99000001</v>
      </c>
      <c r="BT31" s="190">
        <v>1786934979.5599999</v>
      </c>
      <c r="BU31" s="190">
        <v>1665815375.1099999</v>
      </c>
      <c r="BV31" s="190">
        <v>1686369507.6900001</v>
      </c>
    </row>
    <row r="32" spans="1:74" s="54" customFormat="1" ht="15" customHeight="1">
      <c r="A32" s="269" t="s">
        <v>198</v>
      </c>
      <c r="B32" s="271">
        <v>0</v>
      </c>
      <c r="C32" s="271">
        <v>0</v>
      </c>
      <c r="D32" s="271">
        <v>0</v>
      </c>
      <c r="E32" s="271">
        <v>0</v>
      </c>
      <c r="F32" s="271">
        <v>0</v>
      </c>
      <c r="G32" s="271">
        <v>0</v>
      </c>
      <c r="H32" s="271">
        <v>0</v>
      </c>
      <c r="I32" s="271">
        <v>0</v>
      </c>
      <c r="J32" s="271">
        <v>0</v>
      </c>
      <c r="K32" s="271">
        <v>0</v>
      </c>
      <c r="L32" s="271">
        <v>0</v>
      </c>
      <c r="M32" s="271">
        <v>0</v>
      </c>
      <c r="N32" s="271">
        <v>0</v>
      </c>
      <c r="O32" s="271">
        <v>0</v>
      </c>
      <c r="P32" s="271">
        <v>0</v>
      </c>
      <c r="Q32" s="271">
        <v>0</v>
      </c>
      <c r="R32" s="271">
        <v>0</v>
      </c>
      <c r="S32" s="271">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0</v>
      </c>
      <c r="AL32" s="187">
        <v>0</v>
      </c>
      <c r="AM32" s="187">
        <v>0</v>
      </c>
      <c r="AN32" s="187">
        <v>0</v>
      </c>
      <c r="AO32" s="187">
        <v>0</v>
      </c>
      <c r="AP32" s="187">
        <v>0</v>
      </c>
      <c r="AQ32" s="187">
        <v>0</v>
      </c>
      <c r="AR32" s="187">
        <v>0</v>
      </c>
      <c r="AS32" s="187">
        <v>0</v>
      </c>
      <c r="AT32" s="187">
        <v>0</v>
      </c>
      <c r="AU32" s="187">
        <v>0</v>
      </c>
      <c r="AV32" s="187">
        <v>0</v>
      </c>
      <c r="AW32" s="187">
        <v>0</v>
      </c>
      <c r="AX32" s="187">
        <v>0</v>
      </c>
      <c r="AY32" s="187">
        <v>0</v>
      </c>
      <c r="AZ32" s="187">
        <v>0</v>
      </c>
      <c r="BA32" s="187">
        <v>0</v>
      </c>
      <c r="BB32" s="187">
        <v>0</v>
      </c>
      <c r="BC32" s="187">
        <v>0</v>
      </c>
      <c r="BD32" s="187">
        <v>0</v>
      </c>
      <c r="BE32" s="187">
        <v>0</v>
      </c>
      <c r="BF32" s="187">
        <v>0</v>
      </c>
      <c r="BG32" s="187">
        <v>0</v>
      </c>
      <c r="BH32" s="187">
        <v>0</v>
      </c>
      <c r="BI32" s="187">
        <v>0</v>
      </c>
      <c r="BJ32" s="187">
        <v>0</v>
      </c>
      <c r="BK32" s="187">
        <v>0</v>
      </c>
      <c r="BL32" s="187">
        <v>0</v>
      </c>
      <c r="BM32" s="187">
        <v>0</v>
      </c>
      <c r="BN32" s="187">
        <v>0</v>
      </c>
      <c r="BO32" s="187">
        <v>0</v>
      </c>
      <c r="BP32" s="187">
        <v>0</v>
      </c>
      <c r="BQ32" s="187">
        <v>0</v>
      </c>
      <c r="BR32" s="187">
        <v>0</v>
      </c>
      <c r="BS32" s="187">
        <v>0</v>
      </c>
      <c r="BT32" s="190">
        <v>0</v>
      </c>
      <c r="BU32" s="190">
        <v>0</v>
      </c>
      <c r="BV32" s="190">
        <v>0</v>
      </c>
    </row>
    <row r="33" spans="1:74" s="54" customFormat="1" ht="19.149999999999999" customHeight="1">
      <c r="A33" s="269" t="s">
        <v>199</v>
      </c>
      <c r="B33" s="271">
        <v>29000000</v>
      </c>
      <c r="C33" s="271">
        <v>29000000</v>
      </c>
      <c r="D33" s="271">
        <v>29000000</v>
      </c>
      <c r="E33" s="271">
        <v>29000000</v>
      </c>
      <c r="F33" s="271">
        <v>4000000</v>
      </c>
      <c r="G33" s="271">
        <v>0</v>
      </c>
      <c r="H33" s="271">
        <v>0</v>
      </c>
      <c r="I33" s="271">
        <v>0</v>
      </c>
      <c r="J33" s="271">
        <v>0</v>
      </c>
      <c r="K33" s="271">
        <v>0</v>
      </c>
      <c r="L33" s="271">
        <v>0</v>
      </c>
      <c r="M33" s="271">
        <v>0</v>
      </c>
      <c r="N33" s="271">
        <v>0</v>
      </c>
      <c r="O33" s="271">
        <v>0</v>
      </c>
      <c r="P33" s="271">
        <v>0</v>
      </c>
      <c r="Q33" s="271">
        <v>0</v>
      </c>
      <c r="R33" s="271">
        <v>0</v>
      </c>
      <c r="S33" s="271">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187">
        <v>0</v>
      </c>
      <c r="AX33" s="187">
        <v>0</v>
      </c>
      <c r="AY33" s="187">
        <v>0</v>
      </c>
      <c r="AZ33" s="187">
        <v>0</v>
      </c>
      <c r="BA33" s="187">
        <v>0</v>
      </c>
      <c r="BB33" s="187">
        <v>0</v>
      </c>
      <c r="BC33" s="187">
        <v>0</v>
      </c>
      <c r="BD33" s="187">
        <v>0</v>
      </c>
      <c r="BE33" s="187">
        <v>0</v>
      </c>
      <c r="BF33" s="187">
        <v>0</v>
      </c>
      <c r="BG33" s="187">
        <v>0</v>
      </c>
      <c r="BH33" s="187">
        <v>0</v>
      </c>
      <c r="BI33" s="187">
        <v>0</v>
      </c>
      <c r="BJ33" s="187">
        <v>0</v>
      </c>
      <c r="BK33" s="187">
        <v>0</v>
      </c>
      <c r="BL33" s="187">
        <v>0</v>
      </c>
      <c r="BM33" s="187">
        <v>0</v>
      </c>
      <c r="BN33" s="187">
        <v>0</v>
      </c>
      <c r="BO33" s="187">
        <v>0</v>
      </c>
      <c r="BP33" s="187">
        <v>0</v>
      </c>
      <c r="BQ33" s="187">
        <v>0</v>
      </c>
      <c r="BR33" s="187">
        <v>0</v>
      </c>
      <c r="BS33" s="187">
        <v>0</v>
      </c>
      <c r="BT33" s="190">
        <v>0</v>
      </c>
      <c r="BU33" s="190">
        <v>0</v>
      </c>
      <c r="BV33" s="190">
        <v>0</v>
      </c>
    </row>
    <row r="34" spans="1:74" s="44" customFormat="1" ht="14.25" thickBot="1">
      <c r="A34" s="137" t="s">
        <v>202</v>
      </c>
      <c r="B34" s="49">
        <f t="shared" ref="B34:D34" si="92">B31-B32-B33</f>
        <v>21955839428.439999</v>
      </c>
      <c r="C34" s="49">
        <f t="shared" si="92"/>
        <v>22331930913.48</v>
      </c>
      <c r="D34" s="49">
        <f t="shared" si="92"/>
        <v>22724989474.84</v>
      </c>
      <c r="E34" s="49">
        <f>E31-E32-E33</f>
        <v>21267949399.18</v>
      </c>
      <c r="F34" s="49">
        <f t="shared" ref="F34:BP34" si="93">F31-F32-F33</f>
        <v>18298236150.310001</v>
      </c>
      <c r="G34" s="49">
        <f t="shared" si="93"/>
        <v>13522567242.82</v>
      </c>
      <c r="H34" s="49">
        <f t="shared" si="93"/>
        <v>8773132339.5799999</v>
      </c>
      <c r="I34" s="49">
        <f t="shared" si="93"/>
        <v>7071236794.9799995</v>
      </c>
      <c r="J34" s="49">
        <f t="shared" si="93"/>
        <v>5287295112.3800001</v>
      </c>
      <c r="K34" s="49">
        <f t="shared" si="93"/>
        <v>4114037784.3299999</v>
      </c>
      <c r="L34" s="49">
        <f t="shared" si="93"/>
        <v>3513436953.5100002</v>
      </c>
      <c r="M34" s="49">
        <f t="shared" si="93"/>
        <v>3209968937.0300002</v>
      </c>
      <c r="N34" s="49">
        <f t="shared" si="93"/>
        <v>2638340763.6999998</v>
      </c>
      <c r="O34" s="49">
        <f t="shared" si="93"/>
        <v>2038076176.98</v>
      </c>
      <c r="P34" s="49">
        <f t="shared" si="93"/>
        <v>1601014475.77</v>
      </c>
      <c r="Q34" s="49">
        <f t="shared" si="93"/>
        <v>1200336776.9300001</v>
      </c>
      <c r="R34" s="49">
        <f t="shared" si="93"/>
        <v>939648707.25</v>
      </c>
      <c r="S34" s="49">
        <f t="shared" si="93"/>
        <v>0</v>
      </c>
      <c r="T34" s="49">
        <f t="shared" si="93"/>
        <v>16579774564.629999</v>
      </c>
      <c r="U34" s="49">
        <f t="shared" si="93"/>
        <v>15583608259.01</v>
      </c>
      <c r="V34" s="49">
        <f t="shared" si="93"/>
        <v>13522567242.82</v>
      </c>
      <c r="W34" s="49">
        <f t="shared" si="93"/>
        <v>9433590713.1000004</v>
      </c>
      <c r="X34" s="49">
        <f t="shared" si="93"/>
        <v>8937733311.7900009</v>
      </c>
      <c r="Y34" s="49">
        <f t="shared" si="93"/>
        <v>9046122215.5200005</v>
      </c>
      <c r="Z34" s="49">
        <f t="shared" si="93"/>
        <v>8773132339.5799999</v>
      </c>
      <c r="AA34" s="49">
        <f t="shared" si="93"/>
        <v>7348983711.5200005</v>
      </c>
      <c r="AB34" s="49">
        <f t="shared" si="93"/>
        <v>7287172510.8199997</v>
      </c>
      <c r="AC34" s="49">
        <f t="shared" si="93"/>
        <v>7174957543.2700005</v>
      </c>
      <c r="AD34" s="49">
        <f t="shared" si="93"/>
        <v>7071236794.9799995</v>
      </c>
      <c r="AE34" s="49">
        <f t="shared" si="93"/>
        <v>5907593182.6300001</v>
      </c>
      <c r="AF34" s="49">
        <f t="shared" si="93"/>
        <v>5450664776.8999996</v>
      </c>
      <c r="AG34" s="49">
        <f t="shared" si="93"/>
        <v>5404910754.6800003</v>
      </c>
      <c r="AH34" s="49">
        <f t="shared" si="93"/>
        <v>5287295112.3800001</v>
      </c>
      <c r="AI34" s="49">
        <f t="shared" si="93"/>
        <v>4854322092.2399998</v>
      </c>
      <c r="AJ34" s="49">
        <f t="shared" si="93"/>
        <v>4750522574.4799995</v>
      </c>
      <c r="AK34" s="49">
        <f t="shared" si="93"/>
        <v>4223497907.46</v>
      </c>
      <c r="AL34" s="49">
        <f t="shared" si="93"/>
        <v>4114037784.3299999</v>
      </c>
      <c r="AM34" s="49">
        <f t="shared" si="93"/>
        <v>3893081948.3499999</v>
      </c>
      <c r="AN34" s="49">
        <f t="shared" si="93"/>
        <v>3756937589.1599998</v>
      </c>
      <c r="AO34" s="49">
        <f t="shared" si="93"/>
        <v>3728677824.9000001</v>
      </c>
      <c r="AP34" s="49">
        <f t="shared" si="93"/>
        <v>3513436953.5100002</v>
      </c>
      <c r="AQ34" s="49">
        <f t="shared" si="93"/>
        <v>3739014271</v>
      </c>
      <c r="AR34" s="49">
        <f t="shared" si="93"/>
        <v>3526080172.4299998</v>
      </c>
      <c r="AS34" s="49">
        <f t="shared" si="93"/>
        <v>3338338900.5300002</v>
      </c>
      <c r="AT34" s="49">
        <f t="shared" si="93"/>
        <v>3209968937.0300002</v>
      </c>
      <c r="AU34" s="49">
        <f t="shared" si="93"/>
        <v>3086136003.2399998</v>
      </c>
      <c r="AV34" s="49">
        <f t="shared" si="93"/>
        <v>2952999545.0700002</v>
      </c>
      <c r="AW34" s="49">
        <f t="shared" si="93"/>
        <v>2845284852.9899998</v>
      </c>
      <c r="AX34" s="49">
        <f t="shared" si="93"/>
        <v>2638340763.6999998</v>
      </c>
      <c r="AY34" s="49">
        <f t="shared" si="93"/>
        <v>2450389777.1900001</v>
      </c>
      <c r="AZ34" s="49">
        <f t="shared" si="93"/>
        <v>2263427977.0500002</v>
      </c>
      <c r="BA34" s="49">
        <f t="shared" si="93"/>
        <v>2115638921.48</v>
      </c>
      <c r="BB34" s="49">
        <f t="shared" si="93"/>
        <v>2038076176.98</v>
      </c>
      <c r="BC34" s="49">
        <f t="shared" si="93"/>
        <v>1904956898.72</v>
      </c>
      <c r="BD34" s="49">
        <f t="shared" si="93"/>
        <v>1780876639.3299999</v>
      </c>
      <c r="BE34" s="49">
        <f t="shared" si="93"/>
        <v>1685409788.29</v>
      </c>
      <c r="BF34" s="49">
        <f t="shared" si="93"/>
        <v>1601014475.77</v>
      </c>
      <c r="BG34" s="49">
        <f t="shared" si="93"/>
        <v>1463570659.45</v>
      </c>
      <c r="BH34" s="49">
        <f t="shared" si="93"/>
        <v>1398793760.26</v>
      </c>
      <c r="BI34" s="49">
        <f t="shared" si="93"/>
        <v>1332300138.5599999</v>
      </c>
      <c r="BJ34" s="49">
        <f t="shared" si="93"/>
        <v>1200336776.9300001</v>
      </c>
      <c r="BK34" s="49">
        <f t="shared" si="93"/>
        <v>1165910893.28</v>
      </c>
      <c r="BL34" s="49">
        <f t="shared" si="93"/>
        <v>1092933336.0799999</v>
      </c>
      <c r="BM34" s="49">
        <f t="shared" si="93"/>
        <v>1019774319.86</v>
      </c>
      <c r="BN34" s="49">
        <f t="shared" si="93"/>
        <v>939648707.25</v>
      </c>
      <c r="BO34" s="49">
        <f t="shared" si="93"/>
        <v>859601030.65999997</v>
      </c>
      <c r="BP34" s="49">
        <f t="shared" si="93"/>
        <v>748821426.96000004</v>
      </c>
      <c r="BQ34" s="49">
        <f>AP31-AP32-AP33</f>
        <v>3513436953.5100002</v>
      </c>
      <c r="BR34" s="49">
        <f>AQ31-AQ32-AQ33</f>
        <v>3739014271</v>
      </c>
      <c r="BS34" s="49">
        <f>AR31-AR32-AR33</f>
        <v>3526080172.4299998</v>
      </c>
      <c r="BT34" s="49"/>
      <c r="BU34" s="50"/>
    </row>
    <row r="35" spans="1:74" s="106" customFormat="1" ht="14.25" thickBot="1">
      <c r="A35" s="138" t="s">
        <v>204</v>
      </c>
      <c r="B35" s="33">
        <f>SUM(B22:B31)</f>
        <v>101032871653.90002</v>
      </c>
      <c r="C35" s="33">
        <f>SUM(C22:C31)</f>
        <v>85337005332.179993</v>
      </c>
      <c r="D35" s="33">
        <f>SUM(D22:D31)</f>
        <v>95604866144.020004</v>
      </c>
      <c r="E35" s="33">
        <f>资产资本表!E17</f>
        <v>36915096946.529999</v>
      </c>
      <c r="F35" s="33">
        <f>资产资本表!F17</f>
        <v>27855320602.540001</v>
      </c>
      <c r="G35" s="33">
        <f>资产资本表!G17</f>
        <v>25423608478.91</v>
      </c>
      <c r="H35" s="33">
        <f>资产资本表!H17</f>
        <v>22376612663.389999</v>
      </c>
      <c r="I35" s="33">
        <f>资产资本表!I17</f>
        <v>18539872922.09</v>
      </c>
      <c r="J35" s="33">
        <f>资产资本表!J17</f>
        <v>12991122314.630001</v>
      </c>
      <c r="K35" s="33">
        <f>资产资本表!K17</f>
        <v>9755064755.2399998</v>
      </c>
      <c r="L35" s="33">
        <f>资产资本表!L17</f>
        <v>8138505441.1599998</v>
      </c>
      <c r="M35" s="33">
        <f>资产资本表!M17</f>
        <v>4784290700.0200005</v>
      </c>
      <c r="N35" s="33">
        <f>资产资本表!N17</f>
        <v>4505867488.6400003</v>
      </c>
      <c r="O35" s="33">
        <f>资产资本表!O17</f>
        <v>3891989433.5300002</v>
      </c>
      <c r="P35" s="33">
        <f>资产资本表!P17</f>
        <v>2898327418.8499999</v>
      </c>
      <c r="Q35" s="33">
        <f>资产资本表!Q17</f>
        <v>2340047386.8499999</v>
      </c>
      <c r="R35" s="33">
        <f>资产资本表!R17</f>
        <v>1780307690.6400001</v>
      </c>
      <c r="S35" s="33">
        <f>资产资本表!S17</f>
        <v>1956436570.0999999</v>
      </c>
      <c r="T35" s="33">
        <f>资产资本表!T17</f>
        <v>0</v>
      </c>
      <c r="U35" s="33">
        <f>资产资本表!U17</f>
        <v>0</v>
      </c>
      <c r="V35" s="33">
        <f>资产资本表!V17</f>
        <v>0</v>
      </c>
      <c r="W35" s="33">
        <f>资产资本表!W17</f>
        <v>0</v>
      </c>
      <c r="X35" s="33">
        <f>资产资本表!X17</f>
        <v>0</v>
      </c>
      <c r="Y35" s="33">
        <f>资产资本表!Y17</f>
        <v>0</v>
      </c>
      <c r="Z35" s="33">
        <f>资产资本表!Z17</f>
        <v>0</v>
      </c>
      <c r="AA35" s="33">
        <f>资产资本表!AA17</f>
        <v>0</v>
      </c>
      <c r="AB35" s="33">
        <f>资产资本表!AB17</f>
        <v>0</v>
      </c>
      <c r="AC35" s="33">
        <f>资产资本表!AC17</f>
        <v>0</v>
      </c>
      <c r="AD35" s="33">
        <f>资产资本表!AD17</f>
        <v>0</v>
      </c>
      <c r="AE35" s="33">
        <f>资产资本表!AE17</f>
        <v>0</v>
      </c>
      <c r="AF35" s="33">
        <f>资产资本表!AF17</f>
        <v>0</v>
      </c>
      <c r="AG35" s="33">
        <f>资产资本表!AG17</f>
        <v>0</v>
      </c>
      <c r="AH35" s="33">
        <f>资产资本表!AH17</f>
        <v>0</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205</v>
      </c>
      <c r="B38" s="271" t="s">
        <v>638</v>
      </c>
      <c r="C38" s="271" t="s">
        <v>639</v>
      </c>
      <c r="D38" s="271" t="s">
        <v>640</v>
      </c>
      <c r="E38" s="271" t="s">
        <v>641</v>
      </c>
      <c r="F38" s="271" t="s">
        <v>642</v>
      </c>
      <c r="G38" s="271" t="s">
        <v>643</v>
      </c>
      <c r="H38" s="271" t="s">
        <v>644</v>
      </c>
      <c r="I38" s="271" t="s">
        <v>645</v>
      </c>
      <c r="J38" s="271" t="s">
        <v>646</v>
      </c>
      <c r="K38" s="271" t="s">
        <v>647</v>
      </c>
      <c r="L38" s="271" t="s">
        <v>648</v>
      </c>
      <c r="M38" s="271" t="s">
        <v>649</v>
      </c>
      <c r="N38" s="271" t="s">
        <v>650</v>
      </c>
      <c r="O38" s="271" t="s">
        <v>651</v>
      </c>
      <c r="P38" s="271" t="s">
        <v>652</v>
      </c>
      <c r="Q38" s="271" t="s">
        <v>653</v>
      </c>
      <c r="R38" s="271" t="s">
        <v>654</v>
      </c>
      <c r="S38" s="271" t="s">
        <v>655</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37437</v>
      </c>
      <c r="BP38" s="1">
        <v>37256</v>
      </c>
      <c r="BQ38" s="1">
        <v>37072</v>
      </c>
      <c r="BR38" s="1">
        <v>36891</v>
      </c>
      <c r="BS38" s="1">
        <v>25569</v>
      </c>
      <c r="BT38" s="1">
        <v>36341</v>
      </c>
      <c r="BU38" s="1">
        <v>36160</v>
      </c>
      <c r="BV38" s="1">
        <v>25569</v>
      </c>
    </row>
    <row r="39" spans="1:74" s="48" customFormat="1">
      <c r="A39" s="46" t="s">
        <v>206</v>
      </c>
    </row>
    <row r="40" spans="1:74" s="190" customFormat="1">
      <c r="A40" s="190" t="s">
        <v>628</v>
      </c>
      <c r="B40" s="271">
        <v>0</v>
      </c>
      <c r="C40" s="271">
        <v>6000000</v>
      </c>
      <c r="D40" s="271">
        <v>16000000</v>
      </c>
      <c r="E40" s="271">
        <v>0</v>
      </c>
      <c r="F40" s="271">
        <v>34800000</v>
      </c>
      <c r="G40" s="271">
        <v>6000000</v>
      </c>
      <c r="H40" s="271">
        <v>392000000</v>
      </c>
      <c r="I40" s="271">
        <v>0</v>
      </c>
      <c r="J40" s="271">
        <v>0</v>
      </c>
      <c r="K40" s="271">
        <v>0</v>
      </c>
      <c r="L40" s="271">
        <v>0</v>
      </c>
      <c r="M40" s="271">
        <v>0</v>
      </c>
      <c r="N40" s="271">
        <v>0</v>
      </c>
      <c r="O40" s="271">
        <v>0</v>
      </c>
      <c r="P40" s="271">
        <v>0</v>
      </c>
      <c r="Q40" s="271">
        <v>0</v>
      </c>
      <c r="R40" s="271">
        <v>0</v>
      </c>
      <c r="S40" s="271">
        <v>2016922206.52</v>
      </c>
      <c r="T40" s="187">
        <v>0</v>
      </c>
      <c r="U40" s="187">
        <v>0</v>
      </c>
      <c r="V40" s="187">
        <v>6000000</v>
      </c>
      <c r="W40" s="187">
        <v>0</v>
      </c>
      <c r="X40" s="187">
        <v>0</v>
      </c>
      <c r="Y40" s="187">
        <v>0</v>
      </c>
      <c r="Z40" s="187">
        <v>392000000</v>
      </c>
      <c r="AA40" s="187">
        <v>0</v>
      </c>
      <c r="AB40" s="187">
        <v>0</v>
      </c>
      <c r="AC40" s="187">
        <v>0</v>
      </c>
      <c r="AD40" s="187">
        <v>0</v>
      </c>
      <c r="AE40" s="187">
        <v>0</v>
      </c>
      <c r="AF40" s="187">
        <v>0</v>
      </c>
      <c r="AG40" s="187">
        <v>0</v>
      </c>
      <c r="AH40" s="187">
        <v>0</v>
      </c>
      <c r="AI40" s="187">
        <v>0</v>
      </c>
      <c r="AJ40" s="187">
        <v>0</v>
      </c>
      <c r="AK40" s="187">
        <v>0</v>
      </c>
      <c r="AL40" s="187">
        <v>0</v>
      </c>
      <c r="AM40" s="187">
        <v>0</v>
      </c>
      <c r="AN40" s="187">
        <v>0</v>
      </c>
      <c r="AO40" s="187">
        <v>0</v>
      </c>
      <c r="AP40" s="187">
        <v>0</v>
      </c>
      <c r="AQ40" s="187">
        <v>0</v>
      </c>
      <c r="AR40" s="187">
        <v>0</v>
      </c>
      <c r="AS40" s="187">
        <v>0</v>
      </c>
      <c r="AT40" s="187">
        <v>0</v>
      </c>
      <c r="AU40" s="187">
        <v>0</v>
      </c>
      <c r="AV40" s="187">
        <v>0</v>
      </c>
      <c r="AW40" s="187">
        <v>0</v>
      </c>
      <c r="AX40" s="187">
        <v>0</v>
      </c>
      <c r="AY40" s="187">
        <v>0</v>
      </c>
      <c r="AZ40" s="187">
        <v>0</v>
      </c>
      <c r="BA40" s="187">
        <v>0</v>
      </c>
      <c r="BB40" s="187">
        <v>0</v>
      </c>
      <c r="BC40" s="187">
        <v>0</v>
      </c>
      <c r="BD40" s="187">
        <v>0</v>
      </c>
      <c r="BE40" s="187">
        <v>0</v>
      </c>
      <c r="BF40" s="187">
        <v>0</v>
      </c>
      <c r="BG40" s="187">
        <v>0</v>
      </c>
      <c r="BH40" s="187">
        <v>0</v>
      </c>
      <c r="BI40" s="187">
        <v>0</v>
      </c>
      <c r="BJ40" s="187">
        <v>0</v>
      </c>
      <c r="BK40" s="187">
        <v>0</v>
      </c>
      <c r="BL40" s="187">
        <v>0</v>
      </c>
      <c r="BM40" s="187">
        <v>0</v>
      </c>
      <c r="BN40" s="187">
        <v>0</v>
      </c>
      <c r="BO40" s="187">
        <v>0</v>
      </c>
      <c r="BP40" s="187">
        <v>2016922206.52</v>
      </c>
      <c r="BQ40" s="187">
        <v>0</v>
      </c>
      <c r="BR40" s="187">
        <v>500000</v>
      </c>
      <c r="BS40" s="187">
        <v>0</v>
      </c>
      <c r="BT40" s="190">
        <v>0</v>
      </c>
      <c r="BU40" s="190">
        <v>1165397962.47</v>
      </c>
      <c r="BV40" s="190">
        <v>0</v>
      </c>
    </row>
    <row r="41" spans="1:74" s="53" customFormat="1" ht="21.75" customHeight="1">
      <c r="A41" s="139" t="s">
        <v>519</v>
      </c>
      <c r="B41" s="53">
        <v>1419647033.29</v>
      </c>
      <c r="C41" s="53">
        <v>682396282.87</v>
      </c>
      <c r="D41" s="53">
        <v>73246783.790000007</v>
      </c>
      <c r="E41" s="53">
        <v>8525814475.1899996</v>
      </c>
      <c r="I41" s="53">
        <v>7751996623.8100004</v>
      </c>
      <c r="M41" s="53">
        <v>4995099252</v>
      </c>
      <c r="Q41" s="53">
        <v>4540999320</v>
      </c>
      <c r="U41" s="53">
        <v>6664077420.2200003</v>
      </c>
      <c r="Y41" s="53">
        <v>4149605460.23</v>
      </c>
      <c r="AC41" s="53">
        <v>2170740000</v>
      </c>
      <c r="AG41" s="53">
        <v>1118403000.27</v>
      </c>
      <c r="AK41" s="53">
        <v>1091032798.3900001</v>
      </c>
    </row>
    <row r="42" spans="1:74" s="26" customFormat="1">
      <c r="A42" s="17" t="s">
        <v>209</v>
      </c>
      <c r="E42" s="26">
        <f>E40-E41</f>
        <v>-8525814475.1899996</v>
      </c>
      <c r="F42" s="26">
        <f t="shared" ref="F42:Y42" si="94">F40-F41</f>
        <v>34800000</v>
      </c>
      <c r="G42" s="26">
        <f t="shared" si="94"/>
        <v>6000000</v>
      </c>
      <c r="H42" s="26">
        <f t="shared" si="94"/>
        <v>392000000</v>
      </c>
      <c r="I42" s="26">
        <f>I40-I41</f>
        <v>-7751996623.8100004</v>
      </c>
      <c r="J42" s="26">
        <f t="shared" si="94"/>
        <v>0</v>
      </c>
      <c r="K42" s="26">
        <f t="shared" si="94"/>
        <v>0</v>
      </c>
      <c r="L42" s="26">
        <f t="shared" si="94"/>
        <v>0</v>
      </c>
      <c r="M42" s="26">
        <f t="shared" si="94"/>
        <v>-4995099252</v>
      </c>
      <c r="N42" s="26">
        <f t="shared" si="94"/>
        <v>0</v>
      </c>
      <c r="O42" s="26">
        <f t="shared" si="94"/>
        <v>0</v>
      </c>
      <c r="P42" s="26">
        <f t="shared" si="94"/>
        <v>0</v>
      </c>
      <c r="Q42" s="26">
        <f t="shared" si="94"/>
        <v>-4540999320</v>
      </c>
      <c r="R42" s="26">
        <f t="shared" si="94"/>
        <v>0</v>
      </c>
      <c r="S42" s="26">
        <f t="shared" si="94"/>
        <v>2016922206.52</v>
      </c>
      <c r="T42" s="26">
        <f t="shared" si="94"/>
        <v>0</v>
      </c>
      <c r="U42" s="26">
        <f t="shared" si="94"/>
        <v>-6664077420.2200003</v>
      </c>
      <c r="V42" s="26">
        <f t="shared" si="94"/>
        <v>6000000</v>
      </c>
      <c r="W42" s="26">
        <f t="shared" si="94"/>
        <v>0</v>
      </c>
      <c r="X42" s="26">
        <f t="shared" si="94"/>
        <v>0</v>
      </c>
      <c r="Y42" s="26">
        <f t="shared" si="94"/>
        <v>-4149605460.23</v>
      </c>
      <c r="Z42" s="26">
        <f t="shared" ref="Z42:BQ42" si="95">Z40-Z41</f>
        <v>392000000</v>
      </c>
      <c r="AA42" s="26">
        <f t="shared" si="95"/>
        <v>0</v>
      </c>
      <c r="AB42" s="26">
        <f t="shared" si="95"/>
        <v>0</v>
      </c>
      <c r="AC42" s="26">
        <f t="shared" si="95"/>
        <v>-2170740000</v>
      </c>
      <c r="AD42" s="26">
        <f t="shared" si="95"/>
        <v>0</v>
      </c>
      <c r="AE42" s="26">
        <f t="shared" si="95"/>
        <v>0</v>
      </c>
      <c r="AF42" s="26">
        <f t="shared" si="95"/>
        <v>0</v>
      </c>
      <c r="AG42" s="26">
        <f t="shared" si="95"/>
        <v>-1118403000.27</v>
      </c>
      <c r="AH42" s="26">
        <f t="shared" si="95"/>
        <v>0</v>
      </c>
      <c r="AI42" s="26">
        <f t="shared" si="95"/>
        <v>0</v>
      </c>
      <c r="AJ42" s="26">
        <f t="shared" si="95"/>
        <v>0</v>
      </c>
      <c r="AK42" s="26">
        <f t="shared" si="95"/>
        <v>-1091032798.3900001</v>
      </c>
      <c r="AL42" s="190">
        <f t="shared" si="95"/>
        <v>0</v>
      </c>
      <c r="AM42" s="190">
        <f t="shared" si="95"/>
        <v>0</v>
      </c>
      <c r="AN42" s="190">
        <f t="shared" si="95"/>
        <v>0</v>
      </c>
      <c r="AO42" s="190">
        <f t="shared" si="95"/>
        <v>0</v>
      </c>
      <c r="AP42" s="190">
        <f t="shared" si="95"/>
        <v>0</v>
      </c>
      <c r="AQ42" s="190">
        <f t="shared" si="95"/>
        <v>0</v>
      </c>
      <c r="AR42" s="190">
        <f t="shared" si="95"/>
        <v>0</v>
      </c>
      <c r="AS42" s="190">
        <f t="shared" si="95"/>
        <v>0</v>
      </c>
      <c r="AT42" s="190">
        <f t="shared" si="95"/>
        <v>0</v>
      </c>
      <c r="AU42" s="190">
        <f t="shared" si="95"/>
        <v>0</v>
      </c>
      <c r="AV42" s="190">
        <f t="shared" si="95"/>
        <v>0</v>
      </c>
      <c r="AW42" s="190">
        <f t="shared" si="95"/>
        <v>0</v>
      </c>
      <c r="AX42" s="190">
        <f t="shared" si="95"/>
        <v>0</v>
      </c>
      <c r="AY42" s="190">
        <f t="shared" si="95"/>
        <v>0</v>
      </c>
      <c r="AZ42" s="190">
        <f t="shared" si="95"/>
        <v>0</v>
      </c>
      <c r="BA42" s="26">
        <f t="shared" si="95"/>
        <v>0</v>
      </c>
      <c r="BB42" s="26">
        <f t="shared" si="95"/>
        <v>0</v>
      </c>
      <c r="BC42" s="26">
        <f t="shared" si="95"/>
        <v>0</v>
      </c>
      <c r="BD42" s="26">
        <f t="shared" si="95"/>
        <v>0</v>
      </c>
      <c r="BE42" s="26">
        <f t="shared" si="95"/>
        <v>0</v>
      </c>
      <c r="BF42" s="26">
        <f t="shared" si="95"/>
        <v>0</v>
      </c>
      <c r="BG42" s="26">
        <f t="shared" si="95"/>
        <v>0</v>
      </c>
      <c r="BH42" s="26">
        <f t="shared" si="95"/>
        <v>0</v>
      </c>
      <c r="BI42" s="26">
        <f t="shared" si="95"/>
        <v>0</v>
      </c>
      <c r="BJ42" s="26">
        <f t="shared" si="95"/>
        <v>0</v>
      </c>
      <c r="BK42" s="26">
        <f t="shared" si="95"/>
        <v>0</v>
      </c>
      <c r="BL42" s="26">
        <f t="shared" si="95"/>
        <v>0</v>
      </c>
      <c r="BM42" s="26">
        <f t="shared" si="95"/>
        <v>0</v>
      </c>
      <c r="BN42" s="26">
        <f t="shared" si="95"/>
        <v>0</v>
      </c>
      <c r="BO42" s="26">
        <f t="shared" si="95"/>
        <v>0</v>
      </c>
      <c r="BP42" s="26">
        <f t="shared" si="95"/>
        <v>2016922206.52</v>
      </c>
      <c r="BQ42" s="26">
        <f t="shared" si="95"/>
        <v>0</v>
      </c>
      <c r="BR42" s="26">
        <f t="shared" ref="BR42:BV42" si="96">BR40-BR41</f>
        <v>500000</v>
      </c>
      <c r="BS42" s="26">
        <f t="shared" si="96"/>
        <v>0</v>
      </c>
      <c r="BT42" s="26">
        <f t="shared" si="96"/>
        <v>0</v>
      </c>
      <c r="BU42" s="26">
        <f t="shared" si="96"/>
        <v>1165397962.47</v>
      </c>
      <c r="BV42" s="26">
        <f t="shared" si="96"/>
        <v>0</v>
      </c>
    </row>
    <row r="43" spans="1:74" s="52" customFormat="1" ht="15" customHeight="1">
      <c r="A43" s="140" t="s">
        <v>208</v>
      </c>
    </row>
    <row r="44" spans="1:74" s="190" customFormat="1">
      <c r="A44" s="190" t="s">
        <v>211</v>
      </c>
      <c r="B44" s="271">
        <v>0</v>
      </c>
      <c r="C44" s="271">
        <v>0</v>
      </c>
      <c r="D44" s="271">
        <v>0</v>
      </c>
      <c r="E44" s="271">
        <v>0</v>
      </c>
      <c r="F44" s="271">
        <v>67382607</v>
      </c>
      <c r="G44" s="271">
        <v>0</v>
      </c>
      <c r="H44" s="271">
        <v>0</v>
      </c>
      <c r="I44" s="271">
        <v>0</v>
      </c>
      <c r="J44" s="271">
        <v>0</v>
      </c>
      <c r="K44" s="271">
        <v>0</v>
      </c>
      <c r="L44" s="271">
        <v>0</v>
      </c>
      <c r="M44" s="271">
        <v>0</v>
      </c>
      <c r="N44" s="271">
        <v>0</v>
      </c>
      <c r="O44" s="271">
        <v>0</v>
      </c>
      <c r="P44" s="271">
        <v>0</v>
      </c>
      <c r="Q44" s="271">
        <v>0</v>
      </c>
      <c r="R44" s="271">
        <v>0</v>
      </c>
      <c r="S44" s="271">
        <v>0</v>
      </c>
      <c r="T44" s="187">
        <v>0</v>
      </c>
      <c r="U44" s="187">
        <v>0</v>
      </c>
      <c r="V44" s="187">
        <v>0</v>
      </c>
      <c r="W44" s="187">
        <v>0</v>
      </c>
      <c r="X44" s="187">
        <v>0</v>
      </c>
      <c r="Y44" s="187">
        <v>0</v>
      </c>
      <c r="Z44" s="187">
        <v>0</v>
      </c>
      <c r="AA44" s="187">
        <v>0</v>
      </c>
      <c r="AB44" s="187">
        <v>0</v>
      </c>
      <c r="AC44" s="187">
        <v>0</v>
      </c>
      <c r="AD44" s="187">
        <v>0</v>
      </c>
      <c r="AE44" s="187">
        <v>0</v>
      </c>
      <c r="AF44" s="187">
        <v>0</v>
      </c>
      <c r="AG44" s="187">
        <v>0</v>
      </c>
      <c r="AH44" s="187">
        <v>0</v>
      </c>
      <c r="AI44" s="187">
        <v>0</v>
      </c>
      <c r="AJ44" s="187">
        <v>0</v>
      </c>
      <c r="AK44" s="187">
        <v>0</v>
      </c>
      <c r="AL44" s="187">
        <v>0</v>
      </c>
      <c r="AM44" s="187">
        <v>0</v>
      </c>
      <c r="AN44" s="187">
        <v>0</v>
      </c>
      <c r="AO44" s="187">
        <v>0</v>
      </c>
      <c r="AP44" s="187">
        <v>0</v>
      </c>
      <c r="AQ44" s="187">
        <v>0</v>
      </c>
      <c r="AR44" s="187">
        <v>0</v>
      </c>
      <c r="AS44" s="187">
        <v>0</v>
      </c>
      <c r="AT44" s="187">
        <v>0</v>
      </c>
      <c r="AU44" s="187">
        <v>0</v>
      </c>
      <c r="AV44" s="187">
        <v>0</v>
      </c>
      <c r="AW44" s="187">
        <v>0</v>
      </c>
      <c r="AX44" s="187">
        <v>0</v>
      </c>
      <c r="AY44" s="187">
        <v>0</v>
      </c>
      <c r="AZ44" s="187">
        <v>0</v>
      </c>
      <c r="BA44" s="187">
        <v>0</v>
      </c>
      <c r="BB44" s="187">
        <v>0</v>
      </c>
      <c r="BC44" s="187">
        <v>0</v>
      </c>
      <c r="BD44" s="187">
        <v>0</v>
      </c>
      <c r="BE44" s="187">
        <v>0</v>
      </c>
      <c r="BF44" s="187">
        <v>0</v>
      </c>
      <c r="BG44" s="187">
        <v>0</v>
      </c>
      <c r="BH44" s="187">
        <v>0</v>
      </c>
      <c r="BI44" s="187">
        <v>0</v>
      </c>
      <c r="BJ44" s="187">
        <v>0</v>
      </c>
      <c r="BK44" s="187">
        <v>0</v>
      </c>
      <c r="BL44" s="187">
        <v>0</v>
      </c>
      <c r="BM44" s="187">
        <v>0</v>
      </c>
      <c r="BN44" s="187">
        <v>0</v>
      </c>
      <c r="BO44" s="187">
        <v>0</v>
      </c>
      <c r="BP44" s="187">
        <v>0</v>
      </c>
      <c r="BQ44" s="187">
        <v>0</v>
      </c>
      <c r="BR44" s="187">
        <v>129000000</v>
      </c>
      <c r="BS44" s="187">
        <v>0</v>
      </c>
      <c r="BT44" s="187">
        <v>0</v>
      </c>
      <c r="BU44" s="187">
        <v>0</v>
      </c>
      <c r="BV44" s="187">
        <v>0</v>
      </c>
    </row>
    <row r="45" spans="1:74" s="190" customFormat="1">
      <c r="A45" s="190" t="s">
        <v>210</v>
      </c>
      <c r="B45" s="190">
        <f>股权价值增加表!B53</f>
        <v>217</v>
      </c>
      <c r="C45" s="190">
        <f>股权价值增加表!C53</f>
        <v>189</v>
      </c>
      <c r="D45" s="190">
        <f>股权价值增加表!D53</f>
        <v>0</v>
      </c>
      <c r="E45" s="190">
        <f>股权价值增加表!E53</f>
        <v>880974.99</v>
      </c>
      <c r="F45" s="190">
        <f>股权价值增加表!F53</f>
        <v>0</v>
      </c>
      <c r="G45" s="190">
        <f>股权价值增加表!G53</f>
        <v>0</v>
      </c>
      <c r="H45" s="190">
        <f>股权价值增加表!H53</f>
        <v>0</v>
      </c>
      <c r="I45" s="190">
        <f>股权价值增加表!I53</f>
        <v>37529578.909999996</v>
      </c>
      <c r="J45" s="190">
        <f>股权价值增加表!J53</f>
        <v>0</v>
      </c>
      <c r="K45" s="190">
        <f>股权价值增加表!K53</f>
        <v>0</v>
      </c>
      <c r="L45" s="190">
        <f>股权价值增加表!L53</f>
        <v>0</v>
      </c>
      <c r="M45" s="190">
        <f>股权价值增加表!M53</f>
        <v>41360986.93</v>
      </c>
      <c r="N45" s="190">
        <f>股权价值增加表!N53</f>
        <v>0</v>
      </c>
      <c r="O45" s="190">
        <f>股权价值增加表!O53</f>
        <v>0</v>
      </c>
      <c r="P45" s="190">
        <f>股权价值增加表!P53</f>
        <v>0</v>
      </c>
      <c r="Q45" s="190">
        <f>股权价值增加表!Q53</f>
        <v>10292572.550000001</v>
      </c>
      <c r="R45" s="190">
        <f>股权价值增加表!R53</f>
        <v>0</v>
      </c>
      <c r="S45" s="190">
        <f>股权价值增加表!S53</f>
        <v>0</v>
      </c>
      <c r="T45" s="190">
        <f>股权价值增加表!T53</f>
        <v>0</v>
      </c>
      <c r="U45" s="190">
        <f>股权价值增加表!U53</f>
        <v>0</v>
      </c>
      <c r="V45" s="190">
        <f>股权价值增加表!V53</f>
        <v>0</v>
      </c>
      <c r="W45" s="190">
        <f>股权价值增加表!W53</f>
        <v>0</v>
      </c>
      <c r="X45" s="190">
        <f>股权价值增加表!X53</f>
        <v>0</v>
      </c>
      <c r="Y45" s="190">
        <f>股权价值增加表!Y53</f>
        <v>132222.22</v>
      </c>
      <c r="Z45" s="190">
        <f>股权价值增加表!Z53</f>
        <v>0</v>
      </c>
      <c r="AA45" s="190">
        <f>股权价值增加表!AA53</f>
        <v>0</v>
      </c>
      <c r="AB45" s="190">
        <f>股权价值增加表!AB53</f>
        <v>0</v>
      </c>
      <c r="AC45" s="190">
        <f>股权价值增加表!AC53</f>
        <v>0</v>
      </c>
      <c r="AD45" s="190">
        <f>股权价值增加表!AD53</f>
        <v>0</v>
      </c>
      <c r="AE45" s="190">
        <f>股权价值增加表!AE53</f>
        <v>0</v>
      </c>
      <c r="AF45" s="190">
        <f>股权价值增加表!AF53</f>
        <v>0</v>
      </c>
      <c r="AG45" s="190">
        <f>股权价值增加表!AG53</f>
        <v>0</v>
      </c>
      <c r="AH45" s="190">
        <f>股权价值增加表!AH53</f>
        <v>0</v>
      </c>
      <c r="AI45" s="190">
        <f>股权价值增加表!AI53</f>
        <v>0</v>
      </c>
      <c r="AJ45" s="190">
        <f>股权价值增加表!AJ53</f>
        <v>0</v>
      </c>
      <c r="AK45" s="190">
        <f>股权价值增加表!AK53</f>
        <v>0</v>
      </c>
      <c r="AL45" s="190">
        <f>股权价值增加表!AL53</f>
        <v>0</v>
      </c>
      <c r="AM45" s="190">
        <f>股权价值增加表!AM53</f>
        <v>0</v>
      </c>
      <c r="AN45" s="190">
        <f>股权价值增加表!AN53</f>
        <v>0</v>
      </c>
      <c r="AO45" s="190">
        <f>股权价值增加表!AO53</f>
        <v>0</v>
      </c>
      <c r="AP45" s="190">
        <f>股权价值增加表!AP53</f>
        <v>0</v>
      </c>
      <c r="AQ45" s="190">
        <f>股权价值增加表!AQ53</f>
        <v>0</v>
      </c>
      <c r="AR45" s="190">
        <f>股权价值增加表!AR53</f>
        <v>0</v>
      </c>
      <c r="AS45" s="190">
        <f>股权价值增加表!AS53</f>
        <v>0</v>
      </c>
      <c r="AT45" s="190">
        <f>股权价值增加表!AT53</f>
        <v>0</v>
      </c>
      <c r="AU45" s="190">
        <f>股权价值增加表!AU53</f>
        <v>0</v>
      </c>
      <c r="AV45" s="190">
        <f>股权价值增加表!AV53</f>
        <v>0</v>
      </c>
      <c r="AW45" s="190">
        <f>股权价值增加表!AW53</f>
        <v>0</v>
      </c>
      <c r="AX45" s="190">
        <f>股权价值增加表!AX53</f>
        <v>0</v>
      </c>
      <c r="AY45" s="190">
        <f>股权价值增加表!AY53</f>
        <v>0</v>
      </c>
      <c r="AZ45" s="190">
        <f>股权价值增加表!AZ53</f>
        <v>0</v>
      </c>
      <c r="BA45" s="190">
        <f>股权价值增加表!BA53</f>
        <v>0</v>
      </c>
      <c r="BB45" s="190">
        <f>股权价值增加表!BB53</f>
        <v>0</v>
      </c>
      <c r="BC45" s="190">
        <f>股权价值增加表!BC53</f>
        <v>0</v>
      </c>
      <c r="BD45" s="190">
        <f>股权价值增加表!BD53</f>
        <v>0</v>
      </c>
      <c r="BE45" s="190">
        <f>股权价值增加表!BE53</f>
        <v>0</v>
      </c>
      <c r="BF45" s="190">
        <f>股权价值增加表!BF53</f>
        <v>0</v>
      </c>
      <c r="BG45" s="190">
        <f>股权价值增加表!BG53</f>
        <v>0</v>
      </c>
      <c r="BH45" s="190">
        <f>股权价值增加表!BH53</f>
        <v>0</v>
      </c>
      <c r="BI45" s="190">
        <f>股权价值增加表!BI53</f>
        <v>0</v>
      </c>
      <c r="BJ45" s="190">
        <f>股权价值增加表!BJ53</f>
        <v>0</v>
      </c>
      <c r="BK45" s="190">
        <f>股权价值增加表!BK53</f>
        <v>0</v>
      </c>
      <c r="BL45" s="190">
        <f>股权价值增加表!BL53</f>
        <v>0</v>
      </c>
      <c r="BM45" s="190">
        <f>股权价值增加表!BM53</f>
        <v>0</v>
      </c>
      <c r="BN45" s="190">
        <f>股权价值增加表!BN53</f>
        <v>0</v>
      </c>
      <c r="BO45" s="190">
        <f>股权价值增加表!BO53</f>
        <v>0</v>
      </c>
      <c r="BP45" s="190">
        <f>股权价值增加表!BP53</f>
        <v>0</v>
      </c>
      <c r="BQ45" s="190">
        <f>股权价值增加表!BQ53</f>
        <v>0</v>
      </c>
      <c r="BR45" s="190">
        <f>股权价值增加表!BR53</f>
        <v>0</v>
      </c>
      <c r="BS45" s="190">
        <f>股权价值增加表!BS53</f>
        <v>0</v>
      </c>
      <c r="BT45" s="190">
        <f>股权价值增加表!BT53</f>
        <v>0</v>
      </c>
      <c r="BU45" s="190">
        <f>股权价值增加表!BU53</f>
        <v>0</v>
      </c>
      <c r="BV45" s="190">
        <f>股权价值增加表!BV53</f>
        <v>0</v>
      </c>
    </row>
    <row r="46" spans="1:74" s="190" customFormat="1">
      <c r="A46" s="190" t="s">
        <v>212</v>
      </c>
      <c r="B46" s="271">
        <v>42770451.840000004</v>
      </c>
      <c r="C46" s="271">
        <v>23414593.670000002</v>
      </c>
      <c r="D46" s="271">
        <v>34481635.329999998</v>
      </c>
      <c r="E46" s="271">
        <v>27409447.399999999</v>
      </c>
      <c r="F46" s="271">
        <v>15365197.91</v>
      </c>
      <c r="G46" s="271">
        <v>27383888.890000001</v>
      </c>
      <c r="H46" s="271">
        <v>0</v>
      </c>
      <c r="I46" s="271">
        <v>0</v>
      </c>
      <c r="J46" s="271">
        <v>0</v>
      </c>
      <c r="K46" s="271">
        <v>0</v>
      </c>
      <c r="L46" s="271">
        <v>0</v>
      </c>
      <c r="M46" s="271">
        <v>0</v>
      </c>
      <c r="N46" s="271">
        <v>0</v>
      </c>
      <c r="O46" s="271">
        <v>0</v>
      </c>
      <c r="P46" s="271">
        <v>0</v>
      </c>
      <c r="Q46" s="271">
        <v>0</v>
      </c>
      <c r="R46" s="271">
        <v>0</v>
      </c>
      <c r="S46" s="271">
        <v>0</v>
      </c>
      <c r="T46" s="187">
        <v>33684820.810000002</v>
      </c>
      <c r="U46" s="187">
        <v>24308411.109999999</v>
      </c>
      <c r="V46" s="187">
        <v>27383888.890000001</v>
      </c>
      <c r="W46" s="187">
        <v>13514111.109999999</v>
      </c>
      <c r="X46" s="187">
        <v>0</v>
      </c>
      <c r="Y46" s="187">
        <v>0</v>
      </c>
      <c r="Z46" s="187">
        <v>0</v>
      </c>
      <c r="AA46" s="187">
        <v>0</v>
      </c>
      <c r="AB46" s="187">
        <v>0</v>
      </c>
      <c r="AC46" s="187">
        <v>0</v>
      </c>
      <c r="AD46" s="187">
        <v>0</v>
      </c>
      <c r="AE46" s="187">
        <v>0</v>
      </c>
      <c r="AF46" s="187">
        <v>0</v>
      </c>
      <c r="AG46" s="187">
        <v>0</v>
      </c>
      <c r="AH46" s="187">
        <v>0</v>
      </c>
      <c r="AI46" s="187">
        <v>0</v>
      </c>
      <c r="AJ46" s="187">
        <v>0</v>
      </c>
      <c r="AK46" s="187">
        <v>0</v>
      </c>
      <c r="AL46" s="187">
        <v>0</v>
      </c>
      <c r="AM46" s="187">
        <v>0</v>
      </c>
      <c r="AN46" s="187">
        <v>0</v>
      </c>
      <c r="AO46" s="187">
        <v>0</v>
      </c>
      <c r="AP46" s="187">
        <v>0</v>
      </c>
      <c r="AQ46" s="187">
        <v>0</v>
      </c>
      <c r="AR46" s="187">
        <v>0</v>
      </c>
      <c r="AS46" s="187">
        <v>0</v>
      </c>
      <c r="AT46" s="187">
        <v>0</v>
      </c>
      <c r="AU46" s="187">
        <v>0</v>
      </c>
      <c r="AV46" s="187">
        <v>0</v>
      </c>
      <c r="AW46" s="187">
        <v>0</v>
      </c>
      <c r="AX46" s="187">
        <v>0</v>
      </c>
      <c r="AY46" s="187">
        <v>0</v>
      </c>
      <c r="AZ46" s="187">
        <v>0</v>
      </c>
      <c r="BA46" s="187">
        <v>0</v>
      </c>
      <c r="BB46" s="187">
        <v>0</v>
      </c>
      <c r="BC46" s="187">
        <v>0</v>
      </c>
      <c r="BD46" s="187">
        <v>0</v>
      </c>
      <c r="BE46" s="187">
        <v>0</v>
      </c>
      <c r="BF46" s="187">
        <v>0</v>
      </c>
      <c r="BG46" s="187">
        <v>0</v>
      </c>
      <c r="BH46" s="187">
        <v>0</v>
      </c>
      <c r="BI46" s="187">
        <v>0</v>
      </c>
      <c r="BJ46" s="187">
        <v>0</v>
      </c>
      <c r="BK46" s="187">
        <v>0</v>
      </c>
      <c r="BL46" s="187">
        <v>0</v>
      </c>
      <c r="BM46" s="187">
        <v>0</v>
      </c>
      <c r="BN46" s="187">
        <v>0</v>
      </c>
      <c r="BO46" s="187">
        <v>0</v>
      </c>
      <c r="BP46" s="187">
        <v>0</v>
      </c>
      <c r="BQ46" s="187">
        <v>0</v>
      </c>
      <c r="BR46" s="187">
        <v>0</v>
      </c>
      <c r="BS46" s="187">
        <v>0</v>
      </c>
      <c r="BT46" s="187">
        <v>0</v>
      </c>
      <c r="BU46" s="187">
        <v>0</v>
      </c>
      <c r="BV46" s="187">
        <v>0</v>
      </c>
    </row>
    <row r="47" spans="1:74" s="190" customFormat="1">
      <c r="A47" s="190" t="s">
        <v>213</v>
      </c>
      <c r="B47" s="271">
        <v>0</v>
      </c>
      <c r="C47" s="271">
        <v>0</v>
      </c>
      <c r="D47" s="271">
        <v>0</v>
      </c>
      <c r="E47" s="271">
        <v>55917672</v>
      </c>
      <c r="F47" s="271">
        <v>0</v>
      </c>
      <c r="G47" s="271">
        <v>0</v>
      </c>
      <c r="H47" s="271">
        <v>0</v>
      </c>
      <c r="I47" s="271">
        <v>0</v>
      </c>
      <c r="J47" s="271">
        <v>0</v>
      </c>
      <c r="K47" s="271">
        <v>0</v>
      </c>
      <c r="L47" s="271">
        <v>0</v>
      </c>
      <c r="M47" s="271">
        <v>0</v>
      </c>
      <c r="N47" s="271">
        <v>0</v>
      </c>
      <c r="O47" s="271">
        <v>0</v>
      </c>
      <c r="P47" s="271">
        <v>0</v>
      </c>
      <c r="Q47" s="271">
        <v>0</v>
      </c>
      <c r="R47" s="271">
        <v>0</v>
      </c>
      <c r="S47" s="271">
        <v>129000000</v>
      </c>
      <c r="T47" s="187">
        <v>0</v>
      </c>
      <c r="U47" s="187">
        <v>0</v>
      </c>
      <c r="V47" s="187">
        <v>0</v>
      </c>
      <c r="W47" s="187">
        <v>0</v>
      </c>
      <c r="X47" s="187">
        <v>0</v>
      </c>
      <c r="Y47" s="187">
        <v>0</v>
      </c>
      <c r="Z47" s="187">
        <v>0</v>
      </c>
      <c r="AA47" s="187">
        <v>0</v>
      </c>
      <c r="AB47" s="187">
        <v>0</v>
      </c>
      <c r="AC47" s="187">
        <v>0</v>
      </c>
      <c r="AD47" s="187">
        <v>0</v>
      </c>
      <c r="AE47" s="187">
        <v>0</v>
      </c>
      <c r="AF47" s="187">
        <v>0</v>
      </c>
      <c r="AG47" s="187">
        <v>0</v>
      </c>
      <c r="AH47" s="187">
        <v>0</v>
      </c>
      <c r="AI47" s="187">
        <v>0</v>
      </c>
      <c r="AJ47" s="187">
        <v>0</v>
      </c>
      <c r="AK47" s="187">
        <v>0</v>
      </c>
      <c r="AL47" s="187">
        <v>0</v>
      </c>
      <c r="AM47" s="187">
        <v>0</v>
      </c>
      <c r="AN47" s="187">
        <v>0</v>
      </c>
      <c r="AO47" s="187">
        <v>0</v>
      </c>
      <c r="AP47" s="187">
        <v>0</v>
      </c>
      <c r="AQ47" s="187">
        <v>0</v>
      </c>
      <c r="AR47" s="187">
        <v>0</v>
      </c>
      <c r="AS47" s="187">
        <v>0</v>
      </c>
      <c r="AT47" s="187">
        <v>0</v>
      </c>
      <c r="AU47" s="187">
        <v>0</v>
      </c>
      <c r="AV47" s="187">
        <v>0</v>
      </c>
      <c r="AW47" s="187">
        <v>0</v>
      </c>
      <c r="AX47" s="187">
        <v>0</v>
      </c>
      <c r="AY47" s="187">
        <v>0</v>
      </c>
      <c r="AZ47" s="187">
        <v>0</v>
      </c>
      <c r="BA47" s="187">
        <v>0</v>
      </c>
      <c r="BB47" s="187">
        <v>191703825.81999999</v>
      </c>
      <c r="BC47" s="187">
        <v>0</v>
      </c>
      <c r="BD47" s="187">
        <v>0</v>
      </c>
      <c r="BE47" s="187">
        <v>0</v>
      </c>
      <c r="BF47" s="187">
        <v>0</v>
      </c>
      <c r="BG47" s="187">
        <v>0</v>
      </c>
      <c r="BH47" s="187">
        <v>0</v>
      </c>
      <c r="BI47" s="187">
        <v>0</v>
      </c>
      <c r="BJ47" s="187">
        <v>0</v>
      </c>
      <c r="BK47" s="187">
        <v>0</v>
      </c>
      <c r="BL47" s="187">
        <v>0</v>
      </c>
      <c r="BM47" s="187">
        <v>0</v>
      </c>
      <c r="BN47" s="187">
        <v>0</v>
      </c>
      <c r="BO47" s="187">
        <v>0</v>
      </c>
      <c r="BP47" s="187">
        <v>129000000</v>
      </c>
      <c r="BQ47" s="187">
        <v>0</v>
      </c>
      <c r="BR47" s="187">
        <v>174460000</v>
      </c>
      <c r="BS47" s="187">
        <v>0</v>
      </c>
      <c r="BT47" s="187">
        <v>0</v>
      </c>
      <c r="BU47" s="187">
        <v>70000000</v>
      </c>
      <c r="BV47" s="187">
        <v>0</v>
      </c>
    </row>
    <row r="48" spans="1:74" s="190" customFormat="1">
      <c r="A48" s="190" t="s">
        <v>483</v>
      </c>
      <c r="B48" s="271">
        <v>0</v>
      </c>
      <c r="C48" s="271">
        <v>0</v>
      </c>
      <c r="D48" s="271">
        <v>0</v>
      </c>
      <c r="E48" s="271">
        <v>0</v>
      </c>
      <c r="F48" s="271">
        <v>0</v>
      </c>
      <c r="G48" s="271">
        <v>0</v>
      </c>
      <c r="H48" s="271">
        <v>0</v>
      </c>
      <c r="I48" s="271">
        <v>0</v>
      </c>
      <c r="J48" s="271">
        <v>0</v>
      </c>
      <c r="K48" s="271">
        <v>0</v>
      </c>
      <c r="L48" s="271">
        <v>0</v>
      </c>
      <c r="M48" s="271">
        <v>0</v>
      </c>
      <c r="N48" s="271">
        <v>0</v>
      </c>
      <c r="O48" s="271">
        <v>0</v>
      </c>
      <c r="P48" s="271">
        <v>0</v>
      </c>
      <c r="Q48" s="271">
        <v>0</v>
      </c>
      <c r="R48" s="271">
        <v>0</v>
      </c>
      <c r="S48" s="271">
        <v>0</v>
      </c>
      <c r="T48" s="187">
        <v>0</v>
      </c>
      <c r="U48" s="187">
        <v>0</v>
      </c>
      <c r="V48" s="187">
        <v>0</v>
      </c>
      <c r="W48" s="187">
        <v>0</v>
      </c>
      <c r="X48" s="187">
        <v>0</v>
      </c>
      <c r="Y48" s="187">
        <v>0</v>
      </c>
      <c r="Z48" s="187">
        <v>0</v>
      </c>
      <c r="AA48" s="187">
        <v>0</v>
      </c>
      <c r="AB48" s="187">
        <v>0</v>
      </c>
      <c r="AC48" s="187">
        <v>0</v>
      </c>
      <c r="AD48" s="187">
        <v>0</v>
      </c>
      <c r="AE48" s="187">
        <v>0</v>
      </c>
      <c r="AF48" s="187">
        <v>0</v>
      </c>
      <c r="AG48" s="187">
        <v>0</v>
      </c>
      <c r="AH48" s="187">
        <v>0</v>
      </c>
      <c r="AI48" s="187">
        <v>0</v>
      </c>
      <c r="AJ48" s="187">
        <v>0</v>
      </c>
      <c r="AK48" s="187">
        <v>0</v>
      </c>
      <c r="AL48" s="187">
        <v>0</v>
      </c>
      <c r="AM48" s="187">
        <v>0</v>
      </c>
      <c r="AN48" s="187">
        <v>0</v>
      </c>
      <c r="AO48" s="187">
        <v>0</v>
      </c>
      <c r="AP48" s="187">
        <v>0</v>
      </c>
      <c r="AQ48" s="187">
        <v>0</v>
      </c>
      <c r="AR48" s="187">
        <v>0</v>
      </c>
      <c r="AS48" s="187">
        <v>0</v>
      </c>
      <c r="AT48" s="187">
        <v>0</v>
      </c>
      <c r="AU48" s="187">
        <v>0</v>
      </c>
      <c r="AV48" s="187">
        <v>0</v>
      </c>
      <c r="AW48" s="187">
        <v>0</v>
      </c>
      <c r="AX48" s="187">
        <v>0</v>
      </c>
      <c r="AY48" s="187">
        <v>0</v>
      </c>
      <c r="AZ48" s="187">
        <v>0</v>
      </c>
      <c r="BA48" s="187">
        <v>0</v>
      </c>
      <c r="BB48" s="187">
        <v>0</v>
      </c>
      <c r="BC48" s="187">
        <v>0</v>
      </c>
      <c r="BD48" s="187">
        <v>0</v>
      </c>
      <c r="BE48" s="187">
        <v>0</v>
      </c>
      <c r="BF48" s="187">
        <v>0</v>
      </c>
      <c r="BG48" s="187">
        <v>0</v>
      </c>
      <c r="BH48" s="187">
        <v>0</v>
      </c>
      <c r="BI48" s="187">
        <v>0</v>
      </c>
      <c r="BJ48" s="187">
        <v>0</v>
      </c>
      <c r="BK48" s="187">
        <v>0</v>
      </c>
      <c r="BL48" s="187">
        <v>0</v>
      </c>
      <c r="BM48" s="187">
        <v>0</v>
      </c>
      <c r="BN48" s="187">
        <v>0</v>
      </c>
      <c r="BO48" s="187">
        <v>0</v>
      </c>
      <c r="BP48" s="187">
        <v>0</v>
      </c>
      <c r="BQ48" s="187">
        <v>0</v>
      </c>
      <c r="BR48" s="187">
        <v>0</v>
      </c>
      <c r="BS48" s="187">
        <v>0</v>
      </c>
      <c r="BT48" s="187">
        <v>0</v>
      </c>
      <c r="BU48" s="187">
        <v>0</v>
      </c>
      <c r="BV48" s="187">
        <v>0</v>
      </c>
    </row>
    <row r="49" spans="1:74" s="190" customFormat="1">
      <c r="A49" s="190" t="s">
        <v>484</v>
      </c>
      <c r="B49" s="190">
        <f t="shared" ref="B49:D49" si="97">B44+B48-B45-B46-B47</f>
        <v>-42770668.840000004</v>
      </c>
      <c r="C49" s="190">
        <f t="shared" si="97"/>
        <v>-23414782.670000002</v>
      </c>
      <c r="D49" s="190">
        <f t="shared" si="97"/>
        <v>-34481635.329999998</v>
      </c>
      <c r="E49" s="190">
        <f>E44+E48-E45-E46-E47</f>
        <v>-84208094.390000001</v>
      </c>
      <c r="F49" s="190">
        <f t="shared" ref="F49:BQ49" si="98">F44+F48-F45-F46-F47</f>
        <v>52017409.090000004</v>
      </c>
      <c r="G49" s="190">
        <f t="shared" si="98"/>
        <v>-27383888.890000001</v>
      </c>
      <c r="H49" s="190">
        <f t="shared" si="98"/>
        <v>0</v>
      </c>
      <c r="I49" s="190">
        <f t="shared" si="98"/>
        <v>-37529578.909999996</v>
      </c>
      <c r="J49" s="190">
        <f t="shared" si="98"/>
        <v>0</v>
      </c>
      <c r="K49" s="190">
        <f t="shared" si="98"/>
        <v>0</v>
      </c>
      <c r="L49" s="190">
        <f t="shared" si="98"/>
        <v>0</v>
      </c>
      <c r="M49" s="190">
        <f t="shared" si="98"/>
        <v>-41360986.93</v>
      </c>
      <c r="N49" s="190">
        <f t="shared" si="98"/>
        <v>0</v>
      </c>
      <c r="O49" s="190">
        <f t="shared" si="98"/>
        <v>0</v>
      </c>
      <c r="P49" s="190">
        <f t="shared" si="98"/>
        <v>0</v>
      </c>
      <c r="Q49" s="190">
        <f t="shared" si="98"/>
        <v>-10292572.550000001</v>
      </c>
      <c r="R49" s="190">
        <f t="shared" si="98"/>
        <v>0</v>
      </c>
      <c r="S49" s="190">
        <f t="shared" si="98"/>
        <v>-129000000</v>
      </c>
      <c r="T49" s="190">
        <f t="shared" si="98"/>
        <v>-33684820.810000002</v>
      </c>
      <c r="U49" s="190">
        <f t="shared" si="98"/>
        <v>-24308411.109999999</v>
      </c>
      <c r="V49" s="190">
        <f t="shared" si="98"/>
        <v>-27383888.890000001</v>
      </c>
      <c r="W49" s="190">
        <f t="shared" si="98"/>
        <v>-13514111.109999999</v>
      </c>
      <c r="X49" s="190">
        <f t="shared" si="98"/>
        <v>0</v>
      </c>
      <c r="Y49" s="190">
        <f t="shared" si="98"/>
        <v>-132222.22</v>
      </c>
      <c r="Z49" s="190">
        <f t="shared" si="98"/>
        <v>0</v>
      </c>
      <c r="AA49" s="190">
        <f t="shared" si="98"/>
        <v>0</v>
      </c>
      <c r="AB49" s="190">
        <f t="shared" si="98"/>
        <v>0</v>
      </c>
      <c r="AC49" s="190">
        <f t="shared" si="98"/>
        <v>0</v>
      </c>
      <c r="AD49" s="190">
        <f t="shared" si="98"/>
        <v>0</v>
      </c>
      <c r="AE49" s="190">
        <f t="shared" si="98"/>
        <v>0</v>
      </c>
      <c r="AF49" s="190">
        <f t="shared" si="98"/>
        <v>0</v>
      </c>
      <c r="AG49" s="190">
        <f t="shared" si="98"/>
        <v>0</v>
      </c>
      <c r="AH49" s="190">
        <f t="shared" si="98"/>
        <v>0</v>
      </c>
      <c r="AI49" s="190">
        <f t="shared" si="98"/>
        <v>0</v>
      </c>
      <c r="AJ49" s="190">
        <f t="shared" si="98"/>
        <v>0</v>
      </c>
      <c r="AK49" s="190">
        <f t="shared" si="98"/>
        <v>0</v>
      </c>
      <c r="AL49" s="190">
        <f t="shared" si="98"/>
        <v>0</v>
      </c>
      <c r="AM49" s="190">
        <f t="shared" si="98"/>
        <v>0</v>
      </c>
      <c r="AN49" s="190">
        <f t="shared" si="98"/>
        <v>0</v>
      </c>
      <c r="AO49" s="190">
        <f t="shared" si="98"/>
        <v>0</v>
      </c>
      <c r="AP49" s="190">
        <f t="shared" si="98"/>
        <v>0</v>
      </c>
      <c r="AQ49" s="190">
        <f t="shared" si="98"/>
        <v>0</v>
      </c>
      <c r="AR49" s="190">
        <f t="shared" si="98"/>
        <v>0</v>
      </c>
      <c r="AS49" s="190">
        <f t="shared" si="98"/>
        <v>0</v>
      </c>
      <c r="AT49" s="190">
        <f t="shared" si="98"/>
        <v>0</v>
      </c>
      <c r="AU49" s="190">
        <f t="shared" si="98"/>
        <v>0</v>
      </c>
      <c r="AV49" s="190">
        <f t="shared" si="98"/>
        <v>0</v>
      </c>
      <c r="AW49" s="190">
        <f t="shared" si="98"/>
        <v>0</v>
      </c>
      <c r="AX49" s="190">
        <f t="shared" si="98"/>
        <v>0</v>
      </c>
      <c r="AY49" s="190">
        <f t="shared" si="98"/>
        <v>0</v>
      </c>
      <c r="AZ49" s="190">
        <f t="shared" si="98"/>
        <v>0</v>
      </c>
      <c r="BA49" s="190">
        <f t="shared" si="98"/>
        <v>0</v>
      </c>
      <c r="BB49" s="190">
        <f t="shared" si="98"/>
        <v>-191703825.81999999</v>
      </c>
      <c r="BC49" s="190">
        <f t="shared" si="98"/>
        <v>0</v>
      </c>
      <c r="BD49" s="190">
        <f t="shared" si="98"/>
        <v>0</v>
      </c>
      <c r="BE49" s="190">
        <f t="shared" si="98"/>
        <v>0</v>
      </c>
      <c r="BF49" s="190">
        <f t="shared" si="98"/>
        <v>0</v>
      </c>
      <c r="BG49" s="190">
        <f t="shared" si="98"/>
        <v>0</v>
      </c>
      <c r="BH49" s="190">
        <f t="shared" si="98"/>
        <v>0</v>
      </c>
      <c r="BI49" s="190">
        <f t="shared" si="98"/>
        <v>0</v>
      </c>
      <c r="BJ49" s="190">
        <f t="shared" si="98"/>
        <v>0</v>
      </c>
      <c r="BK49" s="190">
        <f t="shared" si="98"/>
        <v>0</v>
      </c>
      <c r="BL49" s="190">
        <f t="shared" si="98"/>
        <v>0</v>
      </c>
      <c r="BM49" s="190">
        <f t="shared" si="98"/>
        <v>0</v>
      </c>
      <c r="BN49" s="190">
        <f t="shared" si="98"/>
        <v>0</v>
      </c>
      <c r="BO49" s="190">
        <f t="shared" si="98"/>
        <v>0</v>
      </c>
      <c r="BP49" s="190">
        <f t="shared" si="98"/>
        <v>-129000000</v>
      </c>
      <c r="BQ49" s="190">
        <f t="shared" si="98"/>
        <v>0</v>
      </c>
      <c r="BR49" s="190">
        <f t="shared" ref="BR49:BV49" si="99">BR44+BR48-BR45-BR46-BR47</f>
        <v>-45460000</v>
      </c>
      <c r="BS49" s="190">
        <f t="shared" si="99"/>
        <v>0</v>
      </c>
      <c r="BT49" s="190">
        <f t="shared" si="99"/>
        <v>0</v>
      </c>
      <c r="BU49" s="190">
        <f t="shared" si="99"/>
        <v>-70000000</v>
      </c>
      <c r="BV49" s="190">
        <f t="shared" si="99"/>
        <v>0</v>
      </c>
    </row>
    <row r="50" spans="1:74" s="26" customFormat="1"/>
    <row r="51" spans="1:74" s="16" customFormat="1" ht="120" customHeight="1">
      <c r="A51" s="274" t="s">
        <v>552</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abSelected="1" workbookViewId="0">
      <selection activeCell="C10" sqref="C10"/>
    </sheetView>
  </sheetViews>
  <sheetFormatPr defaultRowHeight="13.5"/>
  <cols>
    <col min="1" max="1" width="61.25" style="17" bestFit="1" customWidth="1"/>
    <col min="2" max="2" width="21.625" bestFit="1" customWidth="1"/>
    <col min="3" max="12" width="20.5" bestFit="1" customWidth="1"/>
    <col min="13" max="19" width="19.375" bestFit="1" customWidth="1"/>
    <col min="20" max="43" width="20.5" bestFit="1" customWidth="1"/>
    <col min="44" max="70" width="19.375" bestFit="1" customWidth="1"/>
    <col min="71" max="73" width="17.25" bestFit="1" customWidth="1"/>
    <col min="74" max="74" width="9.5" bestFit="1" customWidth="1"/>
  </cols>
  <sheetData>
    <row r="1" spans="1:74" s="1" customFormat="1">
      <c r="A1" s="315">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row>
    <row r="2" spans="1:74" s="48" customFormat="1">
      <c r="A2" s="46" t="s">
        <v>214</v>
      </c>
    </row>
    <row r="3" spans="1:74" s="26" customFormat="1">
      <c r="A3" s="17" t="s">
        <v>215</v>
      </c>
      <c r="B3" s="190">
        <f>股权价值增加表!B53</f>
        <v>217</v>
      </c>
      <c r="C3" s="190">
        <f>股权价值增加表!C53</f>
        <v>189</v>
      </c>
      <c r="D3" s="190">
        <f>股权价值增加表!D53</f>
        <v>0</v>
      </c>
      <c r="E3" s="26">
        <f>股权价值增加表!E53</f>
        <v>880974.99</v>
      </c>
      <c r="F3" s="26">
        <f>股权价值增加表!F53</f>
        <v>0</v>
      </c>
      <c r="G3" s="26">
        <f>股权价值增加表!G53</f>
        <v>0</v>
      </c>
      <c r="H3" s="26">
        <f>股权价值增加表!H53</f>
        <v>0</v>
      </c>
      <c r="I3" s="26">
        <f>股权价值增加表!I53</f>
        <v>37529578.909999996</v>
      </c>
      <c r="J3" s="26">
        <f>股权价值增加表!J53</f>
        <v>0</v>
      </c>
      <c r="K3" s="26">
        <f>股权价值增加表!K53</f>
        <v>0</v>
      </c>
      <c r="L3" s="26">
        <f>股权价值增加表!L53</f>
        <v>0</v>
      </c>
      <c r="M3" s="26">
        <f>股权价值增加表!M53</f>
        <v>41360986.93</v>
      </c>
      <c r="N3" s="26">
        <f>股权价值增加表!N53</f>
        <v>0</v>
      </c>
      <c r="O3" s="26">
        <f>股权价值增加表!O53</f>
        <v>0</v>
      </c>
      <c r="P3" s="26">
        <f>股权价值增加表!P53</f>
        <v>0</v>
      </c>
      <c r="Q3" s="26">
        <f>股权价值增加表!Q53</f>
        <v>10292572.550000001</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132222.22</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216</v>
      </c>
      <c r="B4" s="190">
        <f>资产资本表!B89</f>
        <v>42770451.840000004</v>
      </c>
      <c r="C4" s="190">
        <f>资产资本表!C89</f>
        <v>23414593.670000002</v>
      </c>
      <c r="D4" s="190">
        <f>资产资本表!D89</f>
        <v>34481635.329999998</v>
      </c>
      <c r="E4" s="26">
        <f>资产资本表!E89</f>
        <v>27409447.399999999</v>
      </c>
      <c r="F4" s="26">
        <f>资产资本表!F89</f>
        <v>77917681.909999996</v>
      </c>
      <c r="G4" s="26">
        <f>资产资本表!G89</f>
        <v>27383888.890000001</v>
      </c>
      <c r="H4" s="26">
        <f>资产资本表!H89</f>
        <v>0</v>
      </c>
      <c r="I4" s="26">
        <f>资产资本表!I89</f>
        <v>0</v>
      </c>
      <c r="J4" s="26">
        <f>资产资本表!J89</f>
        <v>0</v>
      </c>
      <c r="K4" s="26">
        <f>资产资本表!K89</f>
        <v>0</v>
      </c>
      <c r="L4" s="26">
        <f>资产资本表!L89</f>
        <v>0</v>
      </c>
      <c r="M4" s="26">
        <f>资产资本表!M89</f>
        <v>0</v>
      </c>
      <c r="N4" s="26">
        <f>资产资本表!N89</f>
        <v>0</v>
      </c>
      <c r="O4" s="26">
        <f>资产资本表!O89</f>
        <v>0</v>
      </c>
      <c r="P4" s="26">
        <f>资产资本表!P89</f>
        <v>0</v>
      </c>
      <c r="Q4" s="26">
        <f>资产资本表!Q89</f>
        <v>0</v>
      </c>
      <c r="R4" s="26">
        <f>资产资本表!R89</f>
        <v>0</v>
      </c>
      <c r="S4" s="26">
        <f>资产资本表!S89</f>
        <v>0</v>
      </c>
      <c r="T4" s="26">
        <f>资产资本表!T89</f>
        <v>0</v>
      </c>
      <c r="U4" s="26">
        <f>资产资本表!U89</f>
        <v>0</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220</v>
      </c>
      <c r="B5" s="63">
        <f t="shared" ref="B5:D5" si="0">IF(B4+F4=0,0,B3/((B4+F4)/2))</f>
        <v>3.5960453320043157E-6</v>
      </c>
      <c r="C5" s="63">
        <f t="shared" si="0"/>
        <v>7.4411671559978188E-6</v>
      </c>
      <c r="D5" s="63">
        <f t="shared" si="0"/>
        <v>0</v>
      </c>
      <c r="E5" s="63">
        <f>IF(E4+I4=0,0,E3/((E4+I4)/2))</f>
        <v>6.4282579443757773E-2</v>
      </c>
      <c r="F5" s="63">
        <f t="shared" ref="F5:BQ5" si="1">IF(F4+J4=0,0,F3/((F4+J4)/2))</f>
        <v>0</v>
      </c>
      <c r="G5" s="63">
        <f t="shared" si="1"/>
        <v>0</v>
      </c>
      <c r="H5" s="63">
        <f t="shared" si="1"/>
        <v>0</v>
      </c>
      <c r="I5" s="63">
        <f t="shared" si="1"/>
        <v>0</v>
      </c>
      <c r="J5" s="63">
        <f t="shared" si="1"/>
        <v>0</v>
      </c>
      <c r="K5" s="63">
        <f t="shared" si="1"/>
        <v>0</v>
      </c>
      <c r="L5" s="63">
        <f t="shared" si="1"/>
        <v>0</v>
      </c>
      <c r="M5" s="63">
        <f t="shared" si="1"/>
        <v>0</v>
      </c>
      <c r="N5" s="63">
        <f t="shared" si="1"/>
        <v>0</v>
      </c>
      <c r="O5" s="63">
        <f t="shared" si="1"/>
        <v>0</v>
      </c>
      <c r="P5" s="63">
        <f t="shared" si="1"/>
        <v>0</v>
      </c>
      <c r="Q5" s="63">
        <f t="shared" si="1"/>
        <v>0</v>
      </c>
      <c r="R5" s="63">
        <f t="shared" si="1"/>
        <v>0</v>
      </c>
      <c r="S5" s="63">
        <f t="shared" si="1"/>
        <v>0</v>
      </c>
      <c r="T5" s="63">
        <f t="shared" si="1"/>
        <v>0</v>
      </c>
      <c r="U5" s="63">
        <f t="shared" si="1"/>
        <v>0</v>
      </c>
      <c r="V5" s="63">
        <f t="shared" si="1"/>
        <v>0</v>
      </c>
      <c r="W5" s="63">
        <f t="shared" si="1"/>
        <v>0</v>
      </c>
      <c r="X5" s="63">
        <f t="shared" si="1"/>
        <v>0</v>
      </c>
      <c r="Y5" s="63">
        <f t="shared" si="1"/>
        <v>0</v>
      </c>
      <c r="Z5" s="63">
        <f t="shared" si="1"/>
        <v>0</v>
      </c>
      <c r="AA5" s="63">
        <f t="shared" si="1"/>
        <v>0</v>
      </c>
      <c r="AB5" s="63">
        <f t="shared" si="1"/>
        <v>0</v>
      </c>
      <c r="AC5" s="63">
        <f t="shared" si="1"/>
        <v>0</v>
      </c>
      <c r="AD5" s="63">
        <f t="shared" si="1"/>
        <v>0</v>
      </c>
      <c r="AE5" s="63">
        <f t="shared" si="1"/>
        <v>0</v>
      </c>
      <c r="AF5" s="63">
        <f t="shared" si="1"/>
        <v>0</v>
      </c>
      <c r="AG5" s="63">
        <f t="shared" si="1"/>
        <v>0</v>
      </c>
      <c r="AH5" s="63">
        <f t="shared" si="1"/>
        <v>0</v>
      </c>
      <c r="AI5" s="63">
        <f t="shared" si="1"/>
        <v>0</v>
      </c>
      <c r="AJ5" s="63">
        <f t="shared" si="1"/>
        <v>0</v>
      </c>
      <c r="AK5" s="63">
        <f t="shared" si="1"/>
        <v>0</v>
      </c>
      <c r="AL5" s="63">
        <f t="shared" si="1"/>
        <v>0</v>
      </c>
      <c r="AM5" s="63">
        <f t="shared" si="1"/>
        <v>0</v>
      </c>
      <c r="AN5" s="63">
        <f t="shared" si="1"/>
        <v>0</v>
      </c>
      <c r="AO5" s="63">
        <f t="shared" si="1"/>
        <v>0</v>
      </c>
      <c r="AP5" s="63">
        <f t="shared" si="1"/>
        <v>0</v>
      </c>
      <c r="AQ5" s="63">
        <f t="shared" si="1"/>
        <v>0</v>
      </c>
      <c r="AR5" s="63">
        <f t="shared" si="1"/>
        <v>0</v>
      </c>
      <c r="AS5" s="63">
        <f t="shared" si="1"/>
        <v>0</v>
      </c>
      <c r="AT5" s="63">
        <f t="shared" si="1"/>
        <v>0</v>
      </c>
      <c r="AU5" s="63">
        <f t="shared" si="1"/>
        <v>0</v>
      </c>
      <c r="AV5" s="63">
        <f t="shared" si="1"/>
        <v>0</v>
      </c>
      <c r="AW5" s="63">
        <f t="shared" si="1"/>
        <v>0</v>
      </c>
      <c r="AX5" s="63">
        <f t="shared" si="1"/>
        <v>0</v>
      </c>
      <c r="AY5" s="63">
        <f t="shared" si="1"/>
        <v>0</v>
      </c>
      <c r="AZ5" s="63">
        <f t="shared" si="1"/>
        <v>0</v>
      </c>
      <c r="BA5" s="63">
        <f t="shared" si="1"/>
        <v>0</v>
      </c>
      <c r="BB5" s="63">
        <f t="shared" si="1"/>
        <v>0</v>
      </c>
      <c r="BC5" s="63">
        <f t="shared" si="1"/>
        <v>0</v>
      </c>
      <c r="BD5" s="63">
        <f t="shared" si="1"/>
        <v>0</v>
      </c>
      <c r="BE5" s="63">
        <f t="shared" si="1"/>
        <v>0</v>
      </c>
      <c r="BF5" s="63">
        <f t="shared" si="1"/>
        <v>0</v>
      </c>
      <c r="BG5" s="63">
        <f t="shared" si="1"/>
        <v>0</v>
      </c>
      <c r="BH5" s="63">
        <f t="shared" si="1"/>
        <v>0</v>
      </c>
      <c r="BI5" s="63">
        <f t="shared" si="1"/>
        <v>0</v>
      </c>
      <c r="BJ5" s="63">
        <f t="shared" si="1"/>
        <v>0</v>
      </c>
      <c r="BK5" s="63">
        <f t="shared" si="1"/>
        <v>0</v>
      </c>
      <c r="BL5" s="63">
        <f t="shared" si="1"/>
        <v>0</v>
      </c>
      <c r="BM5" s="63">
        <f t="shared" si="1"/>
        <v>0</v>
      </c>
      <c r="BN5" s="63">
        <f t="shared" si="1"/>
        <v>0</v>
      </c>
      <c r="BO5" s="63">
        <f t="shared" si="1"/>
        <v>0</v>
      </c>
      <c r="BP5" s="63">
        <f t="shared" si="1"/>
        <v>0</v>
      </c>
      <c r="BQ5" s="63">
        <f t="shared" si="1"/>
        <v>0</v>
      </c>
      <c r="BR5" s="63">
        <f t="shared" ref="BR5:BV5" si="2">IF(BR4+BV4=0,0,BR3/((BR4+BV4)/2))</f>
        <v>0</v>
      </c>
      <c r="BS5" s="63">
        <f t="shared" si="2"/>
        <v>0</v>
      </c>
      <c r="BT5" s="63">
        <f t="shared" si="2"/>
        <v>0</v>
      </c>
      <c r="BU5" s="63">
        <f t="shared" si="2"/>
        <v>0</v>
      </c>
      <c r="BV5" s="63">
        <f t="shared" si="2"/>
        <v>0</v>
      </c>
    </row>
    <row r="6" spans="1:74" s="63" customFormat="1">
      <c r="A6" s="63" t="s">
        <v>233</v>
      </c>
      <c r="B6" s="63">
        <f>股权价值增加表!B41</f>
        <v>0.27412550194144442</v>
      </c>
      <c r="C6" s="63">
        <f>股权价值增加表!C41</f>
        <v>0.27012192131004042</v>
      </c>
      <c r="D6" s="63">
        <f>股权价值增加表!D41</f>
        <v>0.26447068941430324</v>
      </c>
      <c r="E6" s="63">
        <f>股权价值增加表!E41</f>
        <v>0.26075009447259423</v>
      </c>
      <c r="F6" s="63">
        <f>股权价值增加表!F41</f>
        <v>0.2635478719563526</v>
      </c>
      <c r="G6" s="63">
        <f>股权价值增加表!G41</f>
        <v>0.25645756024475358</v>
      </c>
      <c r="H6" s="63">
        <f>股权价值增加表!H41</f>
        <v>0.25090465884958446</v>
      </c>
      <c r="I6" s="63">
        <f>股权价值增加表!I41</f>
        <v>0.25007040016276061</v>
      </c>
      <c r="J6" s="63">
        <f>股权价值增加表!J41</f>
        <v>0.25447489342767821</v>
      </c>
      <c r="K6" s="63">
        <f>股权价值增加表!K41</f>
        <v>0.25123606943175986</v>
      </c>
      <c r="L6" s="63">
        <f>股权价值增加表!L41</f>
        <v>0.25709637921404088</v>
      </c>
      <c r="M6" s="63">
        <f>股权价值增加表!M41</f>
        <v>0.34421187243832296</v>
      </c>
      <c r="N6" s="63">
        <f>股权价值增加表!N41</f>
        <v>0.36740844790858573</v>
      </c>
      <c r="O6" s="63">
        <f>股权价值增加表!O41</f>
        <v>0.39117032365857002</v>
      </c>
      <c r="P6" s="63">
        <f>股权价值增加表!P41</f>
        <v>0.42698925270265475</v>
      </c>
      <c r="Q6" s="63">
        <f>股权价值增加表!Q41</f>
        <v>0.37807710920715293</v>
      </c>
      <c r="R6" s="63">
        <f>股权价值增加表!R41</f>
        <v>0.39550779621384147</v>
      </c>
      <c r="S6" s="63">
        <f>股权价值增加表!S41</f>
        <v>0.43627838555897652</v>
      </c>
      <c r="T6" s="63">
        <f>股权价值增加表!T41</f>
        <v>44.967931387719545</v>
      </c>
      <c r="U6" s="63">
        <f>股权价值增加表!U41</f>
        <v>57.387866474316503</v>
      </c>
      <c r="V6" s="63">
        <f>股权价值增加表!V41</f>
        <v>12.653687547729666</v>
      </c>
      <c r="W6" s="63">
        <f>股权价值增加表!W41</f>
        <v>11.54782737985893</v>
      </c>
      <c r="X6" s="63">
        <f>股权价值增加表!X41</f>
        <v>10.357675144344505</v>
      </c>
      <c r="Y6" s="63">
        <f>股权价值增加表!Y41</f>
        <v>11.802773065541022</v>
      </c>
      <c r="Z6" s="63">
        <f>股权价值增加表!Z41</f>
        <v>11.064065559835152</v>
      </c>
      <c r="AA6" s="63">
        <f>股权价值增加表!AA41</f>
        <v>12.134597073444574</v>
      </c>
      <c r="AB6" s="63">
        <f>股权价值增加表!AB41</f>
        <v>12.880631687292944</v>
      </c>
      <c r="AC6" s="63">
        <f>股权价值增加表!AC41</f>
        <v>10.896253367938758</v>
      </c>
      <c r="AD6" s="63">
        <f>股权价值增加表!AD41</f>
        <v>8.7095063965958683</v>
      </c>
      <c r="AE6" s="63">
        <f>股权价值增加表!AE41</f>
        <v>10.623271628002732</v>
      </c>
      <c r="AF6" s="63">
        <f>股权价值增加表!AF41</f>
        <v>11.316304606543676</v>
      </c>
      <c r="AG6" s="63">
        <f>股权价值增加表!AG41</f>
        <v>12.43957254285114</v>
      </c>
      <c r="AH6" s="63">
        <f>股权价值增加表!AH41</f>
        <v>10.294807356370553</v>
      </c>
      <c r="AI6" s="63">
        <f>股权价值增加表!AI41</f>
        <v>10.781488343272676</v>
      </c>
      <c r="AJ6" s="63">
        <f>股权价值增加表!AJ41</f>
        <v>11.023218191417721</v>
      </c>
      <c r="AK6" s="63">
        <f>股权价值增加表!AK41</f>
        <v>9.6955060851490309</v>
      </c>
      <c r="AL6" s="63">
        <f>股权价值增加表!AL41</f>
        <v>11.328892891988181</v>
      </c>
      <c r="AM6" s="63">
        <f>股权价值增加表!AM41</f>
        <v>14.502719172613913</v>
      </c>
      <c r="AN6" s="63">
        <f>股权价值增加表!AN41</f>
        <v>11.03662590558605</v>
      </c>
      <c r="AO6" s="63">
        <f>股权价值增加表!AO41</f>
        <v>5.2225287601536969</v>
      </c>
      <c r="AP6" s="63">
        <f>股权价值增加表!AP41</f>
        <v>13.335591252568179</v>
      </c>
      <c r="AQ6" s="63">
        <f>股权价值增加表!AQ41</f>
        <v>17.399311085926136</v>
      </c>
      <c r="AR6" s="63">
        <f>股权价值增加表!AR41</f>
        <v>16.728028193198771</v>
      </c>
      <c r="AS6" s="63">
        <f>股权价值增加表!AS41</f>
        <v>7.6187754770241618</v>
      </c>
      <c r="AT6" s="63">
        <f>股权价值增加表!AT41</f>
        <v>33.419532808820172</v>
      </c>
      <c r="AU6" s="63">
        <f>股权价值增加表!AU41</f>
        <v>21.498423925473077</v>
      </c>
      <c r="AV6" s="63">
        <f>股权价值增加表!AV41</f>
        <v>13.809221919527088</v>
      </c>
      <c r="AW6" s="63">
        <f>股权价值增加表!AW41</f>
        <v>11.689914755452179</v>
      </c>
      <c r="AX6" s="63">
        <f>股权价值增加表!AX41</f>
        <v>32.313891419596544</v>
      </c>
      <c r="AY6" s="63">
        <f>股权价值增加表!AY41</f>
        <v>39.226505768972416</v>
      </c>
      <c r="AZ6" s="63">
        <f>股权价值增加表!AZ41</f>
        <v>49.395052120221578</v>
      </c>
      <c r="BA6" s="63">
        <f>股权价值增加表!BA41</f>
        <v>72.339108369181957</v>
      </c>
      <c r="BB6" s="63">
        <f>股权价值增加表!BB41</f>
        <v>22.975396358489043</v>
      </c>
      <c r="BC6" s="63">
        <f>股权价值增加表!BC41</f>
        <v>29.204124360431024</v>
      </c>
      <c r="BD6" s="63">
        <f>股权价值增加表!BD41</f>
        <v>31.247854798215396</v>
      </c>
      <c r="BE6" s="63">
        <f>股权价值增加表!BE41</f>
        <v>48.764944728398476</v>
      </c>
      <c r="BF6" s="63">
        <f>股权价值增加表!BF41</f>
        <v>24.1933841867355</v>
      </c>
      <c r="BG6" s="63">
        <f>股权价值增加表!BG41</f>
        <v>15.142221240587208</v>
      </c>
      <c r="BH6" s="63">
        <f>股权价值增加表!BH41</f>
        <v>20.651000182503786</v>
      </c>
      <c r="BI6" s="63">
        <f>股权价值增加表!BI41</f>
        <v>19.242818597110379</v>
      </c>
      <c r="BJ6" s="63">
        <f>股权价值增加表!BJ41</f>
        <v>22.961740067063069</v>
      </c>
      <c r="BK6" s="63">
        <f>股权价值增加表!BK41</f>
        <v>18.495487267442197</v>
      </c>
      <c r="BL6" s="63">
        <f>股权价值增加表!BL41</f>
        <v>34.030509856026697</v>
      </c>
      <c r="BM6" s="63">
        <f>股权价值增加表!BM41</f>
        <v>52.605607440007205</v>
      </c>
      <c r="BN6" s="63">
        <f>股权价值增加表!BN41</f>
        <v>14.70574539703096</v>
      </c>
      <c r="BO6" s="63">
        <f>股权价值增加表!BO41</f>
        <v>13.645680282025793</v>
      </c>
      <c r="BP6" s="63">
        <f>股权价值增加表!BP41</f>
        <v>13.058566911559192</v>
      </c>
      <c r="BQ6" s="63">
        <f>股权价值增加表!BQ41</f>
        <v>46.659797778568581</v>
      </c>
      <c r="BR6" s="63">
        <f>股权价值增加表!BR41</f>
        <v>46.133070341512529</v>
      </c>
      <c r="BS6" s="63">
        <f>股权价值增加表!BS41</f>
        <v>-106.96211333146738</v>
      </c>
      <c r="BT6" s="63">
        <f>股权价值增加表!BT41</f>
        <v>-28.377054674972978</v>
      </c>
      <c r="BU6" s="63">
        <f>股权价值增加表!BU41</f>
        <v>-12.228309660750529</v>
      </c>
    </row>
    <row r="7" spans="1:74" s="63" customFormat="1">
      <c r="A7" s="63" t="s">
        <v>217</v>
      </c>
      <c r="B7" s="63">
        <f t="shared" ref="B7:D7" si="3">B5*(1-B6)</f>
        <v>2.6102776003644447E-6</v>
      </c>
      <c r="C7" s="63">
        <f t="shared" si="3"/>
        <v>5.4311447870305189E-6</v>
      </c>
      <c r="D7" s="63">
        <f t="shared" si="3"/>
        <v>0</v>
      </c>
      <c r="E7" s="63">
        <f>E5*(1-E6)</f>
        <v>4.752089078085589E-2</v>
      </c>
      <c r="F7" s="63">
        <f t="shared" ref="F7:BQ7" si="4">F5*(1-F6)</f>
        <v>0</v>
      </c>
      <c r="G7" s="63">
        <f t="shared" si="4"/>
        <v>0</v>
      </c>
      <c r="H7" s="63">
        <f t="shared" si="4"/>
        <v>0</v>
      </c>
      <c r="I7" s="63">
        <f t="shared" si="4"/>
        <v>0</v>
      </c>
      <c r="J7" s="63">
        <f t="shared" si="4"/>
        <v>0</v>
      </c>
      <c r="K7" s="63">
        <f t="shared" si="4"/>
        <v>0</v>
      </c>
      <c r="L7" s="63">
        <f t="shared" si="4"/>
        <v>0</v>
      </c>
      <c r="M7" s="63">
        <f t="shared" si="4"/>
        <v>0</v>
      </c>
      <c r="N7" s="63">
        <f t="shared" si="4"/>
        <v>0</v>
      </c>
      <c r="O7" s="63">
        <f t="shared" si="4"/>
        <v>0</v>
      </c>
      <c r="P7" s="63">
        <f t="shared" si="4"/>
        <v>0</v>
      </c>
      <c r="Q7" s="63">
        <f t="shared" si="4"/>
        <v>0</v>
      </c>
      <c r="R7" s="63">
        <f t="shared" si="4"/>
        <v>0</v>
      </c>
      <c r="S7" s="63">
        <f t="shared" si="4"/>
        <v>0</v>
      </c>
      <c r="T7" s="63">
        <f t="shared" si="4"/>
        <v>0</v>
      </c>
      <c r="U7" s="63">
        <f t="shared" si="4"/>
        <v>0</v>
      </c>
      <c r="V7" s="63">
        <f t="shared" si="4"/>
        <v>0</v>
      </c>
      <c r="W7" s="63">
        <f t="shared" si="4"/>
        <v>0</v>
      </c>
      <c r="X7" s="63">
        <f t="shared" si="4"/>
        <v>0</v>
      </c>
      <c r="Y7" s="63">
        <f t="shared" si="4"/>
        <v>0</v>
      </c>
      <c r="Z7" s="63">
        <f t="shared" si="4"/>
        <v>0</v>
      </c>
      <c r="AA7" s="63">
        <f t="shared" si="4"/>
        <v>0</v>
      </c>
      <c r="AB7" s="63">
        <f t="shared" si="4"/>
        <v>0</v>
      </c>
      <c r="AC7" s="63">
        <f t="shared" si="4"/>
        <v>0</v>
      </c>
      <c r="AD7" s="63">
        <f t="shared" si="4"/>
        <v>0</v>
      </c>
      <c r="AE7" s="63">
        <f t="shared" si="4"/>
        <v>0</v>
      </c>
      <c r="AF7" s="63">
        <f t="shared" si="4"/>
        <v>0</v>
      </c>
      <c r="AG7" s="63">
        <f t="shared" si="4"/>
        <v>0</v>
      </c>
      <c r="AH7" s="63">
        <f t="shared" si="4"/>
        <v>0</v>
      </c>
      <c r="AI7" s="63">
        <f t="shared" si="4"/>
        <v>0</v>
      </c>
      <c r="AJ7" s="63">
        <f t="shared" si="4"/>
        <v>0</v>
      </c>
      <c r="AK7" s="63">
        <f t="shared" si="4"/>
        <v>0</v>
      </c>
      <c r="AL7" s="63">
        <f t="shared" si="4"/>
        <v>0</v>
      </c>
      <c r="AM7" s="63">
        <f t="shared" si="4"/>
        <v>0</v>
      </c>
      <c r="AN7" s="63">
        <f t="shared" si="4"/>
        <v>0</v>
      </c>
      <c r="AO7" s="63">
        <f t="shared" si="4"/>
        <v>0</v>
      </c>
      <c r="AP7" s="63">
        <f t="shared" si="4"/>
        <v>0</v>
      </c>
      <c r="AQ7" s="63">
        <f t="shared" si="4"/>
        <v>0</v>
      </c>
      <c r="AR7" s="63">
        <f t="shared" si="4"/>
        <v>0</v>
      </c>
      <c r="AS7" s="63">
        <f t="shared" si="4"/>
        <v>0</v>
      </c>
      <c r="AT7" s="63">
        <f t="shared" si="4"/>
        <v>0</v>
      </c>
      <c r="AU7" s="63">
        <f t="shared" si="4"/>
        <v>0</v>
      </c>
      <c r="AV7" s="63">
        <f t="shared" si="4"/>
        <v>0</v>
      </c>
      <c r="AW7" s="63">
        <f t="shared" si="4"/>
        <v>0</v>
      </c>
      <c r="AX7" s="63">
        <f t="shared" si="4"/>
        <v>0</v>
      </c>
      <c r="AY7" s="63">
        <f t="shared" si="4"/>
        <v>0</v>
      </c>
      <c r="AZ7" s="63">
        <f t="shared" si="4"/>
        <v>0</v>
      </c>
      <c r="BA7" s="63">
        <f t="shared" si="4"/>
        <v>0</v>
      </c>
      <c r="BB7" s="63">
        <f t="shared" si="4"/>
        <v>0</v>
      </c>
      <c r="BC7" s="63">
        <f t="shared" si="4"/>
        <v>0</v>
      </c>
      <c r="BD7" s="63">
        <f t="shared" si="4"/>
        <v>0</v>
      </c>
      <c r="BE7" s="63">
        <f t="shared" si="4"/>
        <v>0</v>
      </c>
      <c r="BF7" s="63">
        <f t="shared" si="4"/>
        <v>0</v>
      </c>
      <c r="BG7" s="63">
        <f t="shared" si="4"/>
        <v>0</v>
      </c>
      <c r="BH7" s="63">
        <f t="shared" si="4"/>
        <v>0</v>
      </c>
      <c r="BI7" s="63">
        <f t="shared" si="4"/>
        <v>0</v>
      </c>
      <c r="BJ7" s="63">
        <f t="shared" si="4"/>
        <v>0</v>
      </c>
      <c r="BK7" s="63">
        <f t="shared" si="4"/>
        <v>0</v>
      </c>
      <c r="BL7" s="63">
        <f t="shared" si="4"/>
        <v>0</v>
      </c>
      <c r="BM7" s="63">
        <f t="shared" si="4"/>
        <v>0</v>
      </c>
      <c r="BN7" s="63">
        <f t="shared" si="4"/>
        <v>0</v>
      </c>
      <c r="BO7" s="63">
        <f t="shared" si="4"/>
        <v>0</v>
      </c>
      <c r="BP7" s="63">
        <f t="shared" si="4"/>
        <v>0</v>
      </c>
      <c r="BQ7" s="63">
        <f t="shared" si="4"/>
        <v>0</v>
      </c>
      <c r="BR7" s="63">
        <f>BR5*(1-BR6)</f>
        <v>0</v>
      </c>
      <c r="BS7" s="63">
        <f>BS5*(1-BS6)</f>
        <v>0</v>
      </c>
      <c r="BT7" s="63">
        <f>BT5*(1-BT6)</f>
        <v>0</v>
      </c>
      <c r="BU7" s="63">
        <f>BU5*(1-BU6)</f>
        <v>0</v>
      </c>
      <c r="BV7" s="63">
        <f>BV5*(1-BV6)</f>
        <v>0</v>
      </c>
    </row>
    <row r="8" spans="1:74" s="26" customFormat="1">
      <c r="A8" s="17" t="s">
        <v>218</v>
      </c>
      <c r="B8" s="190">
        <f>资产资本表!B107</f>
        <v>117408487922.53</v>
      </c>
      <c r="C8" s="190">
        <f>资产资本表!C107</f>
        <v>96019627475.080002</v>
      </c>
      <c r="D8" s="190">
        <f>资产资本表!D107</f>
        <v>75898542854.720001</v>
      </c>
      <c r="E8" s="26">
        <f>资产资本表!E107</f>
        <v>66234170421.290001</v>
      </c>
      <c r="F8" s="26">
        <f>资产资本表!F107</f>
        <v>55311550841.119995</v>
      </c>
      <c r="G8" s="26">
        <f>资产资本表!G107</f>
        <v>44129092273.259995</v>
      </c>
      <c r="H8" s="26">
        <f>资产资本表!H107</f>
        <v>35454036397.25</v>
      </c>
      <c r="I8" s="26">
        <f>资产资本表!I107</f>
        <v>25403379611.289997</v>
      </c>
      <c r="J8" s="26">
        <f>资产资本表!J107</f>
        <v>18549389694.619999</v>
      </c>
      <c r="K8" s="26">
        <f>资产资本表!K107</f>
        <v>14651565394.209999</v>
      </c>
      <c r="L8" s="26">
        <f>资产资本表!L107</f>
        <v>11503418295.949999</v>
      </c>
      <c r="M8" s="26">
        <f>资产资本表!M107</f>
        <v>8368855770.4400005</v>
      </c>
      <c r="N8" s="26">
        <f>资产资本表!N107</f>
        <v>5995028649.4300003</v>
      </c>
      <c r="O8" s="26">
        <f>资产资本表!O107</f>
        <v>5162395081.5200005</v>
      </c>
      <c r="P8" s="26">
        <f>资产资本表!P107</f>
        <v>4216707746.73</v>
      </c>
      <c r="Q8" s="26">
        <f>资产资本表!Q107</f>
        <v>3470524090.9299998</v>
      </c>
      <c r="R8" s="26">
        <f>资产资本表!R107</f>
        <v>2852845506.1599998</v>
      </c>
      <c r="S8" s="26">
        <f>资产资本表!S107</f>
        <v>2530915664.8000002</v>
      </c>
      <c r="T8" s="26">
        <f>资产资本表!T107</f>
        <v>46624176881.220001</v>
      </c>
      <c r="U8" s="26">
        <f>资产资本表!U107</f>
        <v>47453571644.629997</v>
      </c>
      <c r="V8" s="26">
        <f>资产资本表!V107</f>
        <v>44129092273.259995</v>
      </c>
      <c r="W8" s="26">
        <f>资产资本表!W107</f>
        <v>39820367702.190002</v>
      </c>
      <c r="X8" s="26">
        <f>资产资本表!X107</f>
        <v>35779107183.520004</v>
      </c>
      <c r="Y8" s="26">
        <f>资产资本表!Y107</f>
        <v>38595633055.419998</v>
      </c>
      <c r="Z8" s="26">
        <f>资产资本表!Z107</f>
        <v>35454036397.25</v>
      </c>
      <c r="AA8" s="26">
        <f>资产资本表!AA107</f>
        <v>31991565468.779999</v>
      </c>
      <c r="AB8" s="26">
        <f>资产资本表!AB107</f>
        <v>28404775233.629997</v>
      </c>
      <c r="AC8" s="26">
        <f>资产资本表!AC107</f>
        <v>28530620402.029999</v>
      </c>
      <c r="AD8" s="26">
        <f>资产资本表!AD107</f>
        <v>25403379611.289997</v>
      </c>
      <c r="AE8" s="26">
        <f>资产资本表!AE107</f>
        <v>23083770116.279999</v>
      </c>
      <c r="AF8" s="26">
        <f>资产资本表!AF107</f>
        <v>21544955887.150002</v>
      </c>
      <c r="AG8" s="26">
        <f>资产资本表!AG107</f>
        <v>20540681024.259998</v>
      </c>
      <c r="AH8" s="26">
        <f>资产资本表!AH107</f>
        <v>18549389694.619999</v>
      </c>
      <c r="AI8" s="26">
        <f>资产资本表!AI107</f>
        <v>17721770193.439999</v>
      </c>
      <c r="AJ8" s="26">
        <f>资产资本表!AJ107</f>
        <v>16737213296.220001</v>
      </c>
      <c r="AK8" s="26">
        <f>资产资本表!AK107</f>
        <v>15995948192.019999</v>
      </c>
      <c r="AL8" s="26">
        <f>资产资本表!AL107</f>
        <v>14651565394.209999</v>
      </c>
      <c r="AM8" s="26">
        <f>资产资本表!AM107</f>
        <v>14215679731.030001</v>
      </c>
      <c r="AN8" s="26">
        <f>资产资本表!AN107</f>
        <v>13166976369.08</v>
      </c>
      <c r="AO8" s="26">
        <f>资产资本表!AO107</f>
        <v>12608007479.039999</v>
      </c>
      <c r="AP8" s="26">
        <f>资产资本表!AP107</f>
        <v>11503418295.949999</v>
      </c>
      <c r="AQ8" s="26">
        <f>资产资本表!AQ107</f>
        <v>10807004733.84</v>
      </c>
      <c r="AR8" s="26">
        <f>资产资本表!AR107</f>
        <v>9854634976.4699993</v>
      </c>
      <c r="AS8" s="26">
        <f>资产资本表!AS107</f>
        <v>9285941265.0299988</v>
      </c>
      <c r="AT8" s="26">
        <f>资产资本表!AT107</f>
        <v>8368855770.4400005</v>
      </c>
      <c r="AU8" s="26">
        <f>资产资本表!AU107</f>
        <v>6952899324.3299999</v>
      </c>
      <c r="AV8" s="26">
        <f>资产资本表!AV107</f>
        <v>6219411895.4899998</v>
      </c>
      <c r="AW8" s="26">
        <f>资产资本表!AW107</f>
        <v>5888376793.5900002</v>
      </c>
      <c r="AX8" s="26">
        <f>资产资本表!AX107</f>
        <v>5995028649.4300003</v>
      </c>
      <c r="AY8" s="26">
        <f>资产资本表!AY107</f>
        <v>5415044428.1099997</v>
      </c>
      <c r="AZ8" s="26">
        <f>资产资本表!AZ107</f>
        <v>5058474356.1400003</v>
      </c>
      <c r="BA8" s="26">
        <f>资产资本表!BA107</f>
        <v>5588295571.7399998</v>
      </c>
      <c r="BB8" s="26">
        <f>资产资本表!BB107</f>
        <v>5162395081.5200005</v>
      </c>
      <c r="BC8" s="26">
        <f>资产资本表!BC107</f>
        <v>4765503347.0299997</v>
      </c>
      <c r="BD8" s="26">
        <f>资产资本表!BD107</f>
        <v>4691837330.75</v>
      </c>
      <c r="BE8" s="26">
        <f>资产资本表!BE107</f>
        <v>4600649163.9900007</v>
      </c>
      <c r="BF8" s="26">
        <f>资产资本表!BF107</f>
        <v>4216707746.73</v>
      </c>
      <c r="BG8" s="26">
        <f>资产资本表!BG107</f>
        <v>3900474366.1300001</v>
      </c>
      <c r="BH8" s="26">
        <f>资产资本表!BH107</f>
        <v>3817145295.6799998</v>
      </c>
      <c r="BI8" s="26">
        <f>资产资本表!BI107</f>
        <v>3727794494.04</v>
      </c>
      <c r="BJ8" s="26">
        <f>资产资本表!BJ107</f>
        <v>3470524090.9299998</v>
      </c>
      <c r="BK8" s="26">
        <f>资产资本表!BK107</f>
        <v>3231516625.3400002</v>
      </c>
      <c r="BL8" s="26">
        <f>资产资本表!BL107</f>
        <v>3124773172.54</v>
      </c>
      <c r="BM8" s="26">
        <f>资产资本表!BM107</f>
        <v>3100472676.3099999</v>
      </c>
      <c r="BN8" s="26">
        <f>资产资本表!BN107</f>
        <v>2874733972.6900001</v>
      </c>
      <c r="BO8" s="26">
        <f>资产资本表!BO107</f>
        <v>2857804350.4700003</v>
      </c>
      <c r="BP8" s="26">
        <f>资产资本表!BP107</f>
        <v>2784052740.7799997</v>
      </c>
      <c r="BQ8" s="26">
        <f>资产资本表!BQ107</f>
        <v>2751462376.5999999</v>
      </c>
      <c r="BR8" s="26">
        <f>资产资本表!BR107</f>
        <v>2537631703.8100004</v>
      </c>
      <c r="BS8" s="26">
        <f>资产资本表!BS107</f>
        <v>561545403.24000001</v>
      </c>
      <c r="BT8" s="26">
        <f>资产资本表!BT107</f>
        <v>443779623.04000002</v>
      </c>
      <c r="BU8" s="26">
        <f>资产资本表!BU107</f>
        <v>285361855.23000002</v>
      </c>
    </row>
    <row r="9" spans="1:74" s="63" customFormat="1">
      <c r="A9" s="63" t="s">
        <v>626</v>
      </c>
      <c r="B9" s="63">
        <f>根据DCF测算价值表!$D$1</f>
        <v>0.08</v>
      </c>
      <c r="C9" s="63">
        <f>根据DCF测算价值表!$D$1</f>
        <v>0.08</v>
      </c>
      <c r="D9" s="63">
        <f>根据DCF测算价值表!$D$1</f>
        <v>0.08</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c r="A10" s="17" t="s">
        <v>219</v>
      </c>
      <c r="B10" s="190">
        <f>资产资本表!B70</f>
        <v>129189314752.36</v>
      </c>
      <c r="C10" s="190">
        <f>资产资本表!C70</f>
        <v>106472505822.89</v>
      </c>
      <c r="D10" s="190">
        <f>资产资本表!D70</f>
        <v>86261009305.149994</v>
      </c>
      <c r="E10" s="26">
        <f>资产资本表!E70</f>
        <v>72209702167.820007</v>
      </c>
      <c r="F10" s="26">
        <f>资产资本表!F70</f>
        <v>55389468523.029999</v>
      </c>
      <c r="G10" s="26">
        <f>资产资本表!G70</f>
        <v>44156476162.149994</v>
      </c>
      <c r="H10" s="26">
        <f>资产资本表!H70</f>
        <v>35454036397.25</v>
      </c>
      <c r="I10" s="26">
        <f>资产资本表!I70</f>
        <v>25403379611.290001</v>
      </c>
      <c r="J10" s="26">
        <f>资产资本表!J70</f>
        <v>18867973890.910004</v>
      </c>
      <c r="K10" s="26">
        <f>资产资本表!K70</f>
        <v>14788773056.830002</v>
      </c>
      <c r="L10" s="26">
        <f>资产资本表!L70</f>
        <v>11503418295.949999</v>
      </c>
      <c r="M10" s="26">
        <f>资产资本表!M70</f>
        <v>8410662728.4800005</v>
      </c>
      <c r="N10" s="26">
        <f>资产资本表!N70</f>
        <v>5995028649.4299994</v>
      </c>
      <c r="O10" s="26">
        <f>资产资本表!O70</f>
        <v>5199576891.5199995</v>
      </c>
      <c r="P10" s="26">
        <f>资产资本表!P70</f>
        <v>4234148606.4099998</v>
      </c>
      <c r="Q10" s="26">
        <f>资产资本表!Q70</f>
        <v>3471736886.29</v>
      </c>
      <c r="R10" s="26">
        <f>资产资本表!R70</f>
        <v>2930926516.1800003</v>
      </c>
      <c r="S10" s="26">
        <f>资产资本表!S70</f>
        <v>2722401373.5699997</v>
      </c>
      <c r="T10" s="26">
        <f>资产资本表!T70</f>
        <v>0</v>
      </c>
      <c r="U10" s="26">
        <f>资产资本表!U70</f>
        <v>0</v>
      </c>
      <c r="V10" s="26">
        <f>资产资本表!V70</f>
        <v>0</v>
      </c>
      <c r="W10" s="26">
        <f>资产资本表!W70</f>
        <v>0</v>
      </c>
      <c r="X10" s="26">
        <f>资产资本表!X70</f>
        <v>0</v>
      </c>
      <c r="Y10" s="26">
        <f>资产资本表!Y70</f>
        <v>0</v>
      </c>
      <c r="Z10" s="26">
        <f>资产资本表!Z70</f>
        <v>0</v>
      </c>
      <c r="AA10" s="26">
        <f>资产资本表!AA70</f>
        <v>0</v>
      </c>
      <c r="AB10" s="26">
        <f>资产资本表!AB70</f>
        <v>0</v>
      </c>
      <c r="AC10" s="26">
        <f>资产资本表!AC70</f>
        <v>0</v>
      </c>
      <c r="AD10" s="26">
        <f>资产资本表!AD70</f>
        <v>0</v>
      </c>
      <c r="AE10" s="26">
        <f>资产资本表!AE70</f>
        <v>0</v>
      </c>
      <c r="AF10" s="26">
        <f>资产资本表!AF70</f>
        <v>0</v>
      </c>
      <c r="AG10" s="26">
        <f>资产资本表!AG70</f>
        <v>0</v>
      </c>
      <c r="AH10" s="26">
        <f>资产资本表!AH70</f>
        <v>0</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234</v>
      </c>
      <c r="B11" s="63">
        <f t="shared" ref="B11:D11" si="5">B4/B10</f>
        <v>3.3106802928698626E-4</v>
      </c>
      <c r="C11" s="63">
        <f t="shared" si="5"/>
        <v>2.1991211241847389E-4</v>
      </c>
      <c r="D11" s="63">
        <f t="shared" si="5"/>
        <v>3.9973605233414953E-4</v>
      </c>
      <c r="E11" s="63">
        <f>E4/E10</f>
        <v>3.7958122769013328E-4</v>
      </c>
      <c r="F11" s="63">
        <f t="shared" ref="F11:BQ11" si="6">F4/F10</f>
        <v>1.4067237687540395E-3</v>
      </c>
      <c r="G11" s="63">
        <f t="shared" si="6"/>
        <v>6.2015566616868982E-4</v>
      </c>
      <c r="H11" s="63">
        <f t="shared" si="6"/>
        <v>0</v>
      </c>
      <c r="I11" s="63">
        <f t="shared" si="6"/>
        <v>0</v>
      </c>
      <c r="J11" s="63">
        <f t="shared" si="6"/>
        <v>0</v>
      </c>
      <c r="K11" s="63">
        <f t="shared" si="6"/>
        <v>0</v>
      </c>
      <c r="L11" s="63">
        <f t="shared" si="6"/>
        <v>0</v>
      </c>
      <c r="M11" s="63">
        <f t="shared" si="6"/>
        <v>0</v>
      </c>
      <c r="N11" s="63">
        <f t="shared" si="6"/>
        <v>0</v>
      </c>
      <c r="O11" s="63">
        <f t="shared" si="6"/>
        <v>0</v>
      </c>
      <c r="P11" s="63">
        <f t="shared" si="6"/>
        <v>0</v>
      </c>
      <c r="Q11" s="63">
        <f t="shared" si="6"/>
        <v>0</v>
      </c>
      <c r="R11" s="63">
        <f t="shared" si="6"/>
        <v>0</v>
      </c>
      <c r="S11" s="63">
        <f t="shared" si="6"/>
        <v>0</v>
      </c>
      <c r="T11" s="63" t="e">
        <f t="shared" si="6"/>
        <v>#DIV/0!</v>
      </c>
      <c r="U11" s="63" t="e">
        <f t="shared" si="6"/>
        <v>#DIV/0!</v>
      </c>
      <c r="V11" s="63" t="e">
        <f t="shared" si="6"/>
        <v>#DIV/0!</v>
      </c>
      <c r="W11" s="63" t="e">
        <f t="shared" si="6"/>
        <v>#DIV/0!</v>
      </c>
      <c r="X11" s="63" t="e">
        <f t="shared" si="6"/>
        <v>#DIV/0!</v>
      </c>
      <c r="Y11" s="63" t="e">
        <f t="shared" si="6"/>
        <v>#DIV/0!</v>
      </c>
      <c r="Z11" s="63" t="e">
        <f t="shared" si="6"/>
        <v>#DIV/0!</v>
      </c>
      <c r="AA11" s="63" t="e">
        <f t="shared" si="6"/>
        <v>#DIV/0!</v>
      </c>
      <c r="AB11" s="63" t="e">
        <f t="shared" si="6"/>
        <v>#DIV/0!</v>
      </c>
      <c r="AC11" s="63" t="e">
        <f t="shared" si="6"/>
        <v>#DIV/0!</v>
      </c>
      <c r="AD11" s="63" t="e">
        <f t="shared" si="6"/>
        <v>#DIV/0!</v>
      </c>
      <c r="AE11" s="63" t="e">
        <f t="shared" si="6"/>
        <v>#DIV/0!</v>
      </c>
      <c r="AF11" s="63" t="e">
        <f t="shared" si="6"/>
        <v>#DIV/0!</v>
      </c>
      <c r="AG11" s="63" t="e">
        <f t="shared" si="6"/>
        <v>#DIV/0!</v>
      </c>
      <c r="AH11" s="63" t="e">
        <f t="shared" si="6"/>
        <v>#DIV/0!</v>
      </c>
      <c r="AI11" s="63" t="e">
        <f t="shared" si="6"/>
        <v>#DIV/0!</v>
      </c>
      <c r="AJ11" s="63" t="e">
        <f t="shared" si="6"/>
        <v>#DIV/0!</v>
      </c>
      <c r="AK11" s="63" t="e">
        <f t="shared" si="6"/>
        <v>#DIV/0!</v>
      </c>
      <c r="AL11" s="63" t="e">
        <f t="shared" si="6"/>
        <v>#DIV/0!</v>
      </c>
      <c r="AM11" s="63" t="e">
        <f t="shared" si="6"/>
        <v>#DIV/0!</v>
      </c>
      <c r="AN11" s="63" t="e">
        <f t="shared" si="6"/>
        <v>#DIV/0!</v>
      </c>
      <c r="AO11" s="63" t="e">
        <f t="shared" si="6"/>
        <v>#DIV/0!</v>
      </c>
      <c r="AP11" s="63" t="e">
        <f t="shared" si="6"/>
        <v>#DIV/0!</v>
      </c>
      <c r="AQ11" s="63" t="e">
        <f t="shared" si="6"/>
        <v>#DIV/0!</v>
      </c>
      <c r="AR11" s="63" t="e">
        <f t="shared" si="6"/>
        <v>#DIV/0!</v>
      </c>
      <c r="AS11" s="63" t="e">
        <f t="shared" si="6"/>
        <v>#DIV/0!</v>
      </c>
      <c r="AT11" s="63" t="e">
        <f t="shared" si="6"/>
        <v>#DIV/0!</v>
      </c>
      <c r="AU11" s="63" t="e">
        <f t="shared" si="6"/>
        <v>#DIV/0!</v>
      </c>
      <c r="AV11" s="63" t="e">
        <f t="shared" si="6"/>
        <v>#DIV/0!</v>
      </c>
      <c r="AW11" s="63" t="e">
        <f t="shared" si="6"/>
        <v>#DIV/0!</v>
      </c>
      <c r="AX11" s="63" t="e">
        <f t="shared" si="6"/>
        <v>#DIV/0!</v>
      </c>
      <c r="AY11" s="63" t="e">
        <f t="shared" si="6"/>
        <v>#DIV/0!</v>
      </c>
      <c r="AZ11" s="63" t="e">
        <f t="shared" si="6"/>
        <v>#DIV/0!</v>
      </c>
      <c r="BA11" s="63" t="e">
        <f t="shared" si="6"/>
        <v>#DIV/0!</v>
      </c>
      <c r="BB11" s="63" t="e">
        <f t="shared" si="6"/>
        <v>#DIV/0!</v>
      </c>
      <c r="BC11" s="63" t="e">
        <f t="shared" si="6"/>
        <v>#DIV/0!</v>
      </c>
      <c r="BD11" s="63" t="e">
        <f t="shared" si="6"/>
        <v>#DIV/0!</v>
      </c>
      <c r="BE11" s="63" t="e">
        <f t="shared" si="6"/>
        <v>#DIV/0!</v>
      </c>
      <c r="BF11" s="63" t="e">
        <f t="shared" si="6"/>
        <v>#DIV/0!</v>
      </c>
      <c r="BG11" s="63" t="e">
        <f t="shared" si="6"/>
        <v>#DIV/0!</v>
      </c>
      <c r="BH11" s="63" t="e">
        <f t="shared" si="6"/>
        <v>#DIV/0!</v>
      </c>
      <c r="BI11" s="63" t="e">
        <f t="shared" si="6"/>
        <v>#DIV/0!</v>
      </c>
      <c r="BJ11" s="63" t="e">
        <f t="shared" si="6"/>
        <v>#DIV/0!</v>
      </c>
      <c r="BK11" s="63" t="e">
        <f t="shared" si="6"/>
        <v>#DIV/0!</v>
      </c>
      <c r="BL11" s="63" t="e">
        <f t="shared" si="6"/>
        <v>#DIV/0!</v>
      </c>
      <c r="BM11" s="63" t="e">
        <f t="shared" si="6"/>
        <v>#DIV/0!</v>
      </c>
      <c r="BN11" s="63" t="e">
        <f t="shared" si="6"/>
        <v>#DIV/0!</v>
      </c>
      <c r="BO11" s="63" t="e">
        <f t="shared" si="6"/>
        <v>#DIV/0!</v>
      </c>
      <c r="BP11" s="63" t="e">
        <f t="shared" si="6"/>
        <v>#DIV/0!</v>
      </c>
      <c r="BQ11" s="63" t="e">
        <f t="shared" si="6"/>
        <v>#DIV/0!</v>
      </c>
      <c r="BR11" s="63" t="e">
        <f>BR4/BR10</f>
        <v>#DIV/0!</v>
      </c>
      <c r="BS11" s="63" t="e">
        <f>BS4/BS10</f>
        <v>#DIV/0!</v>
      </c>
      <c r="BT11" s="63" t="e">
        <f>BT4/BT10</f>
        <v>#DIV/0!</v>
      </c>
      <c r="BU11" s="63" t="e">
        <f>BU4/BU10</f>
        <v>#DIV/0!</v>
      </c>
      <c r="BV11" s="63" t="e">
        <f>BV4/BV10*100</f>
        <v>#DIV/0!</v>
      </c>
    </row>
    <row r="12" spans="1:74" s="63" customFormat="1">
      <c r="A12" s="17" t="s">
        <v>235</v>
      </c>
      <c r="B12" s="63">
        <f t="shared" ref="B12:D12" si="7">B8/B10</f>
        <v>0.90880958806529477</v>
      </c>
      <c r="C12" s="63">
        <f t="shared" si="7"/>
        <v>0.90182556269317382</v>
      </c>
      <c r="D12" s="63">
        <f t="shared" si="7"/>
        <v>0.87987079523064049</v>
      </c>
      <c r="E12" s="63">
        <f>E8/E10</f>
        <v>0.91724752260239928</v>
      </c>
      <c r="F12" s="63">
        <f t="shared" ref="F12:BQ12" si="8">F8/F10</f>
        <v>0.99859327623124594</v>
      </c>
      <c r="G12" s="63">
        <f t="shared" si="8"/>
        <v>0.99937984433383131</v>
      </c>
      <c r="H12" s="63">
        <f t="shared" si="8"/>
        <v>1</v>
      </c>
      <c r="I12" s="63">
        <f t="shared" si="8"/>
        <v>0.99999999999999989</v>
      </c>
      <c r="J12" s="63">
        <f t="shared" si="8"/>
        <v>0.98311508177126061</v>
      </c>
      <c r="K12" s="63">
        <f t="shared" si="8"/>
        <v>0.99072217403751184</v>
      </c>
      <c r="L12" s="63">
        <f t="shared" si="8"/>
        <v>1</v>
      </c>
      <c r="M12" s="63">
        <f t="shared" si="8"/>
        <v>0.99502929086688563</v>
      </c>
      <c r="N12" s="63">
        <f t="shared" si="8"/>
        <v>1.0000000000000002</v>
      </c>
      <c r="O12" s="63">
        <f t="shared" si="8"/>
        <v>0.99284907007325174</v>
      </c>
      <c r="P12" s="63">
        <f t="shared" si="8"/>
        <v>0.99588090515916317</v>
      </c>
      <c r="Q12" s="63">
        <f t="shared" si="8"/>
        <v>0.99965066610756437</v>
      </c>
      <c r="R12" s="63">
        <f t="shared" si="8"/>
        <v>0.97335961526535753</v>
      </c>
      <c r="S12" s="63">
        <f t="shared" si="8"/>
        <v>0.92966293999517924</v>
      </c>
      <c r="T12" s="63" t="e">
        <f t="shared" si="8"/>
        <v>#DIV/0!</v>
      </c>
      <c r="U12" s="63" t="e">
        <f t="shared" si="8"/>
        <v>#DIV/0!</v>
      </c>
      <c r="V12" s="63" t="e">
        <f t="shared" si="8"/>
        <v>#DIV/0!</v>
      </c>
      <c r="W12" s="63" t="e">
        <f t="shared" si="8"/>
        <v>#DIV/0!</v>
      </c>
      <c r="X12" s="63" t="e">
        <f t="shared" si="8"/>
        <v>#DIV/0!</v>
      </c>
      <c r="Y12" s="63" t="e">
        <f t="shared" si="8"/>
        <v>#DIV/0!</v>
      </c>
      <c r="Z12" s="63" t="e">
        <f t="shared" si="8"/>
        <v>#DIV/0!</v>
      </c>
      <c r="AA12" s="63" t="e">
        <f t="shared" si="8"/>
        <v>#DIV/0!</v>
      </c>
      <c r="AB12" s="63" t="e">
        <f t="shared" si="8"/>
        <v>#DIV/0!</v>
      </c>
      <c r="AC12" s="63" t="e">
        <f t="shared" si="8"/>
        <v>#DIV/0!</v>
      </c>
      <c r="AD12" s="63" t="e">
        <f t="shared" si="8"/>
        <v>#DIV/0!</v>
      </c>
      <c r="AE12" s="63" t="e">
        <f t="shared" si="8"/>
        <v>#DIV/0!</v>
      </c>
      <c r="AF12" s="63" t="e">
        <f t="shared" si="8"/>
        <v>#DIV/0!</v>
      </c>
      <c r="AG12" s="63" t="e">
        <f t="shared" si="8"/>
        <v>#DIV/0!</v>
      </c>
      <c r="AH12" s="63" t="e">
        <f t="shared" si="8"/>
        <v>#DIV/0!</v>
      </c>
      <c r="AI12" s="63" t="e">
        <f t="shared" si="8"/>
        <v>#DIV/0!</v>
      </c>
      <c r="AJ12" s="63" t="e">
        <f t="shared" si="8"/>
        <v>#DIV/0!</v>
      </c>
      <c r="AK12" s="63" t="e">
        <f t="shared" si="8"/>
        <v>#DIV/0!</v>
      </c>
      <c r="AL12" s="63" t="e">
        <f t="shared" si="8"/>
        <v>#DIV/0!</v>
      </c>
      <c r="AM12" s="63" t="e">
        <f t="shared" si="8"/>
        <v>#DIV/0!</v>
      </c>
      <c r="AN12" s="63" t="e">
        <f t="shared" si="8"/>
        <v>#DIV/0!</v>
      </c>
      <c r="AO12" s="63" t="e">
        <f t="shared" si="8"/>
        <v>#DIV/0!</v>
      </c>
      <c r="AP12" s="63" t="e">
        <f t="shared" si="8"/>
        <v>#DIV/0!</v>
      </c>
      <c r="AQ12" s="63" t="e">
        <f t="shared" si="8"/>
        <v>#DIV/0!</v>
      </c>
      <c r="AR12" s="63" t="e">
        <f t="shared" si="8"/>
        <v>#DIV/0!</v>
      </c>
      <c r="AS12" s="63" t="e">
        <f t="shared" si="8"/>
        <v>#DIV/0!</v>
      </c>
      <c r="AT12" s="63" t="e">
        <f t="shared" si="8"/>
        <v>#DIV/0!</v>
      </c>
      <c r="AU12" s="63" t="e">
        <f t="shared" si="8"/>
        <v>#DIV/0!</v>
      </c>
      <c r="AV12" s="63" t="e">
        <f t="shared" si="8"/>
        <v>#DIV/0!</v>
      </c>
      <c r="AW12" s="63" t="e">
        <f t="shared" si="8"/>
        <v>#DIV/0!</v>
      </c>
      <c r="AX12" s="63" t="e">
        <f t="shared" si="8"/>
        <v>#DIV/0!</v>
      </c>
      <c r="AY12" s="63" t="e">
        <f t="shared" si="8"/>
        <v>#DIV/0!</v>
      </c>
      <c r="AZ12" s="63" t="e">
        <f t="shared" si="8"/>
        <v>#DIV/0!</v>
      </c>
      <c r="BA12" s="63" t="e">
        <f t="shared" si="8"/>
        <v>#DIV/0!</v>
      </c>
      <c r="BB12" s="63" t="e">
        <f t="shared" si="8"/>
        <v>#DIV/0!</v>
      </c>
      <c r="BC12" s="63" t="e">
        <f t="shared" si="8"/>
        <v>#DIV/0!</v>
      </c>
      <c r="BD12" s="63" t="e">
        <f t="shared" si="8"/>
        <v>#DIV/0!</v>
      </c>
      <c r="BE12" s="63" t="e">
        <f t="shared" si="8"/>
        <v>#DIV/0!</v>
      </c>
      <c r="BF12" s="63" t="e">
        <f t="shared" si="8"/>
        <v>#DIV/0!</v>
      </c>
      <c r="BG12" s="63" t="e">
        <f t="shared" si="8"/>
        <v>#DIV/0!</v>
      </c>
      <c r="BH12" s="63" t="e">
        <f t="shared" si="8"/>
        <v>#DIV/0!</v>
      </c>
      <c r="BI12" s="63" t="e">
        <f t="shared" si="8"/>
        <v>#DIV/0!</v>
      </c>
      <c r="BJ12" s="63" t="e">
        <f t="shared" si="8"/>
        <v>#DIV/0!</v>
      </c>
      <c r="BK12" s="63" t="e">
        <f t="shared" si="8"/>
        <v>#DIV/0!</v>
      </c>
      <c r="BL12" s="63" t="e">
        <f t="shared" si="8"/>
        <v>#DIV/0!</v>
      </c>
      <c r="BM12" s="63" t="e">
        <f t="shared" si="8"/>
        <v>#DIV/0!</v>
      </c>
      <c r="BN12" s="63" t="e">
        <f t="shared" si="8"/>
        <v>#DIV/0!</v>
      </c>
      <c r="BO12" s="63" t="e">
        <f t="shared" si="8"/>
        <v>#DIV/0!</v>
      </c>
      <c r="BP12" s="63" t="e">
        <f t="shared" si="8"/>
        <v>#DIV/0!</v>
      </c>
      <c r="BQ12" s="63" t="e">
        <f t="shared" si="8"/>
        <v>#DIV/0!</v>
      </c>
      <c r="BR12" s="63" t="e">
        <f>BR8/BR10</f>
        <v>#DIV/0!</v>
      </c>
      <c r="BS12" s="63" t="e">
        <f>BS8/BS10</f>
        <v>#DIV/0!</v>
      </c>
      <c r="BT12" s="63" t="e">
        <f>BT8/BT10</f>
        <v>#DIV/0!</v>
      </c>
      <c r="BU12" s="63" t="e">
        <f>BU8/BU10</f>
        <v>#DIV/0!</v>
      </c>
      <c r="BV12" s="63" t="e">
        <f>BV8/BV10*100</f>
        <v>#DIV/0!</v>
      </c>
    </row>
    <row r="13" spans="1:74" s="63" customFormat="1">
      <c r="A13" s="63" t="s">
        <v>236</v>
      </c>
      <c r="B13" s="63">
        <f t="shared" ref="B13:D13" si="9">B5*B11*(1-B6)+B9*B12</f>
        <v>7.2704767909403042E-2</v>
      </c>
      <c r="C13" s="63">
        <f t="shared" si="9"/>
        <v>7.2146046209828438E-2</v>
      </c>
      <c r="D13" s="63">
        <f t="shared" si="9"/>
        <v>7.038966361845124E-2</v>
      </c>
      <c r="E13" s="63">
        <f>E5*E11*(1-E6)+E9*E12</f>
        <v>7.3397839846255461E-2</v>
      </c>
      <c r="F13" s="63">
        <f t="shared" ref="F13:J13" si="10">F5*F11*(1-F6)+F9*F12</f>
        <v>7.9887462098499673E-2</v>
      </c>
      <c r="G13" s="63">
        <f t="shared" si="10"/>
        <v>7.9950387546706511E-2</v>
      </c>
      <c r="H13" s="63">
        <f t="shared" si="10"/>
        <v>0.08</v>
      </c>
      <c r="I13" s="63">
        <f t="shared" si="10"/>
        <v>7.9999999999999988E-2</v>
      </c>
      <c r="J13" s="63">
        <f t="shared" si="10"/>
        <v>7.864920654170085E-2</v>
      </c>
      <c r="K13" s="63">
        <f t="shared" ref="K13" si="11">K5*K11*(1-K6)+K9*K12</f>
        <v>7.9257773923000943E-2</v>
      </c>
      <c r="L13" s="63">
        <f t="shared" ref="L13" si="12">L5*L11*(1-L6)+L9*L12</f>
        <v>0.08</v>
      </c>
      <c r="M13" s="63">
        <f t="shared" ref="M13" si="13">M5*M11*(1-M6)+M9*M12</f>
        <v>7.9602343269350853E-2</v>
      </c>
      <c r="N13" s="63">
        <f t="shared" ref="N13:O13" si="14">N5*N11*(1-N6)+N9*N12</f>
        <v>8.0000000000000016E-2</v>
      </c>
      <c r="O13" s="63">
        <f t="shared" si="14"/>
        <v>7.9427925605860136E-2</v>
      </c>
      <c r="P13" s="63">
        <f t="shared" ref="P13" si="15">P5*P11*(1-P6)+P9*P12</f>
        <v>7.9670472412733048E-2</v>
      </c>
      <c r="Q13" s="63">
        <f t="shared" ref="Q13" si="16">Q5*Q11*(1-Q6)+Q9*Q12</f>
        <v>7.9972053288605155E-2</v>
      </c>
      <c r="R13" s="63">
        <f t="shared" ref="R13" si="17">R5*R11*(1-R6)+R9*R12</f>
        <v>7.7868769221228609E-2</v>
      </c>
      <c r="S13" s="63">
        <f t="shared" ref="S13:T13" si="18">S5*S11*(1-S6)+S9*S12</f>
        <v>7.4373035199614343E-2</v>
      </c>
      <c r="T13" s="63" t="e">
        <f t="shared" si="18"/>
        <v>#DIV/0!</v>
      </c>
      <c r="U13" s="63" t="e">
        <f t="shared" ref="U13" si="19">U5*U11*(1-U6)+U9*U12</f>
        <v>#DIV/0!</v>
      </c>
      <c r="V13" s="63" t="e">
        <f t="shared" ref="V13" si="20">V5*V11*(1-V6)+V9*V12</f>
        <v>#DIV/0!</v>
      </c>
      <c r="W13" s="63" t="e">
        <f t="shared" ref="W13" si="21">W5*W11*(1-W6)+W9*W12</f>
        <v>#DIV/0!</v>
      </c>
      <c r="X13" s="63" t="e">
        <f t="shared" ref="X13:Y13" si="22">X5*X11*(1-X6)+X9*X12</f>
        <v>#DIV/0!</v>
      </c>
      <c r="Y13" s="63" t="e">
        <f t="shared" si="22"/>
        <v>#DIV/0!</v>
      </c>
      <c r="Z13" s="63" t="e">
        <f t="shared" ref="Z13" si="23">Z5*Z11*(1-Z6)+Z9*Z12</f>
        <v>#DIV/0!</v>
      </c>
      <c r="AA13" s="63" t="e">
        <f t="shared" ref="AA13" si="24">AA5*AA11*(1-AA6)+AA9*AA12</f>
        <v>#DIV/0!</v>
      </c>
      <c r="AB13" s="63" t="e">
        <f t="shared" ref="AB13" si="25">AB5*AB11*(1-AB6)+AB9*AB12</f>
        <v>#DIV/0!</v>
      </c>
      <c r="AC13" s="63" t="e">
        <f t="shared" ref="AC13:AD13" si="26">AC5*AC11*(1-AC6)+AC9*AC12</f>
        <v>#DIV/0!</v>
      </c>
      <c r="AD13" s="63" t="e">
        <f t="shared" si="26"/>
        <v>#DIV/0!</v>
      </c>
      <c r="AE13" s="63" t="e">
        <f t="shared" ref="AE13" si="27">AE5*AE11*(1-AE6)+AE9*AE12</f>
        <v>#DIV/0!</v>
      </c>
      <c r="AF13" s="63" t="e">
        <f t="shared" ref="AF13" si="28">AF5*AF11*(1-AF6)+AF9*AF12</f>
        <v>#DIV/0!</v>
      </c>
      <c r="AG13" s="63" t="e">
        <f t="shared" ref="AG13" si="29">AG5*AG11*(1-AG6)+AG9*AG12</f>
        <v>#DIV/0!</v>
      </c>
      <c r="AH13" s="63" t="e">
        <f t="shared" ref="AH13:AI13" si="30">AH5*AH11*(1-AH6)+AH9*AH12</f>
        <v>#DIV/0!</v>
      </c>
      <c r="AI13" s="63" t="e">
        <f t="shared" si="30"/>
        <v>#DIV/0!</v>
      </c>
      <c r="AJ13" s="63" t="e">
        <f t="shared" ref="AJ13" si="31">AJ5*AJ11*(1-AJ6)+AJ9*AJ12</f>
        <v>#DIV/0!</v>
      </c>
      <c r="AK13" s="63" t="e">
        <f t="shared" ref="AK13" si="32">AK5*AK11*(1-AK6)+AK9*AK12</f>
        <v>#DIV/0!</v>
      </c>
      <c r="AL13" s="63" t="e">
        <f t="shared" ref="AL13" si="33">AL5*AL11*(1-AL6)+AL9*AL12</f>
        <v>#DIV/0!</v>
      </c>
      <c r="AM13" s="63" t="e">
        <f t="shared" ref="AM13:AN13" si="34">AM5*AM11*(1-AM6)+AM9*AM12</f>
        <v>#DIV/0!</v>
      </c>
      <c r="AN13" s="63" t="e">
        <f t="shared" si="34"/>
        <v>#DIV/0!</v>
      </c>
      <c r="AO13" s="63" t="e">
        <f t="shared" ref="AO13" si="35">AO5*AO11*(1-AO6)+AO9*AO12</f>
        <v>#DIV/0!</v>
      </c>
      <c r="AP13" s="63" t="e">
        <f t="shared" ref="AP13" si="36">AP5*AP11*(1-AP6)+AP9*AP12</f>
        <v>#DIV/0!</v>
      </c>
      <c r="AQ13" s="63" t="e">
        <f t="shared" ref="AQ13" si="37">AQ5*AQ11*(1-AQ6)+AQ9*AQ12</f>
        <v>#DIV/0!</v>
      </c>
      <c r="AR13" s="63" t="e">
        <f t="shared" ref="AR13:AS13" si="38">AR5*AR11*(1-AR6)+AR9*AR12</f>
        <v>#DIV/0!</v>
      </c>
      <c r="AS13" s="63" t="e">
        <f t="shared" si="38"/>
        <v>#DIV/0!</v>
      </c>
      <c r="AT13" s="63" t="e">
        <f t="shared" ref="AT13" si="39">AT5*AT11*(1-AT6)+AT9*AT12</f>
        <v>#DIV/0!</v>
      </c>
      <c r="AU13" s="63" t="e">
        <f t="shared" ref="AU13" si="40">AU5*AU11*(1-AU6)+AU9*AU12</f>
        <v>#DIV/0!</v>
      </c>
      <c r="AV13" s="63" t="e">
        <f t="shared" ref="AV13" si="41">AV5*AV11*(1-AV6)+AV9*AV12</f>
        <v>#DIV/0!</v>
      </c>
      <c r="AW13" s="63" t="e">
        <f t="shared" ref="AW13:AX13" si="42">AW5*AW11*(1-AW6)+AW9*AW12</f>
        <v>#DIV/0!</v>
      </c>
      <c r="AX13" s="63" t="e">
        <f t="shared" si="42"/>
        <v>#DIV/0!</v>
      </c>
      <c r="AY13" s="63" t="e">
        <f t="shared" ref="AY13" si="43">AY5*AY11*(1-AY6)+AY9*AY12</f>
        <v>#DIV/0!</v>
      </c>
      <c r="AZ13" s="63" t="e">
        <f t="shared" ref="AZ13" si="44">AZ5*AZ11*(1-AZ6)+AZ9*AZ12</f>
        <v>#DIV/0!</v>
      </c>
      <c r="BA13" s="63" t="e">
        <f t="shared" ref="BA13" si="45">BA5*BA11*(1-BA6)+BA9*BA12</f>
        <v>#DIV/0!</v>
      </c>
      <c r="BB13" s="63" t="e">
        <f t="shared" ref="BB13:BC13" si="46">BB5*BB11*(1-BB6)+BB9*BB12</f>
        <v>#DIV/0!</v>
      </c>
      <c r="BC13" s="63" t="e">
        <f t="shared" si="46"/>
        <v>#DIV/0!</v>
      </c>
      <c r="BD13" s="63" t="e">
        <f t="shared" ref="BD13" si="47">BD5*BD11*(1-BD6)+BD9*BD12</f>
        <v>#DIV/0!</v>
      </c>
      <c r="BE13" s="63" t="e">
        <f t="shared" ref="BE13" si="48">BE5*BE11*(1-BE6)+BE9*BE12</f>
        <v>#DIV/0!</v>
      </c>
      <c r="BF13" s="63" t="e">
        <f t="shared" ref="BF13" si="49">BF5*BF11*(1-BF6)+BF9*BF12</f>
        <v>#DIV/0!</v>
      </c>
      <c r="BG13" s="63" t="e">
        <f t="shared" ref="BG13:BH13" si="50">BG5*BG11*(1-BG6)+BG9*BG12</f>
        <v>#DIV/0!</v>
      </c>
      <c r="BH13" s="63" t="e">
        <f t="shared" si="50"/>
        <v>#DIV/0!</v>
      </c>
      <c r="BI13" s="63" t="e">
        <f t="shared" ref="BI13" si="51">BI5*BI11*(1-BI6)+BI9*BI12</f>
        <v>#DIV/0!</v>
      </c>
      <c r="BJ13" s="63" t="e">
        <f t="shared" ref="BJ13" si="52">BJ5*BJ11*(1-BJ6)+BJ9*BJ12</f>
        <v>#DIV/0!</v>
      </c>
      <c r="BK13" s="63" t="e">
        <f t="shared" ref="BK13" si="53">BK5*BK11*(1-BK6)+BK9*BK12</f>
        <v>#DIV/0!</v>
      </c>
      <c r="BL13" s="63" t="e">
        <f t="shared" ref="BL13:BM13" si="54">BL5*BL11*(1-BL6)+BL9*BL12</f>
        <v>#DIV/0!</v>
      </c>
      <c r="BM13" s="63" t="e">
        <f t="shared" si="54"/>
        <v>#DIV/0!</v>
      </c>
      <c r="BN13" s="63" t="e">
        <f t="shared" ref="BN13" si="55">BN5*BN11*(1-BN6)+BN9*BN12</f>
        <v>#DIV/0!</v>
      </c>
      <c r="BO13" s="63" t="e">
        <f t="shared" ref="BO13" si="56">BO5*BO11*(1-BO6)+BO9*BO12</f>
        <v>#DIV/0!</v>
      </c>
      <c r="BP13" s="63" t="e">
        <f t="shared" ref="BP13" si="57">BP5*BP11*(1-BP6)+BP9*BP12</f>
        <v>#DIV/0!</v>
      </c>
      <c r="BQ13" s="63" t="e">
        <f t="shared" ref="BQ13:BR13" si="58">BQ5*BQ11*(1-BQ6)+BQ9*BQ12</f>
        <v>#DIV/0!</v>
      </c>
      <c r="BR13" s="63" t="e">
        <f t="shared" si="58"/>
        <v>#DIV/0!</v>
      </c>
      <c r="BS13" s="63" t="e">
        <f t="shared" ref="BS13" si="59">BS5*BS11*(1-BS6)+BS9*BS12</f>
        <v>#DIV/0!</v>
      </c>
      <c r="BT13" s="63" t="e">
        <f t="shared" ref="BT13" si="60">BT5*BT11*(1-BT6)+BT9*BT12</f>
        <v>#DIV/0!</v>
      </c>
      <c r="BU13" s="63" t="e">
        <f t="shared" ref="BU13" si="61">BU5*BU11*(1-BU6)+BU9*BU12</f>
        <v>#DIV/0!</v>
      </c>
      <c r="BV13" s="63" t="e">
        <f t="shared" ref="BV13" si="62">BV5*BV11*(1-BV6)+BV9*BV12</f>
        <v>#DIV/0!</v>
      </c>
    </row>
    <row r="14" spans="1:74" s="16" customFormat="1" ht="56.45" customHeight="1">
      <c r="A14" s="276" t="s">
        <v>553</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workbookViewId="0">
      <selection activeCell="D92" sqref="D92"/>
    </sheetView>
  </sheetViews>
  <sheetFormatPr defaultRowHeight="13.5"/>
  <cols>
    <col min="1" max="1" width="36.75" style="17" bestFit="1" customWidth="1"/>
    <col min="2" max="3" width="24.5" bestFit="1" customWidth="1"/>
    <col min="4" max="12" width="23.25" bestFit="1" customWidth="1"/>
    <col min="13" max="19" width="22" bestFit="1" customWidth="1"/>
    <col min="20" max="21" width="10.75" bestFit="1" customWidth="1"/>
    <col min="22" max="90" width="8.5" bestFit="1" customWidth="1"/>
  </cols>
  <sheetData>
    <row r="1" spans="1:90" s="26" customFormat="1">
      <c r="A1" s="17">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row>
    <row r="2" spans="1:90" s="26" customFormat="1">
      <c r="A2" s="41" t="s">
        <v>437</v>
      </c>
      <c r="B2" s="190">
        <f>资产资本表!B17</f>
        <v>112447681364.53</v>
      </c>
      <c r="C2" s="190">
        <f>资产资本表!C17</f>
        <v>88139328529.229996</v>
      </c>
      <c r="D2" s="190">
        <f>资产资本表!D17</f>
        <v>67024866975.099998</v>
      </c>
      <c r="E2" s="26">
        <f>资产资本表!E17</f>
        <v>36915096946.529999</v>
      </c>
      <c r="F2" s="26">
        <f>资产资本表!F17</f>
        <v>27855320602.540001</v>
      </c>
      <c r="G2" s="26">
        <f>资产资本表!G17</f>
        <v>25423608478.91</v>
      </c>
      <c r="H2" s="26">
        <f>资产资本表!H17</f>
        <v>22376612663.389999</v>
      </c>
      <c r="I2" s="26">
        <f>资产资本表!I17</f>
        <v>18539872922.09</v>
      </c>
      <c r="J2" s="26">
        <f>资产资本表!J17</f>
        <v>12991122314.630001</v>
      </c>
      <c r="K2" s="26">
        <f>资产资本表!K17</f>
        <v>9755064755.2399998</v>
      </c>
      <c r="L2" s="26">
        <f>资产资本表!L17</f>
        <v>8138505441.1599998</v>
      </c>
      <c r="M2" s="26">
        <f>资产资本表!M17</f>
        <v>4784290700.0200005</v>
      </c>
      <c r="N2" s="26">
        <f>资产资本表!N17</f>
        <v>4505867488.6400003</v>
      </c>
      <c r="O2" s="26">
        <f>资产资本表!O17</f>
        <v>3891989433.5300002</v>
      </c>
      <c r="P2" s="26">
        <f>资产资本表!P17</f>
        <v>2898327418.8499999</v>
      </c>
      <c r="Q2" s="26">
        <f>资产资本表!Q17</f>
        <v>2340047386.8499999</v>
      </c>
      <c r="R2" s="26">
        <f>资产资本表!R17</f>
        <v>1780307690.6400001</v>
      </c>
      <c r="S2" s="26">
        <f>资产资本表!S17</f>
        <v>1956436570.0999999</v>
      </c>
      <c r="T2" s="26">
        <f>资产资本表!T17</f>
        <v>0</v>
      </c>
      <c r="U2" s="26">
        <f>资产资本表!U17</f>
        <v>0</v>
      </c>
      <c r="V2" s="26">
        <f>资产资本表!V17</f>
        <v>0</v>
      </c>
      <c r="W2" s="26">
        <f>资产资本表!W17</f>
        <v>0</v>
      </c>
      <c r="X2" s="26">
        <f>资产资本表!X17</f>
        <v>0</v>
      </c>
      <c r="Y2" s="26">
        <f>资产资本表!Y17</f>
        <v>0</v>
      </c>
      <c r="Z2" s="26">
        <f>资产资本表!Z17</f>
        <v>0</v>
      </c>
      <c r="AA2" s="26">
        <f>资产资本表!AA17</f>
        <v>0</v>
      </c>
      <c r="AB2" s="26">
        <f>资产资本表!AB17</f>
        <v>0</v>
      </c>
      <c r="AC2" s="26">
        <f>资产资本表!AC17</f>
        <v>0</v>
      </c>
      <c r="AD2" s="26">
        <f>资产资本表!AD17</f>
        <v>0</v>
      </c>
      <c r="AE2" s="26">
        <f>资产资本表!AE17</f>
        <v>0</v>
      </c>
      <c r="AF2" s="26">
        <f>资产资本表!AF17</f>
        <v>0</v>
      </c>
      <c r="AG2" s="26">
        <f>资产资本表!AG17</f>
        <v>0</v>
      </c>
      <c r="AH2" s="26">
        <f>资产资本表!AH17</f>
        <v>0</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438</v>
      </c>
      <c r="B3" s="190">
        <f>资产资本表!B19</f>
        <v>0</v>
      </c>
      <c r="C3" s="190">
        <f>资产资本表!C19</f>
        <v>0</v>
      </c>
      <c r="D3" s="190">
        <f>资产资本表!D19</f>
        <v>0</v>
      </c>
      <c r="E3" s="26">
        <f>资产资本表!E19</f>
        <v>0</v>
      </c>
      <c r="F3" s="26">
        <f>资产资本表!F19</f>
        <v>0</v>
      </c>
      <c r="G3" s="26">
        <f>资产资本表!G19</f>
        <v>4000000</v>
      </c>
      <c r="H3" s="26">
        <f>资产资本表!H19</f>
        <v>4000000</v>
      </c>
      <c r="I3" s="26">
        <f>资产资本表!I19</f>
        <v>4000000</v>
      </c>
      <c r="J3" s="26">
        <f>资产资本表!J19</f>
        <v>4000000</v>
      </c>
      <c r="K3" s="26">
        <f>资产资本表!K19</f>
        <v>4000000</v>
      </c>
      <c r="L3" s="26">
        <f>资产资本表!L19</f>
        <v>4000000</v>
      </c>
      <c r="M3" s="26">
        <f>资产资本表!M19</f>
        <v>4000000</v>
      </c>
      <c r="N3" s="26">
        <f>资产资本表!N19</f>
        <v>11486496.289999999</v>
      </c>
      <c r="O3" s="26">
        <f>资产资本表!O19</f>
        <v>10243017.33</v>
      </c>
      <c r="P3" s="26">
        <f>资产资本表!P19</f>
        <v>9815063.7300000004</v>
      </c>
      <c r="Q3" s="26">
        <f>资产资本表!Q19</f>
        <v>4000000</v>
      </c>
      <c r="R3" s="26">
        <f>资产资本表!R19</f>
        <v>4000000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443</v>
      </c>
      <c r="B4" s="190">
        <f>资产资本表!B50</f>
        <v>-5178131040.6100006</v>
      </c>
      <c r="C4" s="190">
        <f>资产资本表!C50</f>
        <v>-3965603619.8199997</v>
      </c>
      <c r="D4" s="190">
        <f>资产资本表!D50</f>
        <v>-3428013627.7599945</v>
      </c>
      <c r="E4" s="26">
        <f>资产资本表!E50</f>
        <v>14046155822.110003</v>
      </c>
      <c r="F4" s="26">
        <f>资产资本表!F50</f>
        <v>9295911770.1799984</v>
      </c>
      <c r="G4" s="26">
        <f>资产资本表!G50</f>
        <v>5260300440.4200001</v>
      </c>
      <c r="H4" s="26">
        <f>资产资本表!H50</f>
        <v>4354291394.2799988</v>
      </c>
      <c r="I4" s="26">
        <f>资产资本表!I50</f>
        <v>-147730105.78000069</v>
      </c>
      <c r="J4" s="26">
        <f>资产资本表!J50</f>
        <v>649556463.90000057</v>
      </c>
      <c r="K4" s="26">
        <f>资产资本表!K50</f>
        <v>929670517.26000118</v>
      </c>
      <c r="L4" s="26">
        <f>资产资本表!L50</f>
        <v>-106524098.72000027</v>
      </c>
      <c r="M4" s="26">
        <f>资产资本表!M50</f>
        <v>474403091.43000007</v>
      </c>
      <c r="N4" s="26">
        <f>资产资本表!N50</f>
        <v>-1106410152.9100003</v>
      </c>
      <c r="O4" s="26">
        <f>资产资本表!O50</f>
        <v>-730488718.99000025</v>
      </c>
      <c r="P4" s="26">
        <f>资产资本表!P50</f>
        <v>-265193288.21000028</v>
      </c>
      <c r="Q4" s="26">
        <f>资产资本表!Q50</f>
        <v>-68647277.49000001</v>
      </c>
      <c r="R4" s="26">
        <f>资产资本表!R50</f>
        <v>210970118.28999996</v>
      </c>
      <c r="S4" s="26">
        <f>资产资本表!S50</f>
        <v>172501359.18999982</v>
      </c>
      <c r="T4" s="26">
        <f>资产资本表!T50</f>
        <v>0</v>
      </c>
      <c r="U4" s="26">
        <f>资产资本表!U50</f>
        <v>0</v>
      </c>
      <c r="V4" s="26">
        <f>资产资本表!V50</f>
        <v>0</v>
      </c>
      <c r="W4" s="26">
        <f>资产资本表!W50</f>
        <v>0</v>
      </c>
      <c r="X4" s="26">
        <f>资产资本表!X50</f>
        <v>0</v>
      </c>
      <c r="Y4" s="26">
        <f>资产资本表!Y50</f>
        <v>0</v>
      </c>
      <c r="Z4" s="26">
        <f>资产资本表!Z50</f>
        <v>0</v>
      </c>
      <c r="AA4" s="26">
        <f>资产资本表!AA50</f>
        <v>0</v>
      </c>
      <c r="AB4" s="26">
        <f>资产资本表!AB50</f>
        <v>0</v>
      </c>
      <c r="AC4" s="26">
        <f>资产资本表!AC50</f>
        <v>0</v>
      </c>
      <c r="AD4" s="26">
        <f>资产资本表!AD50</f>
        <v>0</v>
      </c>
      <c r="AE4" s="26">
        <f>资产资本表!AE50</f>
        <v>0</v>
      </c>
      <c r="AF4" s="26">
        <f>资产资本表!AF50</f>
        <v>0</v>
      </c>
      <c r="AG4" s="26">
        <f>资产资本表!AG50</f>
        <v>0</v>
      </c>
      <c r="AH4" s="26">
        <f>资产资本表!AH50</f>
        <v>0</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221</v>
      </c>
      <c r="B5" s="190">
        <f>资产资本表!B33</f>
        <v>25787043887.510002</v>
      </c>
      <c r="C5" s="190">
        <f>资产资本表!C33</f>
        <v>24138857432.369999</v>
      </c>
      <c r="D5" s="190">
        <f>资产资本表!D33</f>
        <v>22794681830.470001</v>
      </c>
      <c r="E5" s="26">
        <f>资产资本表!E33</f>
        <v>28118417077.060001</v>
      </c>
      <c r="F5" s="26">
        <f>资产资本表!F33</f>
        <v>19779608471.779999</v>
      </c>
      <c r="G5" s="26">
        <f>资产资本表!G33</f>
        <v>16557974955.32</v>
      </c>
      <c r="H5" s="26">
        <f>资产资本表!H33</f>
        <v>13898463950.49</v>
      </c>
      <c r="I5" s="26">
        <f>资产资本表!I33</f>
        <v>9349759258.3400002</v>
      </c>
      <c r="J5" s="26">
        <f>资产资本表!J33</f>
        <v>7369162513.6800003</v>
      </c>
      <c r="K5" s="26">
        <f>资产资本表!K33</f>
        <v>5910520608.1500006</v>
      </c>
      <c r="L5" s="26">
        <f>资产资本表!L33</f>
        <v>4144245441.6799998</v>
      </c>
      <c r="M5" s="26">
        <f>资产资本表!M33</f>
        <v>2545212203.4000001</v>
      </c>
      <c r="N5" s="26">
        <f>资产资本表!N33</f>
        <v>2287476201.6500001</v>
      </c>
      <c r="O5" s="26">
        <f>资产资本表!O33</f>
        <v>2127530854.0799999</v>
      </c>
      <c r="P5" s="26">
        <f>资产资本表!P33</f>
        <v>1874311088.9499998</v>
      </c>
      <c r="Q5" s="26">
        <f>资产资本表!Q33</f>
        <v>1415981647.0699999</v>
      </c>
      <c r="R5" s="26">
        <f>资产资本表!R33</f>
        <v>1210948668.8299999</v>
      </c>
      <c r="S5" s="26">
        <f>资产资本表!S33</f>
        <v>913488720.5999999</v>
      </c>
      <c r="T5" s="26">
        <f>资产资本表!T33</f>
        <v>0</v>
      </c>
      <c r="U5" s="26">
        <f>资产资本表!U33</f>
        <v>0</v>
      </c>
      <c r="V5" s="26">
        <f>资产资本表!V33</f>
        <v>0</v>
      </c>
      <c r="W5" s="26">
        <f>资产资本表!W33</f>
        <v>0</v>
      </c>
      <c r="X5" s="26">
        <f>资产资本表!X33</f>
        <v>0</v>
      </c>
      <c r="Y5" s="26">
        <f>资产资本表!Y33</f>
        <v>0</v>
      </c>
      <c r="Z5" s="26">
        <f>资产资本表!Z33</f>
        <v>0</v>
      </c>
      <c r="AA5" s="26">
        <f>资产资本表!AA33</f>
        <v>0</v>
      </c>
      <c r="AB5" s="26">
        <f>资产资本表!AB33</f>
        <v>0</v>
      </c>
      <c r="AC5" s="26">
        <f>资产资本表!AC33</f>
        <v>0</v>
      </c>
      <c r="AD5" s="26">
        <f>资产资本表!AD33</f>
        <v>0</v>
      </c>
      <c r="AE5" s="26">
        <f>资产资本表!AE33</f>
        <v>0</v>
      </c>
      <c r="AF5" s="26">
        <f>资产资本表!AF33</f>
        <v>0</v>
      </c>
      <c r="AG5" s="26">
        <f>资产资本表!AG33</f>
        <v>0</v>
      </c>
      <c r="AH5" s="26">
        <f>资产资本表!AH33</f>
        <v>0</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222</v>
      </c>
      <c r="B6" s="190">
        <f>资产资本表!B49</f>
        <v>30965174928.120003</v>
      </c>
      <c r="C6" s="190">
        <f>资产资本表!C49</f>
        <v>28104461052.189999</v>
      </c>
      <c r="D6" s="190">
        <f>资产资本表!D49</f>
        <v>26222695458.229996</v>
      </c>
      <c r="E6" s="26">
        <f>资产资本表!E49</f>
        <v>14072261254.949999</v>
      </c>
      <c r="F6" s="26">
        <f>资产资本表!F49</f>
        <v>10483696701.6</v>
      </c>
      <c r="G6" s="26">
        <f>资产资本表!G49</f>
        <v>11297674514.9</v>
      </c>
      <c r="H6" s="26">
        <f>资产资本表!H49</f>
        <v>9544172556.210001</v>
      </c>
      <c r="I6" s="26">
        <f>资产资本表!I49</f>
        <v>9497489364.1200008</v>
      </c>
      <c r="J6" s="26">
        <f>资产资本表!J49</f>
        <v>6719606049.7799997</v>
      </c>
      <c r="K6" s="26">
        <f>资产资本表!K49</f>
        <v>4980850090.8899994</v>
      </c>
      <c r="L6" s="26">
        <f>资产资本表!L49</f>
        <v>4250769540.4000001</v>
      </c>
      <c r="M6" s="26">
        <f>资产资本表!M49</f>
        <v>2070809111.97</v>
      </c>
      <c r="N6" s="26">
        <f>资产资本表!N49</f>
        <v>3393886354.5600004</v>
      </c>
      <c r="O6" s="26">
        <f>资产资本表!O49</f>
        <v>2858019573.0700002</v>
      </c>
      <c r="P6" s="26">
        <f>资产资本表!P49</f>
        <v>2139504377.1600001</v>
      </c>
      <c r="Q6" s="26">
        <f>资产资本表!Q49</f>
        <v>1484628924.5599999</v>
      </c>
      <c r="R6" s="26">
        <f>资产资本表!R49</f>
        <v>999978550.53999996</v>
      </c>
      <c r="S6" s="26">
        <f>资产资本表!S49</f>
        <v>740987361.41000009</v>
      </c>
      <c r="T6" s="26">
        <f>资产资本表!T49</f>
        <v>0</v>
      </c>
      <c r="U6" s="26">
        <f>资产资本表!U49</f>
        <v>0</v>
      </c>
      <c r="V6" s="26">
        <f>资产资本表!V49</f>
        <v>0</v>
      </c>
      <c r="W6" s="26">
        <f>资产资本表!W49</f>
        <v>0</v>
      </c>
      <c r="X6" s="26">
        <f>资产资本表!X49</f>
        <v>0</v>
      </c>
      <c r="Y6" s="26">
        <f>资产资本表!Y49</f>
        <v>0</v>
      </c>
      <c r="Z6" s="26">
        <f>资产资本表!Z49</f>
        <v>0</v>
      </c>
      <c r="AA6" s="26">
        <f>资产资本表!AA49</f>
        <v>0</v>
      </c>
      <c r="AB6" s="26">
        <f>资产资本表!AB49</f>
        <v>0</v>
      </c>
      <c r="AC6" s="26">
        <f>资产资本表!AC49</f>
        <v>0</v>
      </c>
      <c r="AD6" s="26">
        <f>资产资本表!AD49</f>
        <v>0</v>
      </c>
      <c r="AE6" s="26">
        <f>资产资本表!AE49</f>
        <v>0</v>
      </c>
      <c r="AF6" s="26">
        <f>资产资本表!AF49</f>
        <v>0</v>
      </c>
      <c r="AG6" s="26">
        <f>资产资本表!AG49</f>
        <v>0</v>
      </c>
      <c r="AH6" s="26">
        <f>资产资本表!AH49</f>
        <v>0</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223</v>
      </c>
      <c r="B7" s="190">
        <f>资产资本表!B68</f>
        <v>21919764428.440002</v>
      </c>
      <c r="C7" s="190">
        <f>资产资本表!C68</f>
        <v>22298780913.480003</v>
      </c>
      <c r="D7" s="190">
        <f>资产资本表!D68</f>
        <v>22664155957.809998</v>
      </c>
      <c r="E7" s="26">
        <f>资产资本表!E68</f>
        <v>21248449399.18</v>
      </c>
      <c r="F7" s="26">
        <f>资产资本表!F68</f>
        <v>18238236150.310001</v>
      </c>
      <c r="G7" s="26">
        <f>资产资本表!G68</f>
        <v>13468567242.819998</v>
      </c>
      <c r="H7" s="26">
        <f>资产资本表!H68</f>
        <v>8719132339.5799999</v>
      </c>
      <c r="I7" s="26">
        <f>资产资本表!I68</f>
        <v>7007236794.9799995</v>
      </c>
      <c r="J7" s="26">
        <f>资产资本表!J68</f>
        <v>5223295112.3800001</v>
      </c>
      <c r="K7" s="26">
        <f>资产资本表!K68</f>
        <v>4100037784.3299999</v>
      </c>
      <c r="L7" s="26">
        <f>资产资本表!L68</f>
        <v>3467436953.5099998</v>
      </c>
      <c r="M7" s="26">
        <f>资产资本表!M68</f>
        <v>3147968937.0299997</v>
      </c>
      <c r="N7" s="26">
        <f>资产资本表!N68</f>
        <v>2584084817.4099994</v>
      </c>
      <c r="O7" s="26">
        <f>资产资本表!O68</f>
        <v>2027833159.6499999</v>
      </c>
      <c r="P7" s="26">
        <f>资产资本表!P68</f>
        <v>1591199412.04</v>
      </c>
      <c r="Q7" s="26">
        <f>资产资本表!Q68</f>
        <v>1196336776.9300001</v>
      </c>
      <c r="R7" s="26">
        <f>资产资本表!R68</f>
        <v>935648707.24999988</v>
      </c>
      <c r="S7" s="26">
        <f>资产资本表!S68</f>
        <v>593463444.28000009</v>
      </c>
      <c r="T7" s="26">
        <f>资产资本表!T68</f>
        <v>0</v>
      </c>
      <c r="U7" s="26">
        <f>资产资本表!U68</f>
        <v>0</v>
      </c>
      <c r="V7" s="26">
        <f>资产资本表!V68</f>
        <v>0</v>
      </c>
      <c r="W7" s="26">
        <f>资产资本表!W68</f>
        <v>0</v>
      </c>
      <c r="X7" s="26">
        <f>资产资本表!X68</f>
        <v>0</v>
      </c>
      <c r="Y7" s="26">
        <f>资产资本表!Y68</f>
        <v>0</v>
      </c>
      <c r="Z7" s="26">
        <f>资产资本表!Z68</f>
        <v>0</v>
      </c>
      <c r="AA7" s="26">
        <f>资产资本表!AA68</f>
        <v>0</v>
      </c>
      <c r="AB7" s="26">
        <f>资产资本表!AB68</f>
        <v>0</v>
      </c>
      <c r="AC7" s="26">
        <f>资产资本表!AC68</f>
        <v>0</v>
      </c>
      <c r="AD7" s="26">
        <f>资产资本表!AD68</f>
        <v>0</v>
      </c>
      <c r="AE7" s="26">
        <f>资产资本表!AE68</f>
        <v>0</v>
      </c>
      <c r="AF7" s="26">
        <f>资产资本表!AF68</f>
        <v>0</v>
      </c>
      <c r="AG7" s="26">
        <f>资产资本表!AG68</f>
        <v>0</v>
      </c>
      <c r="AH7" s="26">
        <f>资产资本表!AH68</f>
        <v>0</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522</v>
      </c>
      <c r="B8" s="190">
        <f>资产资本表!B69</f>
        <v>16741633387.830002</v>
      </c>
      <c r="C8" s="190">
        <f>资产资本表!C69</f>
        <v>18333177293.660004</v>
      </c>
      <c r="D8" s="190">
        <f>资产资本表!D69</f>
        <v>19236142330.050003</v>
      </c>
      <c r="E8" s="26">
        <f>资产资本表!E69</f>
        <v>35294605221.290001</v>
      </c>
      <c r="F8" s="26">
        <f>资产资本表!F69</f>
        <v>27534147920.489998</v>
      </c>
      <c r="G8" s="26">
        <f>资产资本表!G69</f>
        <v>18728867683.239998</v>
      </c>
      <c r="H8" s="26">
        <f>资产资本表!H69</f>
        <v>13073423733.859999</v>
      </c>
      <c r="I8" s="26">
        <f>资产资本表!I69</f>
        <v>6859506689.1999989</v>
      </c>
      <c r="J8" s="26">
        <f>资产资本表!J69</f>
        <v>5872851576.2800007</v>
      </c>
      <c r="K8" s="26">
        <f>资产资本表!K69</f>
        <v>5029708301.5900011</v>
      </c>
      <c r="L8" s="26">
        <f>资产资本表!L69</f>
        <v>3360912854.7899995</v>
      </c>
      <c r="M8" s="26">
        <f>资产资本表!M69</f>
        <v>3622372028.46</v>
      </c>
      <c r="N8" s="26">
        <f>资产资本表!N69</f>
        <v>1477674664.499999</v>
      </c>
      <c r="O8" s="26">
        <f>资产资本表!O69</f>
        <v>1297344440.6599996</v>
      </c>
      <c r="P8" s="26">
        <f>资产资本表!P69</f>
        <v>1326006123.8299997</v>
      </c>
      <c r="Q8" s="26">
        <f>资产资本表!Q69</f>
        <v>1127689499.4400001</v>
      </c>
      <c r="R8" s="26">
        <f>资产资本表!R69</f>
        <v>1146618825.54</v>
      </c>
      <c r="S8" s="26">
        <f>资产资本表!S69</f>
        <v>765964803.46999991</v>
      </c>
      <c r="T8" s="26">
        <f>资产资本表!T69</f>
        <v>0</v>
      </c>
      <c r="U8" s="26">
        <f>资产资本表!U69</f>
        <v>0</v>
      </c>
      <c r="V8" s="26">
        <f>资产资本表!V69</f>
        <v>0</v>
      </c>
      <c r="W8" s="26">
        <f>资产资本表!W69</f>
        <v>0</v>
      </c>
      <c r="X8" s="26">
        <f>资产资本表!X69</f>
        <v>0</v>
      </c>
      <c r="Y8" s="26">
        <f>资产资本表!Y69</f>
        <v>0</v>
      </c>
      <c r="Z8" s="26">
        <f>资产资本表!Z69</f>
        <v>0</v>
      </c>
      <c r="AA8" s="26">
        <f>资产资本表!AA69</f>
        <v>0</v>
      </c>
      <c r="AB8" s="26">
        <f>资产资本表!AB69</f>
        <v>0</v>
      </c>
      <c r="AC8" s="26">
        <f>资产资本表!AC69</f>
        <v>0</v>
      </c>
      <c r="AD8" s="26">
        <f>资产资本表!AD69</f>
        <v>0</v>
      </c>
      <c r="AE8" s="26">
        <f>资产资本表!AE69</f>
        <v>0</v>
      </c>
      <c r="AF8" s="26">
        <f>资产资本表!AF69</f>
        <v>0</v>
      </c>
      <c r="AG8" s="26">
        <f>资产资本表!AG69</f>
        <v>0</v>
      </c>
      <c r="AH8" s="26">
        <f>资产资本表!AH69</f>
        <v>0</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524</v>
      </c>
      <c r="B9" s="48">
        <f>资产资本表!B70</f>
        <v>129189314752.36</v>
      </c>
      <c r="C9" s="48">
        <f>资产资本表!C70</f>
        <v>106472505822.89</v>
      </c>
      <c r="D9" s="48">
        <f>资产资本表!D70</f>
        <v>86261009305.149994</v>
      </c>
      <c r="E9" s="48">
        <f>资产资本表!E70</f>
        <v>72209702167.820007</v>
      </c>
      <c r="F9" s="48">
        <f>资产资本表!F70</f>
        <v>55389468523.029999</v>
      </c>
      <c r="G9" s="48">
        <f>资产资本表!G70</f>
        <v>44156476162.149994</v>
      </c>
      <c r="H9" s="48">
        <f>资产资本表!H70</f>
        <v>35454036397.25</v>
      </c>
      <c r="I9" s="48">
        <f>资产资本表!I70</f>
        <v>25403379611.290001</v>
      </c>
      <c r="J9" s="48">
        <f>资产资本表!J70</f>
        <v>18867973890.910004</v>
      </c>
      <c r="K9" s="48">
        <f>资产资本表!K70</f>
        <v>14788773056.830002</v>
      </c>
      <c r="L9" s="48">
        <f>资产资本表!L70</f>
        <v>11503418295.949999</v>
      </c>
      <c r="M9" s="48">
        <f>资产资本表!M70</f>
        <v>8410662728.4800005</v>
      </c>
      <c r="N9" s="48">
        <f>资产资本表!N70</f>
        <v>5995028649.4299994</v>
      </c>
      <c r="O9" s="48">
        <f>资产资本表!O70</f>
        <v>5199576891.5199995</v>
      </c>
      <c r="P9" s="48">
        <f>资产资本表!P70</f>
        <v>4234148606.4099998</v>
      </c>
      <c r="Q9" s="48">
        <f>资产资本表!Q70</f>
        <v>3471736886.29</v>
      </c>
      <c r="R9" s="48">
        <f>资产资本表!R70</f>
        <v>2930926516.1800003</v>
      </c>
      <c r="S9" s="48">
        <f>资产资本表!S70</f>
        <v>2722401373.5699997</v>
      </c>
      <c r="T9" s="48">
        <f>资产资本表!T70</f>
        <v>0</v>
      </c>
      <c r="U9" s="48">
        <f>资产资本表!U70</f>
        <v>0</v>
      </c>
      <c r="V9" s="48">
        <f>资产资本表!V70</f>
        <v>0</v>
      </c>
      <c r="W9" s="48">
        <f>资产资本表!W70</f>
        <v>0</v>
      </c>
      <c r="X9" s="48">
        <f>资产资本表!X70</f>
        <v>0</v>
      </c>
      <c r="Y9" s="48">
        <f>资产资本表!Y70</f>
        <v>0</v>
      </c>
      <c r="Z9" s="48">
        <f>资产资本表!Z70</f>
        <v>0</v>
      </c>
      <c r="AA9" s="48">
        <f>资产资本表!AA70</f>
        <v>0</v>
      </c>
      <c r="AB9" s="48">
        <f>资产资本表!AB70</f>
        <v>0</v>
      </c>
      <c r="AC9" s="48">
        <f>资产资本表!AC70</f>
        <v>0</v>
      </c>
      <c r="AD9" s="48">
        <f>资产资本表!AD70</f>
        <v>0</v>
      </c>
      <c r="AE9" s="48">
        <f>资产资本表!AE70</f>
        <v>0</v>
      </c>
      <c r="AF9" s="48">
        <f>资产资本表!AF70</f>
        <v>0</v>
      </c>
      <c r="AG9" s="48">
        <f>资产资本表!AG70</f>
        <v>0</v>
      </c>
      <c r="AH9" s="48">
        <f>资产资本表!AH70</f>
        <v>0</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226</v>
      </c>
      <c r="B10" s="190">
        <f>资产资本表!B72</f>
        <v>42770451.840000004</v>
      </c>
      <c r="C10" s="190">
        <f>资产资本表!C72</f>
        <v>23414593.670000002</v>
      </c>
      <c r="D10" s="190">
        <f>资产资本表!D72</f>
        <v>34481635.329999998</v>
      </c>
      <c r="E10" s="26">
        <f>资产资本表!E72</f>
        <v>27409447.399999999</v>
      </c>
      <c r="F10" s="26">
        <f>资产资本表!F72</f>
        <v>77917681.909999996</v>
      </c>
      <c r="G10" s="26">
        <f>资产资本表!G72</f>
        <v>27383888.890000001</v>
      </c>
      <c r="H10" s="26">
        <f>资产资本表!H72</f>
        <v>0</v>
      </c>
      <c r="I10" s="26">
        <f>资产资本表!I72</f>
        <v>0</v>
      </c>
      <c r="J10" s="26">
        <f>资产资本表!J72</f>
        <v>0</v>
      </c>
      <c r="K10" s="26">
        <f>资产资本表!K72</f>
        <v>0</v>
      </c>
      <c r="L10" s="26">
        <f>资产资本表!L72</f>
        <v>0</v>
      </c>
      <c r="M10" s="26">
        <f>资产资本表!M72</f>
        <v>0</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227</v>
      </c>
      <c r="B11" s="190">
        <f>资产资本表!B81</f>
        <v>0</v>
      </c>
      <c r="C11" s="190">
        <f>资产资本表!C81</f>
        <v>0</v>
      </c>
      <c r="D11" s="190">
        <f>资产资本表!D81</f>
        <v>0</v>
      </c>
      <c r="E11" s="26">
        <f>资产资本表!E81</f>
        <v>0</v>
      </c>
      <c r="F11" s="26">
        <f>资产资本表!F81</f>
        <v>0</v>
      </c>
      <c r="G11" s="26">
        <f>资产资本表!G81</f>
        <v>0</v>
      </c>
      <c r="H11" s="26">
        <f>资产资本表!H81</f>
        <v>0</v>
      </c>
      <c r="I11" s="26">
        <f>资产资本表!I81</f>
        <v>0</v>
      </c>
      <c r="J11" s="26">
        <f>资产资本表!J81</f>
        <v>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523</v>
      </c>
      <c r="B12" s="190">
        <f>资产资本表!B89</f>
        <v>42770451.840000004</v>
      </c>
      <c r="C12" s="190">
        <f>资产资本表!C89</f>
        <v>23414593.670000002</v>
      </c>
      <c r="D12" s="190">
        <f>资产资本表!D89</f>
        <v>34481635.329999998</v>
      </c>
      <c r="E12" s="26">
        <f>资产资本表!E89</f>
        <v>27409447.399999999</v>
      </c>
      <c r="F12" s="26">
        <f>资产资本表!F89</f>
        <v>77917681.909999996</v>
      </c>
      <c r="G12" s="26">
        <f>资产资本表!G89</f>
        <v>27383888.890000001</v>
      </c>
      <c r="H12" s="26">
        <f>资产资本表!H89</f>
        <v>0</v>
      </c>
      <c r="I12" s="26">
        <f>资产资本表!I89</f>
        <v>0</v>
      </c>
      <c r="J12" s="26">
        <f>资产资本表!J89</f>
        <v>0</v>
      </c>
      <c r="K12" s="26">
        <f>资产资本表!K89</f>
        <v>0</v>
      </c>
      <c r="L12" s="26">
        <f>资产资本表!L89</f>
        <v>0</v>
      </c>
      <c r="M12" s="26">
        <f>资产资本表!M89</f>
        <v>0</v>
      </c>
      <c r="N12" s="26">
        <f>资产资本表!N89</f>
        <v>0</v>
      </c>
      <c r="O12" s="26">
        <f>资产资本表!O89</f>
        <v>0</v>
      </c>
      <c r="P12" s="26">
        <f>资产资本表!P89</f>
        <v>0</v>
      </c>
      <c r="Q12" s="26">
        <f>资产资本表!Q89</f>
        <v>0</v>
      </c>
      <c r="R12" s="26">
        <f>资产资本表!R89</f>
        <v>0</v>
      </c>
      <c r="S12" s="26">
        <f>资产资本表!S89</f>
        <v>0</v>
      </c>
      <c r="T12" s="26">
        <f>资产资本表!T89</f>
        <v>0</v>
      </c>
      <c r="U12" s="26">
        <f>资产资本表!U89</f>
        <v>0</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232</v>
      </c>
      <c r="B13" s="190">
        <f t="shared" ref="B13:D13" si="0">B9-B12</f>
        <v>129146544300.52</v>
      </c>
      <c r="C13" s="190">
        <f t="shared" si="0"/>
        <v>106449091229.22</v>
      </c>
      <c r="D13" s="190">
        <f t="shared" si="0"/>
        <v>86226527669.819992</v>
      </c>
      <c r="E13" s="26">
        <f>E9-E12</f>
        <v>72182292720.420013</v>
      </c>
      <c r="F13" s="26">
        <f t="shared" ref="F13:BQ13" si="1">F9-F12</f>
        <v>55311550841.119995</v>
      </c>
      <c r="G13" s="26">
        <f t="shared" si="1"/>
        <v>44129092273.259995</v>
      </c>
      <c r="H13" s="26">
        <f t="shared" si="1"/>
        <v>35454036397.25</v>
      </c>
      <c r="I13" s="26">
        <f t="shared" si="1"/>
        <v>25403379611.290001</v>
      </c>
      <c r="J13" s="26">
        <f t="shared" si="1"/>
        <v>18867973890.910004</v>
      </c>
      <c r="K13" s="26">
        <f t="shared" si="1"/>
        <v>14788773056.830002</v>
      </c>
      <c r="L13" s="26">
        <f t="shared" si="1"/>
        <v>11503418295.949999</v>
      </c>
      <c r="M13" s="26">
        <f t="shared" si="1"/>
        <v>8410662728.4800005</v>
      </c>
      <c r="N13" s="26">
        <f t="shared" si="1"/>
        <v>5995028649.4299994</v>
      </c>
      <c r="O13" s="26">
        <f t="shared" si="1"/>
        <v>5199576891.5199995</v>
      </c>
      <c r="P13" s="26">
        <f t="shared" si="1"/>
        <v>4234148606.4099998</v>
      </c>
      <c r="Q13" s="26">
        <f t="shared" si="1"/>
        <v>3471736886.29</v>
      </c>
      <c r="R13" s="26">
        <f t="shared" si="1"/>
        <v>2930926516.1800003</v>
      </c>
      <c r="S13" s="26">
        <f t="shared" si="1"/>
        <v>2722401373.5699997</v>
      </c>
      <c r="T13" s="26">
        <f t="shared" si="1"/>
        <v>0</v>
      </c>
      <c r="U13" s="26">
        <f t="shared" si="1"/>
        <v>0</v>
      </c>
      <c r="V13" s="26">
        <f t="shared" si="1"/>
        <v>0</v>
      </c>
      <c r="W13" s="26">
        <f t="shared" si="1"/>
        <v>0</v>
      </c>
      <c r="X13" s="26">
        <f t="shared" si="1"/>
        <v>0</v>
      </c>
      <c r="Y13" s="26">
        <f t="shared" si="1"/>
        <v>0</v>
      </c>
      <c r="Z13" s="26">
        <f t="shared" si="1"/>
        <v>0</v>
      </c>
      <c r="AA13" s="26">
        <f t="shared" si="1"/>
        <v>0</v>
      </c>
      <c r="AB13" s="26">
        <f t="shared" si="1"/>
        <v>0</v>
      </c>
      <c r="AC13" s="26">
        <f t="shared" si="1"/>
        <v>0</v>
      </c>
      <c r="AD13" s="26">
        <f t="shared" si="1"/>
        <v>0</v>
      </c>
      <c r="AE13" s="26">
        <f t="shared" si="1"/>
        <v>0</v>
      </c>
      <c r="AF13" s="26">
        <f t="shared" si="1"/>
        <v>0</v>
      </c>
      <c r="AG13" s="26">
        <f t="shared" si="1"/>
        <v>0</v>
      </c>
      <c r="AH13" s="26">
        <f t="shared" si="1"/>
        <v>0</v>
      </c>
      <c r="AI13" s="26">
        <f t="shared" si="1"/>
        <v>0</v>
      </c>
      <c r="AJ13" s="26">
        <f t="shared" si="1"/>
        <v>0</v>
      </c>
      <c r="AK13" s="26">
        <f t="shared" si="1"/>
        <v>0</v>
      </c>
      <c r="AL13" s="26">
        <f t="shared" si="1"/>
        <v>0</v>
      </c>
      <c r="AM13" s="26">
        <f t="shared" si="1"/>
        <v>0</v>
      </c>
      <c r="AN13" s="26">
        <f t="shared" si="1"/>
        <v>0</v>
      </c>
      <c r="AO13" s="26">
        <f t="shared" si="1"/>
        <v>0</v>
      </c>
      <c r="AP13" s="26">
        <f t="shared" si="1"/>
        <v>0</v>
      </c>
      <c r="AQ13" s="26">
        <f t="shared" si="1"/>
        <v>0</v>
      </c>
      <c r="AR13" s="26">
        <f t="shared" si="1"/>
        <v>0</v>
      </c>
      <c r="AS13" s="26">
        <f t="shared" si="1"/>
        <v>0</v>
      </c>
      <c r="AT13" s="26">
        <f t="shared" si="1"/>
        <v>0</v>
      </c>
      <c r="AU13" s="26">
        <f t="shared" si="1"/>
        <v>0</v>
      </c>
      <c r="AV13" s="26">
        <f t="shared" si="1"/>
        <v>0</v>
      </c>
      <c r="AW13" s="26">
        <f t="shared" si="1"/>
        <v>0</v>
      </c>
      <c r="AX13" s="26">
        <f t="shared" si="1"/>
        <v>0</v>
      </c>
      <c r="AY13" s="26">
        <f t="shared" si="1"/>
        <v>0</v>
      </c>
      <c r="AZ13" s="26">
        <f t="shared" si="1"/>
        <v>0</v>
      </c>
      <c r="BA13" s="26">
        <f t="shared" si="1"/>
        <v>0</v>
      </c>
      <c r="BB13" s="26">
        <f t="shared" si="1"/>
        <v>0</v>
      </c>
      <c r="BC13" s="26">
        <f t="shared" si="1"/>
        <v>0</v>
      </c>
      <c r="BD13" s="26">
        <f t="shared" si="1"/>
        <v>0</v>
      </c>
      <c r="BE13" s="26">
        <f t="shared" si="1"/>
        <v>0</v>
      </c>
      <c r="BF13" s="26">
        <f t="shared" si="1"/>
        <v>0</v>
      </c>
      <c r="BG13" s="26">
        <f t="shared" si="1"/>
        <v>0</v>
      </c>
      <c r="BH13" s="26">
        <f t="shared" si="1"/>
        <v>0</v>
      </c>
      <c r="BI13" s="26">
        <f t="shared" si="1"/>
        <v>0</v>
      </c>
      <c r="BJ13" s="26">
        <f t="shared" si="1"/>
        <v>0</v>
      </c>
      <c r="BK13" s="26">
        <f t="shared" si="1"/>
        <v>0</v>
      </c>
      <c r="BL13" s="26">
        <f t="shared" si="1"/>
        <v>0</v>
      </c>
      <c r="BM13" s="26">
        <f t="shared" si="1"/>
        <v>0</v>
      </c>
      <c r="BN13" s="26">
        <f t="shared" si="1"/>
        <v>0</v>
      </c>
      <c r="BO13" s="26">
        <f t="shared" si="1"/>
        <v>0</v>
      </c>
      <c r="BP13" s="26">
        <f t="shared" si="1"/>
        <v>0</v>
      </c>
      <c r="BQ13" s="26">
        <f t="shared" si="1"/>
        <v>0</v>
      </c>
      <c r="BR13" s="26">
        <f t="shared" ref="BR13:CL13" si="2">BR9-BR12</f>
        <v>0</v>
      </c>
      <c r="BS13" s="26">
        <f t="shared" si="2"/>
        <v>0</v>
      </c>
      <c r="BT13" s="26">
        <f t="shared" si="2"/>
        <v>0</v>
      </c>
      <c r="BU13" s="26">
        <f t="shared" si="2"/>
        <v>0</v>
      </c>
      <c r="BV13" s="26">
        <f t="shared" si="2"/>
        <v>0</v>
      </c>
      <c r="BW13" s="26">
        <f t="shared" si="2"/>
        <v>0</v>
      </c>
      <c r="BX13" s="26">
        <f t="shared" si="2"/>
        <v>0</v>
      </c>
      <c r="BY13" s="26">
        <f t="shared" si="2"/>
        <v>0</v>
      </c>
      <c r="BZ13" s="26">
        <f t="shared" si="2"/>
        <v>0</v>
      </c>
      <c r="CA13" s="26">
        <f t="shared" si="2"/>
        <v>0</v>
      </c>
      <c r="CB13" s="26">
        <f t="shared" si="2"/>
        <v>0</v>
      </c>
      <c r="CC13" s="26">
        <f t="shared" si="2"/>
        <v>0</v>
      </c>
      <c r="CD13" s="26">
        <f t="shared" si="2"/>
        <v>0</v>
      </c>
      <c r="CE13" s="26">
        <f t="shared" si="2"/>
        <v>0</v>
      </c>
      <c r="CF13" s="26">
        <f t="shared" si="2"/>
        <v>0</v>
      </c>
      <c r="CG13" s="26">
        <f t="shared" si="2"/>
        <v>0</v>
      </c>
      <c r="CH13" s="26">
        <f t="shared" si="2"/>
        <v>0</v>
      </c>
      <c r="CI13" s="26">
        <f t="shared" si="2"/>
        <v>0</v>
      </c>
      <c r="CJ13" s="26">
        <f t="shared" si="2"/>
        <v>0</v>
      </c>
      <c r="CK13" s="26">
        <f t="shared" si="2"/>
        <v>0</v>
      </c>
      <c r="CL13" s="26">
        <f t="shared" si="2"/>
        <v>0</v>
      </c>
    </row>
    <row r="14" spans="1:90" s="48" customFormat="1">
      <c r="A14" s="46" t="s">
        <v>525</v>
      </c>
      <c r="B14" s="48">
        <f t="shared" ref="B14:D14" si="3">B9</f>
        <v>129189314752.36</v>
      </c>
      <c r="C14" s="48">
        <f t="shared" si="3"/>
        <v>106472505822.89</v>
      </c>
      <c r="D14" s="48">
        <f t="shared" si="3"/>
        <v>86261009305.149994</v>
      </c>
      <c r="E14" s="48">
        <f>E9</f>
        <v>72209702167.820007</v>
      </c>
      <c r="F14" s="48">
        <f t="shared" ref="F14:BQ14" si="4">F9</f>
        <v>55389468523.029999</v>
      </c>
      <c r="G14" s="48">
        <f t="shared" si="4"/>
        <v>44156476162.149994</v>
      </c>
      <c r="H14" s="48">
        <f t="shared" si="4"/>
        <v>35454036397.25</v>
      </c>
      <c r="I14" s="48">
        <f t="shared" si="4"/>
        <v>25403379611.290001</v>
      </c>
      <c r="J14" s="48">
        <f t="shared" si="4"/>
        <v>18867973890.910004</v>
      </c>
      <c r="K14" s="48">
        <f t="shared" si="4"/>
        <v>14788773056.830002</v>
      </c>
      <c r="L14" s="48">
        <f t="shared" si="4"/>
        <v>11503418295.949999</v>
      </c>
      <c r="M14" s="48">
        <f t="shared" si="4"/>
        <v>8410662728.4800005</v>
      </c>
      <c r="N14" s="48">
        <f t="shared" si="4"/>
        <v>5995028649.4299994</v>
      </c>
      <c r="O14" s="48">
        <f t="shared" si="4"/>
        <v>5199576891.5199995</v>
      </c>
      <c r="P14" s="48">
        <f t="shared" si="4"/>
        <v>4234148606.4099998</v>
      </c>
      <c r="Q14" s="48">
        <f t="shared" si="4"/>
        <v>3471736886.29</v>
      </c>
      <c r="R14" s="48">
        <f t="shared" si="4"/>
        <v>2930926516.1800003</v>
      </c>
      <c r="S14" s="48">
        <f t="shared" si="4"/>
        <v>2722401373.5699997</v>
      </c>
      <c r="T14" s="48">
        <f t="shared" si="4"/>
        <v>0</v>
      </c>
      <c r="U14" s="48">
        <f t="shared" si="4"/>
        <v>0</v>
      </c>
      <c r="V14" s="48">
        <f t="shared" si="4"/>
        <v>0</v>
      </c>
      <c r="W14" s="48">
        <f t="shared" si="4"/>
        <v>0</v>
      </c>
      <c r="X14" s="48">
        <f t="shared" si="4"/>
        <v>0</v>
      </c>
      <c r="Y14" s="48">
        <f t="shared" si="4"/>
        <v>0</v>
      </c>
      <c r="Z14" s="48">
        <f t="shared" si="4"/>
        <v>0</v>
      </c>
      <c r="AA14" s="48">
        <f t="shared" si="4"/>
        <v>0</v>
      </c>
      <c r="AB14" s="48">
        <f t="shared" si="4"/>
        <v>0</v>
      </c>
      <c r="AC14" s="48">
        <f t="shared" si="4"/>
        <v>0</v>
      </c>
      <c r="AD14" s="48">
        <f t="shared" si="4"/>
        <v>0</v>
      </c>
      <c r="AE14" s="48">
        <f t="shared" si="4"/>
        <v>0</v>
      </c>
      <c r="AF14" s="48">
        <f t="shared" si="4"/>
        <v>0</v>
      </c>
      <c r="AG14" s="48">
        <f t="shared" si="4"/>
        <v>0</v>
      </c>
      <c r="AH14" s="48">
        <f t="shared" si="4"/>
        <v>0</v>
      </c>
      <c r="AI14" s="48">
        <f t="shared" si="4"/>
        <v>0</v>
      </c>
      <c r="AJ14" s="48">
        <f t="shared" si="4"/>
        <v>0</v>
      </c>
      <c r="AK14" s="48">
        <f t="shared" si="4"/>
        <v>0</v>
      </c>
      <c r="AL14" s="48">
        <f t="shared" si="4"/>
        <v>0</v>
      </c>
      <c r="AM14" s="48">
        <f t="shared" si="4"/>
        <v>0</v>
      </c>
      <c r="AN14" s="48">
        <f t="shared" si="4"/>
        <v>0</v>
      </c>
      <c r="AO14" s="48">
        <f t="shared" si="4"/>
        <v>0</v>
      </c>
      <c r="AP14" s="48">
        <f t="shared" si="4"/>
        <v>0</v>
      </c>
      <c r="AQ14" s="48">
        <f t="shared" si="4"/>
        <v>0</v>
      </c>
      <c r="AR14" s="48">
        <f t="shared" si="4"/>
        <v>0</v>
      </c>
      <c r="AS14" s="48">
        <f t="shared" si="4"/>
        <v>0</v>
      </c>
      <c r="AT14" s="48">
        <f t="shared" si="4"/>
        <v>0</v>
      </c>
      <c r="AU14" s="48">
        <f t="shared" si="4"/>
        <v>0</v>
      </c>
      <c r="AV14" s="48">
        <f t="shared" si="4"/>
        <v>0</v>
      </c>
      <c r="AW14" s="48">
        <f t="shared" si="4"/>
        <v>0</v>
      </c>
      <c r="AX14" s="48">
        <f t="shared" si="4"/>
        <v>0</v>
      </c>
      <c r="AY14" s="48">
        <f t="shared" si="4"/>
        <v>0</v>
      </c>
      <c r="AZ14" s="48">
        <f t="shared" si="4"/>
        <v>0</v>
      </c>
      <c r="BA14" s="48">
        <f t="shared" si="4"/>
        <v>0</v>
      </c>
      <c r="BB14" s="48">
        <f t="shared" si="4"/>
        <v>0</v>
      </c>
      <c r="BC14" s="48">
        <f t="shared" si="4"/>
        <v>0</v>
      </c>
      <c r="BD14" s="48">
        <f t="shared" si="4"/>
        <v>0</v>
      </c>
      <c r="BE14" s="48">
        <f t="shared" si="4"/>
        <v>0</v>
      </c>
      <c r="BF14" s="48">
        <f t="shared" si="4"/>
        <v>0</v>
      </c>
      <c r="BG14" s="48">
        <f t="shared" si="4"/>
        <v>0</v>
      </c>
      <c r="BH14" s="48">
        <f t="shared" si="4"/>
        <v>0</v>
      </c>
      <c r="BI14" s="48">
        <f t="shared" si="4"/>
        <v>0</v>
      </c>
      <c r="BJ14" s="48">
        <f t="shared" si="4"/>
        <v>0</v>
      </c>
      <c r="BK14" s="48">
        <f t="shared" si="4"/>
        <v>0</v>
      </c>
      <c r="BL14" s="48">
        <f t="shared" si="4"/>
        <v>0</v>
      </c>
      <c r="BM14" s="48">
        <f t="shared" si="4"/>
        <v>0</v>
      </c>
      <c r="BN14" s="48">
        <f t="shared" si="4"/>
        <v>0</v>
      </c>
      <c r="BO14" s="48">
        <f t="shared" si="4"/>
        <v>0</v>
      </c>
      <c r="BP14" s="48">
        <f t="shared" si="4"/>
        <v>0</v>
      </c>
      <c r="BQ14" s="48">
        <f t="shared" si="4"/>
        <v>0</v>
      </c>
      <c r="BR14" s="48">
        <f t="shared" ref="BR14:CL14" si="5">BR9</f>
        <v>0</v>
      </c>
      <c r="BS14" s="48">
        <f t="shared" si="5"/>
        <v>0</v>
      </c>
      <c r="BT14" s="48">
        <f t="shared" si="5"/>
        <v>0</v>
      </c>
      <c r="BU14" s="48">
        <f t="shared" si="5"/>
        <v>0</v>
      </c>
      <c r="BV14" s="48">
        <f t="shared" si="5"/>
        <v>0</v>
      </c>
      <c r="BW14" s="48">
        <f t="shared" si="5"/>
        <v>0</v>
      </c>
      <c r="BX14" s="48">
        <f t="shared" si="5"/>
        <v>0</v>
      </c>
      <c r="BY14" s="48">
        <f t="shared" si="5"/>
        <v>0</v>
      </c>
      <c r="BZ14" s="48">
        <f t="shared" si="5"/>
        <v>0</v>
      </c>
      <c r="CA14" s="48">
        <f t="shared" si="5"/>
        <v>0</v>
      </c>
      <c r="CB14" s="48">
        <f t="shared" si="5"/>
        <v>0</v>
      </c>
      <c r="CC14" s="48">
        <f t="shared" si="5"/>
        <v>0</v>
      </c>
      <c r="CD14" s="48">
        <f t="shared" si="5"/>
        <v>0</v>
      </c>
      <c r="CE14" s="48">
        <f t="shared" si="5"/>
        <v>0</v>
      </c>
      <c r="CF14" s="48">
        <f t="shared" si="5"/>
        <v>0</v>
      </c>
      <c r="CG14" s="48">
        <f t="shared" si="5"/>
        <v>0</v>
      </c>
      <c r="CH14" s="48">
        <f t="shared" si="5"/>
        <v>0</v>
      </c>
      <c r="CI14" s="48">
        <f t="shared" si="5"/>
        <v>0</v>
      </c>
      <c r="CJ14" s="48">
        <f t="shared" si="5"/>
        <v>0</v>
      </c>
      <c r="CK14" s="48">
        <f t="shared" si="5"/>
        <v>0</v>
      </c>
      <c r="CL14" s="48">
        <f t="shared" si="5"/>
        <v>0</v>
      </c>
    </row>
    <row r="15" spans="1:90" s="58" customFormat="1">
      <c r="A15" s="46" t="s">
        <v>230</v>
      </c>
      <c r="B15" s="58">
        <f t="shared" ref="B15:D15" si="6">B11+B13-B3-B4-B7</f>
        <v>112404910912.69</v>
      </c>
      <c r="C15" s="58">
        <f t="shared" si="6"/>
        <v>88115913935.559998</v>
      </c>
      <c r="D15" s="58">
        <f t="shared" si="6"/>
        <v>66990385339.769989</v>
      </c>
      <c r="E15" s="58">
        <f>E11+E13-E3-E4-E7</f>
        <v>36887687499.130013</v>
      </c>
      <c r="F15" s="58">
        <f t="shared" ref="F15:BQ15" si="7">F11+F13-F3-F4-F7</f>
        <v>27777402920.629993</v>
      </c>
      <c r="G15" s="58">
        <f t="shared" si="7"/>
        <v>25396224590.019997</v>
      </c>
      <c r="H15" s="58">
        <f t="shared" si="7"/>
        <v>22376612663.389999</v>
      </c>
      <c r="I15" s="58">
        <f t="shared" si="7"/>
        <v>18539872922.09</v>
      </c>
      <c r="J15" s="58">
        <f t="shared" si="7"/>
        <v>12991122314.630001</v>
      </c>
      <c r="K15" s="58">
        <f t="shared" si="7"/>
        <v>9755064755.2399998</v>
      </c>
      <c r="L15" s="58">
        <f t="shared" si="7"/>
        <v>8138505441.1599979</v>
      </c>
      <c r="M15" s="58">
        <f t="shared" si="7"/>
        <v>4784290700.0200005</v>
      </c>
      <c r="N15" s="58">
        <f t="shared" si="7"/>
        <v>4505867488.6399994</v>
      </c>
      <c r="O15" s="58">
        <f t="shared" si="7"/>
        <v>3891989433.5300007</v>
      </c>
      <c r="P15" s="58">
        <f t="shared" si="7"/>
        <v>2898327418.8500004</v>
      </c>
      <c r="Q15" s="58">
        <f t="shared" si="7"/>
        <v>2340047386.8499994</v>
      </c>
      <c r="R15" s="58">
        <f t="shared" si="7"/>
        <v>1780307690.6400003</v>
      </c>
      <c r="S15" s="58">
        <f t="shared" si="7"/>
        <v>1956436570.0999999</v>
      </c>
      <c r="T15" s="58">
        <f t="shared" si="7"/>
        <v>0</v>
      </c>
      <c r="U15" s="58">
        <f t="shared" si="7"/>
        <v>0</v>
      </c>
      <c r="V15" s="58">
        <f t="shared" si="7"/>
        <v>0</v>
      </c>
      <c r="W15" s="58">
        <f t="shared" si="7"/>
        <v>0</v>
      </c>
      <c r="X15" s="58">
        <f t="shared" si="7"/>
        <v>0</v>
      </c>
      <c r="Y15" s="58">
        <f t="shared" si="7"/>
        <v>0</v>
      </c>
      <c r="Z15" s="58">
        <f t="shared" si="7"/>
        <v>0</v>
      </c>
      <c r="AA15" s="58">
        <f t="shared" si="7"/>
        <v>0</v>
      </c>
      <c r="AB15" s="58">
        <f t="shared" si="7"/>
        <v>0</v>
      </c>
      <c r="AC15" s="58">
        <f t="shared" si="7"/>
        <v>0</v>
      </c>
      <c r="AD15" s="58">
        <f t="shared" si="7"/>
        <v>0</v>
      </c>
      <c r="AE15" s="58">
        <f t="shared" si="7"/>
        <v>0</v>
      </c>
      <c r="AF15" s="58">
        <f t="shared" si="7"/>
        <v>0</v>
      </c>
      <c r="AG15" s="58">
        <f t="shared" si="7"/>
        <v>0</v>
      </c>
      <c r="AH15" s="58">
        <f t="shared" si="7"/>
        <v>0</v>
      </c>
      <c r="AI15" s="58">
        <f t="shared" si="7"/>
        <v>0</v>
      </c>
      <c r="AJ15" s="58">
        <f t="shared" si="7"/>
        <v>0</v>
      </c>
      <c r="AK15" s="58">
        <f t="shared" si="7"/>
        <v>0</v>
      </c>
      <c r="AL15" s="58">
        <f t="shared" si="7"/>
        <v>0</v>
      </c>
      <c r="AM15" s="58">
        <f t="shared" si="7"/>
        <v>0</v>
      </c>
      <c r="AN15" s="58">
        <f t="shared" si="7"/>
        <v>0</v>
      </c>
      <c r="AO15" s="58">
        <f t="shared" si="7"/>
        <v>0</v>
      </c>
      <c r="AP15" s="58">
        <f t="shared" si="7"/>
        <v>0</v>
      </c>
      <c r="AQ15" s="58">
        <f t="shared" si="7"/>
        <v>0</v>
      </c>
      <c r="AR15" s="58">
        <f t="shared" si="7"/>
        <v>0</v>
      </c>
      <c r="AS15" s="58">
        <f t="shared" si="7"/>
        <v>0</v>
      </c>
      <c r="AT15" s="58">
        <f t="shared" si="7"/>
        <v>0</v>
      </c>
      <c r="AU15" s="58">
        <f t="shared" si="7"/>
        <v>0</v>
      </c>
      <c r="AV15" s="58">
        <f t="shared" si="7"/>
        <v>0</v>
      </c>
      <c r="AW15" s="58">
        <f t="shared" si="7"/>
        <v>0</v>
      </c>
      <c r="AX15" s="58">
        <f t="shared" si="7"/>
        <v>0</v>
      </c>
      <c r="AY15" s="58">
        <f t="shared" si="7"/>
        <v>0</v>
      </c>
      <c r="AZ15" s="58">
        <f t="shared" si="7"/>
        <v>0</v>
      </c>
      <c r="BA15" s="58">
        <f t="shared" si="7"/>
        <v>0</v>
      </c>
      <c r="BB15" s="58">
        <f t="shared" si="7"/>
        <v>0</v>
      </c>
      <c r="BC15" s="58">
        <f t="shared" si="7"/>
        <v>0</v>
      </c>
      <c r="BD15" s="58">
        <f t="shared" si="7"/>
        <v>0</v>
      </c>
      <c r="BE15" s="58">
        <f t="shared" si="7"/>
        <v>0</v>
      </c>
      <c r="BF15" s="58">
        <f t="shared" si="7"/>
        <v>0</v>
      </c>
      <c r="BG15" s="58">
        <f t="shared" si="7"/>
        <v>0</v>
      </c>
      <c r="BH15" s="58">
        <f t="shared" si="7"/>
        <v>0</v>
      </c>
      <c r="BI15" s="58">
        <f t="shared" si="7"/>
        <v>0</v>
      </c>
      <c r="BJ15" s="58">
        <f t="shared" si="7"/>
        <v>0</v>
      </c>
      <c r="BK15" s="58">
        <f t="shared" si="7"/>
        <v>0</v>
      </c>
      <c r="BL15" s="58">
        <f t="shared" si="7"/>
        <v>0</v>
      </c>
      <c r="BM15" s="58">
        <f t="shared" si="7"/>
        <v>0</v>
      </c>
      <c r="BN15" s="58">
        <f t="shared" si="7"/>
        <v>0</v>
      </c>
      <c r="BO15" s="58">
        <f t="shared" si="7"/>
        <v>0</v>
      </c>
      <c r="BP15" s="58">
        <f t="shared" si="7"/>
        <v>0</v>
      </c>
      <c r="BQ15" s="58">
        <f t="shared" si="7"/>
        <v>0</v>
      </c>
      <c r="BR15" s="58">
        <f t="shared" ref="BR15:CL15" si="8">BR11+BR13-BR3-BR4-BR7</f>
        <v>0</v>
      </c>
      <c r="BS15" s="58">
        <f t="shared" si="8"/>
        <v>0</v>
      </c>
      <c r="BT15" s="58">
        <f t="shared" si="8"/>
        <v>0</v>
      </c>
      <c r="BU15" s="58">
        <f t="shared" si="8"/>
        <v>0</v>
      </c>
      <c r="BV15" s="58">
        <f t="shared" si="8"/>
        <v>0</v>
      </c>
      <c r="BW15" s="58">
        <f t="shared" si="8"/>
        <v>0</v>
      </c>
      <c r="BX15" s="58">
        <f t="shared" si="8"/>
        <v>0</v>
      </c>
      <c r="BY15" s="58">
        <f t="shared" si="8"/>
        <v>0</v>
      </c>
      <c r="BZ15" s="58">
        <f t="shared" si="8"/>
        <v>0</v>
      </c>
      <c r="CA15" s="58">
        <f t="shared" si="8"/>
        <v>0</v>
      </c>
      <c r="CB15" s="58">
        <f t="shared" si="8"/>
        <v>0</v>
      </c>
      <c r="CC15" s="58">
        <f t="shared" si="8"/>
        <v>0</v>
      </c>
      <c r="CD15" s="58">
        <f t="shared" si="8"/>
        <v>0</v>
      </c>
      <c r="CE15" s="58">
        <f t="shared" si="8"/>
        <v>0</v>
      </c>
      <c r="CF15" s="58">
        <f t="shared" si="8"/>
        <v>0</v>
      </c>
      <c r="CG15" s="58">
        <f t="shared" si="8"/>
        <v>0</v>
      </c>
      <c r="CH15" s="58">
        <f t="shared" si="8"/>
        <v>0</v>
      </c>
      <c r="CI15" s="58">
        <f t="shared" si="8"/>
        <v>0</v>
      </c>
      <c r="CJ15" s="58">
        <f t="shared" si="8"/>
        <v>0</v>
      </c>
      <c r="CK15" s="58">
        <f t="shared" si="8"/>
        <v>0</v>
      </c>
      <c r="CL15" s="58">
        <f t="shared" si="8"/>
        <v>0</v>
      </c>
    </row>
    <row r="16" spans="1:90" s="58" customFormat="1">
      <c r="A16" s="46" t="s">
        <v>231</v>
      </c>
      <c r="B16" s="58">
        <f t="shared" ref="B16:D16" si="9">B10-B2</f>
        <v>-112404910912.69</v>
      </c>
      <c r="C16" s="58">
        <f t="shared" si="9"/>
        <v>-88115913935.559998</v>
      </c>
      <c r="D16" s="58">
        <f t="shared" si="9"/>
        <v>-66990385339.769997</v>
      </c>
      <c r="E16" s="58">
        <f>E10-E2</f>
        <v>-36887687499.129997</v>
      </c>
      <c r="F16" s="58">
        <f t="shared" ref="F16:BQ16" si="10">F10-F2</f>
        <v>-27777402920.630001</v>
      </c>
      <c r="G16" s="58">
        <f t="shared" si="10"/>
        <v>-25396224590.02</v>
      </c>
      <c r="H16" s="58">
        <f t="shared" si="10"/>
        <v>-22376612663.389999</v>
      </c>
      <c r="I16" s="58">
        <f t="shared" si="10"/>
        <v>-18539872922.09</v>
      </c>
      <c r="J16" s="58">
        <f t="shared" si="10"/>
        <v>-12991122314.630001</v>
      </c>
      <c r="K16" s="58">
        <f t="shared" si="10"/>
        <v>-9755064755.2399998</v>
      </c>
      <c r="L16" s="58">
        <f t="shared" si="10"/>
        <v>-8138505441.1599998</v>
      </c>
      <c r="M16" s="58">
        <f t="shared" si="10"/>
        <v>-4784290700.0200005</v>
      </c>
      <c r="N16" s="58">
        <f t="shared" si="10"/>
        <v>-4505867488.6400003</v>
      </c>
      <c r="O16" s="58">
        <f t="shared" si="10"/>
        <v>-3891989433.5300002</v>
      </c>
      <c r="P16" s="58">
        <f t="shared" si="10"/>
        <v>-2898327418.8499999</v>
      </c>
      <c r="Q16" s="58">
        <f t="shared" si="10"/>
        <v>-2340047386.8499999</v>
      </c>
      <c r="R16" s="58">
        <f t="shared" si="10"/>
        <v>-1780307690.6400001</v>
      </c>
      <c r="S16" s="58">
        <f t="shared" si="10"/>
        <v>-1956436570.0999999</v>
      </c>
      <c r="T16" s="58">
        <f t="shared" si="10"/>
        <v>0</v>
      </c>
      <c r="U16" s="58">
        <f t="shared" si="10"/>
        <v>0</v>
      </c>
      <c r="V16" s="58">
        <f t="shared" si="10"/>
        <v>0</v>
      </c>
      <c r="W16" s="58">
        <f t="shared" si="10"/>
        <v>0</v>
      </c>
      <c r="X16" s="58">
        <f t="shared" si="10"/>
        <v>0</v>
      </c>
      <c r="Y16" s="58">
        <f t="shared" si="10"/>
        <v>0</v>
      </c>
      <c r="Z16" s="58">
        <f t="shared" si="10"/>
        <v>0</v>
      </c>
      <c r="AA16" s="58">
        <f t="shared" si="10"/>
        <v>0</v>
      </c>
      <c r="AB16" s="58">
        <f t="shared" si="10"/>
        <v>0</v>
      </c>
      <c r="AC16" s="58">
        <f t="shared" si="10"/>
        <v>0</v>
      </c>
      <c r="AD16" s="58">
        <f t="shared" si="10"/>
        <v>0</v>
      </c>
      <c r="AE16" s="58">
        <f t="shared" si="10"/>
        <v>0</v>
      </c>
      <c r="AF16" s="58">
        <f t="shared" si="10"/>
        <v>0</v>
      </c>
      <c r="AG16" s="58">
        <f t="shared" si="10"/>
        <v>0</v>
      </c>
      <c r="AH16" s="58">
        <f t="shared" si="10"/>
        <v>0</v>
      </c>
      <c r="AI16" s="58">
        <f t="shared" si="10"/>
        <v>0</v>
      </c>
      <c r="AJ16" s="58">
        <f t="shared" si="10"/>
        <v>0</v>
      </c>
      <c r="AK16" s="58">
        <f t="shared" si="10"/>
        <v>0</v>
      </c>
      <c r="AL16" s="58">
        <f t="shared" si="10"/>
        <v>0</v>
      </c>
      <c r="AM16" s="58">
        <f t="shared" si="10"/>
        <v>0</v>
      </c>
      <c r="AN16" s="58">
        <f t="shared" si="10"/>
        <v>0</v>
      </c>
      <c r="AO16" s="58">
        <f t="shared" si="10"/>
        <v>0</v>
      </c>
      <c r="AP16" s="58">
        <f t="shared" si="10"/>
        <v>0</v>
      </c>
      <c r="AQ16" s="58">
        <f t="shared" si="10"/>
        <v>0</v>
      </c>
      <c r="AR16" s="58">
        <f t="shared" si="10"/>
        <v>0</v>
      </c>
      <c r="AS16" s="58">
        <f t="shared" si="10"/>
        <v>0</v>
      </c>
      <c r="AT16" s="58">
        <f t="shared" si="10"/>
        <v>0</v>
      </c>
      <c r="AU16" s="58">
        <f t="shared" si="10"/>
        <v>0</v>
      </c>
      <c r="AV16" s="58">
        <f t="shared" si="10"/>
        <v>0</v>
      </c>
      <c r="AW16" s="58">
        <f t="shared" si="10"/>
        <v>0</v>
      </c>
      <c r="AX16" s="58">
        <f t="shared" si="10"/>
        <v>0</v>
      </c>
      <c r="AY16" s="58">
        <f t="shared" si="10"/>
        <v>0</v>
      </c>
      <c r="AZ16" s="58">
        <f t="shared" si="10"/>
        <v>0</v>
      </c>
      <c r="BA16" s="58">
        <f t="shared" si="10"/>
        <v>0</v>
      </c>
      <c r="BB16" s="58">
        <f t="shared" si="10"/>
        <v>0</v>
      </c>
      <c r="BC16" s="58">
        <f t="shared" si="10"/>
        <v>0</v>
      </c>
      <c r="BD16" s="58">
        <f t="shared" si="10"/>
        <v>0</v>
      </c>
      <c r="BE16" s="58">
        <f t="shared" si="10"/>
        <v>0</v>
      </c>
      <c r="BF16" s="58">
        <f t="shared" si="10"/>
        <v>0</v>
      </c>
      <c r="BG16" s="58">
        <f t="shared" si="10"/>
        <v>0</v>
      </c>
      <c r="BH16" s="58">
        <f t="shared" si="10"/>
        <v>0</v>
      </c>
      <c r="BI16" s="58">
        <f t="shared" si="10"/>
        <v>0</v>
      </c>
      <c r="BJ16" s="58">
        <f t="shared" si="10"/>
        <v>0</v>
      </c>
      <c r="BK16" s="58">
        <f t="shared" si="10"/>
        <v>0</v>
      </c>
      <c r="BL16" s="58">
        <f t="shared" si="10"/>
        <v>0</v>
      </c>
      <c r="BM16" s="58">
        <f t="shared" si="10"/>
        <v>0</v>
      </c>
      <c r="BN16" s="58">
        <f t="shared" si="10"/>
        <v>0</v>
      </c>
      <c r="BO16" s="58">
        <f t="shared" si="10"/>
        <v>0</v>
      </c>
      <c r="BP16" s="58">
        <f t="shared" si="10"/>
        <v>0</v>
      </c>
      <c r="BQ16" s="58">
        <f t="shared" si="10"/>
        <v>0</v>
      </c>
      <c r="BR16" s="58">
        <f t="shared" ref="BR16:CL16" si="11">BR10-BR2</f>
        <v>0</v>
      </c>
      <c r="BS16" s="58">
        <f t="shared" si="11"/>
        <v>0</v>
      </c>
      <c r="BT16" s="58">
        <f t="shared" si="11"/>
        <v>0</v>
      </c>
      <c r="BU16" s="58">
        <f t="shared" si="11"/>
        <v>0</v>
      </c>
      <c r="BV16" s="58">
        <f t="shared" si="11"/>
        <v>0</v>
      </c>
      <c r="BW16" s="58">
        <f t="shared" si="11"/>
        <v>0</v>
      </c>
      <c r="BX16" s="58">
        <f t="shared" si="11"/>
        <v>0</v>
      </c>
      <c r="BY16" s="58">
        <f t="shared" si="11"/>
        <v>0</v>
      </c>
      <c r="BZ16" s="58">
        <f t="shared" si="11"/>
        <v>0</v>
      </c>
      <c r="CA16" s="58">
        <f t="shared" si="11"/>
        <v>0</v>
      </c>
      <c r="CB16" s="58">
        <f t="shared" si="11"/>
        <v>0</v>
      </c>
      <c r="CC16" s="58">
        <f t="shared" si="11"/>
        <v>0</v>
      </c>
      <c r="CD16" s="58">
        <f t="shared" si="11"/>
        <v>0</v>
      </c>
      <c r="CE16" s="58">
        <f t="shared" si="11"/>
        <v>0</v>
      </c>
      <c r="CF16" s="58">
        <f t="shared" si="11"/>
        <v>0</v>
      </c>
      <c r="CG16" s="58">
        <f t="shared" si="11"/>
        <v>0</v>
      </c>
      <c r="CH16" s="58">
        <f t="shared" si="11"/>
        <v>0</v>
      </c>
      <c r="CI16" s="58">
        <f t="shared" si="11"/>
        <v>0</v>
      </c>
      <c r="CJ16" s="58">
        <f t="shared" si="11"/>
        <v>0</v>
      </c>
      <c r="CK16" s="58">
        <f t="shared" si="11"/>
        <v>0</v>
      </c>
      <c r="CL16" s="58">
        <f t="shared" si="11"/>
        <v>0</v>
      </c>
    </row>
    <row r="17" spans="1:90" s="59" customFormat="1">
      <c r="A17" s="66" t="s">
        <v>550</v>
      </c>
      <c r="B17" s="59">
        <f t="shared" ref="B17:D17" si="12">(B11+B13-B7-B3)/B4</f>
        <v>-20.707621925969711</v>
      </c>
      <c r="C17" s="59">
        <f t="shared" si="12"/>
        <v>-21.220050812733422</v>
      </c>
      <c r="D17" s="59">
        <f t="shared" si="12"/>
        <v>-18.54204172272917</v>
      </c>
      <c r="E17" s="59">
        <f>(E11+E13-E7-E3)/E4</f>
        <v>3.6261767252407409</v>
      </c>
      <c r="F17" s="59">
        <f t="shared" ref="F17:BQ17" si="13">(F11+F13-F7-F3)/F4</f>
        <v>3.9881310846490683</v>
      </c>
      <c r="G17" s="59">
        <f t="shared" si="13"/>
        <v>5.8279038198799675</v>
      </c>
      <c r="H17" s="59">
        <f t="shared" si="13"/>
        <v>6.1389791442954333</v>
      </c>
      <c r="I17" s="59">
        <f t="shared" si="13"/>
        <v>-124.49827148773274</v>
      </c>
      <c r="J17" s="59">
        <f t="shared" si="13"/>
        <v>20.999989279807998</v>
      </c>
      <c r="K17" s="59">
        <f t="shared" si="13"/>
        <v>11.493034439761415</v>
      </c>
      <c r="L17" s="59">
        <f t="shared" si="13"/>
        <v>-75.400603609443792</v>
      </c>
      <c r="M17" s="59">
        <f t="shared" si="13"/>
        <v>11.084864088045135</v>
      </c>
      <c r="N17" s="59">
        <f t="shared" si="13"/>
        <v>-3.0725109732489275</v>
      </c>
      <c r="O17" s="59">
        <f t="shared" si="13"/>
        <v>-4.3279254454623253</v>
      </c>
      <c r="P17" s="59">
        <f t="shared" si="13"/>
        <v>-9.929113019462557</v>
      </c>
      <c r="Q17" s="59">
        <f t="shared" si="13"/>
        <v>-33.087985312904493</v>
      </c>
      <c r="R17" s="59">
        <f t="shared" si="13"/>
        <v>9.4386722871946525</v>
      </c>
      <c r="S17" s="59">
        <f t="shared" si="13"/>
        <v>12.341571911587682</v>
      </c>
      <c r="T17" s="59" t="e">
        <f t="shared" si="13"/>
        <v>#DIV/0!</v>
      </c>
      <c r="U17" s="59" t="e">
        <f t="shared" si="13"/>
        <v>#DIV/0!</v>
      </c>
      <c r="V17" s="59" t="e">
        <f t="shared" si="13"/>
        <v>#DIV/0!</v>
      </c>
      <c r="W17" s="59" t="e">
        <f t="shared" si="13"/>
        <v>#DIV/0!</v>
      </c>
      <c r="X17" s="59" t="e">
        <f t="shared" si="13"/>
        <v>#DIV/0!</v>
      </c>
      <c r="Y17" s="59" t="e">
        <f t="shared" si="13"/>
        <v>#DIV/0!</v>
      </c>
      <c r="Z17" s="59" t="e">
        <f t="shared" si="13"/>
        <v>#DIV/0!</v>
      </c>
      <c r="AA17" s="59" t="e">
        <f t="shared" si="13"/>
        <v>#DIV/0!</v>
      </c>
      <c r="AB17" s="59" t="e">
        <f t="shared" si="13"/>
        <v>#DIV/0!</v>
      </c>
      <c r="AC17" s="59" t="e">
        <f t="shared" si="13"/>
        <v>#DIV/0!</v>
      </c>
      <c r="AD17" s="59" t="e">
        <f t="shared" si="13"/>
        <v>#DIV/0!</v>
      </c>
      <c r="AE17" s="59" t="e">
        <f t="shared" si="13"/>
        <v>#DIV/0!</v>
      </c>
      <c r="AF17" s="59" t="e">
        <f t="shared" si="13"/>
        <v>#DIV/0!</v>
      </c>
      <c r="AG17" s="59" t="e">
        <f t="shared" si="13"/>
        <v>#DIV/0!</v>
      </c>
      <c r="AH17" s="59" t="e">
        <f t="shared" si="13"/>
        <v>#DIV/0!</v>
      </c>
      <c r="AI17" s="59" t="e">
        <f t="shared" si="13"/>
        <v>#DIV/0!</v>
      </c>
      <c r="AJ17" s="59" t="e">
        <f t="shared" si="13"/>
        <v>#DIV/0!</v>
      </c>
      <c r="AK17" s="59" t="e">
        <f t="shared" si="13"/>
        <v>#DIV/0!</v>
      </c>
      <c r="AL17" s="59" t="e">
        <f t="shared" si="13"/>
        <v>#DIV/0!</v>
      </c>
      <c r="AM17" s="59" t="e">
        <f t="shared" si="13"/>
        <v>#DIV/0!</v>
      </c>
      <c r="AN17" s="59" t="e">
        <f t="shared" si="13"/>
        <v>#DIV/0!</v>
      </c>
      <c r="AO17" s="59" t="e">
        <f t="shared" si="13"/>
        <v>#DIV/0!</v>
      </c>
      <c r="AP17" s="59" t="e">
        <f t="shared" si="13"/>
        <v>#DIV/0!</v>
      </c>
      <c r="AQ17" s="59" t="e">
        <f t="shared" si="13"/>
        <v>#DIV/0!</v>
      </c>
      <c r="AR17" s="59" t="e">
        <f t="shared" si="13"/>
        <v>#DIV/0!</v>
      </c>
      <c r="AS17" s="59" t="e">
        <f t="shared" si="13"/>
        <v>#DIV/0!</v>
      </c>
      <c r="AT17" s="59" t="e">
        <f t="shared" si="13"/>
        <v>#DIV/0!</v>
      </c>
      <c r="AU17" s="59" t="e">
        <f t="shared" si="13"/>
        <v>#DIV/0!</v>
      </c>
      <c r="AV17" s="59" t="e">
        <f t="shared" si="13"/>
        <v>#DIV/0!</v>
      </c>
      <c r="AW17" s="59" t="e">
        <f t="shared" si="13"/>
        <v>#DIV/0!</v>
      </c>
      <c r="AX17" s="59" t="e">
        <f t="shared" si="13"/>
        <v>#DIV/0!</v>
      </c>
      <c r="AY17" s="59" t="e">
        <f t="shared" si="13"/>
        <v>#DIV/0!</v>
      </c>
      <c r="AZ17" s="59" t="e">
        <f t="shared" si="13"/>
        <v>#DIV/0!</v>
      </c>
      <c r="BA17" s="59" t="e">
        <f t="shared" si="13"/>
        <v>#DIV/0!</v>
      </c>
      <c r="BB17" s="59" t="e">
        <f t="shared" si="13"/>
        <v>#DIV/0!</v>
      </c>
      <c r="BC17" s="59" t="e">
        <f t="shared" si="13"/>
        <v>#DIV/0!</v>
      </c>
      <c r="BD17" s="59" t="e">
        <f t="shared" si="13"/>
        <v>#DIV/0!</v>
      </c>
      <c r="BE17" s="59" t="e">
        <f t="shared" si="13"/>
        <v>#DIV/0!</v>
      </c>
      <c r="BF17" s="59" t="e">
        <f t="shared" si="13"/>
        <v>#DIV/0!</v>
      </c>
      <c r="BG17" s="59" t="e">
        <f t="shared" si="13"/>
        <v>#DIV/0!</v>
      </c>
      <c r="BH17" s="59" t="e">
        <f t="shared" si="13"/>
        <v>#DIV/0!</v>
      </c>
      <c r="BI17" s="59" t="e">
        <f t="shared" si="13"/>
        <v>#DIV/0!</v>
      </c>
      <c r="BJ17" s="59" t="e">
        <f t="shared" si="13"/>
        <v>#DIV/0!</v>
      </c>
      <c r="BK17" s="59" t="e">
        <f t="shared" si="13"/>
        <v>#DIV/0!</v>
      </c>
      <c r="BL17" s="59" t="e">
        <f t="shared" si="13"/>
        <v>#DIV/0!</v>
      </c>
      <c r="BM17" s="59" t="e">
        <f t="shared" si="13"/>
        <v>#DIV/0!</v>
      </c>
      <c r="BN17" s="59" t="e">
        <f t="shared" si="13"/>
        <v>#DIV/0!</v>
      </c>
      <c r="BO17" s="59" t="e">
        <f t="shared" si="13"/>
        <v>#DIV/0!</v>
      </c>
      <c r="BP17" s="59" t="e">
        <f t="shared" si="13"/>
        <v>#DIV/0!</v>
      </c>
      <c r="BQ17" s="59" t="e">
        <f t="shared" si="13"/>
        <v>#DIV/0!</v>
      </c>
      <c r="BR17" s="59" t="e">
        <f t="shared" ref="BR17:CL17" si="14">(BR11+BR13-BR7-BR3)/BR4</f>
        <v>#DIV/0!</v>
      </c>
      <c r="BS17" s="59" t="e">
        <f t="shared" si="14"/>
        <v>#DIV/0!</v>
      </c>
      <c r="BT17" s="59" t="e">
        <f t="shared" si="14"/>
        <v>#DIV/0!</v>
      </c>
      <c r="BU17" s="59" t="e">
        <f t="shared" si="14"/>
        <v>#DIV/0!</v>
      </c>
      <c r="BV17" s="59" t="e">
        <f t="shared" si="14"/>
        <v>#DIV/0!</v>
      </c>
      <c r="BW17" s="59" t="e">
        <f t="shared" si="14"/>
        <v>#DIV/0!</v>
      </c>
      <c r="BX17" s="59" t="e">
        <f t="shared" si="14"/>
        <v>#DIV/0!</v>
      </c>
      <c r="BY17" s="59" t="e">
        <f t="shared" si="14"/>
        <v>#DIV/0!</v>
      </c>
      <c r="BZ17" s="59" t="e">
        <f t="shared" si="14"/>
        <v>#DIV/0!</v>
      </c>
      <c r="CA17" s="59" t="e">
        <f t="shared" si="14"/>
        <v>#DIV/0!</v>
      </c>
      <c r="CB17" s="59" t="e">
        <f t="shared" si="14"/>
        <v>#DIV/0!</v>
      </c>
      <c r="CC17" s="59" t="e">
        <f t="shared" si="14"/>
        <v>#DIV/0!</v>
      </c>
      <c r="CD17" s="59" t="e">
        <f t="shared" si="14"/>
        <v>#DIV/0!</v>
      </c>
      <c r="CE17" s="59" t="e">
        <f t="shared" si="14"/>
        <v>#DIV/0!</v>
      </c>
      <c r="CF17" s="59" t="e">
        <f t="shared" si="14"/>
        <v>#DIV/0!</v>
      </c>
      <c r="CG17" s="59" t="e">
        <f t="shared" si="14"/>
        <v>#DIV/0!</v>
      </c>
      <c r="CH17" s="59" t="e">
        <f t="shared" si="14"/>
        <v>#DIV/0!</v>
      </c>
      <c r="CI17" s="59" t="e">
        <f t="shared" si="14"/>
        <v>#DIV/0!</v>
      </c>
      <c r="CJ17" s="59" t="e">
        <f t="shared" si="14"/>
        <v>#DIV/0!</v>
      </c>
      <c r="CK17" s="59" t="e">
        <f t="shared" si="14"/>
        <v>#DIV/0!</v>
      </c>
      <c r="CL17" s="59" t="e">
        <f t="shared" si="14"/>
        <v>#DIV/0!</v>
      </c>
    </row>
    <row r="18" spans="1:90" s="16" customFormat="1" ht="258" customHeight="1">
      <c r="A18" s="274" t="s">
        <v>629</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c r="A19" s="113" t="s">
        <v>459</v>
      </c>
      <c r="B19" s="114"/>
      <c r="C19" s="114"/>
      <c r="D19" s="114"/>
      <c r="E19" s="114" t="s">
        <v>452</v>
      </c>
      <c r="F19" s="114"/>
      <c r="G19" s="114"/>
      <c r="H19" s="114"/>
      <c r="I19" s="114" t="s">
        <v>487</v>
      </c>
      <c r="M19" s="114" t="s">
        <v>454</v>
      </c>
      <c r="N19" s="63"/>
      <c r="O19" s="63"/>
      <c r="P19" s="63"/>
      <c r="Q19" s="63"/>
      <c r="R19" s="63"/>
      <c r="S19" s="63"/>
      <c r="T19" s="63"/>
      <c r="U19" s="63"/>
    </row>
    <row r="20" spans="1:90" s="63" customFormat="1" ht="14.25" customHeight="1">
      <c r="A20" s="113" t="s">
        <v>460</v>
      </c>
      <c r="B20" s="115"/>
      <c r="C20" s="115"/>
      <c r="D20" s="115"/>
      <c r="E20" s="115" t="e">
        <f>POWER(E9/U9,1/5)-1</f>
        <v>#DIV/0!</v>
      </c>
      <c r="F20" s="115"/>
      <c r="G20" s="115"/>
      <c r="H20" s="115"/>
      <c r="I20" s="115" t="e">
        <f>POWER(E9/Y9,1/6)-1</f>
        <v>#DIV/0!</v>
      </c>
      <c r="M20" s="115" t="e">
        <f>POWER(E9/AC9,1/7)-1</f>
        <v>#DIV/0!</v>
      </c>
    </row>
    <row r="21" spans="1:90" s="63" customFormat="1" ht="14.25" customHeight="1">
      <c r="A21" s="113" t="s">
        <v>458</v>
      </c>
      <c r="B21" s="115"/>
      <c r="C21" s="115"/>
      <c r="D21" s="115"/>
      <c r="E21" s="115" t="e">
        <f>POWER(E4/U4,1/5)-1</f>
        <v>#DIV/0!</v>
      </c>
      <c r="F21" s="115"/>
      <c r="G21" s="115"/>
      <c r="H21" s="115"/>
      <c r="I21" s="115" t="e">
        <f>POWER(E4/Y4,1/6)-1</f>
        <v>#DIV/0!</v>
      </c>
      <c r="M21" s="115" t="e">
        <f>POWER(E4/AC4,1/7)-1</f>
        <v>#DIV/0!</v>
      </c>
    </row>
    <row r="22" spans="1:90" s="63" customFormat="1" ht="14.25" customHeight="1">
      <c r="A22" s="113" t="s">
        <v>461</v>
      </c>
      <c r="B22" s="115"/>
      <c r="C22" s="115"/>
      <c r="D22" s="115"/>
      <c r="E22" s="115" t="e">
        <f>POWER(E5/U5,1/5)-1</f>
        <v>#DIV/0!</v>
      </c>
      <c r="F22" s="115"/>
      <c r="G22" s="115"/>
      <c r="H22" s="115"/>
      <c r="I22" s="115" t="e">
        <f>POWER(E5/Y5,1/6)-1</f>
        <v>#DIV/0!</v>
      </c>
      <c r="M22" s="115" t="e">
        <f>POWER(E5/AC5,1/7)-1</f>
        <v>#DIV/0!</v>
      </c>
    </row>
    <row r="23" spans="1:90" s="63" customFormat="1" ht="14.25" customHeight="1">
      <c r="A23" s="113" t="s">
        <v>462</v>
      </c>
      <c r="B23" s="115"/>
      <c r="C23" s="115"/>
      <c r="D23" s="115"/>
      <c r="E23" s="115" t="e">
        <f>POWER(E6/U6,1/5)-1</f>
        <v>#DIV/0!</v>
      </c>
      <c r="F23" s="115"/>
      <c r="G23" s="115"/>
      <c r="H23" s="115"/>
      <c r="I23" s="115" t="e">
        <f>POWER(E6/Y6,1/6)-1</f>
        <v>#DIV/0!</v>
      </c>
      <c r="M23" s="115" t="e">
        <f>POWER(E6/AC6,1/7)-1</f>
        <v>#DIV/0!</v>
      </c>
    </row>
    <row r="24" spans="1:90" s="63" customFormat="1" ht="14.25" customHeight="1">
      <c r="A24" s="113" t="s">
        <v>463</v>
      </c>
      <c r="B24" s="115"/>
      <c r="C24" s="115"/>
      <c r="D24" s="115"/>
      <c r="E24" s="115" t="e">
        <f>POWER(E7/U7,1/5)-1</f>
        <v>#DIV/0!</v>
      </c>
      <c r="F24" s="115"/>
      <c r="G24" s="115"/>
      <c r="H24" s="115"/>
      <c r="I24" s="115" t="e">
        <f>POWER(E7/Y7,1/6)-1</f>
        <v>#DIV/0!</v>
      </c>
      <c r="M24" s="115" t="e">
        <f>POWER(E7/AC7,1/7)-1</f>
        <v>#DIV/0!</v>
      </c>
    </row>
    <row r="25" spans="1:90" s="107" customFormat="1">
      <c r="A25" s="141" t="s">
        <v>439</v>
      </c>
      <c r="B25" s="108"/>
      <c r="C25" s="108"/>
      <c r="D25" s="108"/>
      <c r="E25" s="108">
        <f>(E2-I2)/I2</f>
        <v>0.99111920031265022</v>
      </c>
      <c r="F25" s="108">
        <f t="shared" ref="F25:BQ25" si="15">(F2-J2)/J2</f>
        <v>1.1441812283739818</v>
      </c>
      <c r="G25" s="108">
        <f t="shared" si="15"/>
        <v>1.6061957677168195</v>
      </c>
      <c r="H25" s="108">
        <f t="shared" si="15"/>
        <v>1.74947443669714</v>
      </c>
      <c r="I25" s="108">
        <f t="shared" si="15"/>
        <v>2.8751560230260456</v>
      </c>
      <c r="J25" s="107">
        <f t="shared" si="15"/>
        <v>1.8831567611303841</v>
      </c>
      <c r="K25" s="107">
        <f t="shared" si="15"/>
        <v>1.5064468755230513</v>
      </c>
      <c r="L25" s="107">
        <f t="shared" si="15"/>
        <v>1.8080007069695392</v>
      </c>
      <c r="M25" s="108">
        <f t="shared" si="15"/>
        <v>1.0445272719285661</v>
      </c>
      <c r="N25" s="108">
        <f t="shared" si="15"/>
        <v>1.5309487300030662</v>
      </c>
      <c r="O25" s="108">
        <f t="shared" si="15"/>
        <v>0.98932564081597996</v>
      </c>
      <c r="P25" s="108" t="e">
        <f t="shared" si="15"/>
        <v>#DIV/0!</v>
      </c>
      <c r="Q25" s="108" t="e">
        <f t="shared" si="15"/>
        <v>#DIV/0!</v>
      </c>
      <c r="R25" s="108" t="e">
        <f t="shared" si="15"/>
        <v>#DIV/0!</v>
      </c>
      <c r="S25" s="108" t="e">
        <f t="shared" si="15"/>
        <v>#DIV/0!</v>
      </c>
      <c r="T25" s="108" t="e">
        <f t="shared" si="15"/>
        <v>#DIV/0!</v>
      </c>
      <c r="U25" s="108" t="e">
        <f t="shared" si="15"/>
        <v>#DIV/0!</v>
      </c>
      <c r="V25" s="107" t="e">
        <f t="shared" si="15"/>
        <v>#DIV/0!</v>
      </c>
      <c r="W25" s="107" t="e">
        <f t="shared" si="15"/>
        <v>#DIV/0!</v>
      </c>
      <c r="X25" s="107" t="e">
        <f t="shared" si="15"/>
        <v>#DIV/0!</v>
      </c>
      <c r="Y25" s="107" t="e">
        <f t="shared" si="15"/>
        <v>#DIV/0!</v>
      </c>
      <c r="Z25" s="107" t="e">
        <f t="shared" si="15"/>
        <v>#DIV/0!</v>
      </c>
      <c r="AA25" s="107" t="e">
        <f t="shared" si="15"/>
        <v>#DIV/0!</v>
      </c>
      <c r="AB25" s="107" t="e">
        <f t="shared" si="15"/>
        <v>#DIV/0!</v>
      </c>
      <c r="AC25" s="107" t="e">
        <f t="shared" si="15"/>
        <v>#DIV/0!</v>
      </c>
      <c r="AD25" s="107" t="e">
        <f t="shared" si="15"/>
        <v>#DIV/0!</v>
      </c>
      <c r="AE25" s="107" t="e">
        <f t="shared" si="15"/>
        <v>#DIV/0!</v>
      </c>
      <c r="AF25" s="107" t="e">
        <f t="shared" si="15"/>
        <v>#DIV/0!</v>
      </c>
      <c r="AG25" s="107" t="e">
        <f t="shared" si="15"/>
        <v>#DIV/0!</v>
      </c>
      <c r="AH25" s="107" t="e">
        <f t="shared" si="15"/>
        <v>#DIV/0!</v>
      </c>
      <c r="AI25" s="107" t="e">
        <f t="shared" si="15"/>
        <v>#DIV/0!</v>
      </c>
      <c r="AJ25" s="107" t="e">
        <f t="shared" si="15"/>
        <v>#DIV/0!</v>
      </c>
      <c r="AK25" s="107" t="e">
        <f t="shared" si="15"/>
        <v>#DIV/0!</v>
      </c>
      <c r="AL25" s="107" t="e">
        <f t="shared" si="15"/>
        <v>#DIV/0!</v>
      </c>
      <c r="AM25" s="107" t="e">
        <f t="shared" si="15"/>
        <v>#DIV/0!</v>
      </c>
      <c r="AN25" s="107" t="e">
        <f t="shared" si="15"/>
        <v>#DIV/0!</v>
      </c>
      <c r="AO25" s="107" t="e">
        <f t="shared" si="15"/>
        <v>#DIV/0!</v>
      </c>
      <c r="AP25" s="107" t="e">
        <f t="shared" si="15"/>
        <v>#DIV/0!</v>
      </c>
      <c r="AQ25" s="107" t="e">
        <f t="shared" si="15"/>
        <v>#DIV/0!</v>
      </c>
      <c r="AR25" s="107" t="e">
        <f t="shared" si="15"/>
        <v>#DIV/0!</v>
      </c>
      <c r="AS25" s="107" t="e">
        <f t="shared" si="15"/>
        <v>#DIV/0!</v>
      </c>
      <c r="AT25" s="107" t="e">
        <f t="shared" si="15"/>
        <v>#DIV/0!</v>
      </c>
      <c r="AU25" s="107" t="e">
        <f t="shared" si="15"/>
        <v>#DIV/0!</v>
      </c>
      <c r="AV25" s="107" t="e">
        <f t="shared" si="15"/>
        <v>#DIV/0!</v>
      </c>
      <c r="AW25" s="107" t="e">
        <f t="shared" si="15"/>
        <v>#DIV/0!</v>
      </c>
      <c r="AX25" s="107" t="e">
        <f t="shared" si="15"/>
        <v>#DIV/0!</v>
      </c>
      <c r="AY25" s="107" t="e">
        <f t="shared" si="15"/>
        <v>#DIV/0!</v>
      </c>
      <c r="AZ25" s="107" t="e">
        <f t="shared" si="15"/>
        <v>#DIV/0!</v>
      </c>
      <c r="BA25" s="107" t="e">
        <f t="shared" si="15"/>
        <v>#DIV/0!</v>
      </c>
      <c r="BB25" s="107" t="e">
        <f t="shared" si="15"/>
        <v>#DIV/0!</v>
      </c>
      <c r="BC25" s="107" t="e">
        <f t="shared" si="15"/>
        <v>#DIV/0!</v>
      </c>
      <c r="BD25" s="107" t="e">
        <f t="shared" si="15"/>
        <v>#DIV/0!</v>
      </c>
      <c r="BE25" s="107" t="e">
        <f t="shared" si="15"/>
        <v>#DIV/0!</v>
      </c>
      <c r="BF25" s="107" t="e">
        <f t="shared" si="15"/>
        <v>#DIV/0!</v>
      </c>
      <c r="BG25" s="107" t="e">
        <f t="shared" si="15"/>
        <v>#DIV/0!</v>
      </c>
      <c r="BH25" s="107" t="e">
        <f t="shared" si="15"/>
        <v>#DIV/0!</v>
      </c>
      <c r="BI25" s="107" t="e">
        <f t="shared" si="15"/>
        <v>#DIV/0!</v>
      </c>
      <c r="BJ25" s="107" t="e">
        <f t="shared" si="15"/>
        <v>#DIV/0!</v>
      </c>
      <c r="BK25" s="107" t="e">
        <f t="shared" si="15"/>
        <v>#DIV/0!</v>
      </c>
      <c r="BL25" s="107" t="e">
        <f t="shared" si="15"/>
        <v>#DIV/0!</v>
      </c>
      <c r="BM25" s="107" t="e">
        <f t="shared" si="15"/>
        <v>#DIV/0!</v>
      </c>
      <c r="BN25" s="107" t="e">
        <f t="shared" si="15"/>
        <v>#DIV/0!</v>
      </c>
      <c r="BO25" s="107" t="e">
        <f t="shared" si="15"/>
        <v>#DIV/0!</v>
      </c>
      <c r="BP25" s="107" t="e">
        <f t="shared" si="15"/>
        <v>#DIV/0!</v>
      </c>
      <c r="BQ25" s="107" t="e">
        <f t="shared" si="15"/>
        <v>#DIV/0!</v>
      </c>
      <c r="BR25" s="107" t="e">
        <f t="shared" ref="BR25:CK25" si="16">(BR2-BV2)/BV2</f>
        <v>#DIV/0!</v>
      </c>
      <c r="BS25" s="107" t="e">
        <f t="shared" si="16"/>
        <v>#DIV/0!</v>
      </c>
      <c r="BT25" s="107" t="e">
        <f t="shared" si="16"/>
        <v>#DIV/0!</v>
      </c>
      <c r="BU25" s="107" t="e">
        <f t="shared" si="16"/>
        <v>#DIV/0!</v>
      </c>
      <c r="BV25" s="107" t="e">
        <f t="shared" si="16"/>
        <v>#DIV/0!</v>
      </c>
      <c r="BW25" s="107" t="e">
        <f t="shared" si="16"/>
        <v>#DIV/0!</v>
      </c>
      <c r="BX25" s="107" t="e">
        <f t="shared" si="16"/>
        <v>#DIV/0!</v>
      </c>
      <c r="BY25" s="107" t="e">
        <f t="shared" si="16"/>
        <v>#DIV/0!</v>
      </c>
      <c r="BZ25" s="107" t="e">
        <f t="shared" si="16"/>
        <v>#DIV/0!</v>
      </c>
      <c r="CA25" s="107" t="e">
        <f t="shared" si="16"/>
        <v>#DIV/0!</v>
      </c>
      <c r="CB25" s="107" t="e">
        <f t="shared" si="16"/>
        <v>#DIV/0!</v>
      </c>
      <c r="CC25" s="107" t="e">
        <f t="shared" si="16"/>
        <v>#DIV/0!</v>
      </c>
      <c r="CD25" s="107" t="e">
        <f t="shared" si="16"/>
        <v>#DIV/0!</v>
      </c>
      <c r="CE25" s="107" t="e">
        <f t="shared" si="16"/>
        <v>#DIV/0!</v>
      </c>
      <c r="CF25" s="107" t="e">
        <f t="shared" si="16"/>
        <v>#DIV/0!</v>
      </c>
      <c r="CG25" s="107" t="e">
        <f t="shared" si="16"/>
        <v>#DIV/0!</v>
      </c>
      <c r="CH25" s="107" t="e">
        <f t="shared" si="16"/>
        <v>#DIV/0!</v>
      </c>
      <c r="CI25" s="107" t="e">
        <f t="shared" si="16"/>
        <v>#DIV/0!</v>
      </c>
      <c r="CJ25" s="107" t="e">
        <f t="shared" si="16"/>
        <v>#DIV/0!</v>
      </c>
      <c r="CK25" s="107" t="e">
        <f t="shared" si="16"/>
        <v>#DIV/0!</v>
      </c>
    </row>
    <row r="26" spans="1:90" s="108" customFormat="1">
      <c r="A26" s="141" t="s">
        <v>447</v>
      </c>
      <c r="E26" s="108">
        <f>E2/E9</f>
        <v>0.51122073403289947</v>
      </c>
      <c r="F26" s="108">
        <f t="shared" ref="F26:BQ26" si="17">F2/F9</f>
        <v>0.50289922155433275</v>
      </c>
      <c r="G26" s="108">
        <f t="shared" si="17"/>
        <v>0.57576171580246216</v>
      </c>
      <c r="H26" s="108">
        <f t="shared" si="17"/>
        <v>0.63114429095372748</v>
      </c>
      <c r="I26" s="108">
        <f t="shared" si="17"/>
        <v>0.7298191502775615</v>
      </c>
      <c r="J26" s="108">
        <f t="shared" si="17"/>
        <v>0.68852768133671816</v>
      </c>
      <c r="K26" s="108">
        <f t="shared" si="17"/>
        <v>0.65962637453110085</v>
      </c>
      <c r="L26" s="108">
        <f t="shared" si="17"/>
        <v>0.70748583001848397</v>
      </c>
      <c r="M26" s="108">
        <f t="shared" si="17"/>
        <v>0.56883635148268885</v>
      </c>
      <c r="N26" s="108">
        <f t="shared" si="17"/>
        <v>0.75160065983478053</v>
      </c>
      <c r="O26" s="108">
        <f t="shared" si="17"/>
        <v>0.74852041131990055</v>
      </c>
      <c r="P26" s="108">
        <f t="shared" si="17"/>
        <v>0.68451244589343774</v>
      </c>
      <c r="Q26" s="108">
        <f t="shared" si="17"/>
        <v>0.67402786083557253</v>
      </c>
      <c r="R26" s="108">
        <f t="shared" si="17"/>
        <v>0.60742146922207718</v>
      </c>
      <c r="S26" s="108">
        <f t="shared" si="17"/>
        <v>0.71864369049095878</v>
      </c>
      <c r="T26" s="108" t="e">
        <f t="shared" si="17"/>
        <v>#DIV/0!</v>
      </c>
      <c r="U26" s="108" t="e">
        <f t="shared" si="17"/>
        <v>#DIV/0!</v>
      </c>
      <c r="V26" s="108" t="e">
        <f t="shared" si="17"/>
        <v>#DIV/0!</v>
      </c>
      <c r="W26" s="108" t="e">
        <f t="shared" si="17"/>
        <v>#DIV/0!</v>
      </c>
      <c r="X26" s="108" t="e">
        <f t="shared" si="17"/>
        <v>#DIV/0!</v>
      </c>
      <c r="Y26" s="108" t="e">
        <f t="shared" si="17"/>
        <v>#DIV/0!</v>
      </c>
      <c r="Z26" s="108" t="e">
        <f t="shared" si="17"/>
        <v>#DIV/0!</v>
      </c>
      <c r="AA26" s="108" t="e">
        <f t="shared" si="17"/>
        <v>#DIV/0!</v>
      </c>
      <c r="AB26" s="108" t="e">
        <f t="shared" si="17"/>
        <v>#DIV/0!</v>
      </c>
      <c r="AC26" s="108" t="e">
        <f t="shared" si="17"/>
        <v>#DIV/0!</v>
      </c>
      <c r="AD26" s="108" t="e">
        <f t="shared" si="17"/>
        <v>#DIV/0!</v>
      </c>
      <c r="AE26" s="108" t="e">
        <f t="shared" si="17"/>
        <v>#DIV/0!</v>
      </c>
      <c r="AF26" s="108" t="e">
        <f t="shared" si="17"/>
        <v>#DIV/0!</v>
      </c>
      <c r="AG26" s="108" t="e">
        <f t="shared" si="17"/>
        <v>#DIV/0!</v>
      </c>
      <c r="AH26" s="108" t="e">
        <f t="shared" si="17"/>
        <v>#DIV/0!</v>
      </c>
      <c r="AI26" s="108" t="e">
        <f t="shared" si="17"/>
        <v>#DIV/0!</v>
      </c>
      <c r="AJ26" s="108" t="e">
        <f t="shared" si="17"/>
        <v>#DIV/0!</v>
      </c>
      <c r="AK26" s="108" t="e">
        <f t="shared" si="17"/>
        <v>#DIV/0!</v>
      </c>
      <c r="AL26" s="108" t="e">
        <f t="shared" si="17"/>
        <v>#DIV/0!</v>
      </c>
      <c r="AM26" s="108" t="e">
        <f t="shared" si="17"/>
        <v>#DIV/0!</v>
      </c>
      <c r="AN26" s="108" t="e">
        <f t="shared" si="17"/>
        <v>#DIV/0!</v>
      </c>
      <c r="AO26" s="108" t="e">
        <f t="shared" si="17"/>
        <v>#DIV/0!</v>
      </c>
      <c r="AP26" s="108" t="e">
        <f t="shared" si="17"/>
        <v>#DIV/0!</v>
      </c>
      <c r="AQ26" s="108" t="e">
        <f t="shared" si="17"/>
        <v>#DIV/0!</v>
      </c>
      <c r="AR26" s="108" t="e">
        <f t="shared" si="17"/>
        <v>#DIV/0!</v>
      </c>
      <c r="AS26" s="108" t="e">
        <f t="shared" si="17"/>
        <v>#DIV/0!</v>
      </c>
      <c r="AT26" s="108" t="e">
        <f t="shared" si="17"/>
        <v>#DIV/0!</v>
      </c>
      <c r="AU26" s="108" t="e">
        <f t="shared" si="17"/>
        <v>#DIV/0!</v>
      </c>
      <c r="AV26" s="108" t="e">
        <f t="shared" si="17"/>
        <v>#DIV/0!</v>
      </c>
      <c r="AW26" s="108" t="e">
        <f t="shared" si="17"/>
        <v>#DIV/0!</v>
      </c>
      <c r="AX26" s="108" t="e">
        <f t="shared" si="17"/>
        <v>#DIV/0!</v>
      </c>
      <c r="AY26" s="108" t="e">
        <f t="shared" si="17"/>
        <v>#DIV/0!</v>
      </c>
      <c r="AZ26" s="108" t="e">
        <f t="shared" si="17"/>
        <v>#DIV/0!</v>
      </c>
      <c r="BA26" s="108" t="e">
        <f t="shared" si="17"/>
        <v>#DIV/0!</v>
      </c>
      <c r="BB26" s="108" t="e">
        <f t="shared" si="17"/>
        <v>#DIV/0!</v>
      </c>
      <c r="BC26" s="108" t="e">
        <f t="shared" si="17"/>
        <v>#DIV/0!</v>
      </c>
      <c r="BD26" s="108" t="e">
        <f t="shared" si="17"/>
        <v>#DIV/0!</v>
      </c>
      <c r="BE26" s="108" t="e">
        <f t="shared" si="17"/>
        <v>#DIV/0!</v>
      </c>
      <c r="BF26" s="108" t="e">
        <f t="shared" si="17"/>
        <v>#DIV/0!</v>
      </c>
      <c r="BG26" s="108" t="e">
        <f t="shared" si="17"/>
        <v>#DIV/0!</v>
      </c>
      <c r="BH26" s="108" t="e">
        <f t="shared" si="17"/>
        <v>#DIV/0!</v>
      </c>
      <c r="BI26" s="108" t="e">
        <f t="shared" si="17"/>
        <v>#DIV/0!</v>
      </c>
      <c r="BJ26" s="108" t="e">
        <f t="shared" si="17"/>
        <v>#DIV/0!</v>
      </c>
      <c r="BK26" s="108" t="e">
        <f t="shared" si="17"/>
        <v>#DIV/0!</v>
      </c>
      <c r="BL26" s="108" t="e">
        <f t="shared" si="17"/>
        <v>#DIV/0!</v>
      </c>
      <c r="BM26" s="108" t="e">
        <f t="shared" si="17"/>
        <v>#DIV/0!</v>
      </c>
      <c r="BN26" s="108" t="e">
        <f t="shared" si="17"/>
        <v>#DIV/0!</v>
      </c>
      <c r="BO26" s="108" t="e">
        <f t="shared" si="17"/>
        <v>#DIV/0!</v>
      </c>
      <c r="BP26" s="108" t="e">
        <f t="shared" si="17"/>
        <v>#DIV/0!</v>
      </c>
      <c r="BQ26" s="108" t="e">
        <f t="shared" si="17"/>
        <v>#DIV/0!</v>
      </c>
      <c r="BR26" s="108" t="e">
        <f t="shared" ref="BR26:CK26" si="18">BR2/BR9</f>
        <v>#DIV/0!</v>
      </c>
      <c r="BS26" s="108" t="e">
        <f t="shared" si="18"/>
        <v>#DIV/0!</v>
      </c>
      <c r="BT26" s="108" t="e">
        <f t="shared" si="18"/>
        <v>#DIV/0!</v>
      </c>
      <c r="BU26" s="108" t="e">
        <f t="shared" si="18"/>
        <v>#DIV/0!</v>
      </c>
      <c r="BV26" s="108" t="e">
        <f t="shared" si="18"/>
        <v>#DIV/0!</v>
      </c>
      <c r="BW26" s="108" t="e">
        <f t="shared" si="18"/>
        <v>#DIV/0!</v>
      </c>
      <c r="BX26" s="108" t="e">
        <f t="shared" si="18"/>
        <v>#DIV/0!</v>
      </c>
      <c r="BY26" s="108" t="e">
        <f t="shared" si="18"/>
        <v>#DIV/0!</v>
      </c>
      <c r="BZ26" s="108" t="e">
        <f t="shared" si="18"/>
        <v>#DIV/0!</v>
      </c>
      <c r="CA26" s="108" t="e">
        <f t="shared" si="18"/>
        <v>#DIV/0!</v>
      </c>
      <c r="CB26" s="108" t="e">
        <f t="shared" si="18"/>
        <v>#DIV/0!</v>
      </c>
      <c r="CC26" s="108" t="e">
        <f t="shared" si="18"/>
        <v>#DIV/0!</v>
      </c>
      <c r="CD26" s="108" t="e">
        <f t="shared" si="18"/>
        <v>#DIV/0!</v>
      </c>
      <c r="CE26" s="108" t="e">
        <f t="shared" si="18"/>
        <v>#DIV/0!</v>
      </c>
      <c r="CF26" s="108" t="e">
        <f t="shared" si="18"/>
        <v>#DIV/0!</v>
      </c>
      <c r="CG26" s="108" t="e">
        <f t="shared" si="18"/>
        <v>#DIV/0!</v>
      </c>
      <c r="CH26" s="108" t="e">
        <f t="shared" si="18"/>
        <v>#DIV/0!</v>
      </c>
      <c r="CI26" s="108" t="e">
        <f t="shared" si="18"/>
        <v>#DIV/0!</v>
      </c>
      <c r="CJ26" s="108" t="e">
        <f t="shared" si="18"/>
        <v>#DIV/0!</v>
      </c>
      <c r="CK26" s="108" t="e">
        <f t="shared" si="18"/>
        <v>#DIV/0!</v>
      </c>
    </row>
    <row r="27" spans="1:90" s="109" customFormat="1">
      <c r="A27" s="142" t="s">
        <v>440</v>
      </c>
      <c r="E27" s="109">
        <f>(E3-I3)/I3</f>
        <v>-1</v>
      </c>
      <c r="F27" s="109">
        <f t="shared" ref="F27:BQ27" si="19">(F3-J3)/J3</f>
        <v>-1</v>
      </c>
      <c r="G27" s="109">
        <f t="shared" si="19"/>
        <v>0</v>
      </c>
      <c r="H27" s="109">
        <f t="shared" si="19"/>
        <v>0</v>
      </c>
      <c r="I27" s="109">
        <f t="shared" si="19"/>
        <v>0</v>
      </c>
      <c r="J27" s="109">
        <f t="shared" si="19"/>
        <v>-0.65176500309477747</v>
      </c>
      <c r="K27" s="109">
        <f t="shared" si="19"/>
        <v>-0.60949006809890849</v>
      </c>
      <c r="L27" s="109">
        <f t="shared" si="19"/>
        <v>-0.59246316579953584</v>
      </c>
      <c r="M27" s="109">
        <f t="shared" si="19"/>
        <v>0</v>
      </c>
      <c r="N27" s="109">
        <f t="shared" si="19"/>
        <v>1.8716240724999997</v>
      </c>
      <c r="O27" s="109" t="e">
        <f t="shared" si="19"/>
        <v>#DIV/0!</v>
      </c>
      <c r="P27" s="109" t="e">
        <f t="shared" si="19"/>
        <v>#DIV/0!</v>
      </c>
      <c r="Q27" s="109" t="e">
        <f t="shared" si="19"/>
        <v>#DIV/0!</v>
      </c>
      <c r="R27" s="109" t="e">
        <f t="shared" si="19"/>
        <v>#DIV/0!</v>
      </c>
      <c r="S27" s="109" t="e">
        <f t="shared" si="19"/>
        <v>#DIV/0!</v>
      </c>
      <c r="T27" s="109" t="e">
        <f t="shared" si="19"/>
        <v>#DIV/0!</v>
      </c>
      <c r="U27" s="109" t="e">
        <f t="shared" si="19"/>
        <v>#DIV/0!</v>
      </c>
      <c r="V27" s="109" t="e">
        <f t="shared" si="19"/>
        <v>#DIV/0!</v>
      </c>
      <c r="W27" s="109" t="e">
        <f t="shared" si="19"/>
        <v>#DIV/0!</v>
      </c>
      <c r="X27" s="109" t="e">
        <f t="shared" si="19"/>
        <v>#DIV/0!</v>
      </c>
      <c r="Y27" s="109" t="e">
        <f t="shared" si="19"/>
        <v>#DIV/0!</v>
      </c>
      <c r="Z27" s="109" t="e">
        <f t="shared" si="19"/>
        <v>#DIV/0!</v>
      </c>
      <c r="AA27" s="109" t="e">
        <f t="shared" si="19"/>
        <v>#DIV/0!</v>
      </c>
      <c r="AB27" s="109" t="e">
        <f t="shared" si="19"/>
        <v>#DIV/0!</v>
      </c>
      <c r="AC27" s="109" t="e">
        <f t="shared" si="19"/>
        <v>#DIV/0!</v>
      </c>
      <c r="AD27" s="109" t="e">
        <f t="shared" si="19"/>
        <v>#DIV/0!</v>
      </c>
      <c r="AE27" s="109" t="e">
        <f t="shared" si="19"/>
        <v>#DIV/0!</v>
      </c>
      <c r="AF27" s="109" t="e">
        <f t="shared" si="19"/>
        <v>#DIV/0!</v>
      </c>
      <c r="AG27" s="109" t="e">
        <f t="shared" si="19"/>
        <v>#DIV/0!</v>
      </c>
      <c r="AH27" s="109" t="e">
        <f t="shared" si="19"/>
        <v>#DIV/0!</v>
      </c>
      <c r="AI27" s="109" t="e">
        <f t="shared" si="19"/>
        <v>#DIV/0!</v>
      </c>
      <c r="AJ27" s="109" t="e">
        <f t="shared" si="19"/>
        <v>#DIV/0!</v>
      </c>
      <c r="AK27" s="109" t="e">
        <f t="shared" si="19"/>
        <v>#DIV/0!</v>
      </c>
      <c r="AL27" s="109" t="e">
        <f t="shared" si="19"/>
        <v>#DIV/0!</v>
      </c>
      <c r="AM27" s="109" t="e">
        <f t="shared" si="19"/>
        <v>#DIV/0!</v>
      </c>
      <c r="AN27" s="109" t="e">
        <f t="shared" si="19"/>
        <v>#DIV/0!</v>
      </c>
      <c r="AO27" s="109" t="e">
        <f t="shared" si="19"/>
        <v>#DIV/0!</v>
      </c>
      <c r="AP27" s="109" t="e">
        <f t="shared" si="19"/>
        <v>#DIV/0!</v>
      </c>
      <c r="AQ27" s="109" t="e">
        <f t="shared" si="19"/>
        <v>#DIV/0!</v>
      </c>
      <c r="AR27" s="109" t="e">
        <f t="shared" si="19"/>
        <v>#DIV/0!</v>
      </c>
      <c r="AS27" s="109" t="e">
        <f t="shared" si="19"/>
        <v>#DIV/0!</v>
      </c>
      <c r="AT27" s="109" t="e">
        <f t="shared" si="19"/>
        <v>#DIV/0!</v>
      </c>
      <c r="AU27" s="109" t="e">
        <f t="shared" si="19"/>
        <v>#DIV/0!</v>
      </c>
      <c r="AV27" s="109" t="e">
        <f t="shared" si="19"/>
        <v>#DIV/0!</v>
      </c>
      <c r="AW27" s="109" t="e">
        <f t="shared" si="19"/>
        <v>#DIV/0!</v>
      </c>
      <c r="AX27" s="109" t="e">
        <f t="shared" si="19"/>
        <v>#DIV/0!</v>
      </c>
      <c r="AY27" s="109" t="e">
        <f t="shared" si="19"/>
        <v>#DIV/0!</v>
      </c>
      <c r="AZ27" s="109" t="e">
        <f t="shared" si="19"/>
        <v>#DIV/0!</v>
      </c>
      <c r="BA27" s="109" t="e">
        <f t="shared" si="19"/>
        <v>#DIV/0!</v>
      </c>
      <c r="BB27" s="109" t="e">
        <f t="shared" si="19"/>
        <v>#DIV/0!</v>
      </c>
      <c r="BC27" s="109" t="e">
        <f t="shared" si="19"/>
        <v>#DIV/0!</v>
      </c>
      <c r="BD27" s="109" t="e">
        <f t="shared" si="19"/>
        <v>#DIV/0!</v>
      </c>
      <c r="BE27" s="109" t="e">
        <f t="shared" si="19"/>
        <v>#DIV/0!</v>
      </c>
      <c r="BF27" s="109" t="e">
        <f t="shared" si="19"/>
        <v>#DIV/0!</v>
      </c>
      <c r="BG27" s="109" t="e">
        <f t="shared" si="19"/>
        <v>#DIV/0!</v>
      </c>
      <c r="BH27" s="109" t="e">
        <f t="shared" si="19"/>
        <v>#DIV/0!</v>
      </c>
      <c r="BI27" s="109" t="e">
        <f t="shared" si="19"/>
        <v>#DIV/0!</v>
      </c>
      <c r="BJ27" s="109" t="e">
        <f t="shared" si="19"/>
        <v>#DIV/0!</v>
      </c>
      <c r="BK27" s="109" t="e">
        <f t="shared" si="19"/>
        <v>#DIV/0!</v>
      </c>
      <c r="BL27" s="109" t="e">
        <f t="shared" si="19"/>
        <v>#DIV/0!</v>
      </c>
      <c r="BM27" s="109" t="e">
        <f t="shared" si="19"/>
        <v>#DIV/0!</v>
      </c>
      <c r="BN27" s="109" t="e">
        <f t="shared" si="19"/>
        <v>#DIV/0!</v>
      </c>
      <c r="BO27" s="109" t="e">
        <f t="shared" si="19"/>
        <v>#DIV/0!</v>
      </c>
      <c r="BP27" s="109" t="e">
        <f t="shared" si="19"/>
        <v>#DIV/0!</v>
      </c>
      <c r="BQ27" s="109" t="e">
        <f t="shared" si="19"/>
        <v>#DIV/0!</v>
      </c>
      <c r="BR27" s="109" t="e">
        <f t="shared" ref="BR27:CL27" si="20">(BR3-BV3)/BV3</f>
        <v>#DIV/0!</v>
      </c>
      <c r="BS27" s="109" t="e">
        <f t="shared" si="20"/>
        <v>#DIV/0!</v>
      </c>
      <c r="BT27" s="109" t="e">
        <f t="shared" si="20"/>
        <v>#DIV/0!</v>
      </c>
      <c r="BU27" s="109" t="e">
        <f t="shared" si="20"/>
        <v>#DIV/0!</v>
      </c>
      <c r="BV27" s="109" t="e">
        <f t="shared" si="20"/>
        <v>#DIV/0!</v>
      </c>
      <c r="BW27" s="109" t="e">
        <f t="shared" si="20"/>
        <v>#DIV/0!</v>
      </c>
      <c r="BX27" s="109" t="e">
        <f t="shared" si="20"/>
        <v>#DIV/0!</v>
      </c>
      <c r="BY27" s="109" t="e">
        <f t="shared" si="20"/>
        <v>#DIV/0!</v>
      </c>
      <c r="BZ27" s="109" t="e">
        <f t="shared" si="20"/>
        <v>#DIV/0!</v>
      </c>
      <c r="CA27" s="109" t="e">
        <f t="shared" si="20"/>
        <v>#DIV/0!</v>
      </c>
      <c r="CB27" s="109" t="e">
        <f t="shared" si="20"/>
        <v>#DIV/0!</v>
      </c>
      <c r="CC27" s="109" t="e">
        <f t="shared" si="20"/>
        <v>#DIV/0!</v>
      </c>
      <c r="CD27" s="109" t="e">
        <f t="shared" si="20"/>
        <v>#DIV/0!</v>
      </c>
      <c r="CE27" s="109" t="e">
        <f t="shared" si="20"/>
        <v>#DIV/0!</v>
      </c>
      <c r="CF27" s="109" t="e">
        <f t="shared" si="20"/>
        <v>#DIV/0!</v>
      </c>
      <c r="CG27" s="109" t="e">
        <f t="shared" si="20"/>
        <v>#DIV/0!</v>
      </c>
      <c r="CH27" s="109" t="e">
        <f t="shared" si="20"/>
        <v>#DIV/0!</v>
      </c>
      <c r="CI27" s="109" t="e">
        <f t="shared" si="20"/>
        <v>#DIV/0!</v>
      </c>
      <c r="CJ27" s="109" t="e">
        <f t="shared" si="20"/>
        <v>#DIV/0!</v>
      </c>
      <c r="CK27" s="109" t="e">
        <f t="shared" si="20"/>
        <v>#DIV/0!</v>
      </c>
      <c r="CL27" s="109" t="e">
        <f t="shared" si="20"/>
        <v>#DIV/0!</v>
      </c>
    </row>
    <row r="28" spans="1:90" s="109" customFormat="1">
      <c r="A28" s="142" t="s">
        <v>448</v>
      </c>
      <c r="E28" s="109">
        <f>E3/E9</f>
        <v>0</v>
      </c>
      <c r="F28" s="109">
        <f t="shared" ref="F28:BQ28" si="21">F3/F9</f>
        <v>0</v>
      </c>
      <c r="G28" s="109">
        <f t="shared" si="21"/>
        <v>9.0586938715655856E-5</v>
      </c>
      <c r="H28" s="109">
        <f t="shared" si="21"/>
        <v>1.1282213272365967E-4</v>
      </c>
      <c r="I28" s="109">
        <f t="shared" si="21"/>
        <v>1.5745936411635101E-4</v>
      </c>
      <c r="J28" s="109">
        <f t="shared" si="21"/>
        <v>2.1199944536318626E-4</v>
      </c>
      <c r="K28" s="109">
        <f t="shared" si="21"/>
        <v>2.7047544678851179E-4</v>
      </c>
      <c r="L28" s="109">
        <f t="shared" si="21"/>
        <v>3.47722728765612E-4</v>
      </c>
      <c r="M28" s="109">
        <f t="shared" si="21"/>
        <v>4.7558677944073164E-4</v>
      </c>
      <c r="N28" s="109">
        <f t="shared" si="21"/>
        <v>1.9160035692393435E-3</v>
      </c>
      <c r="O28" s="109">
        <f t="shared" si="21"/>
        <v>1.9699713156863508E-3</v>
      </c>
      <c r="P28" s="109">
        <f t="shared" si="21"/>
        <v>2.318072567207763E-3</v>
      </c>
      <c r="Q28" s="109">
        <f t="shared" si="21"/>
        <v>1.1521610453246408E-3</v>
      </c>
      <c r="R28" s="109">
        <f t="shared" si="21"/>
        <v>1.3647561540414764E-3</v>
      </c>
      <c r="S28" s="109">
        <f t="shared" si="21"/>
        <v>0</v>
      </c>
      <c r="T28" s="109" t="e">
        <f t="shared" si="21"/>
        <v>#DIV/0!</v>
      </c>
      <c r="U28" s="109" t="e">
        <f t="shared" si="21"/>
        <v>#DIV/0!</v>
      </c>
      <c r="V28" s="109" t="e">
        <f t="shared" si="21"/>
        <v>#DIV/0!</v>
      </c>
      <c r="W28" s="109" t="e">
        <f t="shared" si="21"/>
        <v>#DIV/0!</v>
      </c>
      <c r="X28" s="109" t="e">
        <f t="shared" si="21"/>
        <v>#DIV/0!</v>
      </c>
      <c r="Y28" s="109" t="e">
        <f t="shared" si="21"/>
        <v>#DIV/0!</v>
      </c>
      <c r="Z28" s="109" t="e">
        <f t="shared" si="21"/>
        <v>#DIV/0!</v>
      </c>
      <c r="AA28" s="109" t="e">
        <f t="shared" si="21"/>
        <v>#DIV/0!</v>
      </c>
      <c r="AB28" s="109" t="e">
        <f t="shared" si="21"/>
        <v>#DIV/0!</v>
      </c>
      <c r="AC28" s="109" t="e">
        <f t="shared" si="21"/>
        <v>#DIV/0!</v>
      </c>
      <c r="AD28" s="109" t="e">
        <f t="shared" si="21"/>
        <v>#DIV/0!</v>
      </c>
      <c r="AE28" s="109" t="e">
        <f t="shared" si="21"/>
        <v>#DIV/0!</v>
      </c>
      <c r="AF28" s="109" t="e">
        <f t="shared" si="21"/>
        <v>#DIV/0!</v>
      </c>
      <c r="AG28" s="109" t="e">
        <f t="shared" si="21"/>
        <v>#DIV/0!</v>
      </c>
      <c r="AH28" s="109" t="e">
        <f t="shared" si="21"/>
        <v>#DIV/0!</v>
      </c>
      <c r="AI28" s="109" t="e">
        <f t="shared" si="21"/>
        <v>#DIV/0!</v>
      </c>
      <c r="AJ28" s="109" t="e">
        <f t="shared" si="21"/>
        <v>#DIV/0!</v>
      </c>
      <c r="AK28" s="109" t="e">
        <f t="shared" si="21"/>
        <v>#DIV/0!</v>
      </c>
      <c r="AL28" s="109" t="e">
        <f t="shared" si="21"/>
        <v>#DIV/0!</v>
      </c>
      <c r="AM28" s="109" t="e">
        <f t="shared" si="21"/>
        <v>#DIV/0!</v>
      </c>
      <c r="AN28" s="109" t="e">
        <f t="shared" si="21"/>
        <v>#DIV/0!</v>
      </c>
      <c r="AO28" s="109" t="e">
        <f t="shared" si="21"/>
        <v>#DIV/0!</v>
      </c>
      <c r="AP28" s="109" t="e">
        <f t="shared" si="21"/>
        <v>#DIV/0!</v>
      </c>
      <c r="AQ28" s="109" t="e">
        <f t="shared" si="21"/>
        <v>#DIV/0!</v>
      </c>
      <c r="AR28" s="109" t="e">
        <f t="shared" si="21"/>
        <v>#DIV/0!</v>
      </c>
      <c r="AS28" s="109" t="e">
        <f t="shared" si="21"/>
        <v>#DIV/0!</v>
      </c>
      <c r="AT28" s="109" t="e">
        <f t="shared" si="21"/>
        <v>#DIV/0!</v>
      </c>
      <c r="AU28" s="109" t="e">
        <f t="shared" si="21"/>
        <v>#DIV/0!</v>
      </c>
      <c r="AV28" s="109" t="e">
        <f t="shared" si="21"/>
        <v>#DIV/0!</v>
      </c>
      <c r="AW28" s="109" t="e">
        <f t="shared" si="21"/>
        <v>#DIV/0!</v>
      </c>
      <c r="AX28" s="109" t="e">
        <f t="shared" si="21"/>
        <v>#DIV/0!</v>
      </c>
      <c r="AY28" s="109" t="e">
        <f t="shared" si="21"/>
        <v>#DIV/0!</v>
      </c>
      <c r="AZ28" s="109" t="e">
        <f t="shared" si="21"/>
        <v>#DIV/0!</v>
      </c>
      <c r="BA28" s="109" t="e">
        <f t="shared" si="21"/>
        <v>#DIV/0!</v>
      </c>
      <c r="BB28" s="109" t="e">
        <f t="shared" si="21"/>
        <v>#DIV/0!</v>
      </c>
      <c r="BC28" s="109" t="e">
        <f t="shared" si="21"/>
        <v>#DIV/0!</v>
      </c>
      <c r="BD28" s="109" t="e">
        <f t="shared" si="21"/>
        <v>#DIV/0!</v>
      </c>
      <c r="BE28" s="109" t="e">
        <f t="shared" si="21"/>
        <v>#DIV/0!</v>
      </c>
      <c r="BF28" s="109" t="e">
        <f t="shared" si="21"/>
        <v>#DIV/0!</v>
      </c>
      <c r="BG28" s="109" t="e">
        <f t="shared" si="21"/>
        <v>#DIV/0!</v>
      </c>
      <c r="BH28" s="109" t="e">
        <f t="shared" si="21"/>
        <v>#DIV/0!</v>
      </c>
      <c r="BI28" s="109" t="e">
        <f t="shared" si="21"/>
        <v>#DIV/0!</v>
      </c>
      <c r="BJ28" s="109" t="e">
        <f t="shared" si="21"/>
        <v>#DIV/0!</v>
      </c>
      <c r="BK28" s="109" t="e">
        <f t="shared" si="21"/>
        <v>#DIV/0!</v>
      </c>
      <c r="BL28" s="109" t="e">
        <f t="shared" si="21"/>
        <v>#DIV/0!</v>
      </c>
      <c r="BM28" s="109" t="e">
        <f t="shared" si="21"/>
        <v>#DIV/0!</v>
      </c>
      <c r="BN28" s="109" t="e">
        <f t="shared" si="21"/>
        <v>#DIV/0!</v>
      </c>
      <c r="BO28" s="109" t="e">
        <f t="shared" si="21"/>
        <v>#DIV/0!</v>
      </c>
      <c r="BP28" s="109" t="e">
        <f t="shared" si="21"/>
        <v>#DIV/0!</v>
      </c>
      <c r="BQ28" s="109" t="e">
        <f t="shared" si="21"/>
        <v>#DIV/0!</v>
      </c>
      <c r="BR28" s="109" t="e">
        <f t="shared" ref="BR28:CK28" si="22">BR3/BR9</f>
        <v>#DIV/0!</v>
      </c>
      <c r="BS28" s="109" t="e">
        <f t="shared" si="22"/>
        <v>#DIV/0!</v>
      </c>
      <c r="BT28" s="109" t="e">
        <f t="shared" si="22"/>
        <v>#DIV/0!</v>
      </c>
      <c r="BU28" s="109" t="e">
        <f t="shared" si="22"/>
        <v>#DIV/0!</v>
      </c>
      <c r="BV28" s="109" t="e">
        <f t="shared" si="22"/>
        <v>#DIV/0!</v>
      </c>
      <c r="BW28" s="109" t="e">
        <f t="shared" si="22"/>
        <v>#DIV/0!</v>
      </c>
      <c r="BX28" s="109" t="e">
        <f t="shared" si="22"/>
        <v>#DIV/0!</v>
      </c>
      <c r="BY28" s="109" t="e">
        <f t="shared" si="22"/>
        <v>#DIV/0!</v>
      </c>
      <c r="BZ28" s="109" t="e">
        <f t="shared" si="22"/>
        <v>#DIV/0!</v>
      </c>
      <c r="CA28" s="109" t="e">
        <f t="shared" si="22"/>
        <v>#DIV/0!</v>
      </c>
      <c r="CB28" s="109" t="e">
        <f t="shared" si="22"/>
        <v>#DIV/0!</v>
      </c>
      <c r="CC28" s="109" t="e">
        <f t="shared" si="22"/>
        <v>#DIV/0!</v>
      </c>
      <c r="CD28" s="109" t="e">
        <f t="shared" si="22"/>
        <v>#DIV/0!</v>
      </c>
      <c r="CE28" s="109" t="e">
        <f t="shared" si="22"/>
        <v>#DIV/0!</v>
      </c>
      <c r="CF28" s="109" t="e">
        <f t="shared" si="22"/>
        <v>#DIV/0!</v>
      </c>
      <c r="CG28" s="109" t="e">
        <f t="shared" si="22"/>
        <v>#DIV/0!</v>
      </c>
      <c r="CH28" s="109" t="e">
        <f t="shared" si="22"/>
        <v>#DIV/0!</v>
      </c>
      <c r="CI28" s="109" t="e">
        <f t="shared" si="22"/>
        <v>#DIV/0!</v>
      </c>
      <c r="CJ28" s="109" t="e">
        <f t="shared" si="22"/>
        <v>#DIV/0!</v>
      </c>
      <c r="CK28" s="109" t="e">
        <f t="shared" si="22"/>
        <v>#DIV/0!</v>
      </c>
    </row>
    <row r="29" spans="1:90" s="108" customFormat="1">
      <c r="A29" s="141" t="s">
        <v>457</v>
      </c>
      <c r="E29" s="108">
        <f>(E4-I4)/I4</f>
        <v>-96.079846778337142</v>
      </c>
      <c r="F29" s="108">
        <f t="shared" ref="F29:BQ29" si="23">(F4-J4)/J4</f>
        <v>13.311168138280751</v>
      </c>
      <c r="G29" s="108">
        <f t="shared" si="23"/>
        <v>4.6582416487978726</v>
      </c>
      <c r="H29" s="108">
        <f t="shared" si="23"/>
        <v>-41.876115795406072</v>
      </c>
      <c r="I29" s="108">
        <f t="shared" si="23"/>
        <v>-1.3114020723066868</v>
      </c>
      <c r="J29" s="108">
        <f t="shared" si="23"/>
        <v>-1.5870846920480475</v>
      </c>
      <c r="K29" s="108">
        <f t="shared" si="23"/>
        <v>-2.2726692323810238</v>
      </c>
      <c r="L29" s="108">
        <f t="shared" si="23"/>
        <v>-0.59831525360609294</v>
      </c>
      <c r="M29" s="108">
        <f t="shared" si="23"/>
        <v>-7.9107342457842895</v>
      </c>
      <c r="N29" s="108">
        <f t="shared" si="23"/>
        <v>-6.2443927219547115</v>
      </c>
      <c r="O29" s="108">
        <f t="shared" si="23"/>
        <v>-5.2346838449279183</v>
      </c>
      <c r="P29" s="108" t="e">
        <f t="shared" si="23"/>
        <v>#DIV/0!</v>
      </c>
      <c r="Q29" s="108" t="e">
        <f t="shared" si="23"/>
        <v>#DIV/0!</v>
      </c>
      <c r="R29" s="108" t="e">
        <f t="shared" si="23"/>
        <v>#DIV/0!</v>
      </c>
      <c r="S29" s="108" t="e">
        <f t="shared" si="23"/>
        <v>#DIV/0!</v>
      </c>
      <c r="T29" s="108" t="e">
        <f t="shared" si="23"/>
        <v>#DIV/0!</v>
      </c>
      <c r="U29" s="108" t="e">
        <f t="shared" si="23"/>
        <v>#DIV/0!</v>
      </c>
      <c r="V29" s="108" t="e">
        <f t="shared" si="23"/>
        <v>#DIV/0!</v>
      </c>
      <c r="W29" s="108" t="e">
        <f t="shared" si="23"/>
        <v>#DIV/0!</v>
      </c>
      <c r="X29" s="108" t="e">
        <f t="shared" si="23"/>
        <v>#DIV/0!</v>
      </c>
      <c r="Y29" s="108" t="e">
        <f t="shared" si="23"/>
        <v>#DIV/0!</v>
      </c>
      <c r="Z29" s="108" t="e">
        <f t="shared" si="23"/>
        <v>#DIV/0!</v>
      </c>
      <c r="AA29" s="108" t="e">
        <f t="shared" si="23"/>
        <v>#DIV/0!</v>
      </c>
      <c r="AB29" s="108" t="e">
        <f t="shared" si="23"/>
        <v>#DIV/0!</v>
      </c>
      <c r="AC29" s="108" t="e">
        <f t="shared" si="23"/>
        <v>#DIV/0!</v>
      </c>
      <c r="AD29" s="108" t="e">
        <f t="shared" si="23"/>
        <v>#DIV/0!</v>
      </c>
      <c r="AE29" s="108" t="e">
        <f t="shared" si="23"/>
        <v>#DIV/0!</v>
      </c>
      <c r="AF29" s="108" t="e">
        <f t="shared" si="23"/>
        <v>#DIV/0!</v>
      </c>
      <c r="AG29" s="108" t="e">
        <f t="shared" si="23"/>
        <v>#DIV/0!</v>
      </c>
      <c r="AH29" s="108" t="e">
        <f t="shared" si="23"/>
        <v>#DIV/0!</v>
      </c>
      <c r="AI29" s="108" t="e">
        <f t="shared" si="23"/>
        <v>#DIV/0!</v>
      </c>
      <c r="AJ29" s="108" t="e">
        <f t="shared" si="23"/>
        <v>#DIV/0!</v>
      </c>
      <c r="AK29" s="108" t="e">
        <f t="shared" si="23"/>
        <v>#DIV/0!</v>
      </c>
      <c r="AL29" s="108" t="e">
        <f t="shared" si="23"/>
        <v>#DIV/0!</v>
      </c>
      <c r="AM29" s="108" t="e">
        <f t="shared" si="23"/>
        <v>#DIV/0!</v>
      </c>
      <c r="AN29" s="108" t="e">
        <f t="shared" si="23"/>
        <v>#DIV/0!</v>
      </c>
      <c r="AO29" s="108" t="e">
        <f t="shared" si="23"/>
        <v>#DIV/0!</v>
      </c>
      <c r="AP29" s="108" t="e">
        <f t="shared" si="23"/>
        <v>#DIV/0!</v>
      </c>
      <c r="AQ29" s="108" t="e">
        <f t="shared" si="23"/>
        <v>#DIV/0!</v>
      </c>
      <c r="AR29" s="108" t="e">
        <f t="shared" si="23"/>
        <v>#DIV/0!</v>
      </c>
      <c r="AS29" s="108" t="e">
        <f t="shared" si="23"/>
        <v>#DIV/0!</v>
      </c>
      <c r="AT29" s="108" t="e">
        <f t="shared" si="23"/>
        <v>#DIV/0!</v>
      </c>
      <c r="AU29" s="108" t="e">
        <f t="shared" si="23"/>
        <v>#DIV/0!</v>
      </c>
      <c r="AV29" s="108" t="e">
        <f t="shared" si="23"/>
        <v>#DIV/0!</v>
      </c>
      <c r="AW29" s="108" t="e">
        <f t="shared" si="23"/>
        <v>#DIV/0!</v>
      </c>
      <c r="AX29" s="108" t="e">
        <f t="shared" si="23"/>
        <v>#DIV/0!</v>
      </c>
      <c r="AY29" s="108" t="e">
        <f t="shared" si="23"/>
        <v>#DIV/0!</v>
      </c>
      <c r="AZ29" s="108" t="e">
        <f t="shared" si="23"/>
        <v>#DIV/0!</v>
      </c>
      <c r="BA29" s="108" t="e">
        <f t="shared" si="23"/>
        <v>#DIV/0!</v>
      </c>
      <c r="BB29" s="108" t="e">
        <f t="shared" si="23"/>
        <v>#DIV/0!</v>
      </c>
      <c r="BC29" s="108" t="e">
        <f t="shared" si="23"/>
        <v>#DIV/0!</v>
      </c>
      <c r="BD29" s="108" t="e">
        <f t="shared" si="23"/>
        <v>#DIV/0!</v>
      </c>
      <c r="BE29" s="108" t="e">
        <f t="shared" si="23"/>
        <v>#DIV/0!</v>
      </c>
      <c r="BF29" s="108" t="e">
        <f t="shared" si="23"/>
        <v>#DIV/0!</v>
      </c>
      <c r="BG29" s="108" t="e">
        <f t="shared" si="23"/>
        <v>#DIV/0!</v>
      </c>
      <c r="BH29" s="108" t="e">
        <f t="shared" si="23"/>
        <v>#DIV/0!</v>
      </c>
      <c r="BI29" s="108" t="e">
        <f t="shared" si="23"/>
        <v>#DIV/0!</v>
      </c>
      <c r="BJ29" s="108" t="e">
        <f t="shared" si="23"/>
        <v>#DIV/0!</v>
      </c>
      <c r="BK29" s="108" t="e">
        <f t="shared" si="23"/>
        <v>#DIV/0!</v>
      </c>
      <c r="BL29" s="108" t="e">
        <f t="shared" si="23"/>
        <v>#DIV/0!</v>
      </c>
      <c r="BM29" s="108" t="e">
        <f t="shared" si="23"/>
        <v>#DIV/0!</v>
      </c>
      <c r="BN29" s="108" t="e">
        <f t="shared" si="23"/>
        <v>#DIV/0!</v>
      </c>
      <c r="BO29" s="108" t="e">
        <f t="shared" si="23"/>
        <v>#DIV/0!</v>
      </c>
      <c r="BP29" s="108" t="e">
        <f t="shared" si="23"/>
        <v>#DIV/0!</v>
      </c>
      <c r="BQ29" s="108" t="e">
        <f t="shared" si="23"/>
        <v>#DIV/0!</v>
      </c>
      <c r="BR29" s="108" t="e">
        <f t="shared" ref="BR29:CK29" si="24">(BR4-BV4)/BV4</f>
        <v>#DIV/0!</v>
      </c>
      <c r="BS29" s="108" t="e">
        <f t="shared" si="24"/>
        <v>#DIV/0!</v>
      </c>
      <c r="BT29" s="108" t="e">
        <f t="shared" si="24"/>
        <v>#DIV/0!</v>
      </c>
      <c r="BU29" s="108" t="e">
        <f t="shared" si="24"/>
        <v>#DIV/0!</v>
      </c>
      <c r="BV29" s="108" t="e">
        <f t="shared" si="24"/>
        <v>#DIV/0!</v>
      </c>
      <c r="BW29" s="108" t="e">
        <f t="shared" si="24"/>
        <v>#DIV/0!</v>
      </c>
      <c r="BX29" s="108" t="e">
        <f t="shared" si="24"/>
        <v>#DIV/0!</v>
      </c>
      <c r="BY29" s="108" t="e">
        <f t="shared" si="24"/>
        <v>#DIV/0!</v>
      </c>
      <c r="BZ29" s="108" t="e">
        <f t="shared" si="24"/>
        <v>#DIV/0!</v>
      </c>
      <c r="CA29" s="108" t="e">
        <f t="shared" si="24"/>
        <v>#DIV/0!</v>
      </c>
      <c r="CB29" s="108" t="e">
        <f t="shared" si="24"/>
        <v>#DIV/0!</v>
      </c>
      <c r="CC29" s="108" t="e">
        <f t="shared" si="24"/>
        <v>#DIV/0!</v>
      </c>
      <c r="CD29" s="108" t="e">
        <f t="shared" si="24"/>
        <v>#DIV/0!</v>
      </c>
      <c r="CE29" s="108" t="e">
        <f t="shared" si="24"/>
        <v>#DIV/0!</v>
      </c>
      <c r="CF29" s="108" t="e">
        <f t="shared" si="24"/>
        <v>#DIV/0!</v>
      </c>
      <c r="CG29" s="108" t="e">
        <f t="shared" si="24"/>
        <v>#DIV/0!</v>
      </c>
      <c r="CH29" s="108" t="e">
        <f t="shared" si="24"/>
        <v>#DIV/0!</v>
      </c>
      <c r="CI29" s="108" t="e">
        <f t="shared" si="24"/>
        <v>#DIV/0!</v>
      </c>
      <c r="CJ29" s="108" t="e">
        <f t="shared" si="24"/>
        <v>#DIV/0!</v>
      </c>
      <c r="CK29" s="108" t="e">
        <f t="shared" si="24"/>
        <v>#DIV/0!</v>
      </c>
    </row>
    <row r="30" spans="1:90" s="108" customFormat="1">
      <c r="A30" s="141" t="s">
        <v>441</v>
      </c>
      <c r="E30" s="108">
        <f>(E5-I5)/I5</f>
        <v>2.007394768157087</v>
      </c>
      <c r="F30" s="108">
        <f t="shared" ref="F30:BQ30" si="25">(F5-J5)/J5</f>
        <v>1.6841053423725474</v>
      </c>
      <c r="G30" s="108">
        <f t="shared" si="25"/>
        <v>1.8014410325358232</v>
      </c>
      <c r="H30" s="108">
        <f t="shared" si="25"/>
        <v>2.3536778036138277</v>
      </c>
      <c r="I30" s="108">
        <f t="shared" si="25"/>
        <v>2.6734694442570266</v>
      </c>
      <c r="J30" s="108">
        <f t="shared" si="25"/>
        <v>2.221525324881843</v>
      </c>
      <c r="K30" s="108">
        <f t="shared" si="25"/>
        <v>1.7781127577140894</v>
      </c>
      <c r="L30" s="108">
        <f t="shared" si="25"/>
        <v>1.2110766276272904</v>
      </c>
      <c r="M30" s="108">
        <f t="shared" si="25"/>
        <v>0.79748954279643702</v>
      </c>
      <c r="N30" s="108">
        <f t="shared" si="25"/>
        <v>0.88899518247963771</v>
      </c>
      <c r="O30" s="108">
        <f t="shared" si="25"/>
        <v>1.329017103443368</v>
      </c>
      <c r="P30" s="108" t="e">
        <f t="shared" si="25"/>
        <v>#DIV/0!</v>
      </c>
      <c r="Q30" s="108" t="e">
        <f t="shared" si="25"/>
        <v>#DIV/0!</v>
      </c>
      <c r="R30" s="108" t="e">
        <f t="shared" si="25"/>
        <v>#DIV/0!</v>
      </c>
      <c r="S30" s="108" t="e">
        <f t="shared" si="25"/>
        <v>#DIV/0!</v>
      </c>
      <c r="T30" s="108" t="e">
        <f t="shared" si="25"/>
        <v>#DIV/0!</v>
      </c>
      <c r="U30" s="108" t="e">
        <f t="shared" si="25"/>
        <v>#DIV/0!</v>
      </c>
      <c r="V30" s="108" t="e">
        <f t="shared" si="25"/>
        <v>#DIV/0!</v>
      </c>
      <c r="W30" s="108" t="e">
        <f t="shared" si="25"/>
        <v>#DIV/0!</v>
      </c>
      <c r="X30" s="108" t="e">
        <f t="shared" si="25"/>
        <v>#DIV/0!</v>
      </c>
      <c r="Y30" s="108" t="e">
        <f t="shared" si="25"/>
        <v>#DIV/0!</v>
      </c>
      <c r="Z30" s="108" t="e">
        <f t="shared" si="25"/>
        <v>#DIV/0!</v>
      </c>
      <c r="AA30" s="108" t="e">
        <f t="shared" si="25"/>
        <v>#DIV/0!</v>
      </c>
      <c r="AB30" s="108" t="e">
        <f t="shared" si="25"/>
        <v>#DIV/0!</v>
      </c>
      <c r="AC30" s="108" t="e">
        <f t="shared" si="25"/>
        <v>#DIV/0!</v>
      </c>
      <c r="AD30" s="108" t="e">
        <f t="shared" si="25"/>
        <v>#DIV/0!</v>
      </c>
      <c r="AE30" s="108" t="e">
        <f t="shared" si="25"/>
        <v>#DIV/0!</v>
      </c>
      <c r="AF30" s="108" t="e">
        <f t="shared" si="25"/>
        <v>#DIV/0!</v>
      </c>
      <c r="AG30" s="108" t="e">
        <f t="shared" si="25"/>
        <v>#DIV/0!</v>
      </c>
      <c r="AH30" s="108" t="e">
        <f t="shared" si="25"/>
        <v>#DIV/0!</v>
      </c>
      <c r="AI30" s="108" t="e">
        <f t="shared" si="25"/>
        <v>#DIV/0!</v>
      </c>
      <c r="AJ30" s="108" t="e">
        <f t="shared" si="25"/>
        <v>#DIV/0!</v>
      </c>
      <c r="AK30" s="108" t="e">
        <f t="shared" si="25"/>
        <v>#DIV/0!</v>
      </c>
      <c r="AL30" s="108" t="e">
        <f t="shared" si="25"/>
        <v>#DIV/0!</v>
      </c>
      <c r="AM30" s="108" t="e">
        <f t="shared" si="25"/>
        <v>#DIV/0!</v>
      </c>
      <c r="AN30" s="108" t="e">
        <f t="shared" si="25"/>
        <v>#DIV/0!</v>
      </c>
      <c r="AO30" s="108" t="e">
        <f t="shared" si="25"/>
        <v>#DIV/0!</v>
      </c>
      <c r="AP30" s="108" t="e">
        <f t="shared" si="25"/>
        <v>#DIV/0!</v>
      </c>
      <c r="AQ30" s="108" t="e">
        <f t="shared" si="25"/>
        <v>#DIV/0!</v>
      </c>
      <c r="AR30" s="108" t="e">
        <f t="shared" si="25"/>
        <v>#DIV/0!</v>
      </c>
      <c r="AS30" s="108" t="e">
        <f t="shared" si="25"/>
        <v>#DIV/0!</v>
      </c>
      <c r="AT30" s="108" t="e">
        <f t="shared" si="25"/>
        <v>#DIV/0!</v>
      </c>
      <c r="AU30" s="108" t="e">
        <f t="shared" si="25"/>
        <v>#DIV/0!</v>
      </c>
      <c r="AV30" s="108" t="e">
        <f t="shared" si="25"/>
        <v>#DIV/0!</v>
      </c>
      <c r="AW30" s="108" t="e">
        <f t="shared" si="25"/>
        <v>#DIV/0!</v>
      </c>
      <c r="AX30" s="108" t="e">
        <f t="shared" si="25"/>
        <v>#DIV/0!</v>
      </c>
      <c r="AY30" s="108" t="e">
        <f t="shared" si="25"/>
        <v>#DIV/0!</v>
      </c>
      <c r="AZ30" s="108" t="e">
        <f t="shared" si="25"/>
        <v>#DIV/0!</v>
      </c>
      <c r="BA30" s="108" t="e">
        <f t="shared" si="25"/>
        <v>#DIV/0!</v>
      </c>
      <c r="BB30" s="108" t="e">
        <f t="shared" si="25"/>
        <v>#DIV/0!</v>
      </c>
      <c r="BC30" s="108" t="e">
        <f t="shared" si="25"/>
        <v>#DIV/0!</v>
      </c>
      <c r="BD30" s="108" t="e">
        <f t="shared" si="25"/>
        <v>#DIV/0!</v>
      </c>
      <c r="BE30" s="108" t="e">
        <f t="shared" si="25"/>
        <v>#DIV/0!</v>
      </c>
      <c r="BF30" s="108" t="e">
        <f t="shared" si="25"/>
        <v>#DIV/0!</v>
      </c>
      <c r="BG30" s="108" t="e">
        <f t="shared" si="25"/>
        <v>#DIV/0!</v>
      </c>
      <c r="BH30" s="108" t="e">
        <f t="shared" si="25"/>
        <v>#DIV/0!</v>
      </c>
      <c r="BI30" s="108" t="e">
        <f t="shared" si="25"/>
        <v>#DIV/0!</v>
      </c>
      <c r="BJ30" s="108" t="e">
        <f t="shared" si="25"/>
        <v>#DIV/0!</v>
      </c>
      <c r="BK30" s="108" t="e">
        <f t="shared" si="25"/>
        <v>#DIV/0!</v>
      </c>
      <c r="BL30" s="108" t="e">
        <f t="shared" si="25"/>
        <v>#DIV/0!</v>
      </c>
      <c r="BM30" s="108" t="e">
        <f t="shared" si="25"/>
        <v>#DIV/0!</v>
      </c>
      <c r="BN30" s="108" t="e">
        <f t="shared" si="25"/>
        <v>#DIV/0!</v>
      </c>
      <c r="BO30" s="108" t="e">
        <f t="shared" si="25"/>
        <v>#DIV/0!</v>
      </c>
      <c r="BP30" s="108" t="e">
        <f t="shared" si="25"/>
        <v>#DIV/0!</v>
      </c>
      <c r="BQ30" s="108" t="e">
        <f t="shared" si="25"/>
        <v>#DIV/0!</v>
      </c>
      <c r="BR30" s="108" t="e">
        <f t="shared" ref="BR30:CK30" si="26">(BR5-BV5)/BV5</f>
        <v>#DIV/0!</v>
      </c>
      <c r="BS30" s="108" t="e">
        <f t="shared" si="26"/>
        <v>#DIV/0!</v>
      </c>
      <c r="BT30" s="108" t="e">
        <f t="shared" si="26"/>
        <v>#DIV/0!</v>
      </c>
      <c r="BU30" s="108" t="e">
        <f t="shared" si="26"/>
        <v>#DIV/0!</v>
      </c>
      <c r="BV30" s="108" t="e">
        <f t="shared" si="26"/>
        <v>#DIV/0!</v>
      </c>
      <c r="BW30" s="108" t="e">
        <f t="shared" si="26"/>
        <v>#DIV/0!</v>
      </c>
      <c r="BX30" s="108" t="e">
        <f t="shared" si="26"/>
        <v>#DIV/0!</v>
      </c>
      <c r="BY30" s="108" t="e">
        <f t="shared" si="26"/>
        <v>#DIV/0!</v>
      </c>
      <c r="BZ30" s="108" t="e">
        <f t="shared" si="26"/>
        <v>#DIV/0!</v>
      </c>
      <c r="CA30" s="108" t="e">
        <f t="shared" si="26"/>
        <v>#DIV/0!</v>
      </c>
      <c r="CB30" s="108" t="e">
        <f t="shared" si="26"/>
        <v>#DIV/0!</v>
      </c>
      <c r="CC30" s="108" t="e">
        <f t="shared" si="26"/>
        <v>#DIV/0!</v>
      </c>
      <c r="CD30" s="108" t="e">
        <f t="shared" si="26"/>
        <v>#DIV/0!</v>
      </c>
      <c r="CE30" s="108" t="e">
        <f t="shared" si="26"/>
        <v>#DIV/0!</v>
      </c>
      <c r="CF30" s="108" t="e">
        <f t="shared" si="26"/>
        <v>#DIV/0!</v>
      </c>
      <c r="CG30" s="108" t="e">
        <f t="shared" si="26"/>
        <v>#DIV/0!</v>
      </c>
      <c r="CH30" s="108" t="e">
        <f t="shared" si="26"/>
        <v>#DIV/0!</v>
      </c>
      <c r="CI30" s="108" t="e">
        <f t="shared" si="26"/>
        <v>#DIV/0!</v>
      </c>
      <c r="CJ30" s="108" t="e">
        <f t="shared" si="26"/>
        <v>#DIV/0!</v>
      </c>
      <c r="CK30" s="108" t="e">
        <f t="shared" si="26"/>
        <v>#DIV/0!</v>
      </c>
    </row>
    <row r="31" spans="1:90" s="108" customFormat="1">
      <c r="A31" s="141" t="s">
        <v>442</v>
      </c>
      <c r="E31" s="108">
        <f>(E6-I6)/I6</f>
        <v>0.48168223363458096</v>
      </c>
      <c r="F31" s="108">
        <f t="shared" ref="F31:BQ31" si="27">(F6-J6)/J6</f>
        <v>0.56016537635316244</v>
      </c>
      <c r="G31" s="108">
        <f t="shared" si="27"/>
        <v>1.268222152592688</v>
      </c>
      <c r="H31" s="108">
        <f t="shared" si="27"/>
        <v>1.2452811109848803</v>
      </c>
      <c r="I31" s="108">
        <f t="shared" si="27"/>
        <v>3.58636641553352</v>
      </c>
      <c r="J31" s="108">
        <f t="shared" si="27"/>
        <v>0.97991486684625939</v>
      </c>
      <c r="K31" s="108">
        <f t="shared" si="27"/>
        <v>0.74276276405613184</v>
      </c>
      <c r="L31" s="108">
        <f t="shared" si="27"/>
        <v>0.98680104877491059</v>
      </c>
      <c r="M31" s="108">
        <f t="shared" si="27"/>
        <v>0.39483279472257793</v>
      </c>
      <c r="N31" s="108">
        <f t="shared" si="27"/>
        <v>2.3939591531510978</v>
      </c>
      <c r="O31" s="108">
        <f t="shared" si="27"/>
        <v>2.8570422680780552</v>
      </c>
      <c r="P31" s="108" t="e">
        <f t="shared" si="27"/>
        <v>#DIV/0!</v>
      </c>
      <c r="Q31" s="108" t="e">
        <f t="shared" si="27"/>
        <v>#DIV/0!</v>
      </c>
      <c r="R31" s="108" t="e">
        <f t="shared" si="27"/>
        <v>#DIV/0!</v>
      </c>
      <c r="S31" s="108" t="e">
        <f t="shared" si="27"/>
        <v>#DIV/0!</v>
      </c>
      <c r="T31" s="108" t="e">
        <f t="shared" si="27"/>
        <v>#DIV/0!</v>
      </c>
      <c r="U31" s="108" t="e">
        <f t="shared" si="27"/>
        <v>#DIV/0!</v>
      </c>
      <c r="V31" s="108" t="e">
        <f t="shared" si="27"/>
        <v>#DIV/0!</v>
      </c>
      <c r="W31" s="108" t="e">
        <f t="shared" si="27"/>
        <v>#DIV/0!</v>
      </c>
      <c r="X31" s="108" t="e">
        <f t="shared" si="27"/>
        <v>#DIV/0!</v>
      </c>
      <c r="Y31" s="108" t="e">
        <f t="shared" si="27"/>
        <v>#DIV/0!</v>
      </c>
      <c r="Z31" s="108" t="e">
        <f t="shared" si="27"/>
        <v>#DIV/0!</v>
      </c>
      <c r="AA31" s="108" t="e">
        <f t="shared" si="27"/>
        <v>#DIV/0!</v>
      </c>
      <c r="AB31" s="108" t="e">
        <f t="shared" si="27"/>
        <v>#DIV/0!</v>
      </c>
      <c r="AC31" s="108" t="e">
        <f t="shared" si="27"/>
        <v>#DIV/0!</v>
      </c>
      <c r="AD31" s="108" t="e">
        <f t="shared" si="27"/>
        <v>#DIV/0!</v>
      </c>
      <c r="AE31" s="108" t="e">
        <f t="shared" si="27"/>
        <v>#DIV/0!</v>
      </c>
      <c r="AF31" s="108" t="e">
        <f t="shared" si="27"/>
        <v>#DIV/0!</v>
      </c>
      <c r="AG31" s="108" t="e">
        <f t="shared" si="27"/>
        <v>#DIV/0!</v>
      </c>
      <c r="AH31" s="108" t="e">
        <f t="shared" si="27"/>
        <v>#DIV/0!</v>
      </c>
      <c r="AI31" s="108" t="e">
        <f t="shared" si="27"/>
        <v>#DIV/0!</v>
      </c>
      <c r="AJ31" s="108" t="e">
        <f t="shared" si="27"/>
        <v>#DIV/0!</v>
      </c>
      <c r="AK31" s="108" t="e">
        <f t="shared" si="27"/>
        <v>#DIV/0!</v>
      </c>
      <c r="AL31" s="108" t="e">
        <f t="shared" si="27"/>
        <v>#DIV/0!</v>
      </c>
      <c r="AM31" s="108" t="e">
        <f t="shared" si="27"/>
        <v>#DIV/0!</v>
      </c>
      <c r="AN31" s="108" t="e">
        <f t="shared" si="27"/>
        <v>#DIV/0!</v>
      </c>
      <c r="AO31" s="108" t="e">
        <f t="shared" si="27"/>
        <v>#DIV/0!</v>
      </c>
      <c r="AP31" s="108" t="e">
        <f t="shared" si="27"/>
        <v>#DIV/0!</v>
      </c>
      <c r="AQ31" s="108" t="e">
        <f t="shared" si="27"/>
        <v>#DIV/0!</v>
      </c>
      <c r="AR31" s="108" t="e">
        <f t="shared" si="27"/>
        <v>#DIV/0!</v>
      </c>
      <c r="AS31" s="108" t="e">
        <f t="shared" si="27"/>
        <v>#DIV/0!</v>
      </c>
      <c r="AT31" s="108" t="e">
        <f t="shared" si="27"/>
        <v>#DIV/0!</v>
      </c>
      <c r="AU31" s="108" t="e">
        <f t="shared" si="27"/>
        <v>#DIV/0!</v>
      </c>
      <c r="AV31" s="108" t="e">
        <f t="shared" si="27"/>
        <v>#DIV/0!</v>
      </c>
      <c r="AW31" s="108" t="e">
        <f t="shared" si="27"/>
        <v>#DIV/0!</v>
      </c>
      <c r="AX31" s="108" t="e">
        <f t="shared" si="27"/>
        <v>#DIV/0!</v>
      </c>
      <c r="AY31" s="108" t="e">
        <f t="shared" si="27"/>
        <v>#DIV/0!</v>
      </c>
      <c r="AZ31" s="108" t="e">
        <f t="shared" si="27"/>
        <v>#DIV/0!</v>
      </c>
      <c r="BA31" s="108" t="e">
        <f t="shared" si="27"/>
        <v>#DIV/0!</v>
      </c>
      <c r="BB31" s="108" t="e">
        <f t="shared" si="27"/>
        <v>#DIV/0!</v>
      </c>
      <c r="BC31" s="108" t="e">
        <f t="shared" si="27"/>
        <v>#DIV/0!</v>
      </c>
      <c r="BD31" s="108" t="e">
        <f t="shared" si="27"/>
        <v>#DIV/0!</v>
      </c>
      <c r="BE31" s="108" t="e">
        <f t="shared" si="27"/>
        <v>#DIV/0!</v>
      </c>
      <c r="BF31" s="108" t="e">
        <f t="shared" si="27"/>
        <v>#DIV/0!</v>
      </c>
      <c r="BG31" s="108" t="e">
        <f t="shared" si="27"/>
        <v>#DIV/0!</v>
      </c>
      <c r="BH31" s="108" t="e">
        <f t="shared" si="27"/>
        <v>#DIV/0!</v>
      </c>
      <c r="BI31" s="108" t="e">
        <f t="shared" si="27"/>
        <v>#DIV/0!</v>
      </c>
      <c r="BJ31" s="108" t="e">
        <f t="shared" si="27"/>
        <v>#DIV/0!</v>
      </c>
      <c r="BK31" s="108" t="e">
        <f t="shared" si="27"/>
        <v>#DIV/0!</v>
      </c>
      <c r="BL31" s="108" t="e">
        <f t="shared" si="27"/>
        <v>#DIV/0!</v>
      </c>
      <c r="BM31" s="108" t="e">
        <f t="shared" si="27"/>
        <v>#DIV/0!</v>
      </c>
      <c r="BN31" s="108" t="e">
        <f t="shared" si="27"/>
        <v>#DIV/0!</v>
      </c>
      <c r="BO31" s="108" t="e">
        <f t="shared" si="27"/>
        <v>#DIV/0!</v>
      </c>
      <c r="BP31" s="108" t="e">
        <f t="shared" si="27"/>
        <v>#DIV/0!</v>
      </c>
      <c r="BQ31" s="108" t="e">
        <f t="shared" si="27"/>
        <v>#DIV/0!</v>
      </c>
      <c r="BR31" s="108" t="e">
        <f t="shared" ref="BR31:CK31" si="28">(BR6-BV6)/BV6</f>
        <v>#DIV/0!</v>
      </c>
      <c r="BS31" s="108" t="e">
        <f t="shared" si="28"/>
        <v>#DIV/0!</v>
      </c>
      <c r="BT31" s="108" t="e">
        <f t="shared" si="28"/>
        <v>#DIV/0!</v>
      </c>
      <c r="BU31" s="108" t="e">
        <f t="shared" si="28"/>
        <v>#DIV/0!</v>
      </c>
      <c r="BV31" s="108" t="e">
        <f t="shared" si="28"/>
        <v>#DIV/0!</v>
      </c>
      <c r="BW31" s="108" t="e">
        <f t="shared" si="28"/>
        <v>#DIV/0!</v>
      </c>
      <c r="BX31" s="108" t="e">
        <f t="shared" si="28"/>
        <v>#DIV/0!</v>
      </c>
      <c r="BY31" s="108" t="e">
        <f t="shared" si="28"/>
        <v>#DIV/0!</v>
      </c>
      <c r="BZ31" s="108" t="e">
        <f t="shared" si="28"/>
        <v>#DIV/0!</v>
      </c>
      <c r="CA31" s="108" t="e">
        <f t="shared" si="28"/>
        <v>#DIV/0!</v>
      </c>
      <c r="CB31" s="108" t="e">
        <f t="shared" si="28"/>
        <v>#DIV/0!</v>
      </c>
      <c r="CC31" s="108" t="e">
        <f t="shared" si="28"/>
        <v>#DIV/0!</v>
      </c>
      <c r="CD31" s="108" t="e">
        <f t="shared" si="28"/>
        <v>#DIV/0!</v>
      </c>
      <c r="CE31" s="108" t="e">
        <f t="shared" si="28"/>
        <v>#DIV/0!</v>
      </c>
      <c r="CF31" s="108" t="e">
        <f t="shared" si="28"/>
        <v>#DIV/0!</v>
      </c>
      <c r="CG31" s="108" t="e">
        <f t="shared" si="28"/>
        <v>#DIV/0!</v>
      </c>
      <c r="CH31" s="108" t="e">
        <f t="shared" si="28"/>
        <v>#DIV/0!</v>
      </c>
      <c r="CI31" s="108" t="e">
        <f t="shared" si="28"/>
        <v>#DIV/0!</v>
      </c>
      <c r="CJ31" s="108" t="e">
        <f t="shared" si="28"/>
        <v>#DIV/0!</v>
      </c>
      <c r="CK31" s="108" t="e">
        <f t="shared" si="28"/>
        <v>#DIV/0!</v>
      </c>
    </row>
    <row r="32" spans="1:90" s="109" customFormat="1">
      <c r="A32" s="142" t="s">
        <v>444</v>
      </c>
      <c r="E32" s="109">
        <f>(E7-I7)/I7</f>
        <v>2.0323578353171166</v>
      </c>
      <c r="F32" s="109">
        <f t="shared" ref="F32:BQ32" si="29">(F7-J7)/J7</f>
        <v>2.4917108372993555</v>
      </c>
      <c r="G32" s="109">
        <f t="shared" si="29"/>
        <v>2.2849861272731999</v>
      </c>
      <c r="H32" s="109">
        <f t="shared" si="29"/>
        <v>1.5145755947354254</v>
      </c>
      <c r="I32" s="109">
        <f t="shared" si="29"/>
        <v>1.2259548728556027</v>
      </c>
      <c r="J32" s="109">
        <f t="shared" si="29"/>
        <v>1.0213326889228245</v>
      </c>
      <c r="K32" s="109">
        <f t="shared" si="29"/>
        <v>1.0218812207596302</v>
      </c>
      <c r="L32" s="109">
        <f t="shared" si="29"/>
        <v>1.1791341344605992</v>
      </c>
      <c r="M32" s="109">
        <f t="shared" si="29"/>
        <v>1.6313401023315639</v>
      </c>
      <c r="N32" s="109">
        <f t="shared" si="29"/>
        <v>1.7618109204735393</v>
      </c>
      <c r="O32" s="109">
        <f t="shared" si="29"/>
        <v>2.4169470406221927</v>
      </c>
      <c r="P32" s="109" t="e">
        <f t="shared" si="29"/>
        <v>#DIV/0!</v>
      </c>
      <c r="Q32" s="109" t="e">
        <f t="shared" si="29"/>
        <v>#DIV/0!</v>
      </c>
      <c r="R32" s="109" t="e">
        <f t="shared" si="29"/>
        <v>#DIV/0!</v>
      </c>
      <c r="S32" s="109" t="e">
        <f t="shared" si="29"/>
        <v>#DIV/0!</v>
      </c>
      <c r="T32" s="109" t="e">
        <f t="shared" si="29"/>
        <v>#DIV/0!</v>
      </c>
      <c r="U32" s="109" t="e">
        <f t="shared" si="29"/>
        <v>#DIV/0!</v>
      </c>
      <c r="V32" s="109" t="e">
        <f t="shared" si="29"/>
        <v>#DIV/0!</v>
      </c>
      <c r="W32" s="109" t="e">
        <f t="shared" si="29"/>
        <v>#DIV/0!</v>
      </c>
      <c r="X32" s="109" t="e">
        <f t="shared" si="29"/>
        <v>#DIV/0!</v>
      </c>
      <c r="Y32" s="109" t="e">
        <f t="shared" si="29"/>
        <v>#DIV/0!</v>
      </c>
      <c r="Z32" s="109" t="e">
        <f t="shared" si="29"/>
        <v>#DIV/0!</v>
      </c>
      <c r="AA32" s="109" t="e">
        <f t="shared" si="29"/>
        <v>#DIV/0!</v>
      </c>
      <c r="AB32" s="109" t="e">
        <f t="shared" si="29"/>
        <v>#DIV/0!</v>
      </c>
      <c r="AC32" s="109" t="e">
        <f t="shared" si="29"/>
        <v>#DIV/0!</v>
      </c>
      <c r="AD32" s="109" t="e">
        <f t="shared" si="29"/>
        <v>#DIV/0!</v>
      </c>
      <c r="AE32" s="109" t="e">
        <f t="shared" si="29"/>
        <v>#DIV/0!</v>
      </c>
      <c r="AF32" s="109" t="e">
        <f t="shared" si="29"/>
        <v>#DIV/0!</v>
      </c>
      <c r="AG32" s="109" t="e">
        <f t="shared" si="29"/>
        <v>#DIV/0!</v>
      </c>
      <c r="AH32" s="109" t="e">
        <f t="shared" si="29"/>
        <v>#DIV/0!</v>
      </c>
      <c r="AI32" s="109" t="e">
        <f t="shared" si="29"/>
        <v>#DIV/0!</v>
      </c>
      <c r="AJ32" s="109" t="e">
        <f t="shared" si="29"/>
        <v>#DIV/0!</v>
      </c>
      <c r="AK32" s="109" t="e">
        <f t="shared" si="29"/>
        <v>#DIV/0!</v>
      </c>
      <c r="AL32" s="109" t="e">
        <f t="shared" si="29"/>
        <v>#DIV/0!</v>
      </c>
      <c r="AM32" s="109" t="e">
        <f t="shared" si="29"/>
        <v>#DIV/0!</v>
      </c>
      <c r="AN32" s="109" t="e">
        <f t="shared" si="29"/>
        <v>#DIV/0!</v>
      </c>
      <c r="AO32" s="109" t="e">
        <f t="shared" si="29"/>
        <v>#DIV/0!</v>
      </c>
      <c r="AP32" s="109" t="e">
        <f t="shared" si="29"/>
        <v>#DIV/0!</v>
      </c>
      <c r="AQ32" s="109" t="e">
        <f t="shared" si="29"/>
        <v>#DIV/0!</v>
      </c>
      <c r="AR32" s="109" t="e">
        <f t="shared" si="29"/>
        <v>#DIV/0!</v>
      </c>
      <c r="AS32" s="109" t="e">
        <f t="shared" si="29"/>
        <v>#DIV/0!</v>
      </c>
      <c r="AT32" s="109" t="e">
        <f t="shared" si="29"/>
        <v>#DIV/0!</v>
      </c>
      <c r="AU32" s="109" t="e">
        <f t="shared" si="29"/>
        <v>#DIV/0!</v>
      </c>
      <c r="AV32" s="109" t="e">
        <f t="shared" si="29"/>
        <v>#DIV/0!</v>
      </c>
      <c r="AW32" s="109" t="e">
        <f t="shared" si="29"/>
        <v>#DIV/0!</v>
      </c>
      <c r="AX32" s="109" t="e">
        <f t="shared" si="29"/>
        <v>#DIV/0!</v>
      </c>
      <c r="AY32" s="109" t="e">
        <f t="shared" si="29"/>
        <v>#DIV/0!</v>
      </c>
      <c r="AZ32" s="109" t="e">
        <f t="shared" si="29"/>
        <v>#DIV/0!</v>
      </c>
      <c r="BA32" s="109" t="e">
        <f t="shared" si="29"/>
        <v>#DIV/0!</v>
      </c>
      <c r="BB32" s="109" t="e">
        <f t="shared" si="29"/>
        <v>#DIV/0!</v>
      </c>
      <c r="BC32" s="109" t="e">
        <f t="shared" si="29"/>
        <v>#DIV/0!</v>
      </c>
      <c r="BD32" s="109" t="e">
        <f t="shared" si="29"/>
        <v>#DIV/0!</v>
      </c>
      <c r="BE32" s="109" t="e">
        <f t="shared" si="29"/>
        <v>#DIV/0!</v>
      </c>
      <c r="BF32" s="109" t="e">
        <f t="shared" si="29"/>
        <v>#DIV/0!</v>
      </c>
      <c r="BG32" s="109" t="e">
        <f t="shared" si="29"/>
        <v>#DIV/0!</v>
      </c>
      <c r="BH32" s="109" t="e">
        <f t="shared" si="29"/>
        <v>#DIV/0!</v>
      </c>
      <c r="BI32" s="109" t="e">
        <f t="shared" si="29"/>
        <v>#DIV/0!</v>
      </c>
      <c r="BJ32" s="109" t="e">
        <f t="shared" si="29"/>
        <v>#DIV/0!</v>
      </c>
      <c r="BK32" s="109" t="e">
        <f t="shared" si="29"/>
        <v>#DIV/0!</v>
      </c>
      <c r="BL32" s="109" t="e">
        <f t="shared" si="29"/>
        <v>#DIV/0!</v>
      </c>
      <c r="BM32" s="109" t="e">
        <f t="shared" si="29"/>
        <v>#DIV/0!</v>
      </c>
      <c r="BN32" s="109" t="e">
        <f t="shared" si="29"/>
        <v>#DIV/0!</v>
      </c>
      <c r="BO32" s="109" t="e">
        <f t="shared" si="29"/>
        <v>#DIV/0!</v>
      </c>
      <c r="BP32" s="109" t="e">
        <f t="shared" si="29"/>
        <v>#DIV/0!</v>
      </c>
      <c r="BQ32" s="109" t="e">
        <f t="shared" si="29"/>
        <v>#DIV/0!</v>
      </c>
      <c r="BR32" s="109" t="e">
        <f t="shared" ref="BR32:CK32" si="30">(BR7-BV7)/BV7</f>
        <v>#DIV/0!</v>
      </c>
      <c r="BS32" s="109" t="e">
        <f t="shared" si="30"/>
        <v>#DIV/0!</v>
      </c>
      <c r="BT32" s="109" t="e">
        <f t="shared" si="30"/>
        <v>#DIV/0!</v>
      </c>
      <c r="BU32" s="109" t="e">
        <f t="shared" si="30"/>
        <v>#DIV/0!</v>
      </c>
      <c r="BV32" s="109" t="e">
        <f t="shared" si="30"/>
        <v>#DIV/0!</v>
      </c>
      <c r="BW32" s="109" t="e">
        <f t="shared" si="30"/>
        <v>#DIV/0!</v>
      </c>
      <c r="BX32" s="109" t="e">
        <f t="shared" si="30"/>
        <v>#DIV/0!</v>
      </c>
      <c r="BY32" s="109" t="e">
        <f t="shared" si="30"/>
        <v>#DIV/0!</v>
      </c>
      <c r="BZ32" s="109" t="e">
        <f t="shared" si="30"/>
        <v>#DIV/0!</v>
      </c>
      <c r="CA32" s="109" t="e">
        <f t="shared" si="30"/>
        <v>#DIV/0!</v>
      </c>
      <c r="CB32" s="109" t="e">
        <f t="shared" si="30"/>
        <v>#DIV/0!</v>
      </c>
      <c r="CC32" s="109" t="e">
        <f t="shared" si="30"/>
        <v>#DIV/0!</v>
      </c>
      <c r="CD32" s="109" t="e">
        <f t="shared" si="30"/>
        <v>#DIV/0!</v>
      </c>
      <c r="CE32" s="109" t="e">
        <f t="shared" si="30"/>
        <v>#DIV/0!</v>
      </c>
      <c r="CF32" s="109" t="e">
        <f t="shared" si="30"/>
        <v>#DIV/0!</v>
      </c>
      <c r="CG32" s="109" t="e">
        <f t="shared" si="30"/>
        <v>#DIV/0!</v>
      </c>
      <c r="CH32" s="109" t="e">
        <f t="shared" si="30"/>
        <v>#DIV/0!</v>
      </c>
      <c r="CI32" s="109" t="e">
        <f t="shared" si="30"/>
        <v>#DIV/0!</v>
      </c>
      <c r="CJ32" s="109" t="e">
        <f t="shared" si="30"/>
        <v>#DIV/0!</v>
      </c>
      <c r="CK32" s="109" t="e">
        <f t="shared" si="30"/>
        <v>#DIV/0!</v>
      </c>
    </row>
    <row r="33" spans="1:89" s="109" customFormat="1">
      <c r="A33" s="142" t="s">
        <v>451</v>
      </c>
      <c r="E33" s="109">
        <f>E7/E9</f>
        <v>0.29426031075155568</v>
      </c>
      <c r="F33" s="109">
        <f t="shared" ref="F33:BQ33" si="31">F7/F9</f>
        <v>0.32927263316720312</v>
      </c>
      <c r="G33" s="109">
        <f t="shared" si="31"/>
        <v>0.30501906885325625</v>
      </c>
      <c r="H33" s="109">
        <f t="shared" si="31"/>
        <v>0.245927776512812</v>
      </c>
      <c r="I33" s="109">
        <f t="shared" si="31"/>
        <v>0.27583876248756206</v>
      </c>
      <c r="J33" s="109">
        <f t="shared" si="31"/>
        <v>0.2768339166982004</v>
      </c>
      <c r="K33" s="109">
        <f t="shared" si="31"/>
        <v>0.27723988789160919</v>
      </c>
      <c r="L33" s="109">
        <f t="shared" si="31"/>
        <v>0.30142665982430439</v>
      </c>
      <c r="M33" s="109">
        <f t="shared" si="31"/>
        <v>0.37428310213539023</v>
      </c>
      <c r="N33" s="109">
        <f t="shared" si="31"/>
        <v>0.4310379430222892</v>
      </c>
      <c r="O33" s="109">
        <f t="shared" si="31"/>
        <v>0.38999964842470108</v>
      </c>
      <c r="P33" s="109">
        <f t="shared" si="31"/>
        <v>0.37580150343120039</v>
      </c>
      <c r="Q33" s="109">
        <f t="shared" si="31"/>
        <v>0.34459315786699513</v>
      </c>
      <c r="R33" s="109">
        <f t="shared" si="31"/>
        <v>0.31923308281009727</v>
      </c>
      <c r="S33" s="109">
        <f t="shared" si="31"/>
        <v>0.21799263328381532</v>
      </c>
      <c r="T33" s="109" t="e">
        <f t="shared" si="31"/>
        <v>#DIV/0!</v>
      </c>
      <c r="U33" s="109" t="e">
        <f t="shared" si="31"/>
        <v>#DIV/0!</v>
      </c>
      <c r="V33" s="109" t="e">
        <f t="shared" si="31"/>
        <v>#DIV/0!</v>
      </c>
      <c r="W33" s="109" t="e">
        <f t="shared" si="31"/>
        <v>#DIV/0!</v>
      </c>
      <c r="X33" s="109" t="e">
        <f t="shared" si="31"/>
        <v>#DIV/0!</v>
      </c>
      <c r="Y33" s="109" t="e">
        <f t="shared" si="31"/>
        <v>#DIV/0!</v>
      </c>
      <c r="Z33" s="109" t="e">
        <f t="shared" si="31"/>
        <v>#DIV/0!</v>
      </c>
      <c r="AA33" s="109" t="e">
        <f t="shared" si="31"/>
        <v>#DIV/0!</v>
      </c>
      <c r="AB33" s="109" t="e">
        <f t="shared" si="31"/>
        <v>#DIV/0!</v>
      </c>
      <c r="AC33" s="109" t="e">
        <f t="shared" si="31"/>
        <v>#DIV/0!</v>
      </c>
      <c r="AD33" s="109" t="e">
        <f t="shared" si="31"/>
        <v>#DIV/0!</v>
      </c>
      <c r="AE33" s="109" t="e">
        <f t="shared" si="31"/>
        <v>#DIV/0!</v>
      </c>
      <c r="AF33" s="109" t="e">
        <f t="shared" si="31"/>
        <v>#DIV/0!</v>
      </c>
      <c r="AG33" s="109" t="e">
        <f t="shared" si="31"/>
        <v>#DIV/0!</v>
      </c>
      <c r="AH33" s="109" t="e">
        <f t="shared" si="31"/>
        <v>#DIV/0!</v>
      </c>
      <c r="AI33" s="109" t="e">
        <f t="shared" si="31"/>
        <v>#DIV/0!</v>
      </c>
      <c r="AJ33" s="109" t="e">
        <f t="shared" si="31"/>
        <v>#DIV/0!</v>
      </c>
      <c r="AK33" s="109" t="e">
        <f t="shared" si="31"/>
        <v>#DIV/0!</v>
      </c>
      <c r="AL33" s="109" t="e">
        <f t="shared" si="31"/>
        <v>#DIV/0!</v>
      </c>
      <c r="AM33" s="109" t="e">
        <f t="shared" si="31"/>
        <v>#DIV/0!</v>
      </c>
      <c r="AN33" s="109" t="e">
        <f t="shared" si="31"/>
        <v>#DIV/0!</v>
      </c>
      <c r="AO33" s="109" t="e">
        <f t="shared" si="31"/>
        <v>#DIV/0!</v>
      </c>
      <c r="AP33" s="109" t="e">
        <f t="shared" si="31"/>
        <v>#DIV/0!</v>
      </c>
      <c r="AQ33" s="109" t="e">
        <f t="shared" si="31"/>
        <v>#DIV/0!</v>
      </c>
      <c r="AR33" s="109" t="e">
        <f t="shared" si="31"/>
        <v>#DIV/0!</v>
      </c>
      <c r="AS33" s="109" t="e">
        <f t="shared" si="31"/>
        <v>#DIV/0!</v>
      </c>
      <c r="AT33" s="109" t="e">
        <f t="shared" si="31"/>
        <v>#DIV/0!</v>
      </c>
      <c r="AU33" s="109" t="e">
        <f t="shared" si="31"/>
        <v>#DIV/0!</v>
      </c>
      <c r="AV33" s="109" t="e">
        <f t="shared" si="31"/>
        <v>#DIV/0!</v>
      </c>
      <c r="AW33" s="109" t="e">
        <f t="shared" si="31"/>
        <v>#DIV/0!</v>
      </c>
      <c r="AX33" s="109" t="e">
        <f t="shared" si="31"/>
        <v>#DIV/0!</v>
      </c>
      <c r="AY33" s="109" t="e">
        <f t="shared" si="31"/>
        <v>#DIV/0!</v>
      </c>
      <c r="AZ33" s="109" t="e">
        <f t="shared" si="31"/>
        <v>#DIV/0!</v>
      </c>
      <c r="BA33" s="109" t="e">
        <f t="shared" si="31"/>
        <v>#DIV/0!</v>
      </c>
      <c r="BB33" s="109" t="e">
        <f t="shared" si="31"/>
        <v>#DIV/0!</v>
      </c>
      <c r="BC33" s="109" t="e">
        <f t="shared" si="31"/>
        <v>#DIV/0!</v>
      </c>
      <c r="BD33" s="109" t="e">
        <f t="shared" si="31"/>
        <v>#DIV/0!</v>
      </c>
      <c r="BE33" s="109" t="e">
        <f t="shared" si="31"/>
        <v>#DIV/0!</v>
      </c>
      <c r="BF33" s="109" t="e">
        <f t="shared" si="31"/>
        <v>#DIV/0!</v>
      </c>
      <c r="BG33" s="109" t="e">
        <f t="shared" si="31"/>
        <v>#DIV/0!</v>
      </c>
      <c r="BH33" s="109" t="e">
        <f t="shared" si="31"/>
        <v>#DIV/0!</v>
      </c>
      <c r="BI33" s="109" t="e">
        <f t="shared" si="31"/>
        <v>#DIV/0!</v>
      </c>
      <c r="BJ33" s="109" t="e">
        <f t="shared" si="31"/>
        <v>#DIV/0!</v>
      </c>
      <c r="BK33" s="109" t="e">
        <f t="shared" si="31"/>
        <v>#DIV/0!</v>
      </c>
      <c r="BL33" s="109" t="e">
        <f t="shared" si="31"/>
        <v>#DIV/0!</v>
      </c>
      <c r="BM33" s="109" t="e">
        <f t="shared" si="31"/>
        <v>#DIV/0!</v>
      </c>
      <c r="BN33" s="109" t="e">
        <f t="shared" si="31"/>
        <v>#DIV/0!</v>
      </c>
      <c r="BO33" s="109" t="e">
        <f t="shared" si="31"/>
        <v>#DIV/0!</v>
      </c>
      <c r="BP33" s="109" t="e">
        <f t="shared" si="31"/>
        <v>#DIV/0!</v>
      </c>
      <c r="BQ33" s="109" t="e">
        <f t="shared" si="31"/>
        <v>#DIV/0!</v>
      </c>
      <c r="BR33" s="109" t="e">
        <f t="shared" ref="BR33:CK33" si="32">BR7/BR9</f>
        <v>#DIV/0!</v>
      </c>
      <c r="BS33" s="109" t="e">
        <f t="shared" si="32"/>
        <v>#DIV/0!</v>
      </c>
      <c r="BT33" s="109" t="e">
        <f t="shared" si="32"/>
        <v>#DIV/0!</v>
      </c>
      <c r="BU33" s="109" t="e">
        <f t="shared" si="32"/>
        <v>#DIV/0!</v>
      </c>
      <c r="BV33" s="109" t="e">
        <f t="shared" si="32"/>
        <v>#DIV/0!</v>
      </c>
      <c r="BW33" s="109" t="e">
        <f t="shared" si="32"/>
        <v>#DIV/0!</v>
      </c>
      <c r="BX33" s="109" t="e">
        <f t="shared" si="32"/>
        <v>#DIV/0!</v>
      </c>
      <c r="BY33" s="109" t="e">
        <f t="shared" si="32"/>
        <v>#DIV/0!</v>
      </c>
      <c r="BZ33" s="109" t="e">
        <f t="shared" si="32"/>
        <v>#DIV/0!</v>
      </c>
      <c r="CA33" s="109" t="e">
        <f t="shared" si="32"/>
        <v>#DIV/0!</v>
      </c>
      <c r="CB33" s="109" t="e">
        <f t="shared" si="32"/>
        <v>#DIV/0!</v>
      </c>
      <c r="CC33" s="109" t="e">
        <f t="shared" si="32"/>
        <v>#DIV/0!</v>
      </c>
      <c r="CD33" s="109" t="e">
        <f t="shared" si="32"/>
        <v>#DIV/0!</v>
      </c>
      <c r="CE33" s="109" t="e">
        <f t="shared" si="32"/>
        <v>#DIV/0!</v>
      </c>
      <c r="CF33" s="109" t="e">
        <f t="shared" si="32"/>
        <v>#DIV/0!</v>
      </c>
      <c r="CG33" s="109" t="e">
        <f t="shared" si="32"/>
        <v>#DIV/0!</v>
      </c>
      <c r="CH33" s="109" t="e">
        <f t="shared" si="32"/>
        <v>#DIV/0!</v>
      </c>
      <c r="CI33" s="109" t="e">
        <f t="shared" si="32"/>
        <v>#DIV/0!</v>
      </c>
      <c r="CJ33" s="109" t="e">
        <f t="shared" si="32"/>
        <v>#DIV/0!</v>
      </c>
      <c r="CK33" s="109" t="e">
        <f t="shared" si="32"/>
        <v>#DIV/0!</v>
      </c>
    </row>
    <row r="34" spans="1:89" s="108" customFormat="1">
      <c r="A34" s="141" t="s">
        <v>445</v>
      </c>
      <c r="E34" s="108" t="e">
        <f>(E10-I10)/I10</f>
        <v>#DIV/0!</v>
      </c>
      <c r="F34" s="108" t="e">
        <f t="shared" ref="F34:BQ34" si="33">(F10-J10)/J10</f>
        <v>#DIV/0!</v>
      </c>
      <c r="G34" s="108" t="e">
        <f t="shared" si="33"/>
        <v>#DIV/0!</v>
      </c>
      <c r="H34" s="108" t="e">
        <f t="shared" si="33"/>
        <v>#DIV/0!</v>
      </c>
      <c r="I34" s="108" t="e">
        <f t="shared" si="33"/>
        <v>#DIV/0!</v>
      </c>
      <c r="J34" s="108" t="e">
        <f t="shared" si="33"/>
        <v>#DIV/0!</v>
      </c>
      <c r="K34" s="108" t="e">
        <f t="shared" si="33"/>
        <v>#DIV/0!</v>
      </c>
      <c r="L34" s="108" t="e">
        <f t="shared" si="33"/>
        <v>#DIV/0!</v>
      </c>
      <c r="M34" s="108" t="e">
        <f t="shared" si="33"/>
        <v>#DIV/0!</v>
      </c>
      <c r="N34" s="108" t="e">
        <f t="shared" si="33"/>
        <v>#DIV/0!</v>
      </c>
      <c r="O34" s="108" t="e">
        <f t="shared" si="33"/>
        <v>#DIV/0!</v>
      </c>
      <c r="P34" s="108" t="e">
        <f t="shared" si="33"/>
        <v>#DIV/0!</v>
      </c>
      <c r="Q34" s="108" t="e">
        <f t="shared" si="33"/>
        <v>#DIV/0!</v>
      </c>
      <c r="R34" s="108" t="e">
        <f t="shared" si="33"/>
        <v>#DIV/0!</v>
      </c>
      <c r="S34" s="108" t="e">
        <f t="shared" si="33"/>
        <v>#DIV/0!</v>
      </c>
      <c r="T34" s="108" t="e">
        <f t="shared" si="33"/>
        <v>#DIV/0!</v>
      </c>
      <c r="U34" s="108" t="e">
        <f t="shared" si="33"/>
        <v>#DIV/0!</v>
      </c>
      <c r="V34" s="108" t="e">
        <f t="shared" si="33"/>
        <v>#DIV/0!</v>
      </c>
      <c r="W34" s="108" t="e">
        <f t="shared" si="33"/>
        <v>#DIV/0!</v>
      </c>
      <c r="X34" s="108" t="e">
        <f t="shared" si="33"/>
        <v>#DIV/0!</v>
      </c>
      <c r="Y34" s="108" t="e">
        <f t="shared" si="33"/>
        <v>#DIV/0!</v>
      </c>
      <c r="Z34" s="108" t="e">
        <f t="shared" si="33"/>
        <v>#DIV/0!</v>
      </c>
      <c r="AA34" s="108" t="e">
        <f t="shared" si="33"/>
        <v>#DIV/0!</v>
      </c>
      <c r="AB34" s="108" t="e">
        <f t="shared" si="33"/>
        <v>#DIV/0!</v>
      </c>
      <c r="AC34" s="108" t="e">
        <f t="shared" si="33"/>
        <v>#DIV/0!</v>
      </c>
      <c r="AD34" s="108" t="e">
        <f t="shared" si="33"/>
        <v>#DIV/0!</v>
      </c>
      <c r="AE34" s="108" t="e">
        <f t="shared" si="33"/>
        <v>#DIV/0!</v>
      </c>
      <c r="AF34" s="108" t="e">
        <f t="shared" si="33"/>
        <v>#DIV/0!</v>
      </c>
      <c r="AG34" s="108" t="e">
        <f t="shared" si="33"/>
        <v>#DIV/0!</v>
      </c>
      <c r="AH34" s="108" t="e">
        <f t="shared" si="33"/>
        <v>#DIV/0!</v>
      </c>
      <c r="AI34" s="108" t="e">
        <f t="shared" si="33"/>
        <v>#DIV/0!</v>
      </c>
      <c r="AJ34" s="108" t="e">
        <f t="shared" si="33"/>
        <v>#DIV/0!</v>
      </c>
      <c r="AK34" s="108" t="e">
        <f t="shared" si="33"/>
        <v>#DIV/0!</v>
      </c>
      <c r="AL34" s="108" t="e">
        <f t="shared" si="33"/>
        <v>#DIV/0!</v>
      </c>
      <c r="AM34" s="108" t="e">
        <f t="shared" si="33"/>
        <v>#DIV/0!</v>
      </c>
      <c r="AN34" s="108" t="e">
        <f t="shared" si="33"/>
        <v>#DIV/0!</v>
      </c>
      <c r="AO34" s="108" t="e">
        <f t="shared" si="33"/>
        <v>#DIV/0!</v>
      </c>
      <c r="AP34" s="108" t="e">
        <f t="shared" si="33"/>
        <v>#DIV/0!</v>
      </c>
      <c r="AQ34" s="108" t="e">
        <f t="shared" si="33"/>
        <v>#DIV/0!</v>
      </c>
      <c r="AR34" s="108" t="e">
        <f t="shared" si="33"/>
        <v>#DIV/0!</v>
      </c>
      <c r="AS34" s="108" t="e">
        <f t="shared" si="33"/>
        <v>#DIV/0!</v>
      </c>
      <c r="AT34" s="108" t="e">
        <f t="shared" si="33"/>
        <v>#DIV/0!</v>
      </c>
      <c r="AU34" s="108" t="e">
        <f t="shared" si="33"/>
        <v>#DIV/0!</v>
      </c>
      <c r="AV34" s="108" t="e">
        <f t="shared" si="33"/>
        <v>#DIV/0!</v>
      </c>
      <c r="AW34" s="108" t="e">
        <f t="shared" si="33"/>
        <v>#DIV/0!</v>
      </c>
      <c r="AX34" s="108" t="e">
        <f t="shared" si="33"/>
        <v>#DIV/0!</v>
      </c>
      <c r="AY34" s="108" t="e">
        <f t="shared" si="33"/>
        <v>#DIV/0!</v>
      </c>
      <c r="AZ34" s="108" t="e">
        <f t="shared" si="33"/>
        <v>#DIV/0!</v>
      </c>
      <c r="BA34" s="108" t="e">
        <f t="shared" si="33"/>
        <v>#DIV/0!</v>
      </c>
      <c r="BB34" s="108" t="e">
        <f t="shared" si="33"/>
        <v>#DIV/0!</v>
      </c>
      <c r="BC34" s="108" t="e">
        <f t="shared" si="33"/>
        <v>#DIV/0!</v>
      </c>
      <c r="BD34" s="108" t="e">
        <f t="shared" si="33"/>
        <v>#DIV/0!</v>
      </c>
      <c r="BE34" s="108" t="e">
        <f t="shared" si="33"/>
        <v>#DIV/0!</v>
      </c>
      <c r="BF34" s="108" t="e">
        <f t="shared" si="33"/>
        <v>#DIV/0!</v>
      </c>
      <c r="BG34" s="108" t="e">
        <f t="shared" si="33"/>
        <v>#DIV/0!</v>
      </c>
      <c r="BH34" s="108" t="e">
        <f t="shared" si="33"/>
        <v>#DIV/0!</v>
      </c>
      <c r="BI34" s="108" t="e">
        <f t="shared" si="33"/>
        <v>#DIV/0!</v>
      </c>
      <c r="BJ34" s="108" t="e">
        <f t="shared" si="33"/>
        <v>#DIV/0!</v>
      </c>
      <c r="BK34" s="108" t="e">
        <f t="shared" si="33"/>
        <v>#DIV/0!</v>
      </c>
      <c r="BL34" s="108" t="e">
        <f t="shared" si="33"/>
        <v>#DIV/0!</v>
      </c>
      <c r="BM34" s="108" t="e">
        <f t="shared" si="33"/>
        <v>#DIV/0!</v>
      </c>
      <c r="BN34" s="108" t="e">
        <f t="shared" si="33"/>
        <v>#DIV/0!</v>
      </c>
      <c r="BO34" s="108" t="e">
        <f t="shared" si="33"/>
        <v>#DIV/0!</v>
      </c>
      <c r="BP34" s="108" t="e">
        <f t="shared" si="33"/>
        <v>#DIV/0!</v>
      </c>
      <c r="BQ34" s="108" t="e">
        <f t="shared" si="33"/>
        <v>#DIV/0!</v>
      </c>
      <c r="BR34" s="108" t="e">
        <f t="shared" ref="BR34:CK34" si="34">(BR10-BV10)/BV10</f>
        <v>#DIV/0!</v>
      </c>
      <c r="BS34" s="108" t="e">
        <f t="shared" si="34"/>
        <v>#DIV/0!</v>
      </c>
      <c r="BT34" s="108" t="e">
        <f t="shared" si="34"/>
        <v>#DIV/0!</v>
      </c>
      <c r="BU34" s="108" t="e">
        <f t="shared" si="34"/>
        <v>#DIV/0!</v>
      </c>
      <c r="BV34" s="108" t="e">
        <f t="shared" si="34"/>
        <v>#DIV/0!</v>
      </c>
      <c r="BW34" s="108" t="e">
        <f t="shared" si="34"/>
        <v>#DIV/0!</v>
      </c>
      <c r="BX34" s="108" t="e">
        <f t="shared" si="34"/>
        <v>#DIV/0!</v>
      </c>
      <c r="BY34" s="108" t="e">
        <f t="shared" si="34"/>
        <v>#DIV/0!</v>
      </c>
      <c r="BZ34" s="108" t="e">
        <f t="shared" si="34"/>
        <v>#DIV/0!</v>
      </c>
      <c r="CA34" s="108" t="e">
        <f t="shared" si="34"/>
        <v>#DIV/0!</v>
      </c>
      <c r="CB34" s="108" t="e">
        <f t="shared" si="34"/>
        <v>#DIV/0!</v>
      </c>
      <c r="CC34" s="108" t="e">
        <f t="shared" si="34"/>
        <v>#DIV/0!</v>
      </c>
      <c r="CD34" s="108" t="e">
        <f t="shared" si="34"/>
        <v>#DIV/0!</v>
      </c>
      <c r="CE34" s="108" t="e">
        <f t="shared" si="34"/>
        <v>#DIV/0!</v>
      </c>
      <c r="CF34" s="108" t="e">
        <f t="shared" si="34"/>
        <v>#DIV/0!</v>
      </c>
      <c r="CG34" s="108" t="e">
        <f t="shared" si="34"/>
        <v>#DIV/0!</v>
      </c>
      <c r="CH34" s="108" t="e">
        <f t="shared" si="34"/>
        <v>#DIV/0!</v>
      </c>
      <c r="CI34" s="108" t="e">
        <f t="shared" si="34"/>
        <v>#DIV/0!</v>
      </c>
      <c r="CJ34" s="108" t="e">
        <f t="shared" si="34"/>
        <v>#DIV/0!</v>
      </c>
      <c r="CK34" s="108" t="e">
        <f t="shared" si="34"/>
        <v>#DIV/0!</v>
      </c>
    </row>
    <row r="35" spans="1:89" s="108" customFormat="1">
      <c r="A35" s="141" t="s">
        <v>449</v>
      </c>
      <c r="E35" s="108">
        <f>E10/E12</f>
        <v>1</v>
      </c>
      <c r="F35" s="108">
        <f t="shared" ref="F35:BQ35" si="35">F10/F12</f>
        <v>1</v>
      </c>
      <c r="G35" s="108">
        <f t="shared" si="35"/>
        <v>1</v>
      </c>
      <c r="H35" s="108" t="e">
        <f t="shared" si="35"/>
        <v>#DIV/0!</v>
      </c>
      <c r="I35" s="108" t="e">
        <f t="shared" si="35"/>
        <v>#DIV/0!</v>
      </c>
      <c r="J35" s="108" t="e">
        <f t="shared" si="35"/>
        <v>#DIV/0!</v>
      </c>
      <c r="K35" s="108" t="e">
        <f t="shared" si="35"/>
        <v>#DIV/0!</v>
      </c>
      <c r="L35" s="108" t="e">
        <f t="shared" si="35"/>
        <v>#DIV/0!</v>
      </c>
      <c r="M35" s="108" t="e">
        <f t="shared" si="35"/>
        <v>#DIV/0!</v>
      </c>
      <c r="N35" s="108" t="e">
        <f t="shared" si="35"/>
        <v>#DIV/0!</v>
      </c>
      <c r="O35" s="108" t="e">
        <f t="shared" si="35"/>
        <v>#DIV/0!</v>
      </c>
      <c r="P35" s="108" t="e">
        <f t="shared" si="35"/>
        <v>#DIV/0!</v>
      </c>
      <c r="Q35" s="108" t="e">
        <f t="shared" si="35"/>
        <v>#DIV/0!</v>
      </c>
      <c r="R35" s="108" t="e">
        <f t="shared" si="35"/>
        <v>#DIV/0!</v>
      </c>
      <c r="S35" s="108" t="e">
        <f t="shared" si="35"/>
        <v>#DIV/0!</v>
      </c>
      <c r="T35" s="108" t="e">
        <f t="shared" si="35"/>
        <v>#DIV/0!</v>
      </c>
      <c r="U35" s="108" t="e">
        <f t="shared" si="35"/>
        <v>#DIV/0!</v>
      </c>
      <c r="V35" s="108" t="e">
        <f t="shared" si="35"/>
        <v>#DIV/0!</v>
      </c>
      <c r="W35" s="108" t="e">
        <f t="shared" si="35"/>
        <v>#DIV/0!</v>
      </c>
      <c r="X35" s="108" t="e">
        <f t="shared" si="35"/>
        <v>#DIV/0!</v>
      </c>
      <c r="Y35" s="108" t="e">
        <f t="shared" si="35"/>
        <v>#DIV/0!</v>
      </c>
      <c r="Z35" s="108" t="e">
        <f t="shared" si="35"/>
        <v>#DIV/0!</v>
      </c>
      <c r="AA35" s="108" t="e">
        <f t="shared" si="35"/>
        <v>#DIV/0!</v>
      </c>
      <c r="AB35" s="108" t="e">
        <f t="shared" si="35"/>
        <v>#DIV/0!</v>
      </c>
      <c r="AC35" s="108" t="e">
        <f t="shared" si="35"/>
        <v>#DIV/0!</v>
      </c>
      <c r="AD35" s="108" t="e">
        <f t="shared" si="35"/>
        <v>#DIV/0!</v>
      </c>
      <c r="AE35" s="108" t="e">
        <f t="shared" si="35"/>
        <v>#DIV/0!</v>
      </c>
      <c r="AF35" s="108" t="e">
        <f t="shared" si="35"/>
        <v>#DIV/0!</v>
      </c>
      <c r="AG35" s="108" t="e">
        <f t="shared" si="35"/>
        <v>#DIV/0!</v>
      </c>
      <c r="AH35" s="108" t="e">
        <f t="shared" si="35"/>
        <v>#DIV/0!</v>
      </c>
      <c r="AI35" s="108" t="e">
        <f t="shared" si="35"/>
        <v>#DIV/0!</v>
      </c>
      <c r="AJ35" s="108" t="e">
        <f t="shared" si="35"/>
        <v>#DIV/0!</v>
      </c>
      <c r="AK35" s="108" t="e">
        <f t="shared" si="35"/>
        <v>#DIV/0!</v>
      </c>
      <c r="AL35" s="108" t="e">
        <f t="shared" si="35"/>
        <v>#DIV/0!</v>
      </c>
      <c r="AM35" s="108" t="e">
        <f t="shared" si="35"/>
        <v>#DIV/0!</v>
      </c>
      <c r="AN35" s="108" t="e">
        <f t="shared" si="35"/>
        <v>#DIV/0!</v>
      </c>
      <c r="AO35" s="108" t="e">
        <f t="shared" si="35"/>
        <v>#DIV/0!</v>
      </c>
      <c r="AP35" s="108" t="e">
        <f t="shared" si="35"/>
        <v>#DIV/0!</v>
      </c>
      <c r="AQ35" s="108" t="e">
        <f t="shared" si="35"/>
        <v>#DIV/0!</v>
      </c>
      <c r="AR35" s="108" t="e">
        <f t="shared" si="35"/>
        <v>#DIV/0!</v>
      </c>
      <c r="AS35" s="108" t="e">
        <f t="shared" si="35"/>
        <v>#DIV/0!</v>
      </c>
      <c r="AT35" s="108" t="e">
        <f t="shared" si="35"/>
        <v>#DIV/0!</v>
      </c>
      <c r="AU35" s="108" t="e">
        <f t="shared" si="35"/>
        <v>#DIV/0!</v>
      </c>
      <c r="AV35" s="108" t="e">
        <f t="shared" si="35"/>
        <v>#DIV/0!</v>
      </c>
      <c r="AW35" s="108" t="e">
        <f t="shared" si="35"/>
        <v>#DIV/0!</v>
      </c>
      <c r="AX35" s="108" t="e">
        <f t="shared" si="35"/>
        <v>#DIV/0!</v>
      </c>
      <c r="AY35" s="108" t="e">
        <f t="shared" si="35"/>
        <v>#DIV/0!</v>
      </c>
      <c r="AZ35" s="108" t="e">
        <f t="shared" si="35"/>
        <v>#DIV/0!</v>
      </c>
      <c r="BA35" s="108" t="e">
        <f t="shared" si="35"/>
        <v>#DIV/0!</v>
      </c>
      <c r="BB35" s="108" t="e">
        <f t="shared" si="35"/>
        <v>#DIV/0!</v>
      </c>
      <c r="BC35" s="108" t="e">
        <f t="shared" si="35"/>
        <v>#DIV/0!</v>
      </c>
      <c r="BD35" s="108" t="e">
        <f t="shared" si="35"/>
        <v>#DIV/0!</v>
      </c>
      <c r="BE35" s="108" t="e">
        <f t="shared" si="35"/>
        <v>#DIV/0!</v>
      </c>
      <c r="BF35" s="108" t="e">
        <f t="shared" si="35"/>
        <v>#DIV/0!</v>
      </c>
      <c r="BG35" s="108" t="e">
        <f t="shared" si="35"/>
        <v>#DIV/0!</v>
      </c>
      <c r="BH35" s="108" t="e">
        <f t="shared" si="35"/>
        <v>#DIV/0!</v>
      </c>
      <c r="BI35" s="108" t="e">
        <f t="shared" si="35"/>
        <v>#DIV/0!</v>
      </c>
      <c r="BJ35" s="108" t="e">
        <f t="shared" si="35"/>
        <v>#DIV/0!</v>
      </c>
      <c r="BK35" s="108" t="e">
        <f t="shared" si="35"/>
        <v>#DIV/0!</v>
      </c>
      <c r="BL35" s="108" t="e">
        <f t="shared" si="35"/>
        <v>#DIV/0!</v>
      </c>
      <c r="BM35" s="108" t="e">
        <f t="shared" si="35"/>
        <v>#DIV/0!</v>
      </c>
      <c r="BN35" s="108" t="e">
        <f t="shared" si="35"/>
        <v>#DIV/0!</v>
      </c>
      <c r="BO35" s="108" t="e">
        <f t="shared" si="35"/>
        <v>#DIV/0!</v>
      </c>
      <c r="BP35" s="108" t="e">
        <f t="shared" si="35"/>
        <v>#DIV/0!</v>
      </c>
      <c r="BQ35" s="108" t="e">
        <f t="shared" si="35"/>
        <v>#DIV/0!</v>
      </c>
      <c r="BR35" s="108" t="e">
        <f t="shared" ref="BR35:CK35" si="36">BR10/BR12</f>
        <v>#DIV/0!</v>
      </c>
      <c r="BS35" s="108" t="e">
        <f t="shared" si="36"/>
        <v>#DIV/0!</v>
      </c>
      <c r="BT35" s="108" t="e">
        <f t="shared" si="36"/>
        <v>#DIV/0!</v>
      </c>
      <c r="BU35" s="108" t="e">
        <f t="shared" si="36"/>
        <v>#DIV/0!</v>
      </c>
      <c r="BV35" s="108" t="e">
        <f t="shared" si="36"/>
        <v>#DIV/0!</v>
      </c>
      <c r="BW35" s="108" t="e">
        <f t="shared" si="36"/>
        <v>#DIV/0!</v>
      </c>
      <c r="BX35" s="108" t="e">
        <f t="shared" si="36"/>
        <v>#DIV/0!</v>
      </c>
      <c r="BY35" s="108" t="e">
        <f t="shared" si="36"/>
        <v>#DIV/0!</v>
      </c>
      <c r="BZ35" s="108" t="e">
        <f t="shared" si="36"/>
        <v>#DIV/0!</v>
      </c>
      <c r="CA35" s="108" t="e">
        <f t="shared" si="36"/>
        <v>#DIV/0!</v>
      </c>
      <c r="CB35" s="108" t="e">
        <f t="shared" si="36"/>
        <v>#DIV/0!</v>
      </c>
      <c r="CC35" s="108" t="e">
        <f t="shared" si="36"/>
        <v>#DIV/0!</v>
      </c>
      <c r="CD35" s="108" t="e">
        <f t="shared" si="36"/>
        <v>#DIV/0!</v>
      </c>
      <c r="CE35" s="108" t="e">
        <f t="shared" si="36"/>
        <v>#DIV/0!</v>
      </c>
      <c r="CF35" s="108" t="e">
        <f t="shared" si="36"/>
        <v>#DIV/0!</v>
      </c>
      <c r="CG35" s="108" t="e">
        <f t="shared" si="36"/>
        <v>#DIV/0!</v>
      </c>
      <c r="CH35" s="108" t="e">
        <f t="shared" si="36"/>
        <v>#DIV/0!</v>
      </c>
      <c r="CI35" s="108" t="e">
        <f t="shared" si="36"/>
        <v>#DIV/0!</v>
      </c>
      <c r="CJ35" s="108" t="e">
        <f t="shared" si="36"/>
        <v>#DIV/0!</v>
      </c>
      <c r="CK35" s="108" t="e">
        <f t="shared" si="36"/>
        <v>#DIV/0!</v>
      </c>
    </row>
    <row r="36" spans="1:89" s="108" customFormat="1">
      <c r="A36" s="141" t="s">
        <v>446</v>
      </c>
      <c r="E36" s="108" t="e">
        <f>(E11-I11)/I11</f>
        <v>#DIV/0!</v>
      </c>
      <c r="F36" s="108" t="e">
        <f t="shared" ref="F36:BQ36" si="37">(F11-J11)/J11</f>
        <v>#DIV/0!</v>
      </c>
      <c r="G36" s="108" t="e">
        <f t="shared" si="37"/>
        <v>#DIV/0!</v>
      </c>
      <c r="H36" s="108" t="e">
        <f t="shared" si="37"/>
        <v>#DIV/0!</v>
      </c>
      <c r="I36" s="108" t="e">
        <f t="shared" si="37"/>
        <v>#DIV/0!</v>
      </c>
      <c r="J36" s="108" t="e">
        <f t="shared" si="37"/>
        <v>#DIV/0!</v>
      </c>
      <c r="K36" s="108" t="e">
        <f t="shared" si="37"/>
        <v>#DIV/0!</v>
      </c>
      <c r="L36" s="108" t="e">
        <f t="shared" si="37"/>
        <v>#DIV/0!</v>
      </c>
      <c r="M36" s="108" t="e">
        <f t="shared" si="37"/>
        <v>#DIV/0!</v>
      </c>
      <c r="N36" s="108" t="e">
        <f t="shared" si="37"/>
        <v>#DIV/0!</v>
      </c>
      <c r="O36" s="108" t="e">
        <f t="shared" si="37"/>
        <v>#DIV/0!</v>
      </c>
      <c r="P36" s="108" t="e">
        <f t="shared" si="37"/>
        <v>#DIV/0!</v>
      </c>
      <c r="Q36" s="108" t="e">
        <f t="shared" si="37"/>
        <v>#DIV/0!</v>
      </c>
      <c r="R36" s="108" t="e">
        <f t="shared" si="37"/>
        <v>#DIV/0!</v>
      </c>
      <c r="S36" s="108" t="e">
        <f t="shared" si="37"/>
        <v>#DIV/0!</v>
      </c>
      <c r="T36" s="108" t="e">
        <f t="shared" si="37"/>
        <v>#DIV/0!</v>
      </c>
      <c r="U36" s="108" t="e">
        <f t="shared" si="37"/>
        <v>#DIV/0!</v>
      </c>
      <c r="V36" s="108" t="e">
        <f t="shared" si="37"/>
        <v>#DIV/0!</v>
      </c>
      <c r="W36" s="108" t="e">
        <f t="shared" si="37"/>
        <v>#DIV/0!</v>
      </c>
      <c r="X36" s="108" t="e">
        <f t="shared" si="37"/>
        <v>#DIV/0!</v>
      </c>
      <c r="Y36" s="108" t="e">
        <f t="shared" si="37"/>
        <v>#DIV/0!</v>
      </c>
      <c r="Z36" s="108" t="e">
        <f t="shared" si="37"/>
        <v>#DIV/0!</v>
      </c>
      <c r="AA36" s="108" t="e">
        <f t="shared" si="37"/>
        <v>#DIV/0!</v>
      </c>
      <c r="AB36" s="108" t="e">
        <f t="shared" si="37"/>
        <v>#DIV/0!</v>
      </c>
      <c r="AC36" s="108" t="e">
        <f t="shared" si="37"/>
        <v>#DIV/0!</v>
      </c>
      <c r="AD36" s="108" t="e">
        <f t="shared" si="37"/>
        <v>#DIV/0!</v>
      </c>
      <c r="AE36" s="108" t="e">
        <f t="shared" si="37"/>
        <v>#DIV/0!</v>
      </c>
      <c r="AF36" s="108" t="e">
        <f t="shared" si="37"/>
        <v>#DIV/0!</v>
      </c>
      <c r="AG36" s="108" t="e">
        <f t="shared" si="37"/>
        <v>#DIV/0!</v>
      </c>
      <c r="AH36" s="108" t="e">
        <f t="shared" si="37"/>
        <v>#DIV/0!</v>
      </c>
      <c r="AI36" s="108" t="e">
        <f t="shared" si="37"/>
        <v>#DIV/0!</v>
      </c>
      <c r="AJ36" s="108" t="e">
        <f t="shared" si="37"/>
        <v>#DIV/0!</v>
      </c>
      <c r="AK36" s="108" t="e">
        <f t="shared" si="37"/>
        <v>#DIV/0!</v>
      </c>
      <c r="AL36" s="108" t="e">
        <f t="shared" si="37"/>
        <v>#DIV/0!</v>
      </c>
      <c r="AM36" s="108" t="e">
        <f t="shared" si="37"/>
        <v>#DIV/0!</v>
      </c>
      <c r="AN36" s="108" t="e">
        <f t="shared" si="37"/>
        <v>#DIV/0!</v>
      </c>
      <c r="AO36" s="108" t="e">
        <f t="shared" si="37"/>
        <v>#DIV/0!</v>
      </c>
      <c r="AP36" s="108" t="e">
        <f t="shared" si="37"/>
        <v>#DIV/0!</v>
      </c>
      <c r="AQ36" s="108" t="e">
        <f t="shared" si="37"/>
        <v>#DIV/0!</v>
      </c>
      <c r="AR36" s="108" t="e">
        <f t="shared" si="37"/>
        <v>#DIV/0!</v>
      </c>
      <c r="AS36" s="108" t="e">
        <f t="shared" si="37"/>
        <v>#DIV/0!</v>
      </c>
      <c r="AT36" s="108" t="e">
        <f t="shared" si="37"/>
        <v>#DIV/0!</v>
      </c>
      <c r="AU36" s="108" t="e">
        <f t="shared" si="37"/>
        <v>#DIV/0!</v>
      </c>
      <c r="AV36" s="108" t="e">
        <f t="shared" si="37"/>
        <v>#DIV/0!</v>
      </c>
      <c r="AW36" s="108" t="e">
        <f t="shared" si="37"/>
        <v>#DIV/0!</v>
      </c>
      <c r="AX36" s="108" t="e">
        <f t="shared" si="37"/>
        <v>#DIV/0!</v>
      </c>
      <c r="AY36" s="108" t="e">
        <f t="shared" si="37"/>
        <v>#DIV/0!</v>
      </c>
      <c r="AZ36" s="108" t="e">
        <f t="shared" si="37"/>
        <v>#DIV/0!</v>
      </c>
      <c r="BA36" s="108" t="e">
        <f t="shared" si="37"/>
        <v>#DIV/0!</v>
      </c>
      <c r="BB36" s="108" t="e">
        <f t="shared" si="37"/>
        <v>#DIV/0!</v>
      </c>
      <c r="BC36" s="108" t="e">
        <f t="shared" si="37"/>
        <v>#DIV/0!</v>
      </c>
      <c r="BD36" s="108" t="e">
        <f t="shared" si="37"/>
        <v>#DIV/0!</v>
      </c>
      <c r="BE36" s="108" t="e">
        <f t="shared" si="37"/>
        <v>#DIV/0!</v>
      </c>
      <c r="BF36" s="108" t="e">
        <f t="shared" si="37"/>
        <v>#DIV/0!</v>
      </c>
      <c r="BG36" s="108" t="e">
        <f t="shared" si="37"/>
        <v>#DIV/0!</v>
      </c>
      <c r="BH36" s="108" t="e">
        <f t="shared" si="37"/>
        <v>#DIV/0!</v>
      </c>
      <c r="BI36" s="108" t="e">
        <f t="shared" si="37"/>
        <v>#DIV/0!</v>
      </c>
      <c r="BJ36" s="108" t="e">
        <f t="shared" si="37"/>
        <v>#DIV/0!</v>
      </c>
      <c r="BK36" s="108" t="e">
        <f t="shared" si="37"/>
        <v>#DIV/0!</v>
      </c>
      <c r="BL36" s="108" t="e">
        <f t="shared" si="37"/>
        <v>#DIV/0!</v>
      </c>
      <c r="BM36" s="108" t="e">
        <f t="shared" si="37"/>
        <v>#DIV/0!</v>
      </c>
      <c r="BN36" s="108" t="e">
        <f t="shared" si="37"/>
        <v>#DIV/0!</v>
      </c>
      <c r="BO36" s="108" t="e">
        <f t="shared" si="37"/>
        <v>#DIV/0!</v>
      </c>
      <c r="BP36" s="108" t="e">
        <f t="shared" si="37"/>
        <v>#DIV/0!</v>
      </c>
      <c r="BQ36" s="108" t="e">
        <f t="shared" si="37"/>
        <v>#DIV/0!</v>
      </c>
      <c r="BR36" s="108" t="e">
        <f t="shared" ref="BR36:CK36" si="38">(BR11-BV11)/BV11</f>
        <v>#DIV/0!</v>
      </c>
      <c r="BS36" s="108" t="e">
        <f t="shared" si="38"/>
        <v>#DIV/0!</v>
      </c>
      <c r="BT36" s="108" t="e">
        <f t="shared" si="38"/>
        <v>#DIV/0!</v>
      </c>
      <c r="BU36" s="108" t="e">
        <f t="shared" si="38"/>
        <v>#DIV/0!</v>
      </c>
      <c r="BV36" s="108" t="e">
        <f t="shared" si="38"/>
        <v>#DIV/0!</v>
      </c>
      <c r="BW36" s="108" t="e">
        <f t="shared" si="38"/>
        <v>#DIV/0!</v>
      </c>
      <c r="BX36" s="108" t="e">
        <f t="shared" si="38"/>
        <v>#DIV/0!</v>
      </c>
      <c r="BY36" s="108" t="e">
        <f t="shared" si="38"/>
        <v>#DIV/0!</v>
      </c>
      <c r="BZ36" s="108" t="e">
        <f t="shared" si="38"/>
        <v>#DIV/0!</v>
      </c>
      <c r="CA36" s="108" t="e">
        <f t="shared" si="38"/>
        <v>#DIV/0!</v>
      </c>
      <c r="CB36" s="108" t="e">
        <f t="shared" si="38"/>
        <v>#DIV/0!</v>
      </c>
      <c r="CC36" s="108" t="e">
        <f t="shared" si="38"/>
        <v>#DIV/0!</v>
      </c>
      <c r="CD36" s="108" t="e">
        <f t="shared" si="38"/>
        <v>#DIV/0!</v>
      </c>
      <c r="CE36" s="108" t="e">
        <f t="shared" si="38"/>
        <v>#DIV/0!</v>
      </c>
      <c r="CF36" s="108" t="e">
        <f t="shared" si="38"/>
        <v>#DIV/0!</v>
      </c>
      <c r="CG36" s="108" t="e">
        <f t="shared" si="38"/>
        <v>#DIV/0!</v>
      </c>
      <c r="CH36" s="108" t="e">
        <f t="shared" si="38"/>
        <v>#DIV/0!</v>
      </c>
      <c r="CI36" s="108" t="e">
        <f t="shared" si="38"/>
        <v>#DIV/0!</v>
      </c>
      <c r="CJ36" s="108" t="e">
        <f t="shared" si="38"/>
        <v>#DIV/0!</v>
      </c>
      <c r="CK36" s="108" t="e">
        <f t="shared" si="38"/>
        <v>#DIV/0!</v>
      </c>
    </row>
    <row r="37" spans="1:89" s="110" customFormat="1">
      <c r="A37" s="141" t="s">
        <v>450</v>
      </c>
      <c r="B37" s="108"/>
      <c r="C37" s="108"/>
      <c r="D37" s="108"/>
      <c r="E37" s="108">
        <f>E11/E12</f>
        <v>0</v>
      </c>
      <c r="F37" s="108">
        <f t="shared" ref="F37:BQ37" si="39">F11/F12</f>
        <v>0</v>
      </c>
      <c r="G37" s="108">
        <f t="shared" si="39"/>
        <v>0</v>
      </c>
      <c r="H37" s="108" t="e">
        <f t="shared" si="39"/>
        <v>#DIV/0!</v>
      </c>
      <c r="I37" s="108" t="e">
        <f t="shared" si="39"/>
        <v>#DIV/0!</v>
      </c>
      <c r="J37" s="108" t="e">
        <f t="shared" si="39"/>
        <v>#DIV/0!</v>
      </c>
      <c r="K37" s="108" t="e">
        <f t="shared" si="39"/>
        <v>#DIV/0!</v>
      </c>
      <c r="L37" s="108" t="e">
        <f t="shared" si="39"/>
        <v>#DIV/0!</v>
      </c>
      <c r="M37" s="108" t="e">
        <f t="shared" si="39"/>
        <v>#DIV/0!</v>
      </c>
      <c r="N37" s="108" t="e">
        <f t="shared" si="39"/>
        <v>#DIV/0!</v>
      </c>
      <c r="O37" s="110" t="e">
        <f t="shared" si="39"/>
        <v>#DIV/0!</v>
      </c>
      <c r="P37" s="110" t="e">
        <f t="shared" si="39"/>
        <v>#DIV/0!</v>
      </c>
      <c r="Q37" s="110" t="e">
        <f t="shared" si="39"/>
        <v>#DIV/0!</v>
      </c>
      <c r="R37" s="110" t="e">
        <f t="shared" si="39"/>
        <v>#DIV/0!</v>
      </c>
      <c r="S37" s="110" t="e">
        <f t="shared" si="39"/>
        <v>#DIV/0!</v>
      </c>
      <c r="T37" s="110" t="e">
        <f t="shared" si="39"/>
        <v>#DIV/0!</v>
      </c>
      <c r="U37" s="110" t="e">
        <f t="shared" si="39"/>
        <v>#DIV/0!</v>
      </c>
      <c r="V37" s="110" t="e">
        <f t="shared" si="39"/>
        <v>#DIV/0!</v>
      </c>
      <c r="W37" s="110" t="e">
        <f t="shared" si="39"/>
        <v>#DIV/0!</v>
      </c>
      <c r="X37" s="110" t="e">
        <f t="shared" si="39"/>
        <v>#DIV/0!</v>
      </c>
      <c r="Y37" s="110" t="e">
        <f t="shared" si="39"/>
        <v>#DIV/0!</v>
      </c>
      <c r="Z37" s="110" t="e">
        <f t="shared" si="39"/>
        <v>#DIV/0!</v>
      </c>
      <c r="AA37" s="110" t="e">
        <f t="shared" si="39"/>
        <v>#DIV/0!</v>
      </c>
      <c r="AB37" s="110" t="e">
        <f t="shared" si="39"/>
        <v>#DIV/0!</v>
      </c>
      <c r="AC37" s="110" t="e">
        <f t="shared" si="39"/>
        <v>#DIV/0!</v>
      </c>
      <c r="AD37" s="110" t="e">
        <f t="shared" si="39"/>
        <v>#DIV/0!</v>
      </c>
      <c r="AE37" s="110" t="e">
        <f t="shared" si="39"/>
        <v>#DIV/0!</v>
      </c>
      <c r="AF37" s="110" t="e">
        <f t="shared" si="39"/>
        <v>#DIV/0!</v>
      </c>
      <c r="AG37" s="110" t="e">
        <f t="shared" si="39"/>
        <v>#DIV/0!</v>
      </c>
      <c r="AH37" s="110" t="e">
        <f t="shared" si="39"/>
        <v>#DIV/0!</v>
      </c>
      <c r="AI37" s="110" t="e">
        <f t="shared" si="39"/>
        <v>#DIV/0!</v>
      </c>
      <c r="AJ37" s="110" t="e">
        <f t="shared" si="39"/>
        <v>#DIV/0!</v>
      </c>
      <c r="AK37" s="110" t="e">
        <f t="shared" si="39"/>
        <v>#DIV/0!</v>
      </c>
      <c r="AL37" s="110" t="e">
        <f t="shared" si="39"/>
        <v>#DIV/0!</v>
      </c>
      <c r="AM37" s="110" t="e">
        <f t="shared" si="39"/>
        <v>#DIV/0!</v>
      </c>
      <c r="AN37" s="110" t="e">
        <f t="shared" si="39"/>
        <v>#DIV/0!</v>
      </c>
      <c r="AO37" s="110" t="e">
        <f t="shared" si="39"/>
        <v>#DIV/0!</v>
      </c>
      <c r="AP37" s="110" t="e">
        <f t="shared" si="39"/>
        <v>#DIV/0!</v>
      </c>
      <c r="AQ37" s="110" t="e">
        <f t="shared" si="39"/>
        <v>#DIV/0!</v>
      </c>
      <c r="AR37" s="110" t="e">
        <f t="shared" si="39"/>
        <v>#DIV/0!</v>
      </c>
      <c r="AS37" s="110" t="e">
        <f t="shared" si="39"/>
        <v>#DIV/0!</v>
      </c>
      <c r="AT37" s="110" t="e">
        <f t="shared" si="39"/>
        <v>#DIV/0!</v>
      </c>
      <c r="AU37" s="110" t="e">
        <f t="shared" si="39"/>
        <v>#DIV/0!</v>
      </c>
      <c r="AV37" s="110" t="e">
        <f t="shared" si="39"/>
        <v>#DIV/0!</v>
      </c>
      <c r="AW37" s="110" t="e">
        <f t="shared" si="39"/>
        <v>#DIV/0!</v>
      </c>
      <c r="AX37" s="110" t="e">
        <f t="shared" si="39"/>
        <v>#DIV/0!</v>
      </c>
      <c r="AY37" s="110" t="e">
        <f t="shared" si="39"/>
        <v>#DIV/0!</v>
      </c>
      <c r="AZ37" s="110" t="e">
        <f t="shared" si="39"/>
        <v>#DIV/0!</v>
      </c>
      <c r="BA37" s="110" t="e">
        <f t="shared" si="39"/>
        <v>#DIV/0!</v>
      </c>
      <c r="BB37" s="110" t="e">
        <f t="shared" si="39"/>
        <v>#DIV/0!</v>
      </c>
      <c r="BC37" s="110" t="e">
        <f t="shared" si="39"/>
        <v>#DIV/0!</v>
      </c>
      <c r="BD37" s="110" t="e">
        <f t="shared" si="39"/>
        <v>#DIV/0!</v>
      </c>
      <c r="BE37" s="110" t="e">
        <f t="shared" si="39"/>
        <v>#DIV/0!</v>
      </c>
      <c r="BF37" s="110" t="e">
        <f t="shared" si="39"/>
        <v>#DIV/0!</v>
      </c>
      <c r="BG37" s="110" t="e">
        <f t="shared" si="39"/>
        <v>#DIV/0!</v>
      </c>
      <c r="BH37" s="110" t="e">
        <f t="shared" si="39"/>
        <v>#DIV/0!</v>
      </c>
      <c r="BI37" s="110" t="e">
        <f t="shared" si="39"/>
        <v>#DIV/0!</v>
      </c>
      <c r="BJ37" s="110" t="e">
        <f t="shared" si="39"/>
        <v>#DIV/0!</v>
      </c>
      <c r="BK37" s="110" t="e">
        <f t="shared" si="39"/>
        <v>#DIV/0!</v>
      </c>
      <c r="BL37" s="110" t="e">
        <f t="shared" si="39"/>
        <v>#DIV/0!</v>
      </c>
      <c r="BM37" s="110" t="e">
        <f t="shared" si="39"/>
        <v>#DIV/0!</v>
      </c>
      <c r="BN37" s="110" t="e">
        <f t="shared" si="39"/>
        <v>#DIV/0!</v>
      </c>
      <c r="BO37" s="110" t="e">
        <f t="shared" si="39"/>
        <v>#DIV/0!</v>
      </c>
      <c r="BP37" s="110" t="e">
        <f t="shared" si="39"/>
        <v>#DIV/0!</v>
      </c>
      <c r="BQ37" s="110" t="e">
        <f t="shared" si="39"/>
        <v>#DIV/0!</v>
      </c>
      <c r="BR37" s="110" t="e">
        <f t="shared" ref="BR37:CK37" si="40">BR11/BR12</f>
        <v>#DIV/0!</v>
      </c>
      <c r="BS37" s="110" t="e">
        <f t="shared" si="40"/>
        <v>#DIV/0!</v>
      </c>
      <c r="BT37" s="110" t="e">
        <f t="shared" si="40"/>
        <v>#DIV/0!</v>
      </c>
      <c r="BU37" s="110" t="e">
        <f t="shared" si="40"/>
        <v>#DIV/0!</v>
      </c>
      <c r="BV37" s="110" t="e">
        <f t="shared" si="40"/>
        <v>#DIV/0!</v>
      </c>
      <c r="BW37" s="110" t="e">
        <f t="shared" si="40"/>
        <v>#DIV/0!</v>
      </c>
      <c r="BX37" s="110" t="e">
        <f t="shared" si="40"/>
        <v>#DIV/0!</v>
      </c>
      <c r="BY37" s="110" t="e">
        <f t="shared" si="40"/>
        <v>#DIV/0!</v>
      </c>
      <c r="BZ37" s="110" t="e">
        <f t="shared" si="40"/>
        <v>#DIV/0!</v>
      </c>
      <c r="CA37" s="110" t="e">
        <f t="shared" si="40"/>
        <v>#DIV/0!</v>
      </c>
      <c r="CB37" s="110" t="e">
        <f t="shared" si="40"/>
        <v>#DIV/0!</v>
      </c>
      <c r="CC37" s="110" t="e">
        <f t="shared" si="40"/>
        <v>#DIV/0!</v>
      </c>
      <c r="CD37" s="110" t="e">
        <f t="shared" si="40"/>
        <v>#DIV/0!</v>
      </c>
      <c r="CE37" s="110" t="e">
        <f t="shared" si="40"/>
        <v>#DIV/0!</v>
      </c>
      <c r="CF37" s="110" t="e">
        <f t="shared" si="40"/>
        <v>#DIV/0!</v>
      </c>
      <c r="CG37" s="110" t="e">
        <f t="shared" si="40"/>
        <v>#DIV/0!</v>
      </c>
      <c r="CH37" s="110" t="e">
        <f t="shared" si="40"/>
        <v>#DIV/0!</v>
      </c>
      <c r="CI37" s="110" t="e">
        <f t="shared" si="40"/>
        <v>#DIV/0!</v>
      </c>
      <c r="CJ37" s="110" t="e">
        <f t="shared" si="40"/>
        <v>#DIV/0!</v>
      </c>
      <c r="CK37" s="110" t="e">
        <f t="shared" si="40"/>
        <v>#DIV/0!</v>
      </c>
    </row>
    <row r="38" spans="1:89" s="186" customFormat="1">
      <c r="A38" s="184" t="s">
        <v>520</v>
      </c>
      <c r="B38" s="185" t="str">
        <f t="shared" ref="B38:D38" si="41">B1</f>
        <v>2018-12-31</v>
      </c>
      <c r="C38" s="185" t="str">
        <f t="shared" si="41"/>
        <v>2017-12-31</v>
      </c>
      <c r="D38" s="185" t="str">
        <f t="shared" si="41"/>
        <v>2016-12-31</v>
      </c>
      <c r="E38" s="185" t="str">
        <f>E1</f>
        <v>2015-12-31</v>
      </c>
      <c r="F38" s="185" t="str">
        <f t="shared" ref="F38:U38" si="42">F1</f>
        <v>2014-12-31</v>
      </c>
      <c r="G38" s="185" t="str">
        <f t="shared" si="42"/>
        <v>2013-12-31</v>
      </c>
      <c r="H38" s="185" t="str">
        <f t="shared" si="42"/>
        <v>2012-12-31</v>
      </c>
      <c r="I38" s="185" t="str">
        <f t="shared" si="42"/>
        <v>2011-12-31</v>
      </c>
      <c r="J38" s="185" t="str">
        <f t="shared" si="42"/>
        <v>2010-12-31</v>
      </c>
      <c r="K38" s="185" t="str">
        <f t="shared" si="42"/>
        <v>2009-12-31</v>
      </c>
      <c r="L38" s="185" t="str">
        <f t="shared" si="42"/>
        <v>2008-12-31</v>
      </c>
      <c r="M38" s="185" t="str">
        <f t="shared" si="42"/>
        <v>2007-12-31</v>
      </c>
      <c r="N38" s="185" t="str">
        <f t="shared" si="42"/>
        <v>2006-12-31</v>
      </c>
      <c r="O38" s="185" t="str">
        <f t="shared" si="42"/>
        <v>2005-12-31</v>
      </c>
      <c r="P38" s="185" t="str">
        <f t="shared" si="42"/>
        <v>2004-12-31</v>
      </c>
      <c r="Q38" s="185" t="str">
        <f t="shared" si="42"/>
        <v>2003-12-31</v>
      </c>
      <c r="R38" s="185" t="str">
        <f t="shared" si="42"/>
        <v>2002-12-31</v>
      </c>
      <c r="S38" s="185" t="str">
        <f t="shared" si="42"/>
        <v>2001-12-31</v>
      </c>
      <c r="T38" s="185">
        <f t="shared" si="42"/>
        <v>0</v>
      </c>
      <c r="U38" s="185">
        <f t="shared" si="42"/>
        <v>0</v>
      </c>
    </row>
    <row r="39" spans="1:89" s="221" customFormat="1">
      <c r="A39" s="219" t="s">
        <v>437</v>
      </c>
      <c r="B39" s="220">
        <f t="shared" ref="B39:D39" si="43">B2/B9</f>
        <v>0.87041007671631632</v>
      </c>
      <c r="C39" s="220">
        <f t="shared" si="43"/>
        <v>0.82781303819263885</v>
      </c>
      <c r="D39" s="220">
        <f t="shared" si="43"/>
        <v>0.77700072738539649</v>
      </c>
      <c r="E39" s="220">
        <f>E2/E9</f>
        <v>0.51122073403289947</v>
      </c>
      <c r="F39" s="220">
        <f t="shared" ref="F39:U39" si="44">F2/F9</f>
        <v>0.50289922155433275</v>
      </c>
      <c r="G39" s="220">
        <f t="shared" si="44"/>
        <v>0.57576171580246216</v>
      </c>
      <c r="H39" s="220">
        <f t="shared" si="44"/>
        <v>0.63114429095372748</v>
      </c>
      <c r="I39" s="220">
        <f t="shared" si="44"/>
        <v>0.7298191502775615</v>
      </c>
      <c r="J39" s="220">
        <f t="shared" si="44"/>
        <v>0.68852768133671816</v>
      </c>
      <c r="K39" s="220">
        <f t="shared" si="44"/>
        <v>0.65962637453110085</v>
      </c>
      <c r="L39" s="220">
        <f t="shared" si="44"/>
        <v>0.70748583001848397</v>
      </c>
      <c r="M39" s="220">
        <f t="shared" si="44"/>
        <v>0.56883635148268885</v>
      </c>
      <c r="N39" s="220">
        <f t="shared" si="44"/>
        <v>0.75160065983478053</v>
      </c>
      <c r="O39" s="220">
        <f t="shared" si="44"/>
        <v>0.74852041131990055</v>
      </c>
      <c r="P39" s="220">
        <f t="shared" si="44"/>
        <v>0.68451244589343774</v>
      </c>
      <c r="Q39" s="220">
        <f t="shared" si="44"/>
        <v>0.67402786083557253</v>
      </c>
      <c r="R39" s="220">
        <f t="shared" si="44"/>
        <v>0.60742146922207718</v>
      </c>
      <c r="S39" s="220">
        <f t="shared" si="44"/>
        <v>0.71864369049095878</v>
      </c>
      <c r="T39" s="220" t="e">
        <f t="shared" si="44"/>
        <v>#DIV/0!</v>
      </c>
      <c r="U39" s="220" t="e">
        <f t="shared" si="44"/>
        <v>#DIV/0!</v>
      </c>
    </row>
    <row r="40" spans="1:89" s="221" customFormat="1">
      <c r="A40" s="219" t="s">
        <v>438</v>
      </c>
      <c r="B40" s="220">
        <f t="shared" ref="B40:D40" si="45">B3/B9</f>
        <v>0</v>
      </c>
      <c r="C40" s="220">
        <f t="shared" si="45"/>
        <v>0</v>
      </c>
      <c r="D40" s="220">
        <f t="shared" si="45"/>
        <v>0</v>
      </c>
      <c r="E40" s="220">
        <f>E3/E9</f>
        <v>0</v>
      </c>
      <c r="F40" s="220">
        <f t="shared" ref="F40:U40" si="46">F3/F9</f>
        <v>0</v>
      </c>
      <c r="G40" s="220">
        <f t="shared" si="46"/>
        <v>9.0586938715655856E-5</v>
      </c>
      <c r="H40" s="220">
        <f t="shared" si="46"/>
        <v>1.1282213272365967E-4</v>
      </c>
      <c r="I40" s="220">
        <f t="shared" si="46"/>
        <v>1.5745936411635101E-4</v>
      </c>
      <c r="J40" s="220">
        <f t="shared" si="46"/>
        <v>2.1199944536318626E-4</v>
      </c>
      <c r="K40" s="220">
        <f t="shared" si="46"/>
        <v>2.7047544678851179E-4</v>
      </c>
      <c r="L40" s="220">
        <f t="shared" si="46"/>
        <v>3.47722728765612E-4</v>
      </c>
      <c r="M40" s="220">
        <f t="shared" si="46"/>
        <v>4.7558677944073164E-4</v>
      </c>
      <c r="N40" s="220">
        <f t="shared" si="46"/>
        <v>1.9160035692393435E-3</v>
      </c>
      <c r="O40" s="220">
        <f t="shared" si="46"/>
        <v>1.9699713156863508E-3</v>
      </c>
      <c r="P40" s="220">
        <f t="shared" si="46"/>
        <v>2.318072567207763E-3</v>
      </c>
      <c r="Q40" s="220">
        <f t="shared" si="46"/>
        <v>1.1521610453246408E-3</v>
      </c>
      <c r="R40" s="220">
        <f t="shared" si="46"/>
        <v>1.3647561540414764E-3</v>
      </c>
      <c r="S40" s="220">
        <f t="shared" si="46"/>
        <v>0</v>
      </c>
      <c r="T40" s="220" t="e">
        <f t="shared" si="46"/>
        <v>#DIV/0!</v>
      </c>
      <c r="U40" s="220" t="e">
        <f t="shared" si="46"/>
        <v>#DIV/0!</v>
      </c>
    </row>
    <row r="41" spans="1:89">
      <c r="A41" s="182" t="s">
        <v>443</v>
      </c>
      <c r="B41" s="211">
        <f t="shared" ref="B41:D41" si="47">B4/B9</f>
        <v>-4.008172851242256E-2</v>
      </c>
      <c r="C41" s="211">
        <f t="shared" si="47"/>
        <v>-3.7245330042447955E-2</v>
      </c>
      <c r="D41" s="211">
        <f t="shared" si="47"/>
        <v>-3.9740012960355356E-2</v>
      </c>
      <c r="E41" s="90">
        <f>E4/E9</f>
        <v>0.19451895521554471</v>
      </c>
      <c r="F41" s="90">
        <f t="shared" ref="F41:U41" si="48">F4/F9</f>
        <v>0.16782814527846421</v>
      </c>
      <c r="G41" s="90">
        <f t="shared" si="48"/>
        <v>0.11912862840556601</v>
      </c>
      <c r="H41" s="90">
        <f t="shared" si="48"/>
        <v>0.12281511040073678</v>
      </c>
      <c r="I41" s="90">
        <f t="shared" si="48"/>
        <v>-5.815372129240045E-3</v>
      </c>
      <c r="J41" s="90">
        <f t="shared" si="48"/>
        <v>3.4426402519718159E-2</v>
      </c>
      <c r="K41" s="90">
        <f t="shared" si="48"/>
        <v>6.2863262130501418E-2</v>
      </c>
      <c r="L41" s="90">
        <f t="shared" si="48"/>
        <v>-9.2602125715539815E-3</v>
      </c>
      <c r="M41" s="90">
        <f t="shared" si="48"/>
        <v>5.6404959602480167E-2</v>
      </c>
      <c r="N41" s="211">
        <f t="shared" si="48"/>
        <v>-0.184554606426309</v>
      </c>
      <c r="O41" s="211">
        <f t="shared" si="48"/>
        <v>-0.14049003106028796</v>
      </c>
      <c r="P41" s="211">
        <f t="shared" si="48"/>
        <v>-6.2632021891845982E-2</v>
      </c>
      <c r="Q41" s="211">
        <f t="shared" si="48"/>
        <v>-1.9773179747892274E-2</v>
      </c>
      <c r="R41" s="211">
        <f t="shared" si="48"/>
        <v>7.1980691813783915E-2</v>
      </c>
      <c r="S41" s="211">
        <f t="shared" si="48"/>
        <v>6.3363676225225929E-2</v>
      </c>
      <c r="T41" s="211" t="e">
        <f t="shared" si="48"/>
        <v>#DIV/0!</v>
      </c>
      <c r="U41" s="211" t="e">
        <f t="shared" si="48"/>
        <v>#DIV/0!</v>
      </c>
    </row>
    <row r="42" spans="1:89">
      <c r="A42" s="182" t="s">
        <v>221</v>
      </c>
      <c r="B42" s="211">
        <f t="shared" ref="B42:D42" si="49">B5/B9</f>
        <v>0.19960663106651341</v>
      </c>
      <c r="C42" s="211">
        <f t="shared" si="49"/>
        <v>0.22671446723084923</v>
      </c>
      <c r="D42" s="211">
        <f t="shared" si="49"/>
        <v>0.26425243588135366</v>
      </c>
      <c r="E42" s="90">
        <f>E5/E9</f>
        <v>0.38939943294200252</v>
      </c>
      <c r="F42" s="90">
        <f t="shared" ref="F42:U42" si="50">F5/F9</f>
        <v>0.35710052829909306</v>
      </c>
      <c r="G42" s="90">
        <f t="shared" si="50"/>
        <v>0.37498406563323433</v>
      </c>
      <c r="H42" s="90">
        <f t="shared" si="50"/>
        <v>0.39201358611929549</v>
      </c>
      <c r="I42" s="90">
        <f t="shared" si="50"/>
        <v>0.36805178686479556</v>
      </c>
      <c r="J42" s="90">
        <f t="shared" si="50"/>
        <v>0.39056459142283589</v>
      </c>
      <c r="K42" s="90">
        <f t="shared" si="50"/>
        <v>0.39966267556051943</v>
      </c>
      <c r="L42" s="90">
        <f t="shared" si="50"/>
        <v>0.36026208341385463</v>
      </c>
      <c r="M42" s="90">
        <f t="shared" si="50"/>
        <v>0.3026173187020636</v>
      </c>
      <c r="N42" s="211">
        <f t="shared" si="50"/>
        <v>0.38156218016864535</v>
      </c>
      <c r="O42" s="211">
        <f t="shared" si="50"/>
        <v>0.4091738421158449</v>
      </c>
      <c r="P42" s="211">
        <f t="shared" si="50"/>
        <v>0.44266540057486753</v>
      </c>
      <c r="Q42" s="211">
        <f t="shared" si="50"/>
        <v>0.40785972366216944</v>
      </c>
      <c r="R42" s="211">
        <f t="shared" si="50"/>
        <v>0.413162412003519</v>
      </c>
      <c r="S42" s="211">
        <f t="shared" si="50"/>
        <v>0.33554520265397297</v>
      </c>
      <c r="T42" s="211" t="e">
        <f t="shared" si="50"/>
        <v>#DIV/0!</v>
      </c>
      <c r="U42" s="211" t="e">
        <f t="shared" si="50"/>
        <v>#DIV/0!</v>
      </c>
    </row>
    <row r="43" spans="1:89">
      <c r="A43" s="182" t="s">
        <v>222</v>
      </c>
      <c r="B43" s="211">
        <f t="shared" ref="B43:D43" si="51">B6/B9</f>
        <v>0.23968835957893597</v>
      </c>
      <c r="C43" s="211">
        <f t="shared" si="51"/>
        <v>0.26395979727329721</v>
      </c>
      <c r="D43" s="211">
        <f t="shared" si="51"/>
        <v>0.30399244884170901</v>
      </c>
      <c r="E43" s="90">
        <f>E6/E9</f>
        <v>0.19488047772645781</v>
      </c>
      <c r="F43" s="90">
        <f t="shared" ref="F43:U43" si="52">F6/F9</f>
        <v>0.18927238302062888</v>
      </c>
      <c r="G43" s="90">
        <f t="shared" si="52"/>
        <v>0.25585543722766829</v>
      </c>
      <c r="H43" s="90">
        <f t="shared" si="52"/>
        <v>0.26919847571855871</v>
      </c>
      <c r="I43" s="90">
        <f t="shared" si="52"/>
        <v>0.37386715899403561</v>
      </c>
      <c r="J43" s="90">
        <f t="shared" si="52"/>
        <v>0.35613818890311771</v>
      </c>
      <c r="K43" s="90">
        <f t="shared" si="52"/>
        <v>0.33679941343001801</v>
      </c>
      <c r="L43" s="90">
        <f t="shared" si="52"/>
        <v>0.36952229598540859</v>
      </c>
      <c r="M43" s="90">
        <f t="shared" si="52"/>
        <v>0.24621235909958342</v>
      </c>
      <c r="N43" s="211">
        <f t="shared" si="52"/>
        <v>0.56611678659495435</v>
      </c>
      <c r="O43" s="211">
        <f t="shared" si="52"/>
        <v>0.54966387317613286</v>
      </c>
      <c r="P43" s="211">
        <f t="shared" si="52"/>
        <v>0.5052974224667135</v>
      </c>
      <c r="Q43" s="211">
        <f t="shared" si="52"/>
        <v>0.42763290341006172</v>
      </c>
      <c r="R43" s="211">
        <f t="shared" si="52"/>
        <v>0.34118172018973508</v>
      </c>
      <c r="S43" s="211">
        <f t="shared" si="52"/>
        <v>0.27218152642874704</v>
      </c>
      <c r="T43" s="211" t="e">
        <f t="shared" si="52"/>
        <v>#DIV/0!</v>
      </c>
      <c r="U43" s="211" t="e">
        <f t="shared" si="52"/>
        <v>#DIV/0!</v>
      </c>
    </row>
    <row r="44" spans="1:89">
      <c r="A44" s="182" t="s">
        <v>223</v>
      </c>
      <c r="B44" s="211">
        <f t="shared" ref="B44:D44" si="53">B7/B9</f>
        <v>0.16967165179610627</v>
      </c>
      <c r="C44" s="211">
        <f t="shared" si="53"/>
        <v>0.20943229184980916</v>
      </c>
      <c r="D44" s="211">
        <f t="shared" si="53"/>
        <v>0.26273928557495896</v>
      </c>
      <c r="E44" s="90">
        <f>E7/E9</f>
        <v>0.29426031075155568</v>
      </c>
      <c r="F44" s="90">
        <f t="shared" ref="F44:U44" si="54">F7/F9</f>
        <v>0.32927263316720312</v>
      </c>
      <c r="G44" s="90">
        <f t="shared" si="54"/>
        <v>0.30501906885325625</v>
      </c>
      <c r="H44" s="90">
        <f t="shared" si="54"/>
        <v>0.245927776512812</v>
      </c>
      <c r="I44" s="90">
        <f t="shared" si="54"/>
        <v>0.27583876248756206</v>
      </c>
      <c r="J44" s="90">
        <f t="shared" si="54"/>
        <v>0.2768339166982004</v>
      </c>
      <c r="K44" s="90">
        <f t="shared" si="54"/>
        <v>0.27723988789160919</v>
      </c>
      <c r="L44" s="90">
        <f t="shared" si="54"/>
        <v>0.30142665982430439</v>
      </c>
      <c r="M44" s="90">
        <f t="shared" si="54"/>
        <v>0.37428310213539023</v>
      </c>
      <c r="N44" s="211">
        <f t="shared" si="54"/>
        <v>0.4310379430222892</v>
      </c>
      <c r="O44" s="211">
        <f t="shared" si="54"/>
        <v>0.38999964842470108</v>
      </c>
      <c r="P44" s="211">
        <f t="shared" si="54"/>
        <v>0.37580150343120039</v>
      </c>
      <c r="Q44" s="211">
        <f t="shared" si="54"/>
        <v>0.34459315786699513</v>
      </c>
      <c r="R44" s="211">
        <f t="shared" si="54"/>
        <v>0.31923308281009727</v>
      </c>
      <c r="S44" s="211">
        <f t="shared" si="54"/>
        <v>0.21799263328381532</v>
      </c>
      <c r="T44" s="211" t="e">
        <f t="shared" si="54"/>
        <v>#DIV/0!</v>
      </c>
      <c r="U44" s="211" t="e">
        <f t="shared" si="54"/>
        <v>#DIV/0!</v>
      </c>
    </row>
    <row r="45" spans="1:89" s="221" customFormat="1">
      <c r="A45" s="219" t="s">
        <v>224</v>
      </c>
      <c r="B45" s="220">
        <f t="shared" ref="B45:D45" si="55">B8/B9</f>
        <v>0.12958992328368371</v>
      </c>
      <c r="C45" s="220">
        <f t="shared" si="55"/>
        <v>0.17218696180736121</v>
      </c>
      <c r="D45" s="220">
        <f t="shared" si="55"/>
        <v>0.22299927261460362</v>
      </c>
      <c r="E45" s="220">
        <f>E8/E9</f>
        <v>0.48877926596710036</v>
      </c>
      <c r="F45" s="220">
        <f t="shared" ref="F45:U45" si="56">F8/F9</f>
        <v>0.4971007784456673</v>
      </c>
      <c r="G45" s="220">
        <f t="shared" si="56"/>
        <v>0.42414769725882229</v>
      </c>
      <c r="H45" s="220">
        <f t="shared" si="56"/>
        <v>0.36874288691354878</v>
      </c>
      <c r="I45" s="220">
        <f t="shared" si="56"/>
        <v>0.27002339035832201</v>
      </c>
      <c r="J45" s="220">
        <f t="shared" si="56"/>
        <v>0.31126031921791858</v>
      </c>
      <c r="K45" s="220">
        <f t="shared" si="56"/>
        <v>0.34010315002211061</v>
      </c>
      <c r="L45" s="220">
        <f t="shared" si="56"/>
        <v>0.29216644725275043</v>
      </c>
      <c r="M45" s="220">
        <f t="shared" si="56"/>
        <v>0.43068806173787039</v>
      </c>
      <c r="N45" s="220">
        <f t="shared" si="56"/>
        <v>0.24648333659598018</v>
      </c>
      <c r="O45" s="220">
        <f t="shared" si="56"/>
        <v>0.2495096173644131</v>
      </c>
      <c r="P45" s="220">
        <f t="shared" si="56"/>
        <v>0.31316948153935442</v>
      </c>
      <c r="Q45" s="220">
        <f t="shared" si="56"/>
        <v>0.32481997811910285</v>
      </c>
      <c r="R45" s="220">
        <f t="shared" si="56"/>
        <v>0.39121377462388118</v>
      </c>
      <c r="S45" s="220">
        <f t="shared" si="56"/>
        <v>0.28135630950904128</v>
      </c>
      <c r="T45" s="220" t="e">
        <f t="shared" si="56"/>
        <v>#DIV/0!</v>
      </c>
      <c r="U45" s="220" t="e">
        <f t="shared" si="56"/>
        <v>#DIV/0!</v>
      </c>
    </row>
    <row r="46" spans="1:89">
      <c r="A46" s="183" t="s">
        <v>225</v>
      </c>
      <c r="B46" s="211">
        <f t="shared" ref="B46:D46" si="57">B9/B9</f>
        <v>1</v>
      </c>
      <c r="C46" s="211">
        <f t="shared" si="57"/>
        <v>1</v>
      </c>
      <c r="D46" s="211">
        <f t="shared" si="57"/>
        <v>1</v>
      </c>
      <c r="E46" s="90">
        <f>E9/E9</f>
        <v>1</v>
      </c>
      <c r="F46" s="90">
        <f t="shared" ref="F46:U46" si="58">F9/F9</f>
        <v>1</v>
      </c>
      <c r="G46" s="90">
        <f t="shared" si="58"/>
        <v>1</v>
      </c>
      <c r="H46" s="90">
        <f t="shared" si="58"/>
        <v>1</v>
      </c>
      <c r="I46" s="90">
        <f t="shared" si="58"/>
        <v>1</v>
      </c>
      <c r="J46" s="90">
        <f t="shared" si="58"/>
        <v>1</v>
      </c>
      <c r="K46" s="90">
        <f t="shared" si="58"/>
        <v>1</v>
      </c>
      <c r="L46" s="90">
        <f t="shared" si="58"/>
        <v>1</v>
      </c>
      <c r="M46" s="90">
        <f t="shared" si="58"/>
        <v>1</v>
      </c>
      <c r="N46" s="211">
        <f t="shared" si="58"/>
        <v>1</v>
      </c>
      <c r="O46" s="211">
        <f t="shared" si="58"/>
        <v>1</v>
      </c>
      <c r="P46" s="211">
        <f t="shared" si="58"/>
        <v>1</v>
      </c>
      <c r="Q46" s="211">
        <f t="shared" si="58"/>
        <v>1</v>
      </c>
      <c r="R46" s="211">
        <f t="shared" si="58"/>
        <v>1</v>
      </c>
      <c r="S46" s="211">
        <f t="shared" si="58"/>
        <v>1</v>
      </c>
      <c r="T46" s="211" t="e">
        <f t="shared" si="58"/>
        <v>#DIV/0!</v>
      </c>
      <c r="U46" s="211" t="e">
        <f t="shared" si="58"/>
        <v>#DIV/0!</v>
      </c>
    </row>
    <row r="47" spans="1:89">
      <c r="A47" s="182" t="s">
        <v>226</v>
      </c>
      <c r="B47" s="211">
        <f t="shared" ref="B47:D47" si="59">B10/B14</f>
        <v>3.3106802928698626E-4</v>
      </c>
      <c r="C47" s="211">
        <f t="shared" si="59"/>
        <v>2.1991211241847389E-4</v>
      </c>
      <c r="D47" s="211">
        <f t="shared" si="59"/>
        <v>3.9973605233414953E-4</v>
      </c>
      <c r="E47" s="90">
        <f>E10/E14</f>
        <v>3.7958122769013328E-4</v>
      </c>
      <c r="F47" s="90">
        <f t="shared" ref="F47:U47" si="60">F10/F14</f>
        <v>1.4067237687540395E-3</v>
      </c>
      <c r="G47" s="90">
        <f t="shared" si="60"/>
        <v>6.2015566616868982E-4</v>
      </c>
      <c r="H47" s="90">
        <f t="shared" si="60"/>
        <v>0</v>
      </c>
      <c r="I47" s="90">
        <f t="shared" si="60"/>
        <v>0</v>
      </c>
      <c r="J47" s="90">
        <f t="shared" si="60"/>
        <v>0</v>
      </c>
      <c r="K47" s="90">
        <f t="shared" si="60"/>
        <v>0</v>
      </c>
      <c r="L47" s="90">
        <f t="shared" si="60"/>
        <v>0</v>
      </c>
      <c r="M47" s="90">
        <f t="shared" si="60"/>
        <v>0</v>
      </c>
      <c r="N47" s="211">
        <f t="shared" si="60"/>
        <v>0</v>
      </c>
      <c r="O47" s="211">
        <f t="shared" si="60"/>
        <v>0</v>
      </c>
      <c r="P47" s="211">
        <f t="shared" si="60"/>
        <v>0</v>
      </c>
      <c r="Q47" s="211">
        <f t="shared" si="60"/>
        <v>0</v>
      </c>
      <c r="R47" s="211">
        <f t="shared" si="60"/>
        <v>0</v>
      </c>
      <c r="S47" s="211">
        <f t="shared" si="60"/>
        <v>0</v>
      </c>
      <c r="T47" s="211" t="e">
        <f t="shared" si="60"/>
        <v>#DIV/0!</v>
      </c>
      <c r="U47" s="211" t="e">
        <f t="shared" si="60"/>
        <v>#DIV/0!</v>
      </c>
    </row>
    <row r="48" spans="1:89">
      <c r="A48" s="182" t="s">
        <v>227</v>
      </c>
      <c r="B48" s="211">
        <f t="shared" ref="B48:D48" si="61">B11/B14</f>
        <v>0</v>
      </c>
      <c r="C48" s="211">
        <f t="shared" si="61"/>
        <v>0</v>
      </c>
      <c r="D48" s="211">
        <f t="shared" si="61"/>
        <v>0</v>
      </c>
      <c r="E48" s="90">
        <f>E11/E14</f>
        <v>0</v>
      </c>
      <c r="F48" s="90">
        <f t="shared" ref="F48:U48" si="62">F11/F14</f>
        <v>0</v>
      </c>
      <c r="G48" s="90">
        <f t="shared" si="62"/>
        <v>0</v>
      </c>
      <c r="H48" s="90">
        <f t="shared" si="62"/>
        <v>0</v>
      </c>
      <c r="I48" s="90">
        <f t="shared" si="62"/>
        <v>0</v>
      </c>
      <c r="J48" s="90">
        <f t="shared" si="62"/>
        <v>0</v>
      </c>
      <c r="K48" s="90">
        <f t="shared" si="62"/>
        <v>0</v>
      </c>
      <c r="L48" s="90">
        <f t="shared" si="62"/>
        <v>0</v>
      </c>
      <c r="M48" s="90">
        <f t="shared" si="62"/>
        <v>0</v>
      </c>
      <c r="N48" s="211">
        <f t="shared" si="62"/>
        <v>0</v>
      </c>
      <c r="O48" s="211">
        <f t="shared" si="62"/>
        <v>0</v>
      </c>
      <c r="P48" s="211">
        <f t="shared" si="62"/>
        <v>0</v>
      </c>
      <c r="Q48" s="211">
        <f t="shared" si="62"/>
        <v>0</v>
      </c>
      <c r="R48" s="211">
        <f t="shared" si="62"/>
        <v>0</v>
      </c>
      <c r="S48" s="211">
        <f t="shared" si="62"/>
        <v>0</v>
      </c>
      <c r="T48" s="211" t="e">
        <f t="shared" si="62"/>
        <v>#DIV/0!</v>
      </c>
      <c r="U48" s="211" t="e">
        <f t="shared" si="62"/>
        <v>#DIV/0!</v>
      </c>
    </row>
    <row r="49" spans="1:21">
      <c r="A49" s="182" t="s">
        <v>228</v>
      </c>
      <c r="B49" s="211">
        <f t="shared" ref="B49:D49" si="63">B12/B14</f>
        <v>3.3106802928698626E-4</v>
      </c>
      <c r="C49" s="211">
        <f t="shared" si="63"/>
        <v>2.1991211241847389E-4</v>
      </c>
      <c r="D49" s="211">
        <f t="shared" si="63"/>
        <v>3.9973605233414953E-4</v>
      </c>
      <c r="E49" s="90">
        <f>E12/E14</f>
        <v>3.7958122769013328E-4</v>
      </c>
      <c r="F49" s="90">
        <f t="shared" ref="F49:U49" si="64">F12/F14</f>
        <v>1.4067237687540395E-3</v>
      </c>
      <c r="G49" s="90">
        <f t="shared" si="64"/>
        <v>6.2015566616868982E-4</v>
      </c>
      <c r="H49" s="90">
        <f t="shared" si="64"/>
        <v>0</v>
      </c>
      <c r="I49" s="90">
        <f t="shared" si="64"/>
        <v>0</v>
      </c>
      <c r="J49" s="90">
        <f t="shared" si="64"/>
        <v>0</v>
      </c>
      <c r="K49" s="90">
        <f t="shared" si="64"/>
        <v>0</v>
      </c>
      <c r="L49" s="90">
        <f t="shared" si="64"/>
        <v>0</v>
      </c>
      <c r="M49" s="90">
        <f t="shared" si="64"/>
        <v>0</v>
      </c>
      <c r="N49" s="211">
        <f t="shared" si="64"/>
        <v>0</v>
      </c>
      <c r="O49" s="211">
        <f t="shared" si="64"/>
        <v>0</v>
      </c>
      <c r="P49" s="211">
        <f t="shared" si="64"/>
        <v>0</v>
      </c>
      <c r="Q49" s="211">
        <f t="shared" si="64"/>
        <v>0</v>
      </c>
      <c r="R49" s="211">
        <f t="shared" si="64"/>
        <v>0</v>
      </c>
      <c r="S49" s="211">
        <f t="shared" si="64"/>
        <v>0</v>
      </c>
      <c r="T49" s="211" t="e">
        <f t="shared" si="64"/>
        <v>#DIV/0!</v>
      </c>
      <c r="U49" s="211" t="e">
        <f t="shared" si="64"/>
        <v>#DIV/0!</v>
      </c>
    </row>
    <row r="50" spans="1:21">
      <c r="A50" s="182" t="s">
        <v>232</v>
      </c>
      <c r="B50" s="211">
        <f t="shared" ref="B50:D50" si="65">B13/B14</f>
        <v>0.99966893197071305</v>
      </c>
      <c r="C50" s="211">
        <f t="shared" si="65"/>
        <v>0.99978008788758155</v>
      </c>
      <c r="D50" s="211">
        <f t="shared" si="65"/>
        <v>0.99960026394766588</v>
      </c>
      <c r="E50" s="90">
        <f>E13/E14</f>
        <v>0.99962041877231</v>
      </c>
      <c r="F50" s="90">
        <f t="shared" ref="F50:U50" si="66">F13/F14</f>
        <v>0.99859327623124594</v>
      </c>
      <c r="G50" s="90">
        <f t="shared" si="66"/>
        <v>0.99937984433383131</v>
      </c>
      <c r="H50" s="90">
        <f t="shared" si="66"/>
        <v>1</v>
      </c>
      <c r="I50" s="90">
        <f t="shared" si="66"/>
        <v>1</v>
      </c>
      <c r="J50" s="90">
        <f t="shared" si="66"/>
        <v>1</v>
      </c>
      <c r="K50" s="90">
        <f t="shared" si="66"/>
        <v>1</v>
      </c>
      <c r="L50" s="90">
        <f t="shared" si="66"/>
        <v>1</v>
      </c>
      <c r="M50" s="90">
        <f t="shared" si="66"/>
        <v>1</v>
      </c>
      <c r="N50" s="211">
        <f t="shared" si="66"/>
        <v>1</v>
      </c>
      <c r="O50" s="211">
        <f t="shared" si="66"/>
        <v>1</v>
      </c>
      <c r="P50" s="211">
        <f t="shared" si="66"/>
        <v>1</v>
      </c>
      <c r="Q50" s="211">
        <f t="shared" si="66"/>
        <v>1</v>
      </c>
      <c r="R50" s="211">
        <f t="shared" si="66"/>
        <v>1</v>
      </c>
      <c r="S50" s="211">
        <f t="shared" si="66"/>
        <v>1</v>
      </c>
      <c r="T50" s="211" t="e">
        <f t="shared" si="66"/>
        <v>#DIV/0!</v>
      </c>
      <c r="U50" s="211" t="e">
        <f t="shared" si="66"/>
        <v>#DIV/0!</v>
      </c>
    </row>
    <row r="51" spans="1:21">
      <c r="A51" s="183" t="s">
        <v>229</v>
      </c>
      <c r="B51" s="211">
        <f t="shared" ref="B51:D51" si="67">B14/B14</f>
        <v>1</v>
      </c>
      <c r="C51" s="211">
        <f t="shared" si="67"/>
        <v>1</v>
      </c>
      <c r="D51" s="211">
        <f t="shared" si="67"/>
        <v>1</v>
      </c>
      <c r="E51" s="90">
        <f>E14/E14</f>
        <v>1</v>
      </c>
      <c r="F51" s="90">
        <f t="shared" ref="F51:U51" si="68">F14/F14</f>
        <v>1</v>
      </c>
      <c r="G51" s="90">
        <f t="shared" si="68"/>
        <v>1</v>
      </c>
      <c r="H51" s="90">
        <f t="shared" si="68"/>
        <v>1</v>
      </c>
      <c r="I51" s="90">
        <f t="shared" si="68"/>
        <v>1</v>
      </c>
      <c r="J51" s="90">
        <f t="shared" si="68"/>
        <v>1</v>
      </c>
      <c r="K51" s="90">
        <f t="shared" si="68"/>
        <v>1</v>
      </c>
      <c r="L51" s="90">
        <f t="shared" si="68"/>
        <v>1</v>
      </c>
      <c r="M51" s="90">
        <f t="shared" si="68"/>
        <v>1</v>
      </c>
      <c r="N51" s="211">
        <f t="shared" si="68"/>
        <v>1</v>
      </c>
      <c r="O51" s="211">
        <f t="shared" si="68"/>
        <v>1</v>
      </c>
      <c r="P51" s="211">
        <f t="shared" si="68"/>
        <v>1</v>
      </c>
      <c r="Q51" s="211">
        <f t="shared" si="68"/>
        <v>1</v>
      </c>
      <c r="R51" s="211">
        <f t="shared" si="68"/>
        <v>1</v>
      </c>
      <c r="S51" s="211">
        <f t="shared" si="68"/>
        <v>1</v>
      </c>
      <c r="T51" s="211" t="e">
        <f t="shared" si="68"/>
        <v>#DIV/0!</v>
      </c>
      <c r="U51" s="211" t="e">
        <f t="shared" si="68"/>
        <v>#DIV/0!</v>
      </c>
    </row>
    <row r="54" spans="1:21" s="9" customFormat="1">
      <c r="A54" s="225" t="s">
        <v>526</v>
      </c>
      <c r="B54" s="226" t="str">
        <f t="shared" ref="B54:D54" si="69">B1</f>
        <v>2018-12-31</v>
      </c>
      <c r="C54" s="226" t="str">
        <f t="shared" si="69"/>
        <v>2017-12-31</v>
      </c>
      <c r="D54" s="226" t="str">
        <f t="shared" si="69"/>
        <v>2016-12-31</v>
      </c>
      <c r="E54" s="226" t="str">
        <f>E1</f>
        <v>2015-12-31</v>
      </c>
      <c r="F54" s="226" t="str">
        <f t="shared" ref="F54:U54" si="70">F1</f>
        <v>2014-12-31</v>
      </c>
      <c r="G54" s="226" t="str">
        <f t="shared" si="70"/>
        <v>2013-12-31</v>
      </c>
      <c r="H54" s="226" t="str">
        <f t="shared" si="70"/>
        <v>2012-12-31</v>
      </c>
      <c r="I54" s="226" t="str">
        <f t="shared" si="70"/>
        <v>2011-12-31</v>
      </c>
      <c r="J54" s="226" t="str">
        <f t="shared" si="70"/>
        <v>2010-12-31</v>
      </c>
      <c r="K54" s="226" t="str">
        <f t="shared" si="70"/>
        <v>2009-12-31</v>
      </c>
      <c r="L54" s="226" t="str">
        <f t="shared" si="70"/>
        <v>2008-12-31</v>
      </c>
      <c r="M54" s="226" t="str">
        <f t="shared" si="70"/>
        <v>2007-12-31</v>
      </c>
      <c r="N54" s="226" t="str">
        <f t="shared" si="70"/>
        <v>2006-12-31</v>
      </c>
      <c r="O54" s="226" t="str">
        <f t="shared" si="70"/>
        <v>2005-12-31</v>
      </c>
      <c r="P54" s="226" t="str">
        <f t="shared" si="70"/>
        <v>2004-12-31</v>
      </c>
      <c r="Q54" s="226" t="str">
        <f t="shared" si="70"/>
        <v>2003-12-31</v>
      </c>
      <c r="R54" s="226" t="str">
        <f t="shared" si="70"/>
        <v>2002-12-31</v>
      </c>
      <c r="S54" s="226" t="str">
        <f t="shared" si="70"/>
        <v>2001-12-31</v>
      </c>
      <c r="T54" s="226">
        <f t="shared" si="70"/>
        <v>0</v>
      </c>
      <c r="U54" s="226">
        <f t="shared" si="70"/>
        <v>0</v>
      </c>
    </row>
    <row r="55" spans="1:21">
      <c r="A55" s="182" t="s">
        <v>530</v>
      </c>
      <c r="B55" s="211">
        <f t="shared" ref="B55:D55" si="71">B2/B9</f>
        <v>0.87041007671631632</v>
      </c>
      <c r="C55" s="211">
        <f t="shared" si="71"/>
        <v>0.82781303819263885</v>
      </c>
      <c r="D55" s="211">
        <f t="shared" si="71"/>
        <v>0.77700072738539649</v>
      </c>
      <c r="E55" s="211">
        <f>E2/E9</f>
        <v>0.51122073403289947</v>
      </c>
      <c r="F55" s="211">
        <f t="shared" ref="F55:U55" si="72">F2/F9</f>
        <v>0.50289922155433275</v>
      </c>
      <c r="G55" s="211">
        <f t="shared" si="72"/>
        <v>0.57576171580246216</v>
      </c>
      <c r="H55" s="211">
        <f t="shared" si="72"/>
        <v>0.63114429095372748</v>
      </c>
      <c r="I55" s="211">
        <f t="shared" si="72"/>
        <v>0.7298191502775615</v>
      </c>
      <c r="J55" s="211">
        <f t="shared" si="72"/>
        <v>0.68852768133671816</v>
      </c>
      <c r="K55" s="211">
        <f t="shared" si="72"/>
        <v>0.65962637453110085</v>
      </c>
      <c r="L55" s="211">
        <f t="shared" si="72"/>
        <v>0.70748583001848397</v>
      </c>
      <c r="M55" s="211">
        <f t="shared" si="72"/>
        <v>0.56883635148268885</v>
      </c>
      <c r="N55" s="211">
        <f t="shared" si="72"/>
        <v>0.75160065983478053</v>
      </c>
      <c r="O55" s="211">
        <f t="shared" si="72"/>
        <v>0.74852041131990055</v>
      </c>
      <c r="P55" s="211">
        <f t="shared" si="72"/>
        <v>0.68451244589343774</v>
      </c>
      <c r="Q55" s="211">
        <f t="shared" si="72"/>
        <v>0.67402786083557253</v>
      </c>
      <c r="R55" s="211">
        <f t="shared" si="72"/>
        <v>0.60742146922207718</v>
      </c>
      <c r="S55" s="211">
        <f t="shared" si="72"/>
        <v>0.71864369049095878</v>
      </c>
      <c r="T55" s="211" t="e">
        <f t="shared" si="72"/>
        <v>#DIV/0!</v>
      </c>
      <c r="U55" s="211" t="e">
        <f t="shared" si="72"/>
        <v>#DIV/0!</v>
      </c>
    </row>
    <row r="56" spans="1:21">
      <c r="A56" s="182" t="s">
        <v>531</v>
      </c>
      <c r="B56" s="211">
        <f t="shared" ref="B56:D56" si="73">B4/B9</f>
        <v>-4.008172851242256E-2</v>
      </c>
      <c r="C56" s="211">
        <f t="shared" si="73"/>
        <v>-3.7245330042447955E-2</v>
      </c>
      <c r="D56" s="211">
        <f t="shared" si="73"/>
        <v>-3.9740012960355356E-2</v>
      </c>
      <c r="E56" s="211">
        <f>E4/E9</f>
        <v>0.19451895521554471</v>
      </c>
      <c r="F56" s="211">
        <f t="shared" ref="F56:U56" si="74">F4/F9</f>
        <v>0.16782814527846421</v>
      </c>
      <c r="G56" s="211">
        <f t="shared" si="74"/>
        <v>0.11912862840556601</v>
      </c>
      <c r="H56" s="211">
        <f t="shared" si="74"/>
        <v>0.12281511040073678</v>
      </c>
      <c r="I56" s="211">
        <f t="shared" si="74"/>
        <v>-5.815372129240045E-3</v>
      </c>
      <c r="J56" s="211">
        <f t="shared" si="74"/>
        <v>3.4426402519718159E-2</v>
      </c>
      <c r="K56" s="211">
        <f t="shared" si="74"/>
        <v>6.2863262130501418E-2</v>
      </c>
      <c r="L56" s="211">
        <f t="shared" si="74"/>
        <v>-9.2602125715539815E-3</v>
      </c>
      <c r="M56" s="211">
        <f t="shared" si="74"/>
        <v>5.6404959602480167E-2</v>
      </c>
      <c r="N56" s="211">
        <f t="shared" si="74"/>
        <v>-0.184554606426309</v>
      </c>
      <c r="O56" s="211">
        <f t="shared" si="74"/>
        <v>-0.14049003106028796</v>
      </c>
      <c r="P56" s="211">
        <f t="shared" si="74"/>
        <v>-6.2632021891845982E-2</v>
      </c>
      <c r="Q56" s="211">
        <f t="shared" si="74"/>
        <v>-1.9773179747892274E-2</v>
      </c>
      <c r="R56" s="211">
        <f t="shared" si="74"/>
        <v>7.1980691813783915E-2</v>
      </c>
      <c r="S56" s="211">
        <f t="shared" si="74"/>
        <v>6.3363676225225929E-2</v>
      </c>
      <c r="T56" s="211" t="e">
        <f t="shared" si="74"/>
        <v>#DIV/0!</v>
      </c>
      <c r="U56" s="211" t="e">
        <f t="shared" si="74"/>
        <v>#DIV/0!</v>
      </c>
    </row>
    <row r="57" spans="1:21">
      <c r="A57" s="182" t="s">
        <v>532</v>
      </c>
      <c r="B57" s="211">
        <f t="shared" ref="B57:D57" si="75">B5/B9</f>
        <v>0.19960663106651341</v>
      </c>
      <c r="C57" s="211">
        <f t="shared" si="75"/>
        <v>0.22671446723084923</v>
      </c>
      <c r="D57" s="211">
        <f t="shared" si="75"/>
        <v>0.26425243588135366</v>
      </c>
      <c r="E57" s="211">
        <f>E5/E9</f>
        <v>0.38939943294200252</v>
      </c>
      <c r="F57" s="211">
        <f t="shared" ref="F57:U57" si="76">F5/F9</f>
        <v>0.35710052829909306</v>
      </c>
      <c r="G57" s="211">
        <f t="shared" si="76"/>
        <v>0.37498406563323433</v>
      </c>
      <c r="H57" s="211">
        <f t="shared" si="76"/>
        <v>0.39201358611929549</v>
      </c>
      <c r="I57" s="211">
        <f t="shared" si="76"/>
        <v>0.36805178686479556</v>
      </c>
      <c r="J57" s="211">
        <f t="shared" si="76"/>
        <v>0.39056459142283589</v>
      </c>
      <c r="K57" s="211">
        <f t="shared" si="76"/>
        <v>0.39966267556051943</v>
      </c>
      <c r="L57" s="211">
        <f t="shared" si="76"/>
        <v>0.36026208341385463</v>
      </c>
      <c r="M57" s="211">
        <f t="shared" si="76"/>
        <v>0.3026173187020636</v>
      </c>
      <c r="N57" s="211">
        <f t="shared" si="76"/>
        <v>0.38156218016864535</v>
      </c>
      <c r="O57" s="211">
        <f t="shared" si="76"/>
        <v>0.4091738421158449</v>
      </c>
      <c r="P57" s="211">
        <f t="shared" si="76"/>
        <v>0.44266540057486753</v>
      </c>
      <c r="Q57" s="211">
        <f t="shared" si="76"/>
        <v>0.40785972366216944</v>
      </c>
      <c r="R57" s="211">
        <f t="shared" si="76"/>
        <v>0.413162412003519</v>
      </c>
      <c r="S57" s="211">
        <f t="shared" si="76"/>
        <v>0.33554520265397297</v>
      </c>
      <c r="T57" s="211" t="e">
        <f t="shared" si="76"/>
        <v>#DIV/0!</v>
      </c>
      <c r="U57" s="211" t="e">
        <f t="shared" si="76"/>
        <v>#DIV/0!</v>
      </c>
    </row>
    <row r="58" spans="1:21">
      <c r="A58" s="182" t="s">
        <v>533</v>
      </c>
      <c r="B58" s="211">
        <f t="shared" ref="B58:D58" si="77">B6/B9</f>
        <v>0.23968835957893597</v>
      </c>
      <c r="C58" s="211">
        <f t="shared" si="77"/>
        <v>0.26395979727329721</v>
      </c>
      <c r="D58" s="211">
        <f t="shared" si="77"/>
        <v>0.30399244884170901</v>
      </c>
      <c r="E58" s="211">
        <f>E6/E9</f>
        <v>0.19488047772645781</v>
      </c>
      <c r="F58" s="211">
        <f t="shared" ref="F58:U58" si="78">F6/F9</f>
        <v>0.18927238302062888</v>
      </c>
      <c r="G58" s="211">
        <f t="shared" si="78"/>
        <v>0.25585543722766829</v>
      </c>
      <c r="H58" s="211">
        <f t="shared" si="78"/>
        <v>0.26919847571855871</v>
      </c>
      <c r="I58" s="211">
        <f t="shared" si="78"/>
        <v>0.37386715899403561</v>
      </c>
      <c r="J58" s="211">
        <f t="shared" si="78"/>
        <v>0.35613818890311771</v>
      </c>
      <c r="K58" s="211">
        <f t="shared" si="78"/>
        <v>0.33679941343001801</v>
      </c>
      <c r="L58" s="211">
        <f t="shared" si="78"/>
        <v>0.36952229598540859</v>
      </c>
      <c r="M58" s="211">
        <f t="shared" si="78"/>
        <v>0.24621235909958342</v>
      </c>
      <c r="N58" s="211">
        <f t="shared" si="78"/>
        <v>0.56611678659495435</v>
      </c>
      <c r="O58" s="211">
        <f t="shared" si="78"/>
        <v>0.54966387317613286</v>
      </c>
      <c r="P58" s="211">
        <f t="shared" si="78"/>
        <v>0.5052974224667135</v>
      </c>
      <c r="Q58" s="211">
        <f t="shared" si="78"/>
        <v>0.42763290341006172</v>
      </c>
      <c r="R58" s="211">
        <f t="shared" si="78"/>
        <v>0.34118172018973508</v>
      </c>
      <c r="S58" s="211">
        <f t="shared" si="78"/>
        <v>0.27218152642874704</v>
      </c>
      <c r="T58" s="211" t="e">
        <f t="shared" si="78"/>
        <v>#DIV/0!</v>
      </c>
      <c r="U58" s="211" t="e">
        <f t="shared" si="78"/>
        <v>#DIV/0!</v>
      </c>
    </row>
    <row r="59" spans="1:21" s="221" customFormat="1">
      <c r="A59" s="223" t="s">
        <v>527</v>
      </c>
      <c r="B59" s="220">
        <f t="shared" ref="B59:D59" si="79">B55+B56</f>
        <v>0.83032834820389378</v>
      </c>
      <c r="C59" s="220">
        <f t="shared" si="79"/>
        <v>0.79056770815019095</v>
      </c>
      <c r="D59" s="220">
        <f t="shared" si="79"/>
        <v>0.73726071442504115</v>
      </c>
      <c r="E59" s="220">
        <f>E55+E56</f>
        <v>0.70573968924844421</v>
      </c>
      <c r="F59" s="220">
        <f t="shared" ref="F59:U59" si="80">F55+F56</f>
        <v>0.67072736683279699</v>
      </c>
      <c r="G59" s="220">
        <f t="shared" si="80"/>
        <v>0.6948903442080282</v>
      </c>
      <c r="H59" s="220">
        <f t="shared" si="80"/>
        <v>0.75395940135446426</v>
      </c>
      <c r="I59" s="220">
        <f t="shared" si="80"/>
        <v>0.72400377814832151</v>
      </c>
      <c r="J59" s="220">
        <f t="shared" si="80"/>
        <v>0.72295408385643634</v>
      </c>
      <c r="K59" s="220">
        <f t="shared" si="80"/>
        <v>0.72248963666160226</v>
      </c>
      <c r="L59" s="220">
        <f t="shared" si="80"/>
        <v>0.69822561744693001</v>
      </c>
      <c r="M59" s="220">
        <f t="shared" si="80"/>
        <v>0.625241311085169</v>
      </c>
      <c r="N59" s="220">
        <f t="shared" si="80"/>
        <v>0.56704605340847158</v>
      </c>
      <c r="O59" s="220">
        <f t="shared" si="80"/>
        <v>0.60803038025961254</v>
      </c>
      <c r="P59" s="220">
        <f t="shared" si="80"/>
        <v>0.62188042400159171</v>
      </c>
      <c r="Q59" s="220">
        <f t="shared" si="80"/>
        <v>0.65425468108768026</v>
      </c>
      <c r="R59" s="220">
        <f t="shared" si="80"/>
        <v>0.67940216103586115</v>
      </c>
      <c r="S59" s="220">
        <f t="shared" si="80"/>
        <v>0.78200736671618465</v>
      </c>
      <c r="T59" s="220" t="e">
        <f t="shared" si="80"/>
        <v>#DIV/0!</v>
      </c>
      <c r="U59" s="220" t="e">
        <f t="shared" si="80"/>
        <v>#DIV/0!</v>
      </c>
    </row>
    <row r="60" spans="1:21">
      <c r="A60" s="182" t="s">
        <v>534</v>
      </c>
      <c r="B60" s="211">
        <f t="shared" ref="B60:D60" si="81">B3/B9</f>
        <v>0</v>
      </c>
      <c r="C60" s="211">
        <f t="shared" si="81"/>
        <v>0</v>
      </c>
      <c r="D60" s="211">
        <f t="shared" si="81"/>
        <v>0</v>
      </c>
      <c r="E60" s="211">
        <f>E3/E9</f>
        <v>0</v>
      </c>
      <c r="F60" s="211">
        <f t="shared" ref="F60:U60" si="82">F3/F9</f>
        <v>0</v>
      </c>
      <c r="G60" s="211">
        <f t="shared" si="82"/>
        <v>9.0586938715655856E-5</v>
      </c>
      <c r="H60" s="211">
        <f t="shared" si="82"/>
        <v>1.1282213272365967E-4</v>
      </c>
      <c r="I60" s="211">
        <f t="shared" si="82"/>
        <v>1.5745936411635101E-4</v>
      </c>
      <c r="J60" s="211">
        <f t="shared" si="82"/>
        <v>2.1199944536318626E-4</v>
      </c>
      <c r="K60" s="211">
        <f t="shared" si="82"/>
        <v>2.7047544678851179E-4</v>
      </c>
      <c r="L60" s="211">
        <f t="shared" si="82"/>
        <v>3.47722728765612E-4</v>
      </c>
      <c r="M60" s="211">
        <f t="shared" si="82"/>
        <v>4.7558677944073164E-4</v>
      </c>
      <c r="N60" s="211">
        <f t="shared" si="82"/>
        <v>1.9160035692393435E-3</v>
      </c>
      <c r="O60" s="211">
        <f t="shared" si="82"/>
        <v>1.9699713156863508E-3</v>
      </c>
      <c r="P60" s="211">
        <f t="shared" si="82"/>
        <v>2.318072567207763E-3</v>
      </c>
      <c r="Q60" s="211">
        <f t="shared" si="82"/>
        <v>1.1521610453246408E-3</v>
      </c>
      <c r="R60" s="211">
        <f t="shared" si="82"/>
        <v>1.3647561540414764E-3</v>
      </c>
      <c r="S60" s="211">
        <f t="shared" si="82"/>
        <v>0</v>
      </c>
      <c r="T60" s="211" t="e">
        <f t="shared" si="82"/>
        <v>#DIV/0!</v>
      </c>
      <c r="U60" s="211" t="e">
        <f t="shared" si="82"/>
        <v>#DIV/0!</v>
      </c>
    </row>
    <row r="61" spans="1:21">
      <c r="A61" s="182" t="s">
        <v>535</v>
      </c>
      <c r="B61" s="211">
        <f t="shared" ref="B61:D61" si="83">B7/B9</f>
        <v>0.16967165179610627</v>
      </c>
      <c r="C61" s="211">
        <f t="shared" si="83"/>
        <v>0.20943229184980916</v>
      </c>
      <c r="D61" s="211">
        <f t="shared" si="83"/>
        <v>0.26273928557495896</v>
      </c>
      <c r="E61" s="211">
        <f>E7/E9</f>
        <v>0.29426031075155568</v>
      </c>
      <c r="F61" s="211">
        <f t="shared" ref="F61:U61" si="84">F7/F9</f>
        <v>0.32927263316720312</v>
      </c>
      <c r="G61" s="211">
        <f t="shared" si="84"/>
        <v>0.30501906885325625</v>
      </c>
      <c r="H61" s="211">
        <f t="shared" si="84"/>
        <v>0.245927776512812</v>
      </c>
      <c r="I61" s="211">
        <f t="shared" si="84"/>
        <v>0.27583876248756206</v>
      </c>
      <c r="J61" s="211">
        <f t="shared" si="84"/>
        <v>0.2768339166982004</v>
      </c>
      <c r="K61" s="211">
        <f t="shared" si="84"/>
        <v>0.27723988789160919</v>
      </c>
      <c r="L61" s="211">
        <f t="shared" si="84"/>
        <v>0.30142665982430439</v>
      </c>
      <c r="M61" s="211">
        <f t="shared" si="84"/>
        <v>0.37428310213539023</v>
      </c>
      <c r="N61" s="211">
        <f t="shared" si="84"/>
        <v>0.4310379430222892</v>
      </c>
      <c r="O61" s="211">
        <f t="shared" si="84"/>
        <v>0.38999964842470108</v>
      </c>
      <c r="P61" s="211">
        <f t="shared" si="84"/>
        <v>0.37580150343120039</v>
      </c>
      <c r="Q61" s="211">
        <f t="shared" si="84"/>
        <v>0.34459315786699513</v>
      </c>
      <c r="R61" s="211">
        <f t="shared" si="84"/>
        <v>0.31923308281009727</v>
      </c>
      <c r="S61" s="211">
        <f t="shared" si="84"/>
        <v>0.21799263328381532</v>
      </c>
      <c r="T61" s="211" t="e">
        <f t="shared" si="84"/>
        <v>#DIV/0!</v>
      </c>
      <c r="U61" s="211" t="e">
        <f t="shared" si="84"/>
        <v>#DIV/0!</v>
      </c>
    </row>
    <row r="62" spans="1:21" s="221" customFormat="1">
      <c r="A62" s="223" t="s">
        <v>528</v>
      </c>
      <c r="B62" s="220">
        <f t="shared" ref="B62:D62" si="85">B60+B61</f>
        <v>0.16967165179610627</v>
      </c>
      <c r="C62" s="220">
        <f t="shared" si="85"/>
        <v>0.20943229184980916</v>
      </c>
      <c r="D62" s="220">
        <f t="shared" si="85"/>
        <v>0.26273928557495896</v>
      </c>
      <c r="E62" s="220">
        <f>E60+E61</f>
        <v>0.29426031075155568</v>
      </c>
      <c r="F62" s="220">
        <f t="shared" ref="F62:M62" si="86">F60+F61</f>
        <v>0.32927263316720312</v>
      </c>
      <c r="G62" s="220">
        <f t="shared" si="86"/>
        <v>0.30510965579197191</v>
      </c>
      <c r="H62" s="220">
        <f t="shared" si="86"/>
        <v>0.24604059864553565</v>
      </c>
      <c r="I62" s="220">
        <f t="shared" si="86"/>
        <v>0.27599622185167844</v>
      </c>
      <c r="J62" s="220">
        <f t="shared" si="86"/>
        <v>0.27704591614356361</v>
      </c>
      <c r="K62" s="220">
        <f t="shared" si="86"/>
        <v>0.27751036333839768</v>
      </c>
      <c r="L62" s="220">
        <f t="shared" si="86"/>
        <v>0.30177438255306999</v>
      </c>
      <c r="M62" s="220">
        <f t="shared" si="86"/>
        <v>0.37475868891483094</v>
      </c>
      <c r="N62" s="220">
        <f t="shared" ref="N62" si="87">N60+N61</f>
        <v>0.43295394659152853</v>
      </c>
      <c r="O62" s="220">
        <f t="shared" ref="O62" si="88">O60+O61</f>
        <v>0.39196961974038741</v>
      </c>
      <c r="P62" s="220">
        <f t="shared" ref="P62" si="89">P60+P61</f>
        <v>0.37811957599840818</v>
      </c>
      <c r="Q62" s="220">
        <f t="shared" ref="Q62" si="90">Q60+Q61</f>
        <v>0.34574531891231974</v>
      </c>
      <c r="R62" s="220">
        <f t="shared" ref="R62" si="91">R60+R61</f>
        <v>0.32059783896413874</v>
      </c>
      <c r="S62" s="220">
        <f t="shared" ref="S62" si="92">S60+S61</f>
        <v>0.21799263328381532</v>
      </c>
      <c r="T62" s="220" t="e">
        <f t="shared" ref="T62" si="93">T60+T61</f>
        <v>#DIV/0!</v>
      </c>
      <c r="U62" s="220" t="e">
        <f t="shared" ref="U62" si="94">U60+U61</f>
        <v>#DIV/0!</v>
      </c>
    </row>
    <row r="63" spans="1:21">
      <c r="A63" s="222" t="s">
        <v>529</v>
      </c>
      <c r="B63" s="211">
        <v>1</v>
      </c>
      <c r="C63" s="211">
        <v>1</v>
      </c>
      <c r="D63" s="211">
        <v>1</v>
      </c>
      <c r="E63" s="211">
        <v>1</v>
      </c>
      <c r="F63" s="211">
        <v>1</v>
      </c>
      <c r="G63" s="211">
        <v>1</v>
      </c>
      <c r="H63" s="211">
        <v>1</v>
      </c>
      <c r="I63" s="211">
        <v>1</v>
      </c>
      <c r="J63" s="211">
        <v>1</v>
      </c>
      <c r="K63" s="211">
        <v>1</v>
      </c>
      <c r="L63" s="211">
        <v>1</v>
      </c>
      <c r="M63" s="211">
        <v>1</v>
      </c>
      <c r="N63" s="211">
        <v>1</v>
      </c>
      <c r="O63" s="211">
        <v>1</v>
      </c>
      <c r="P63" s="211">
        <v>1</v>
      </c>
      <c r="Q63" s="211">
        <v>1</v>
      </c>
      <c r="R63" s="211">
        <v>1</v>
      </c>
      <c r="S63" s="211">
        <v>1</v>
      </c>
      <c r="T63" s="211">
        <v>1</v>
      </c>
      <c r="U63" s="211">
        <v>1</v>
      </c>
    </row>
    <row r="64" spans="1:21" ht="42.6" customHeight="1">
      <c r="A64" s="278" t="s">
        <v>585</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c r="A66" s="227" t="s">
        <v>536</v>
      </c>
      <c r="B66" s="228" t="str">
        <f t="shared" ref="B66:D66" si="95">B1</f>
        <v>2018-12-31</v>
      </c>
      <c r="C66" s="228" t="str">
        <f t="shared" si="95"/>
        <v>2017-12-31</v>
      </c>
      <c r="D66" s="228" t="str">
        <f t="shared" si="95"/>
        <v>2016-12-31</v>
      </c>
      <c r="E66" s="228" t="str">
        <f>E1</f>
        <v>2015-12-31</v>
      </c>
      <c r="F66" s="228" t="str">
        <f t="shared" ref="F66:U66" si="96">F1</f>
        <v>2014-12-31</v>
      </c>
      <c r="G66" s="228" t="str">
        <f t="shared" si="96"/>
        <v>2013-12-31</v>
      </c>
      <c r="H66" s="228" t="str">
        <f t="shared" si="96"/>
        <v>2012-12-31</v>
      </c>
      <c r="I66" s="228" t="str">
        <f t="shared" si="96"/>
        <v>2011-12-31</v>
      </c>
      <c r="J66" s="228" t="str">
        <f t="shared" si="96"/>
        <v>2010-12-31</v>
      </c>
      <c r="K66" s="228" t="str">
        <f t="shared" si="96"/>
        <v>2009-12-31</v>
      </c>
      <c r="L66" s="228" t="str">
        <f t="shared" si="96"/>
        <v>2008-12-31</v>
      </c>
      <c r="M66" s="228" t="str">
        <f t="shared" si="96"/>
        <v>2007-12-31</v>
      </c>
      <c r="N66" s="228" t="str">
        <f t="shared" si="96"/>
        <v>2006-12-31</v>
      </c>
      <c r="O66" s="228" t="str">
        <f t="shared" si="96"/>
        <v>2005-12-31</v>
      </c>
      <c r="P66" s="228" t="str">
        <f t="shared" si="96"/>
        <v>2004-12-31</v>
      </c>
      <c r="Q66" s="228" t="str">
        <f t="shared" si="96"/>
        <v>2003-12-31</v>
      </c>
      <c r="R66" s="228" t="str">
        <f t="shared" si="96"/>
        <v>2002-12-31</v>
      </c>
      <c r="S66" s="228" t="str">
        <f t="shared" si="96"/>
        <v>2001-12-31</v>
      </c>
      <c r="T66" s="228">
        <f t="shared" si="96"/>
        <v>0</v>
      </c>
      <c r="U66" s="228">
        <f t="shared" si="96"/>
        <v>0</v>
      </c>
    </row>
    <row r="67" spans="1:21">
      <c r="A67" s="17" t="s">
        <v>537</v>
      </c>
      <c r="B67" s="190">
        <f t="shared" ref="B67:D67" si="97">B10</f>
        <v>42770451.840000004</v>
      </c>
      <c r="C67" s="190">
        <f t="shared" si="97"/>
        <v>23414593.670000002</v>
      </c>
      <c r="D67" s="190">
        <f t="shared" si="97"/>
        <v>34481635.329999998</v>
      </c>
      <c r="E67" s="190">
        <f>E10</f>
        <v>27409447.399999999</v>
      </c>
      <c r="F67" s="190">
        <f t="shared" ref="F67:U67" si="98">F10</f>
        <v>77917681.909999996</v>
      </c>
      <c r="G67" s="190">
        <f t="shared" si="98"/>
        <v>27383888.890000001</v>
      </c>
      <c r="H67" s="190">
        <f t="shared" si="98"/>
        <v>0</v>
      </c>
      <c r="I67" s="190">
        <f t="shared" si="98"/>
        <v>0</v>
      </c>
      <c r="J67" s="190">
        <f t="shared" si="98"/>
        <v>0</v>
      </c>
      <c r="K67" s="190">
        <f t="shared" si="98"/>
        <v>0</v>
      </c>
      <c r="L67" s="190">
        <f t="shared" si="98"/>
        <v>0</v>
      </c>
      <c r="M67" s="190">
        <f t="shared" si="98"/>
        <v>0</v>
      </c>
      <c r="N67" s="190">
        <f t="shared" si="98"/>
        <v>0</v>
      </c>
      <c r="O67" s="190">
        <f t="shared" si="98"/>
        <v>0</v>
      </c>
      <c r="P67" s="190">
        <f t="shared" si="98"/>
        <v>0</v>
      </c>
      <c r="Q67" s="190">
        <f t="shared" si="98"/>
        <v>0</v>
      </c>
      <c r="R67" s="190">
        <f t="shared" si="98"/>
        <v>0</v>
      </c>
      <c r="S67" s="190">
        <f t="shared" si="98"/>
        <v>0</v>
      </c>
      <c r="T67" s="190">
        <f t="shared" si="98"/>
        <v>0</v>
      </c>
      <c r="U67" s="190">
        <f t="shared" si="98"/>
        <v>0</v>
      </c>
    </row>
    <row r="68" spans="1:21">
      <c r="A68" s="17" t="s">
        <v>538</v>
      </c>
      <c r="B68" s="190">
        <f t="shared" ref="B68:D68" si="99">B11</f>
        <v>0</v>
      </c>
      <c r="C68" s="190">
        <f t="shared" si="99"/>
        <v>0</v>
      </c>
      <c r="D68" s="190">
        <f t="shared" si="99"/>
        <v>0</v>
      </c>
      <c r="E68" s="190">
        <f>E11</f>
        <v>0</v>
      </c>
      <c r="F68" s="190">
        <f t="shared" ref="F68:U68" si="100">F11</f>
        <v>0</v>
      </c>
      <c r="G68" s="190">
        <f t="shared" si="100"/>
        <v>0</v>
      </c>
      <c r="H68" s="190">
        <f t="shared" si="100"/>
        <v>0</v>
      </c>
      <c r="I68" s="190">
        <f t="shared" si="100"/>
        <v>0</v>
      </c>
      <c r="J68" s="190">
        <f t="shared" si="100"/>
        <v>0</v>
      </c>
      <c r="K68" s="190">
        <f t="shared" si="100"/>
        <v>0</v>
      </c>
      <c r="L68" s="190">
        <f t="shared" si="100"/>
        <v>0</v>
      </c>
      <c r="M68" s="190">
        <f t="shared" si="100"/>
        <v>0</v>
      </c>
      <c r="N68" s="190">
        <f t="shared" si="100"/>
        <v>0</v>
      </c>
      <c r="O68" s="190">
        <f t="shared" si="100"/>
        <v>0</v>
      </c>
      <c r="P68" s="190">
        <f t="shared" si="100"/>
        <v>0</v>
      </c>
      <c r="Q68" s="190">
        <f t="shared" si="100"/>
        <v>0</v>
      </c>
      <c r="R68" s="190">
        <f t="shared" si="100"/>
        <v>0</v>
      </c>
      <c r="S68" s="190">
        <f t="shared" si="100"/>
        <v>0</v>
      </c>
      <c r="T68" s="190">
        <f t="shared" si="100"/>
        <v>0</v>
      </c>
      <c r="U68" s="190">
        <f t="shared" si="100"/>
        <v>0</v>
      </c>
    </row>
    <row r="69" spans="1:21">
      <c r="A69" s="17" t="s">
        <v>539</v>
      </c>
      <c r="B69" s="190">
        <f t="shared" ref="B69:D69" si="101">B12</f>
        <v>42770451.840000004</v>
      </c>
      <c r="C69" s="190">
        <f t="shared" si="101"/>
        <v>23414593.670000002</v>
      </c>
      <c r="D69" s="190">
        <f t="shared" si="101"/>
        <v>34481635.329999998</v>
      </c>
      <c r="E69" s="190">
        <f>E12</f>
        <v>27409447.399999999</v>
      </c>
      <c r="F69" s="190">
        <f t="shared" ref="F69:U69" si="102">F12</f>
        <v>77917681.909999996</v>
      </c>
      <c r="G69" s="190">
        <f t="shared" si="102"/>
        <v>27383888.890000001</v>
      </c>
      <c r="H69" s="190">
        <f t="shared" si="102"/>
        <v>0</v>
      </c>
      <c r="I69" s="190">
        <f t="shared" si="102"/>
        <v>0</v>
      </c>
      <c r="J69" s="190">
        <f t="shared" si="102"/>
        <v>0</v>
      </c>
      <c r="K69" s="190">
        <f t="shared" si="102"/>
        <v>0</v>
      </c>
      <c r="L69" s="190">
        <f t="shared" si="102"/>
        <v>0</v>
      </c>
      <c r="M69" s="190">
        <f t="shared" si="102"/>
        <v>0</v>
      </c>
      <c r="N69" s="190">
        <f t="shared" si="102"/>
        <v>0</v>
      </c>
      <c r="O69" s="190">
        <f t="shared" si="102"/>
        <v>0</v>
      </c>
      <c r="P69" s="190">
        <f t="shared" si="102"/>
        <v>0</v>
      </c>
      <c r="Q69" s="190">
        <f t="shared" si="102"/>
        <v>0</v>
      </c>
      <c r="R69" s="190">
        <f t="shared" si="102"/>
        <v>0</v>
      </c>
      <c r="S69" s="190">
        <f t="shared" si="102"/>
        <v>0</v>
      </c>
      <c r="T69" s="190">
        <f t="shared" si="102"/>
        <v>0</v>
      </c>
      <c r="U69" s="190">
        <f t="shared" si="102"/>
        <v>0</v>
      </c>
    </row>
    <row r="70" spans="1:21" s="229" customFormat="1">
      <c r="A70" s="229" t="s">
        <v>542</v>
      </c>
      <c r="B70" s="229">
        <f t="shared" ref="B70:D70" si="103">B69/B74</f>
        <v>3.3106802928698626E-4</v>
      </c>
      <c r="C70" s="229">
        <f t="shared" si="103"/>
        <v>2.1991211241847389E-4</v>
      </c>
      <c r="D70" s="229">
        <f t="shared" si="103"/>
        <v>3.9973605233414953E-4</v>
      </c>
      <c r="E70" s="229">
        <f>E69/E74</f>
        <v>3.7958122769013328E-4</v>
      </c>
      <c r="F70" s="229">
        <f t="shared" ref="F70:U70" si="104">F69/F74</f>
        <v>1.4067237687540395E-3</v>
      </c>
      <c r="G70" s="229">
        <f t="shared" si="104"/>
        <v>6.2015566616868982E-4</v>
      </c>
      <c r="H70" s="229">
        <f t="shared" si="104"/>
        <v>0</v>
      </c>
      <c r="I70" s="229">
        <f t="shared" si="104"/>
        <v>0</v>
      </c>
      <c r="J70" s="229">
        <f t="shared" si="104"/>
        <v>0</v>
      </c>
      <c r="K70" s="229">
        <f t="shared" si="104"/>
        <v>0</v>
      </c>
      <c r="L70" s="229">
        <f t="shared" si="104"/>
        <v>0</v>
      </c>
      <c r="M70" s="229">
        <f t="shared" si="104"/>
        <v>0</v>
      </c>
      <c r="N70" s="229">
        <f t="shared" si="104"/>
        <v>0</v>
      </c>
      <c r="O70" s="229">
        <f t="shared" si="104"/>
        <v>0</v>
      </c>
      <c r="P70" s="229">
        <f t="shared" si="104"/>
        <v>0</v>
      </c>
      <c r="Q70" s="229">
        <f t="shared" si="104"/>
        <v>0</v>
      </c>
      <c r="R70" s="229">
        <f t="shared" si="104"/>
        <v>0</v>
      </c>
      <c r="S70" s="229">
        <f t="shared" si="104"/>
        <v>0</v>
      </c>
      <c r="T70" s="229" t="e">
        <f t="shared" si="104"/>
        <v>#DIV/0!</v>
      </c>
      <c r="U70" s="229" t="e">
        <f t="shared" si="104"/>
        <v>#DIV/0!</v>
      </c>
    </row>
    <row r="71" spans="1:21">
      <c r="A71" s="17" t="s">
        <v>540</v>
      </c>
      <c r="B71" s="190">
        <f t="shared" ref="B71:D71" si="105">B13</f>
        <v>129146544300.52</v>
      </c>
      <c r="C71" s="190">
        <f t="shared" si="105"/>
        <v>106449091229.22</v>
      </c>
      <c r="D71" s="190">
        <f t="shared" si="105"/>
        <v>86226527669.819992</v>
      </c>
      <c r="E71" s="190">
        <f>E13</f>
        <v>72182292720.420013</v>
      </c>
      <c r="F71" s="190">
        <f t="shared" ref="F71:U71" si="106">F13</f>
        <v>55311550841.119995</v>
      </c>
      <c r="G71" s="190">
        <f t="shared" si="106"/>
        <v>44129092273.259995</v>
      </c>
      <c r="H71" s="190">
        <f t="shared" si="106"/>
        <v>35454036397.25</v>
      </c>
      <c r="I71" s="190">
        <f t="shared" si="106"/>
        <v>25403379611.290001</v>
      </c>
      <c r="J71" s="190">
        <f t="shared" si="106"/>
        <v>18867973890.910004</v>
      </c>
      <c r="K71" s="190">
        <f t="shared" si="106"/>
        <v>14788773056.830002</v>
      </c>
      <c r="L71" s="190">
        <f t="shared" si="106"/>
        <v>11503418295.949999</v>
      </c>
      <c r="M71" s="190">
        <f t="shared" si="106"/>
        <v>8410662728.4800005</v>
      </c>
      <c r="N71" s="190">
        <f t="shared" si="106"/>
        <v>5995028649.4299994</v>
      </c>
      <c r="O71" s="190">
        <f t="shared" si="106"/>
        <v>5199576891.5199995</v>
      </c>
      <c r="P71" s="190">
        <f t="shared" si="106"/>
        <v>4234148606.4099998</v>
      </c>
      <c r="Q71" s="190">
        <f t="shared" si="106"/>
        <v>3471736886.29</v>
      </c>
      <c r="R71" s="190">
        <f t="shared" si="106"/>
        <v>2930926516.1800003</v>
      </c>
      <c r="S71" s="190">
        <f t="shared" si="106"/>
        <v>2722401373.5699997</v>
      </c>
      <c r="T71" s="190">
        <f t="shared" si="106"/>
        <v>0</v>
      </c>
      <c r="U71" s="190">
        <f t="shared" si="106"/>
        <v>0</v>
      </c>
    </row>
    <row r="72" spans="1:21" s="229" customFormat="1">
      <c r="A72" s="229" t="s">
        <v>543</v>
      </c>
      <c r="B72" s="229">
        <f t="shared" ref="B72:D72" si="107">B71/B74</f>
        <v>0.99966893197071305</v>
      </c>
      <c r="C72" s="229">
        <f t="shared" si="107"/>
        <v>0.99978008788758155</v>
      </c>
      <c r="D72" s="229">
        <f t="shared" si="107"/>
        <v>0.99960026394766588</v>
      </c>
      <c r="E72" s="229">
        <f>E71/E74</f>
        <v>0.99962041877231</v>
      </c>
      <c r="F72" s="229">
        <f t="shared" ref="F72:U72" si="108">F71/F74</f>
        <v>0.99859327623124594</v>
      </c>
      <c r="G72" s="229">
        <f t="shared" si="108"/>
        <v>0.99937984433383131</v>
      </c>
      <c r="H72" s="229">
        <f t="shared" si="108"/>
        <v>1</v>
      </c>
      <c r="I72" s="229">
        <f t="shared" si="108"/>
        <v>1</v>
      </c>
      <c r="J72" s="229">
        <f t="shared" si="108"/>
        <v>1</v>
      </c>
      <c r="K72" s="229">
        <f t="shared" si="108"/>
        <v>1</v>
      </c>
      <c r="L72" s="229">
        <f t="shared" si="108"/>
        <v>1</v>
      </c>
      <c r="M72" s="229">
        <f t="shared" si="108"/>
        <v>1</v>
      </c>
      <c r="N72" s="229">
        <f t="shared" si="108"/>
        <v>1</v>
      </c>
      <c r="O72" s="229">
        <f t="shared" si="108"/>
        <v>1</v>
      </c>
      <c r="P72" s="229">
        <f t="shared" si="108"/>
        <v>1</v>
      </c>
      <c r="Q72" s="229">
        <f t="shared" si="108"/>
        <v>1</v>
      </c>
      <c r="R72" s="229">
        <f t="shared" si="108"/>
        <v>1</v>
      </c>
      <c r="S72" s="229">
        <f t="shared" si="108"/>
        <v>1</v>
      </c>
      <c r="T72" s="229" t="e">
        <f t="shared" si="108"/>
        <v>#DIV/0!</v>
      </c>
      <c r="U72" s="229" t="e">
        <f t="shared" si="108"/>
        <v>#DIV/0!</v>
      </c>
    </row>
    <row r="73" spans="1:21" s="231" customFormat="1">
      <c r="A73" s="230" t="s">
        <v>544</v>
      </c>
      <c r="B73" s="232">
        <f t="shared" ref="B73:D73" si="109">B74/B71</f>
        <v>1.0003311776716259</v>
      </c>
      <c r="C73" s="232">
        <f t="shared" si="109"/>
        <v>1.0002199604843933</v>
      </c>
      <c r="D73" s="232">
        <f t="shared" si="109"/>
        <v>1.0003998959051446</v>
      </c>
      <c r="E73" s="232">
        <f>E74/E71</f>
        <v>1.0003797253643101</v>
      </c>
      <c r="F73" s="232">
        <f t="shared" ref="F73:U73" si="110">F74/F71</f>
        <v>1.0014087054281631</v>
      </c>
      <c r="G73" s="232">
        <f t="shared" si="110"/>
        <v>1.0006205404978745</v>
      </c>
      <c r="H73" s="232">
        <f t="shared" si="110"/>
        <v>1</v>
      </c>
      <c r="I73" s="232">
        <f t="shared" si="110"/>
        <v>1</v>
      </c>
      <c r="J73" s="232">
        <f t="shared" si="110"/>
        <v>1</v>
      </c>
      <c r="K73" s="232">
        <f t="shared" si="110"/>
        <v>1</v>
      </c>
      <c r="L73" s="232">
        <f t="shared" si="110"/>
        <v>1</v>
      </c>
      <c r="M73" s="232">
        <f t="shared" si="110"/>
        <v>1</v>
      </c>
      <c r="N73" s="232">
        <f t="shared" si="110"/>
        <v>1</v>
      </c>
      <c r="O73" s="232">
        <f t="shared" si="110"/>
        <v>1</v>
      </c>
      <c r="P73" s="232">
        <f t="shared" si="110"/>
        <v>1</v>
      </c>
      <c r="Q73" s="232">
        <f t="shared" si="110"/>
        <v>1</v>
      </c>
      <c r="R73" s="232">
        <f t="shared" si="110"/>
        <v>1</v>
      </c>
      <c r="S73" s="232">
        <f t="shared" si="110"/>
        <v>1</v>
      </c>
      <c r="T73" s="232" t="e">
        <f t="shared" si="110"/>
        <v>#DIV/0!</v>
      </c>
      <c r="U73" s="232" t="e">
        <f t="shared" si="110"/>
        <v>#DIV/0!</v>
      </c>
    </row>
    <row r="74" spans="1:21">
      <c r="A74" s="17" t="s">
        <v>541</v>
      </c>
      <c r="B74" s="190">
        <f t="shared" ref="B74:D74" si="111">B14</f>
        <v>129189314752.36</v>
      </c>
      <c r="C74" s="190">
        <f t="shared" si="111"/>
        <v>106472505822.89</v>
      </c>
      <c r="D74" s="190">
        <f t="shared" si="111"/>
        <v>86261009305.149994</v>
      </c>
      <c r="E74" s="190">
        <f>E14</f>
        <v>72209702167.820007</v>
      </c>
      <c r="F74" s="190">
        <f t="shared" ref="F74:U74" si="112">F14</f>
        <v>55389468523.029999</v>
      </c>
      <c r="G74" s="190">
        <f t="shared" si="112"/>
        <v>44156476162.149994</v>
      </c>
      <c r="H74" s="190">
        <f t="shared" si="112"/>
        <v>35454036397.25</v>
      </c>
      <c r="I74" s="190">
        <f t="shared" si="112"/>
        <v>25403379611.290001</v>
      </c>
      <c r="J74" s="190">
        <f t="shared" si="112"/>
        <v>18867973890.910004</v>
      </c>
      <c r="K74" s="190">
        <f t="shared" si="112"/>
        <v>14788773056.830002</v>
      </c>
      <c r="L74" s="190">
        <f t="shared" si="112"/>
        <v>11503418295.949999</v>
      </c>
      <c r="M74" s="190">
        <f t="shared" si="112"/>
        <v>8410662728.4800005</v>
      </c>
      <c r="N74" s="190">
        <f t="shared" si="112"/>
        <v>5995028649.4299994</v>
      </c>
      <c r="O74" s="190">
        <f t="shared" si="112"/>
        <v>5199576891.5199995</v>
      </c>
      <c r="P74" s="190">
        <f t="shared" si="112"/>
        <v>4234148606.4099998</v>
      </c>
      <c r="Q74" s="190">
        <f t="shared" si="112"/>
        <v>3471736886.29</v>
      </c>
      <c r="R74" s="190">
        <f t="shared" si="112"/>
        <v>2930926516.1800003</v>
      </c>
      <c r="S74" s="190">
        <f t="shared" si="112"/>
        <v>2722401373.5699997</v>
      </c>
      <c r="T74" s="190">
        <f t="shared" si="112"/>
        <v>0</v>
      </c>
      <c r="U74" s="190">
        <f t="shared" si="112"/>
        <v>0</v>
      </c>
    </row>
    <row r="75" spans="1:21" ht="83.45" customHeight="1">
      <c r="A75" s="276" t="s">
        <v>586</v>
      </c>
      <c r="B75" s="275"/>
      <c r="C75" s="275"/>
      <c r="D75" s="275"/>
      <c r="E75" s="275"/>
      <c r="F75" s="275"/>
      <c r="G75" s="275"/>
      <c r="H75" s="275"/>
      <c r="I75" s="275"/>
      <c r="J75" s="275"/>
      <c r="K75" s="275"/>
      <c r="L75" s="275"/>
      <c r="M75" s="275"/>
      <c r="N75" s="275"/>
      <c r="O75" s="275"/>
      <c r="P75" s="275"/>
      <c r="Q75" s="275"/>
      <c r="R75" s="275"/>
      <c r="S75" s="275"/>
      <c r="T75" s="275"/>
      <c r="U75" s="275"/>
    </row>
    <row r="77" spans="1:21" s="233" customFormat="1">
      <c r="A77" s="234" t="s">
        <v>545</v>
      </c>
      <c r="B77" s="235" t="str">
        <f t="shared" ref="B77:D77" si="113">B1</f>
        <v>2018-12-31</v>
      </c>
      <c r="C77" s="235" t="str">
        <f t="shared" si="113"/>
        <v>2017-12-31</v>
      </c>
      <c r="D77" s="235" t="str">
        <f t="shared" si="113"/>
        <v>2016-12-31</v>
      </c>
      <c r="E77" s="235" t="str">
        <f>E1</f>
        <v>2015-12-31</v>
      </c>
      <c r="F77" s="235" t="str">
        <f t="shared" ref="F77:U77" si="114">F1</f>
        <v>2014-12-31</v>
      </c>
      <c r="G77" s="235" t="str">
        <f t="shared" si="114"/>
        <v>2013-12-31</v>
      </c>
      <c r="H77" s="235" t="str">
        <f t="shared" si="114"/>
        <v>2012-12-31</v>
      </c>
      <c r="I77" s="235" t="str">
        <f t="shared" si="114"/>
        <v>2011-12-31</v>
      </c>
      <c r="J77" s="235" t="str">
        <f t="shared" si="114"/>
        <v>2010-12-31</v>
      </c>
      <c r="K77" s="235" t="str">
        <f t="shared" si="114"/>
        <v>2009-12-31</v>
      </c>
      <c r="L77" s="235" t="str">
        <f t="shared" si="114"/>
        <v>2008-12-31</v>
      </c>
      <c r="M77" s="235" t="str">
        <f t="shared" si="114"/>
        <v>2007-12-31</v>
      </c>
      <c r="N77" s="235" t="str">
        <f t="shared" si="114"/>
        <v>2006-12-31</v>
      </c>
      <c r="O77" s="235" t="str">
        <f t="shared" si="114"/>
        <v>2005-12-31</v>
      </c>
      <c r="P77" s="235" t="str">
        <f t="shared" si="114"/>
        <v>2004-12-31</v>
      </c>
      <c r="Q77" s="235" t="str">
        <f t="shared" si="114"/>
        <v>2003-12-31</v>
      </c>
      <c r="R77" s="235" t="str">
        <f t="shared" si="114"/>
        <v>2002-12-31</v>
      </c>
      <c r="S77" s="235" t="str">
        <f t="shared" si="114"/>
        <v>2001-12-31</v>
      </c>
      <c r="T77" s="235">
        <f t="shared" si="114"/>
        <v>0</v>
      </c>
      <c r="U77" s="235">
        <f t="shared" si="114"/>
        <v>0</v>
      </c>
    </row>
    <row r="78" spans="1:21">
      <c r="A78" s="182" t="s">
        <v>537</v>
      </c>
      <c r="B78" s="89">
        <f t="shared" ref="B78:D78" si="115">B10</f>
        <v>42770451.840000004</v>
      </c>
      <c r="C78" s="89">
        <f t="shared" si="115"/>
        <v>23414593.670000002</v>
      </c>
      <c r="D78" s="89">
        <f t="shared" si="115"/>
        <v>34481635.329999998</v>
      </c>
      <c r="E78" s="89">
        <f>E10</f>
        <v>27409447.399999999</v>
      </c>
      <c r="F78" s="89">
        <f t="shared" ref="F78:U78" si="116">F10</f>
        <v>77917681.909999996</v>
      </c>
      <c r="G78" s="89">
        <f t="shared" si="116"/>
        <v>27383888.890000001</v>
      </c>
      <c r="H78" s="89">
        <f t="shared" si="116"/>
        <v>0</v>
      </c>
      <c r="I78" s="89">
        <f t="shared" si="116"/>
        <v>0</v>
      </c>
      <c r="J78" s="89">
        <f t="shared" si="116"/>
        <v>0</v>
      </c>
      <c r="K78" s="89">
        <f t="shared" si="116"/>
        <v>0</v>
      </c>
      <c r="L78" s="89">
        <f t="shared" si="116"/>
        <v>0</v>
      </c>
      <c r="M78" s="89">
        <f t="shared" si="116"/>
        <v>0</v>
      </c>
      <c r="N78" s="89">
        <f t="shared" si="116"/>
        <v>0</v>
      </c>
      <c r="O78" s="89">
        <f t="shared" si="116"/>
        <v>0</v>
      </c>
      <c r="P78" s="89">
        <f t="shared" si="116"/>
        <v>0</v>
      </c>
      <c r="Q78" s="89">
        <f t="shared" si="116"/>
        <v>0</v>
      </c>
      <c r="R78" s="89">
        <f t="shared" si="116"/>
        <v>0</v>
      </c>
      <c r="S78" s="89">
        <f t="shared" si="116"/>
        <v>0</v>
      </c>
      <c r="T78" s="89">
        <f t="shared" si="116"/>
        <v>0</v>
      </c>
      <c r="U78" s="89">
        <f t="shared" si="116"/>
        <v>0</v>
      </c>
    </row>
    <row r="79" spans="1:21">
      <c r="A79" s="182" t="s">
        <v>546</v>
      </c>
      <c r="B79" s="89">
        <f t="shared" ref="B79:D79" si="117">B78</f>
        <v>42770451.840000004</v>
      </c>
      <c r="C79" s="89">
        <f t="shared" si="117"/>
        <v>23414593.670000002</v>
      </c>
      <c r="D79" s="89">
        <f t="shared" si="117"/>
        <v>34481635.329999998</v>
      </c>
      <c r="E79" s="89">
        <f>E78</f>
        <v>27409447.399999999</v>
      </c>
      <c r="F79" s="89">
        <f t="shared" ref="F79:U79" si="118">F78</f>
        <v>77917681.909999996</v>
      </c>
      <c r="G79" s="89">
        <f t="shared" si="118"/>
        <v>27383888.890000001</v>
      </c>
      <c r="H79" s="89">
        <f t="shared" si="118"/>
        <v>0</v>
      </c>
      <c r="I79" s="89">
        <f t="shared" si="118"/>
        <v>0</v>
      </c>
      <c r="J79" s="89">
        <f t="shared" si="118"/>
        <v>0</v>
      </c>
      <c r="K79" s="89">
        <f t="shared" si="118"/>
        <v>0</v>
      </c>
      <c r="L79" s="89">
        <f t="shared" si="118"/>
        <v>0</v>
      </c>
      <c r="M79" s="89">
        <f t="shared" si="118"/>
        <v>0</v>
      </c>
      <c r="N79" s="89">
        <f t="shared" si="118"/>
        <v>0</v>
      </c>
      <c r="O79" s="89">
        <f t="shared" si="118"/>
        <v>0</v>
      </c>
      <c r="P79" s="89">
        <f t="shared" si="118"/>
        <v>0</v>
      </c>
      <c r="Q79" s="89">
        <f t="shared" si="118"/>
        <v>0</v>
      </c>
      <c r="R79" s="89">
        <f t="shared" si="118"/>
        <v>0</v>
      </c>
      <c r="S79" s="89">
        <f t="shared" si="118"/>
        <v>0</v>
      </c>
      <c r="T79" s="89">
        <f t="shared" si="118"/>
        <v>0</v>
      </c>
      <c r="U79" s="89">
        <f t="shared" si="118"/>
        <v>0</v>
      </c>
    </row>
    <row r="80" spans="1:21" s="217" customFormat="1">
      <c r="A80" s="220" t="s">
        <v>547</v>
      </c>
      <c r="B80" s="220">
        <f t="shared" ref="B80:D80" si="119">B79/B85</f>
        <v>3.3106802928698626E-4</v>
      </c>
      <c r="C80" s="220">
        <f t="shared" si="119"/>
        <v>2.1991211241847389E-4</v>
      </c>
      <c r="D80" s="220">
        <f t="shared" si="119"/>
        <v>3.9973605233414953E-4</v>
      </c>
      <c r="E80" s="220">
        <f>E79/E85</f>
        <v>3.7958122769013328E-4</v>
      </c>
      <c r="F80" s="220">
        <f t="shared" ref="F80:U80" si="120">F79/F85</f>
        <v>1.4067237687540395E-3</v>
      </c>
      <c r="G80" s="220">
        <f t="shared" si="120"/>
        <v>6.2015566616868982E-4</v>
      </c>
      <c r="H80" s="220">
        <f t="shared" si="120"/>
        <v>0</v>
      </c>
      <c r="I80" s="220">
        <f t="shared" si="120"/>
        <v>0</v>
      </c>
      <c r="J80" s="220">
        <f t="shared" si="120"/>
        <v>0</v>
      </c>
      <c r="K80" s="220">
        <f t="shared" si="120"/>
        <v>0</v>
      </c>
      <c r="L80" s="220">
        <f t="shared" si="120"/>
        <v>0</v>
      </c>
      <c r="M80" s="220">
        <f t="shared" si="120"/>
        <v>0</v>
      </c>
      <c r="N80" s="220">
        <f t="shared" si="120"/>
        <v>0</v>
      </c>
      <c r="O80" s="220">
        <f t="shared" si="120"/>
        <v>0</v>
      </c>
      <c r="P80" s="220">
        <f t="shared" si="120"/>
        <v>0</v>
      </c>
      <c r="Q80" s="220">
        <f t="shared" si="120"/>
        <v>0</v>
      </c>
      <c r="R80" s="220">
        <f t="shared" si="120"/>
        <v>0</v>
      </c>
      <c r="S80" s="220">
        <f t="shared" si="120"/>
        <v>0</v>
      </c>
      <c r="T80" s="220" t="e">
        <f t="shared" si="120"/>
        <v>#DIV/0!</v>
      </c>
      <c r="U80" s="220" t="e">
        <f t="shared" si="120"/>
        <v>#DIV/0!</v>
      </c>
    </row>
    <row r="81" spans="1:21">
      <c r="A81" s="182" t="s">
        <v>538</v>
      </c>
      <c r="B81" s="89">
        <f t="shared" ref="B81:D81" si="121">B11</f>
        <v>0</v>
      </c>
      <c r="C81" s="89">
        <f t="shared" si="121"/>
        <v>0</v>
      </c>
      <c r="D81" s="89">
        <f t="shared" si="121"/>
        <v>0</v>
      </c>
      <c r="E81" s="89">
        <f>E11</f>
        <v>0</v>
      </c>
      <c r="F81" s="89">
        <f t="shared" ref="F81:U81" si="122">F11</f>
        <v>0</v>
      </c>
      <c r="G81" s="89">
        <f t="shared" si="122"/>
        <v>0</v>
      </c>
      <c r="H81" s="89">
        <f t="shared" si="122"/>
        <v>0</v>
      </c>
      <c r="I81" s="89">
        <f t="shared" si="122"/>
        <v>0</v>
      </c>
      <c r="J81" s="89">
        <f t="shared" si="122"/>
        <v>0</v>
      </c>
      <c r="K81" s="89">
        <f t="shared" si="122"/>
        <v>0</v>
      </c>
      <c r="L81" s="89">
        <f t="shared" si="122"/>
        <v>0</v>
      </c>
      <c r="M81" s="89">
        <f t="shared" si="122"/>
        <v>0</v>
      </c>
      <c r="N81" s="89">
        <f t="shared" si="122"/>
        <v>0</v>
      </c>
      <c r="O81" s="89">
        <f t="shared" si="122"/>
        <v>0</v>
      </c>
      <c r="P81" s="89">
        <f t="shared" si="122"/>
        <v>0</v>
      </c>
      <c r="Q81" s="89">
        <f t="shared" si="122"/>
        <v>0</v>
      </c>
      <c r="R81" s="89">
        <f t="shared" si="122"/>
        <v>0</v>
      </c>
      <c r="S81" s="89">
        <f t="shared" si="122"/>
        <v>0</v>
      </c>
      <c r="T81" s="89">
        <f t="shared" si="122"/>
        <v>0</v>
      </c>
      <c r="U81" s="89">
        <f t="shared" si="122"/>
        <v>0</v>
      </c>
    </row>
    <row r="82" spans="1:21">
      <c r="A82" s="182" t="s">
        <v>540</v>
      </c>
      <c r="B82" s="89">
        <f t="shared" ref="B82:D82" si="123">B13</f>
        <v>129146544300.52</v>
      </c>
      <c r="C82" s="89">
        <f t="shared" si="123"/>
        <v>106449091229.22</v>
      </c>
      <c r="D82" s="89">
        <f t="shared" si="123"/>
        <v>86226527669.819992</v>
      </c>
      <c r="E82" s="89">
        <f>E13</f>
        <v>72182292720.420013</v>
      </c>
      <c r="F82" s="89">
        <f t="shared" ref="F82:U82" si="124">F13</f>
        <v>55311550841.119995</v>
      </c>
      <c r="G82" s="89">
        <f t="shared" si="124"/>
        <v>44129092273.259995</v>
      </c>
      <c r="H82" s="89">
        <f t="shared" si="124"/>
        <v>35454036397.25</v>
      </c>
      <c r="I82" s="89">
        <f t="shared" si="124"/>
        <v>25403379611.290001</v>
      </c>
      <c r="J82" s="89">
        <f t="shared" si="124"/>
        <v>18867973890.910004</v>
      </c>
      <c r="K82" s="89">
        <f t="shared" si="124"/>
        <v>14788773056.830002</v>
      </c>
      <c r="L82" s="89">
        <f t="shared" si="124"/>
        <v>11503418295.949999</v>
      </c>
      <c r="M82" s="89">
        <f t="shared" si="124"/>
        <v>8410662728.4800005</v>
      </c>
      <c r="N82" s="89">
        <f t="shared" si="124"/>
        <v>5995028649.4299994</v>
      </c>
      <c r="O82" s="89">
        <f t="shared" si="124"/>
        <v>5199576891.5199995</v>
      </c>
      <c r="P82" s="89">
        <f t="shared" si="124"/>
        <v>4234148606.4099998</v>
      </c>
      <c r="Q82" s="89">
        <f t="shared" si="124"/>
        <v>3471736886.29</v>
      </c>
      <c r="R82" s="89">
        <f t="shared" si="124"/>
        <v>2930926516.1800003</v>
      </c>
      <c r="S82" s="89">
        <f t="shared" si="124"/>
        <v>2722401373.5699997</v>
      </c>
      <c r="T82" s="89">
        <f t="shared" si="124"/>
        <v>0</v>
      </c>
      <c r="U82" s="89">
        <f t="shared" si="124"/>
        <v>0</v>
      </c>
    </row>
    <row r="83" spans="1:21">
      <c r="A83" s="182" t="s">
        <v>548</v>
      </c>
      <c r="B83" s="89">
        <f t="shared" ref="B83:D83" si="125">B81+B82</f>
        <v>129146544300.52</v>
      </c>
      <c r="C83" s="89">
        <f t="shared" si="125"/>
        <v>106449091229.22</v>
      </c>
      <c r="D83" s="89">
        <f t="shared" si="125"/>
        <v>86226527669.819992</v>
      </c>
      <c r="E83" s="89">
        <f>E81+E82</f>
        <v>72182292720.420013</v>
      </c>
      <c r="F83" s="89">
        <f t="shared" ref="F83:U83" si="126">F81+F82</f>
        <v>55311550841.119995</v>
      </c>
      <c r="G83" s="89">
        <f t="shared" si="126"/>
        <v>44129092273.259995</v>
      </c>
      <c r="H83" s="89">
        <f t="shared" si="126"/>
        <v>35454036397.25</v>
      </c>
      <c r="I83" s="89">
        <f t="shared" si="126"/>
        <v>25403379611.290001</v>
      </c>
      <c r="J83" s="89">
        <f t="shared" si="126"/>
        <v>18867973890.910004</v>
      </c>
      <c r="K83" s="89">
        <f t="shared" si="126"/>
        <v>14788773056.830002</v>
      </c>
      <c r="L83" s="89">
        <f t="shared" si="126"/>
        <v>11503418295.949999</v>
      </c>
      <c r="M83" s="89">
        <f t="shared" si="126"/>
        <v>8410662728.4800005</v>
      </c>
      <c r="N83" s="89">
        <f t="shared" si="126"/>
        <v>5995028649.4299994</v>
      </c>
      <c r="O83" s="89">
        <f t="shared" si="126"/>
        <v>5199576891.5199995</v>
      </c>
      <c r="P83" s="89">
        <f t="shared" si="126"/>
        <v>4234148606.4099998</v>
      </c>
      <c r="Q83" s="89">
        <f t="shared" si="126"/>
        <v>3471736886.29</v>
      </c>
      <c r="R83" s="89">
        <f t="shared" si="126"/>
        <v>2930926516.1800003</v>
      </c>
      <c r="S83" s="89">
        <f t="shared" si="126"/>
        <v>2722401373.5699997</v>
      </c>
      <c r="T83" s="89">
        <f t="shared" si="126"/>
        <v>0</v>
      </c>
      <c r="U83" s="89">
        <f t="shared" si="126"/>
        <v>0</v>
      </c>
    </row>
    <row r="84" spans="1:21" s="217" customFormat="1">
      <c r="A84" s="220" t="s">
        <v>549</v>
      </c>
      <c r="B84" s="220">
        <f t="shared" ref="B84:D84" si="127">B83/B85</f>
        <v>0.99966893197071305</v>
      </c>
      <c r="C84" s="220">
        <f t="shared" si="127"/>
        <v>0.99978008788758155</v>
      </c>
      <c r="D84" s="220">
        <f t="shared" si="127"/>
        <v>0.99960026394766588</v>
      </c>
      <c r="E84" s="220">
        <f>E83/E85</f>
        <v>0.99962041877231</v>
      </c>
      <c r="F84" s="220">
        <f t="shared" ref="F84:U84" si="128">F83/F85</f>
        <v>0.99859327623124594</v>
      </c>
      <c r="G84" s="220">
        <f t="shared" si="128"/>
        <v>0.99937984433383131</v>
      </c>
      <c r="H84" s="220">
        <f t="shared" si="128"/>
        <v>1</v>
      </c>
      <c r="I84" s="220">
        <f t="shared" si="128"/>
        <v>1</v>
      </c>
      <c r="J84" s="220">
        <f t="shared" si="128"/>
        <v>1</v>
      </c>
      <c r="K84" s="220">
        <f t="shared" si="128"/>
        <v>1</v>
      </c>
      <c r="L84" s="220">
        <f t="shared" si="128"/>
        <v>1</v>
      </c>
      <c r="M84" s="220">
        <f t="shared" si="128"/>
        <v>1</v>
      </c>
      <c r="N84" s="220">
        <f t="shared" si="128"/>
        <v>1</v>
      </c>
      <c r="O84" s="220">
        <f t="shared" si="128"/>
        <v>1</v>
      </c>
      <c r="P84" s="220">
        <f t="shared" si="128"/>
        <v>1</v>
      </c>
      <c r="Q84" s="220">
        <f t="shared" si="128"/>
        <v>1</v>
      </c>
      <c r="R84" s="220">
        <f t="shared" si="128"/>
        <v>1</v>
      </c>
      <c r="S84" s="220">
        <f t="shared" si="128"/>
        <v>1</v>
      </c>
      <c r="T84" s="220" t="e">
        <f t="shared" si="128"/>
        <v>#DIV/0!</v>
      </c>
      <c r="U84" s="220" t="e">
        <f t="shared" si="128"/>
        <v>#DIV/0!</v>
      </c>
    </row>
    <row r="85" spans="1:21">
      <c r="A85" s="182" t="s">
        <v>541</v>
      </c>
      <c r="B85" s="89">
        <f t="shared" ref="B85:D85" si="129">B14</f>
        <v>129189314752.36</v>
      </c>
      <c r="C85" s="89">
        <f t="shared" si="129"/>
        <v>106472505822.89</v>
      </c>
      <c r="D85" s="89">
        <f t="shared" si="129"/>
        <v>86261009305.149994</v>
      </c>
      <c r="E85" s="89">
        <f>E14</f>
        <v>72209702167.820007</v>
      </c>
      <c r="F85" s="89">
        <f t="shared" ref="F85:U85" si="130">F14</f>
        <v>55389468523.029999</v>
      </c>
      <c r="G85" s="89">
        <f t="shared" si="130"/>
        <v>44156476162.149994</v>
      </c>
      <c r="H85" s="89">
        <f t="shared" si="130"/>
        <v>35454036397.25</v>
      </c>
      <c r="I85" s="89">
        <f t="shared" si="130"/>
        <v>25403379611.290001</v>
      </c>
      <c r="J85" s="89">
        <f t="shared" si="130"/>
        <v>18867973890.910004</v>
      </c>
      <c r="K85" s="89">
        <f t="shared" si="130"/>
        <v>14788773056.830002</v>
      </c>
      <c r="L85" s="89">
        <f t="shared" si="130"/>
        <v>11503418295.949999</v>
      </c>
      <c r="M85" s="89">
        <f t="shared" si="130"/>
        <v>8410662728.4800005</v>
      </c>
      <c r="N85" s="89">
        <f t="shared" si="130"/>
        <v>5995028649.4299994</v>
      </c>
      <c r="O85" s="89">
        <f t="shared" si="130"/>
        <v>5199576891.5199995</v>
      </c>
      <c r="P85" s="89">
        <f t="shared" si="130"/>
        <v>4234148606.4099998</v>
      </c>
      <c r="Q85" s="89">
        <f t="shared" si="130"/>
        <v>3471736886.29</v>
      </c>
      <c r="R85" s="89">
        <f t="shared" si="130"/>
        <v>2930926516.1800003</v>
      </c>
      <c r="S85" s="89">
        <f t="shared" si="130"/>
        <v>2722401373.5699997</v>
      </c>
      <c r="T85" s="89">
        <f t="shared" si="130"/>
        <v>0</v>
      </c>
      <c r="U85" s="89">
        <f t="shared" si="130"/>
        <v>0</v>
      </c>
    </row>
    <row r="87" spans="1:21" s="56" customFormat="1" ht="85.9" customHeight="1">
      <c r="A87" s="274" t="s">
        <v>587</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25" sqref="A25:AG25"/>
    </sheetView>
  </sheetViews>
  <sheetFormatPr defaultRowHeight="13.5"/>
  <cols>
    <col min="1" max="1" width="45.625" style="17" bestFit="1" customWidth="1"/>
    <col min="2" max="8" width="20.5" bestFit="1" customWidth="1"/>
    <col min="9" max="9" width="27.5" bestFit="1" customWidth="1"/>
    <col min="10" max="10" width="20.5" bestFit="1" customWidth="1"/>
    <col min="11" max="12" width="19.375" bestFit="1" customWidth="1"/>
    <col min="13" max="13" width="25.25" bestFit="1" customWidth="1"/>
    <col min="14" max="19" width="19.375" bestFit="1" customWidth="1"/>
    <col min="20" max="47" width="20.5" bestFit="1" customWidth="1"/>
    <col min="48" max="49" width="18.375" bestFit="1" customWidth="1"/>
    <col min="50" max="50" width="20.5" bestFit="1" customWidth="1"/>
    <col min="51" max="53" width="18.375" bestFit="1" customWidth="1"/>
    <col min="54" max="54" width="20.5" bestFit="1" customWidth="1"/>
    <col min="55" max="74" width="18.375" bestFit="1" customWidth="1"/>
    <col min="75" max="75" width="9.625" bestFit="1" customWidth="1"/>
    <col min="76" max="81" width="18.375" bestFit="1" customWidth="1"/>
    <col min="82" max="82" width="9.625" bestFit="1" customWidth="1"/>
    <col min="83"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315"/>
      <c r="U1" s="315"/>
      <c r="V1" s="315"/>
      <c r="W1" s="315"/>
      <c r="X1" s="315"/>
      <c r="Y1" s="315"/>
      <c r="Z1" s="315"/>
      <c r="AA1" s="315"/>
      <c r="AB1" s="315"/>
      <c r="AC1" s="315"/>
      <c r="AD1" s="315"/>
      <c r="AE1" s="315"/>
      <c r="AF1" s="315"/>
      <c r="AG1" s="315"/>
      <c r="AH1" s="315"/>
      <c r="AI1" s="315"/>
      <c r="AJ1" s="315"/>
      <c r="AK1" s="315"/>
      <c r="AL1" s="315"/>
      <c r="AM1" s="315"/>
      <c r="AN1" s="315"/>
      <c r="AO1" s="315"/>
      <c r="AP1" s="315"/>
      <c r="AQ1" s="315"/>
      <c r="AR1" s="315"/>
      <c r="AS1" s="315"/>
      <c r="AT1" s="315"/>
      <c r="AU1" s="315"/>
      <c r="AV1" s="315"/>
      <c r="AW1" s="315"/>
      <c r="AX1" s="315"/>
      <c r="AY1" s="315"/>
      <c r="AZ1" s="315"/>
      <c r="BA1" s="315"/>
      <c r="BB1" s="315"/>
      <c r="BC1" s="315"/>
      <c r="BD1" s="315"/>
      <c r="BE1" s="315"/>
      <c r="BF1" s="315"/>
      <c r="BG1" s="315"/>
      <c r="BH1" s="315"/>
      <c r="BI1" s="315"/>
      <c r="BJ1" s="315"/>
      <c r="BK1" s="315"/>
      <c r="BL1" s="315"/>
      <c r="BM1" s="315"/>
      <c r="BN1" s="315"/>
      <c r="BO1" s="315"/>
      <c r="BP1" s="315"/>
      <c r="BQ1" s="315"/>
      <c r="BR1" s="315"/>
      <c r="BS1" s="315"/>
      <c r="BT1" s="315"/>
      <c r="BU1" s="315"/>
      <c r="BV1" s="315"/>
      <c r="BW1" s="315"/>
      <c r="BX1" s="315"/>
      <c r="BY1" s="315"/>
      <c r="BZ1" s="315"/>
      <c r="CA1" s="315"/>
      <c r="CB1" s="315"/>
      <c r="CC1" s="315"/>
      <c r="CD1" s="315"/>
      <c r="CE1" s="315"/>
      <c r="CF1" s="315"/>
      <c r="CG1" s="315"/>
      <c r="CH1" s="315"/>
      <c r="CI1" s="315"/>
      <c r="CJ1" s="315"/>
      <c r="CK1" s="315"/>
    </row>
    <row r="2" spans="1:89" s="26" customFormat="1">
      <c r="A2" s="17" t="s">
        <v>238</v>
      </c>
      <c r="B2" s="190">
        <f>股权价值增加表!B4</f>
        <v>73638872388.029999</v>
      </c>
      <c r="C2" s="190">
        <f>股权价值增加表!C4</f>
        <v>58217861314.169998</v>
      </c>
      <c r="D2" s="190">
        <f>股权价值增加表!D4</f>
        <v>38862189993.839996</v>
      </c>
      <c r="E2" s="26">
        <f>股权价值增加表!E4</f>
        <v>32659583725.279999</v>
      </c>
      <c r="F2" s="26">
        <f>股权价值增加表!F4</f>
        <v>31573928530.939999</v>
      </c>
      <c r="G2" s="26">
        <f>股权价值增加表!G4</f>
        <v>30921801316.599998</v>
      </c>
      <c r="H2" s="26">
        <f>股权价值增加表!H4</f>
        <v>26455335152.990002</v>
      </c>
      <c r="I2" s="26">
        <f>股权价值增加表!I4</f>
        <v>18402355207.299999</v>
      </c>
      <c r="J2" s="26">
        <f>股权价值增加表!J4</f>
        <v>11633283740.18</v>
      </c>
      <c r="K2" s="26">
        <f>股权价值增加表!K4</f>
        <v>9669999065.3899994</v>
      </c>
      <c r="L2" s="26">
        <f>股权价值增加表!L4</f>
        <v>8241685564.1099997</v>
      </c>
      <c r="M2" s="26">
        <f>股权价值增加表!M4</f>
        <v>7237430747.1199999</v>
      </c>
      <c r="N2" s="26">
        <f>股权价值增加表!N4</f>
        <v>4896186901.21</v>
      </c>
      <c r="O2" s="26">
        <f>股权价值增加表!O4</f>
        <v>3930515237.6100001</v>
      </c>
      <c r="P2" s="26">
        <f>股权价值增加表!P4</f>
        <v>3009793519.9200001</v>
      </c>
      <c r="Q2" s="26">
        <f>股权价值增加表!Q4</f>
        <v>2401017934.9299998</v>
      </c>
      <c r="R2" s="26">
        <f>股权价值增加表!R4</f>
        <v>1838129976.3399999</v>
      </c>
      <c r="S2" s="26">
        <f>股权价值增加表!S4</f>
        <v>1619202408.97</v>
      </c>
      <c r="T2" s="26">
        <f>股权价值增加表!T4</f>
        <v>0</v>
      </c>
      <c r="U2" s="26">
        <f>股权价值增加表!U4</f>
        <v>0</v>
      </c>
      <c r="V2" s="26">
        <f>股权价值增加表!V4</f>
        <v>0</v>
      </c>
      <c r="W2" s="26">
        <f>股权价值增加表!W4</f>
        <v>0</v>
      </c>
      <c r="X2" s="26">
        <f>股权价值增加表!X4</f>
        <v>0</v>
      </c>
      <c r="Y2" s="26">
        <f>股权价值增加表!Y4</f>
        <v>0</v>
      </c>
      <c r="Z2" s="26">
        <f>股权价值增加表!Z4</f>
        <v>0</v>
      </c>
      <c r="AA2" s="26">
        <f>股权价值增加表!AA4</f>
        <v>0</v>
      </c>
      <c r="AB2" s="26">
        <f>股权价值增加表!AB4</f>
        <v>0</v>
      </c>
      <c r="AC2" s="26">
        <f>股权价值增加表!AC4</f>
        <v>0</v>
      </c>
      <c r="AD2" s="26">
        <f>股权价值增加表!AD4</f>
        <v>0</v>
      </c>
      <c r="AE2" s="26">
        <f>股权价值增加表!AE4</f>
        <v>0</v>
      </c>
      <c r="AF2" s="26">
        <f>股权价值增加表!AF4</f>
        <v>0</v>
      </c>
      <c r="AG2" s="26">
        <f>股权价值增加表!AG4</f>
        <v>0</v>
      </c>
      <c r="AH2" s="26">
        <f>股权价值增加表!AH4</f>
        <v>0</v>
      </c>
      <c r="AI2" s="26">
        <f>股权价值增加表!AI4</f>
        <v>0</v>
      </c>
      <c r="AJ2" s="26">
        <f>股权价值增加表!AJ4</f>
        <v>0</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259</v>
      </c>
      <c r="B3" s="66">
        <f t="shared" ref="B3:D3" si="0">(B2-F2)/F2</f>
        <v>1.3322682926791836</v>
      </c>
      <c r="C3" s="66">
        <f t="shared" si="0"/>
        <v>0.88274482194918047</v>
      </c>
      <c r="D3" s="66">
        <f t="shared" si="0"/>
        <v>0.46897364063247421</v>
      </c>
      <c r="E3" s="66">
        <f>(E2-I2)/I2</f>
        <v>0.77475020764322189</v>
      </c>
      <c r="F3" s="66">
        <f t="shared" ref="F3:BQ3" si="1">(F2-J2)/J2</f>
        <v>1.7141028480107767</v>
      </c>
      <c r="G3" s="66">
        <f t="shared" si="1"/>
        <v>2.1977046851299664</v>
      </c>
      <c r="H3" s="66">
        <f t="shared" si="1"/>
        <v>2.2099423045444526</v>
      </c>
      <c r="I3" s="66">
        <f t="shared" si="1"/>
        <v>1.5426640820878146</v>
      </c>
      <c r="J3" s="66">
        <f t="shared" si="1"/>
        <v>1.3759884936796538</v>
      </c>
      <c r="K3" s="66">
        <f t="shared" si="1"/>
        <v>1.460237012405011</v>
      </c>
      <c r="L3" s="66">
        <f t="shared" si="1"/>
        <v>1.7382893575799387</v>
      </c>
      <c r="M3" s="66">
        <f t="shared" si="1"/>
        <v>2.0143176532877516</v>
      </c>
      <c r="N3" s="66">
        <f t="shared" si="1"/>
        <v>1.6636782840346593</v>
      </c>
      <c r="O3" s="66">
        <f t="shared" si="1"/>
        <v>1.4274390995442396</v>
      </c>
      <c r="P3" s="66" t="e">
        <f t="shared" si="1"/>
        <v>#DIV/0!</v>
      </c>
      <c r="Q3" s="66" t="e">
        <f t="shared" si="1"/>
        <v>#DIV/0!</v>
      </c>
      <c r="R3" s="66" t="e">
        <f t="shared" si="1"/>
        <v>#DIV/0!</v>
      </c>
      <c r="S3" s="66" t="e">
        <f t="shared" si="1"/>
        <v>#DIV/0!</v>
      </c>
      <c r="T3" s="66" t="e">
        <f t="shared" si="1"/>
        <v>#DIV/0!</v>
      </c>
      <c r="U3" s="66" t="e">
        <f t="shared" si="1"/>
        <v>#DIV/0!</v>
      </c>
      <c r="V3" s="66" t="e">
        <f t="shared" si="1"/>
        <v>#DIV/0!</v>
      </c>
      <c r="W3" s="66" t="e">
        <f t="shared" si="1"/>
        <v>#DIV/0!</v>
      </c>
      <c r="X3" s="66" t="e">
        <f t="shared" si="1"/>
        <v>#DIV/0!</v>
      </c>
      <c r="Y3" s="66" t="e">
        <f t="shared" si="1"/>
        <v>#DIV/0!</v>
      </c>
      <c r="Z3" s="66" t="e">
        <f t="shared" si="1"/>
        <v>#DIV/0!</v>
      </c>
      <c r="AA3" s="66" t="e">
        <f t="shared" si="1"/>
        <v>#DIV/0!</v>
      </c>
      <c r="AB3" s="66" t="e">
        <f t="shared" si="1"/>
        <v>#DIV/0!</v>
      </c>
      <c r="AC3" s="66" t="e">
        <f t="shared" si="1"/>
        <v>#DIV/0!</v>
      </c>
      <c r="AD3" s="66" t="e">
        <f t="shared" si="1"/>
        <v>#DIV/0!</v>
      </c>
      <c r="AE3" s="66" t="e">
        <f t="shared" si="1"/>
        <v>#DIV/0!</v>
      </c>
      <c r="AF3" s="66" t="e">
        <f t="shared" si="1"/>
        <v>#DIV/0!</v>
      </c>
      <c r="AG3" s="66" t="e">
        <f t="shared" si="1"/>
        <v>#DIV/0!</v>
      </c>
      <c r="AH3" s="66" t="e">
        <f t="shared" si="1"/>
        <v>#DIV/0!</v>
      </c>
      <c r="AI3" s="66" t="e">
        <f t="shared" si="1"/>
        <v>#DIV/0!</v>
      </c>
      <c r="AJ3" s="66" t="e">
        <f t="shared" si="1"/>
        <v>#DIV/0!</v>
      </c>
      <c r="AK3" s="66" t="e">
        <f t="shared" si="1"/>
        <v>#DIV/0!</v>
      </c>
      <c r="AL3" s="66" t="e">
        <f t="shared" si="1"/>
        <v>#DIV/0!</v>
      </c>
      <c r="AM3" s="66" t="e">
        <f t="shared" si="1"/>
        <v>#DIV/0!</v>
      </c>
      <c r="AN3" s="66" t="e">
        <f t="shared" si="1"/>
        <v>#DIV/0!</v>
      </c>
      <c r="AO3" s="66" t="e">
        <f t="shared" si="1"/>
        <v>#DIV/0!</v>
      </c>
      <c r="AP3" s="66" t="e">
        <f t="shared" si="1"/>
        <v>#DIV/0!</v>
      </c>
      <c r="AQ3" s="66" t="e">
        <f t="shared" si="1"/>
        <v>#DIV/0!</v>
      </c>
      <c r="AR3" s="66" t="e">
        <f t="shared" si="1"/>
        <v>#DIV/0!</v>
      </c>
      <c r="AS3" s="66" t="e">
        <f t="shared" si="1"/>
        <v>#DIV/0!</v>
      </c>
      <c r="AT3" s="66" t="e">
        <f t="shared" si="1"/>
        <v>#DIV/0!</v>
      </c>
      <c r="AU3" s="66" t="e">
        <f t="shared" si="1"/>
        <v>#DIV/0!</v>
      </c>
      <c r="AV3" s="66" t="e">
        <f t="shared" si="1"/>
        <v>#DIV/0!</v>
      </c>
      <c r="AW3" s="66" t="e">
        <f t="shared" si="1"/>
        <v>#DIV/0!</v>
      </c>
      <c r="AX3" s="66" t="e">
        <f t="shared" si="1"/>
        <v>#DIV/0!</v>
      </c>
      <c r="AY3" s="66" t="e">
        <f t="shared" si="1"/>
        <v>#DIV/0!</v>
      </c>
      <c r="AZ3" s="66" t="e">
        <f t="shared" si="1"/>
        <v>#DIV/0!</v>
      </c>
      <c r="BA3" s="66" t="e">
        <f t="shared" si="1"/>
        <v>#DIV/0!</v>
      </c>
      <c r="BB3" s="66" t="e">
        <f t="shared" si="1"/>
        <v>#DIV/0!</v>
      </c>
      <c r="BC3" s="66" t="e">
        <f t="shared" si="1"/>
        <v>#DIV/0!</v>
      </c>
      <c r="BD3" s="66" t="e">
        <f t="shared" si="1"/>
        <v>#DIV/0!</v>
      </c>
      <c r="BE3" s="66" t="e">
        <f t="shared" si="1"/>
        <v>#DIV/0!</v>
      </c>
      <c r="BF3" s="66" t="e">
        <f t="shared" si="1"/>
        <v>#DIV/0!</v>
      </c>
      <c r="BG3" s="66" t="e">
        <f t="shared" si="1"/>
        <v>#DIV/0!</v>
      </c>
      <c r="BH3" s="66" t="e">
        <f t="shared" si="1"/>
        <v>#DIV/0!</v>
      </c>
      <c r="BI3" s="66" t="e">
        <f t="shared" si="1"/>
        <v>#DIV/0!</v>
      </c>
      <c r="BJ3" s="66" t="e">
        <f t="shared" si="1"/>
        <v>#DIV/0!</v>
      </c>
      <c r="BK3" s="66" t="e">
        <f t="shared" si="1"/>
        <v>#DIV/0!</v>
      </c>
      <c r="BL3" s="66" t="e">
        <f t="shared" si="1"/>
        <v>#DIV/0!</v>
      </c>
      <c r="BM3" s="66" t="e">
        <f t="shared" si="1"/>
        <v>#DIV/0!</v>
      </c>
      <c r="BN3" s="66" t="e">
        <f t="shared" si="1"/>
        <v>#DIV/0!</v>
      </c>
      <c r="BO3" s="66" t="e">
        <f t="shared" si="1"/>
        <v>#DIV/0!</v>
      </c>
      <c r="BP3" s="66" t="e">
        <f t="shared" si="1"/>
        <v>#DIV/0!</v>
      </c>
      <c r="BQ3" s="66" t="e">
        <f t="shared" si="1"/>
        <v>#DIV/0!</v>
      </c>
      <c r="BR3" s="66" t="e">
        <f t="shared" ref="BR3:CJ3" si="2">(BR2-BV2)/BV2</f>
        <v>#DIV/0!</v>
      </c>
      <c r="BS3" s="66" t="e">
        <f t="shared" si="2"/>
        <v>#DIV/0!</v>
      </c>
      <c r="BT3" s="66" t="e">
        <f t="shared" si="2"/>
        <v>#DIV/0!</v>
      </c>
      <c r="BU3" s="66" t="e">
        <f t="shared" si="2"/>
        <v>#DIV/0!</v>
      </c>
      <c r="BV3" s="66" t="e">
        <f t="shared" si="2"/>
        <v>#DIV/0!</v>
      </c>
      <c r="BW3" s="66" t="e">
        <f t="shared" si="2"/>
        <v>#DIV/0!</v>
      </c>
      <c r="BX3" s="66" t="e">
        <f t="shared" si="2"/>
        <v>#DIV/0!</v>
      </c>
      <c r="BY3" s="66" t="e">
        <f t="shared" si="2"/>
        <v>#DIV/0!</v>
      </c>
      <c r="BZ3" s="66" t="e">
        <f t="shared" si="2"/>
        <v>#DIV/0!</v>
      </c>
      <c r="CA3" s="66" t="e">
        <f t="shared" si="2"/>
        <v>#DIV/0!</v>
      </c>
      <c r="CB3" s="66" t="e">
        <f t="shared" si="2"/>
        <v>#DIV/0!</v>
      </c>
      <c r="CC3" s="66" t="e">
        <f t="shared" si="2"/>
        <v>#DIV/0!</v>
      </c>
      <c r="CD3" s="66" t="e">
        <f t="shared" si="2"/>
        <v>#DIV/0!</v>
      </c>
      <c r="CE3" s="66" t="e">
        <f t="shared" si="2"/>
        <v>#DIV/0!</v>
      </c>
      <c r="CF3" s="66" t="e">
        <f t="shared" si="2"/>
        <v>#DIV/0!</v>
      </c>
      <c r="CG3" s="66" t="e">
        <f t="shared" si="2"/>
        <v>#DIV/0!</v>
      </c>
      <c r="CH3" s="66" t="e">
        <f t="shared" si="2"/>
        <v>#DIV/0!</v>
      </c>
      <c r="CI3" s="66" t="e">
        <f t="shared" si="2"/>
        <v>#DIV/0!</v>
      </c>
      <c r="CJ3" s="66" t="e">
        <f t="shared" si="2"/>
        <v>#DIV/0!</v>
      </c>
    </row>
    <row r="4" spans="1:89" s="26" customFormat="1">
      <c r="A4" s="17" t="s">
        <v>239</v>
      </c>
      <c r="B4" s="190">
        <f>股权价值增加表!B5</f>
        <v>6522921833.7700005</v>
      </c>
      <c r="C4" s="190">
        <f>股权价值增加表!C5</f>
        <v>5940436371.9700003</v>
      </c>
      <c r="D4" s="190">
        <f>股权价值增加表!D5</f>
        <v>3410104085.9699998</v>
      </c>
      <c r="E4" s="26">
        <f>股权价值增加表!E5</f>
        <v>2538337449.0599999</v>
      </c>
      <c r="F4" s="26">
        <f>股权价值增加表!F5</f>
        <v>2338550532.3299999</v>
      </c>
      <c r="G4" s="26">
        <f>股权价值增加表!G5</f>
        <v>2193920307.9899998</v>
      </c>
      <c r="H4" s="26">
        <f>股权价值增加表!H5</f>
        <v>2044306468.76</v>
      </c>
      <c r="I4" s="26">
        <f>股权价值增加表!I5</f>
        <v>1551233976.0599999</v>
      </c>
      <c r="J4" s="26">
        <f>股权价值增加表!J5</f>
        <v>1052931591.61</v>
      </c>
      <c r="K4" s="26">
        <f>股权价值增加表!K5</f>
        <v>950672855.26999998</v>
      </c>
      <c r="L4" s="26">
        <f>股权价值增加表!L5</f>
        <v>799713319.24000001</v>
      </c>
      <c r="M4" s="26">
        <f>股权价值增加表!M5</f>
        <v>871643568.33000004</v>
      </c>
      <c r="N4" s="26">
        <f>股权价值增加表!N5</f>
        <v>791179840.49000001</v>
      </c>
      <c r="O4" s="26">
        <f>股权价值增加表!O5</f>
        <v>687106816.67999995</v>
      </c>
      <c r="P4" s="26">
        <f>股权价值增加表!P5</f>
        <v>535056248.94999999</v>
      </c>
      <c r="Q4" s="26">
        <f>股权价值增加表!Q5</f>
        <v>477388129.86000001</v>
      </c>
      <c r="R4" s="26">
        <f>股权价值增加表!R5</f>
        <v>340556444.79000002</v>
      </c>
      <c r="S4" s="26">
        <f>股权价值增加表!S5</f>
        <v>287538468.11000001</v>
      </c>
      <c r="T4" s="26">
        <f>股权价值增加表!T5</f>
        <v>0</v>
      </c>
      <c r="U4" s="26">
        <f>股权价值增加表!U5</f>
        <v>0</v>
      </c>
      <c r="V4" s="26">
        <f>股权价值增加表!V5</f>
        <v>0</v>
      </c>
      <c r="W4" s="26">
        <f>股权价值增加表!W5</f>
        <v>0</v>
      </c>
      <c r="X4" s="26">
        <f>股权价值增加表!X5</f>
        <v>0</v>
      </c>
      <c r="Y4" s="26">
        <f>股权价值增加表!Y5</f>
        <v>0</v>
      </c>
      <c r="Z4" s="26">
        <f>股权价值增加表!Z5</f>
        <v>0</v>
      </c>
      <c r="AA4" s="26">
        <f>股权价值增加表!AA5</f>
        <v>0</v>
      </c>
      <c r="AB4" s="26">
        <f>股权价值增加表!AB5</f>
        <v>0</v>
      </c>
      <c r="AC4" s="26">
        <f>股权价值增加表!AC5</f>
        <v>0</v>
      </c>
      <c r="AD4" s="26">
        <f>股权价值增加表!AD5</f>
        <v>0</v>
      </c>
      <c r="AE4" s="26">
        <f>股权价值增加表!AE5</f>
        <v>0</v>
      </c>
      <c r="AF4" s="26">
        <f>股权价值增加表!AF5</f>
        <v>0</v>
      </c>
      <c r="AG4" s="26">
        <f>股权价值增加表!AG5</f>
        <v>0</v>
      </c>
      <c r="AH4" s="26">
        <f>股权价值增加表!AH5</f>
        <v>0</v>
      </c>
      <c r="AI4" s="26">
        <f>股权价值增加表!AI5</f>
        <v>0</v>
      </c>
      <c r="AJ4" s="26">
        <f>股权价值增加表!AJ5</f>
        <v>0</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240</v>
      </c>
      <c r="B5" s="66">
        <f t="shared" ref="B5:D5" si="3">B4/B2</f>
        <v>8.8579871231573903E-2</v>
      </c>
      <c r="C5" s="66">
        <f t="shared" si="3"/>
        <v>0.1020380384623322</v>
      </c>
      <c r="D5" s="66">
        <f t="shared" si="3"/>
        <v>8.7748633993877639E-2</v>
      </c>
      <c r="E5" s="66">
        <f t="shared" ref="E5:AJ5" si="4">E4/E2</f>
        <v>7.7721059472512857E-2</v>
      </c>
      <c r="F5" s="66">
        <f t="shared" si="4"/>
        <v>7.4065871468556782E-2</v>
      </c>
      <c r="G5" s="66">
        <f t="shared" si="4"/>
        <v>7.0950598431412201E-2</v>
      </c>
      <c r="H5" s="66">
        <f t="shared" si="4"/>
        <v>7.727388282695602E-2</v>
      </c>
      <c r="I5" s="66">
        <f t="shared" si="4"/>
        <v>8.4295404505866922E-2</v>
      </c>
      <c r="J5" s="66">
        <f t="shared" si="4"/>
        <v>9.0510264782186781E-2</v>
      </c>
      <c r="K5" s="66">
        <f t="shared" si="4"/>
        <v>9.8311576747981674E-2</v>
      </c>
      <c r="L5" s="66">
        <f t="shared" si="4"/>
        <v>9.7032738390615755E-2</v>
      </c>
      <c r="M5" s="66">
        <f t="shared" si="4"/>
        <v>0.12043549690293814</v>
      </c>
      <c r="N5" s="66">
        <f t="shared" si="4"/>
        <v>0.16159102102382467</v>
      </c>
      <c r="O5" s="66">
        <f t="shared" si="4"/>
        <v>0.17481342143270864</v>
      </c>
      <c r="P5" s="66">
        <f t="shared" si="4"/>
        <v>0.1777717459383133</v>
      </c>
      <c r="Q5" s="66">
        <f t="shared" si="4"/>
        <v>0.19882739021435838</v>
      </c>
      <c r="R5" s="66">
        <f t="shared" si="4"/>
        <v>0.18527332080623612</v>
      </c>
      <c r="S5" s="66">
        <f t="shared" si="4"/>
        <v>0.1775803114651415</v>
      </c>
      <c r="T5" s="66" t="e">
        <f t="shared" si="4"/>
        <v>#DIV/0!</v>
      </c>
      <c r="U5" s="66" t="e">
        <f t="shared" si="4"/>
        <v>#DIV/0!</v>
      </c>
      <c r="V5" s="66" t="e">
        <f t="shared" si="4"/>
        <v>#DIV/0!</v>
      </c>
      <c r="W5" s="66" t="e">
        <f t="shared" si="4"/>
        <v>#DIV/0!</v>
      </c>
      <c r="X5" s="66" t="e">
        <f t="shared" si="4"/>
        <v>#DIV/0!</v>
      </c>
      <c r="Y5" s="66" t="e">
        <f t="shared" si="4"/>
        <v>#DIV/0!</v>
      </c>
      <c r="Z5" s="66" t="e">
        <f t="shared" si="4"/>
        <v>#DIV/0!</v>
      </c>
      <c r="AA5" s="66" t="e">
        <f t="shared" si="4"/>
        <v>#DIV/0!</v>
      </c>
      <c r="AB5" s="66" t="e">
        <f t="shared" si="4"/>
        <v>#DIV/0!</v>
      </c>
      <c r="AC5" s="66" t="e">
        <f t="shared" si="4"/>
        <v>#DIV/0!</v>
      </c>
      <c r="AD5" s="66" t="e">
        <f t="shared" si="4"/>
        <v>#DIV/0!</v>
      </c>
      <c r="AE5" s="66" t="e">
        <f t="shared" si="4"/>
        <v>#DIV/0!</v>
      </c>
      <c r="AF5" s="66" t="e">
        <f t="shared" si="4"/>
        <v>#DIV/0!</v>
      </c>
      <c r="AG5" s="66" t="e">
        <f t="shared" si="4"/>
        <v>#DIV/0!</v>
      </c>
      <c r="AH5" s="66" t="e">
        <f t="shared" si="4"/>
        <v>#DIV/0!</v>
      </c>
      <c r="AI5" s="66" t="e">
        <f t="shared" si="4"/>
        <v>#DIV/0!</v>
      </c>
      <c r="AJ5" s="66" t="e">
        <f t="shared" si="4"/>
        <v>#DIV/0!</v>
      </c>
      <c r="AK5" s="66" t="e">
        <f t="shared" ref="AK5:BP5" si="5">AK4/AK2</f>
        <v>#DIV/0!</v>
      </c>
      <c r="AL5" s="66" t="e">
        <f t="shared" si="5"/>
        <v>#DIV/0!</v>
      </c>
      <c r="AM5" s="66" t="e">
        <f t="shared" si="5"/>
        <v>#DIV/0!</v>
      </c>
      <c r="AN5" s="66" t="e">
        <f t="shared" si="5"/>
        <v>#DIV/0!</v>
      </c>
      <c r="AO5" s="66" t="e">
        <f t="shared" si="5"/>
        <v>#DIV/0!</v>
      </c>
      <c r="AP5" s="66" t="e">
        <f t="shared" si="5"/>
        <v>#DIV/0!</v>
      </c>
      <c r="AQ5" s="66" t="e">
        <f t="shared" si="5"/>
        <v>#DIV/0!</v>
      </c>
      <c r="AR5" s="66" t="e">
        <f t="shared" si="5"/>
        <v>#DIV/0!</v>
      </c>
      <c r="AS5" s="66" t="e">
        <f t="shared" si="5"/>
        <v>#DIV/0!</v>
      </c>
      <c r="AT5" s="66" t="e">
        <f t="shared" si="5"/>
        <v>#DIV/0!</v>
      </c>
      <c r="AU5" s="66" t="e">
        <f t="shared" si="5"/>
        <v>#DIV/0!</v>
      </c>
      <c r="AV5" s="66" t="e">
        <f t="shared" si="5"/>
        <v>#DIV/0!</v>
      </c>
      <c r="AW5" s="66" t="e">
        <f t="shared" si="5"/>
        <v>#DIV/0!</v>
      </c>
      <c r="AX5" s="66" t="e">
        <f t="shared" si="5"/>
        <v>#DIV/0!</v>
      </c>
      <c r="AY5" s="66" t="e">
        <f t="shared" si="5"/>
        <v>#DIV/0!</v>
      </c>
      <c r="AZ5" s="66" t="e">
        <f t="shared" si="5"/>
        <v>#DIV/0!</v>
      </c>
      <c r="BA5" s="66" t="e">
        <f t="shared" si="5"/>
        <v>#DIV/0!</v>
      </c>
      <c r="BB5" s="66" t="e">
        <f t="shared" si="5"/>
        <v>#DIV/0!</v>
      </c>
      <c r="BC5" s="66" t="e">
        <f t="shared" si="5"/>
        <v>#DIV/0!</v>
      </c>
      <c r="BD5" s="66" t="e">
        <f t="shared" si="5"/>
        <v>#DIV/0!</v>
      </c>
      <c r="BE5" s="66" t="e">
        <f t="shared" si="5"/>
        <v>#DIV/0!</v>
      </c>
      <c r="BF5" s="66" t="e">
        <f t="shared" si="5"/>
        <v>#DIV/0!</v>
      </c>
      <c r="BG5" s="66" t="e">
        <f t="shared" si="5"/>
        <v>#DIV/0!</v>
      </c>
      <c r="BH5" s="66" t="e">
        <f t="shared" si="5"/>
        <v>#DIV/0!</v>
      </c>
      <c r="BI5" s="66" t="e">
        <f t="shared" si="5"/>
        <v>#DIV/0!</v>
      </c>
      <c r="BJ5" s="66" t="e">
        <f t="shared" si="5"/>
        <v>#DIV/0!</v>
      </c>
      <c r="BK5" s="66" t="e">
        <f t="shared" si="5"/>
        <v>#DIV/0!</v>
      </c>
      <c r="BL5" s="66" t="e">
        <f t="shared" si="5"/>
        <v>#DIV/0!</v>
      </c>
      <c r="BM5" s="66" t="e">
        <f t="shared" si="5"/>
        <v>#DIV/0!</v>
      </c>
      <c r="BN5" s="66" t="e">
        <f t="shared" si="5"/>
        <v>#DIV/0!</v>
      </c>
      <c r="BO5" s="66" t="e">
        <f t="shared" si="5"/>
        <v>#DIV/0!</v>
      </c>
      <c r="BP5" s="66" t="e">
        <f t="shared" si="5"/>
        <v>#DIV/0!</v>
      </c>
      <c r="BQ5" s="66" t="e">
        <f t="shared" ref="BQ5:CK5" si="6">BQ4/BQ2</f>
        <v>#DIV/0!</v>
      </c>
      <c r="BR5" s="66" t="e">
        <f t="shared" si="6"/>
        <v>#DIV/0!</v>
      </c>
      <c r="BS5" s="66" t="e">
        <f t="shared" si="6"/>
        <v>#DIV/0!</v>
      </c>
      <c r="BT5" s="66" t="e">
        <f t="shared" si="6"/>
        <v>#DIV/0!</v>
      </c>
      <c r="BU5" s="66" t="e">
        <f t="shared" si="6"/>
        <v>#DIV/0!</v>
      </c>
      <c r="BV5" s="66" t="e">
        <f t="shared" si="6"/>
        <v>#DIV/0!</v>
      </c>
      <c r="BW5" s="66" t="e">
        <f t="shared" si="6"/>
        <v>#DIV/0!</v>
      </c>
      <c r="BX5" s="66" t="e">
        <f t="shared" si="6"/>
        <v>#DIV/0!</v>
      </c>
      <c r="BY5" s="66" t="e">
        <f t="shared" si="6"/>
        <v>#DIV/0!</v>
      </c>
      <c r="BZ5" s="66" t="e">
        <f t="shared" si="6"/>
        <v>#DIV/0!</v>
      </c>
      <c r="CA5" s="66" t="e">
        <f t="shared" si="6"/>
        <v>#DIV/0!</v>
      </c>
      <c r="CB5" s="66" t="e">
        <f t="shared" si="6"/>
        <v>#DIV/0!</v>
      </c>
      <c r="CC5" s="66" t="e">
        <f t="shared" si="6"/>
        <v>#DIV/0!</v>
      </c>
      <c r="CD5" s="66" t="e">
        <f t="shared" si="6"/>
        <v>#DIV/0!</v>
      </c>
      <c r="CE5" s="66" t="e">
        <f t="shared" si="6"/>
        <v>#DIV/0!</v>
      </c>
      <c r="CF5" s="66" t="e">
        <f t="shared" si="6"/>
        <v>#DIV/0!</v>
      </c>
      <c r="CG5" s="66" t="e">
        <f t="shared" si="6"/>
        <v>#DIV/0!</v>
      </c>
      <c r="CH5" s="66" t="e">
        <f t="shared" si="6"/>
        <v>#DIV/0!</v>
      </c>
      <c r="CI5" s="66" t="e">
        <f t="shared" si="6"/>
        <v>#DIV/0!</v>
      </c>
      <c r="CJ5" s="66" t="e">
        <f t="shared" si="6"/>
        <v>#DIV/0!</v>
      </c>
      <c r="CK5" s="66" t="e">
        <f t="shared" si="6"/>
        <v>#DIV/0!</v>
      </c>
    </row>
    <row r="6" spans="1:89" s="66" customFormat="1">
      <c r="A6" s="46" t="s">
        <v>241</v>
      </c>
      <c r="B6" s="66">
        <f t="shared" ref="B6:D6" si="7">(B4-F4)/F4</f>
        <v>1.7893012118369445</v>
      </c>
      <c r="C6" s="66">
        <f t="shared" si="7"/>
        <v>1.7076810175536594</v>
      </c>
      <c r="D6" s="66">
        <f t="shared" si="7"/>
        <v>0.66809827101825958</v>
      </c>
      <c r="E6" s="66">
        <f>(E4-I4)/I4</f>
        <v>0.63633435589591547</v>
      </c>
      <c r="F6" s="66">
        <f t="shared" ref="F6:BQ6" si="8">(F4-J4)/J4</f>
        <v>1.2209899968469993</v>
      </c>
      <c r="G6" s="66">
        <f t="shared" si="8"/>
        <v>1.3077552870349978</v>
      </c>
      <c r="H6" s="66">
        <f t="shared" si="8"/>
        <v>1.5562991381746489</v>
      </c>
      <c r="I6" s="66">
        <f t="shared" si="8"/>
        <v>0.77966548761673449</v>
      </c>
      <c r="J6" s="66">
        <f t="shared" si="8"/>
        <v>0.3308372353849281</v>
      </c>
      <c r="K6" s="66">
        <f t="shared" si="8"/>
        <v>0.38358815862650403</v>
      </c>
      <c r="L6" s="66">
        <f t="shared" si="8"/>
        <v>0.4946341077398233</v>
      </c>
      <c r="M6" s="66">
        <f t="shared" si="8"/>
        <v>0.82585932454085176</v>
      </c>
      <c r="N6" s="66">
        <f t="shared" si="8"/>
        <v>1.323197380621798</v>
      </c>
      <c r="O6" s="66">
        <f t="shared" si="8"/>
        <v>1.3896170178424336</v>
      </c>
      <c r="P6" s="66" t="e">
        <f t="shared" si="8"/>
        <v>#DIV/0!</v>
      </c>
      <c r="Q6" s="66" t="e">
        <f t="shared" si="8"/>
        <v>#DIV/0!</v>
      </c>
      <c r="R6" s="66" t="e">
        <f t="shared" si="8"/>
        <v>#DIV/0!</v>
      </c>
      <c r="S6" s="66" t="e">
        <f t="shared" si="8"/>
        <v>#DIV/0!</v>
      </c>
      <c r="T6" s="66" t="e">
        <f t="shared" si="8"/>
        <v>#DIV/0!</v>
      </c>
      <c r="U6" s="66" t="e">
        <f t="shared" si="8"/>
        <v>#DIV/0!</v>
      </c>
      <c r="V6" s="66" t="e">
        <f t="shared" si="8"/>
        <v>#DIV/0!</v>
      </c>
      <c r="W6" s="66" t="e">
        <f t="shared" si="8"/>
        <v>#DIV/0!</v>
      </c>
      <c r="X6" s="66" t="e">
        <f t="shared" si="8"/>
        <v>#DIV/0!</v>
      </c>
      <c r="Y6" s="66" t="e">
        <f t="shared" si="8"/>
        <v>#DIV/0!</v>
      </c>
      <c r="Z6" s="66" t="e">
        <f t="shared" si="8"/>
        <v>#DIV/0!</v>
      </c>
      <c r="AA6" s="66" t="e">
        <f t="shared" si="8"/>
        <v>#DIV/0!</v>
      </c>
      <c r="AB6" s="66" t="e">
        <f t="shared" si="8"/>
        <v>#DIV/0!</v>
      </c>
      <c r="AC6" s="66" t="e">
        <f t="shared" si="8"/>
        <v>#DIV/0!</v>
      </c>
      <c r="AD6" s="66" t="e">
        <f t="shared" si="8"/>
        <v>#DIV/0!</v>
      </c>
      <c r="AE6" s="66" t="e">
        <f t="shared" si="8"/>
        <v>#DIV/0!</v>
      </c>
      <c r="AF6" s="66" t="e">
        <f t="shared" si="8"/>
        <v>#DIV/0!</v>
      </c>
      <c r="AG6" s="66" t="e">
        <f t="shared" si="8"/>
        <v>#DIV/0!</v>
      </c>
      <c r="AH6" s="66" t="e">
        <f t="shared" si="8"/>
        <v>#DIV/0!</v>
      </c>
      <c r="AI6" s="66" t="e">
        <f t="shared" si="8"/>
        <v>#DIV/0!</v>
      </c>
      <c r="AJ6" s="66" t="e">
        <f t="shared" si="8"/>
        <v>#DIV/0!</v>
      </c>
      <c r="AK6" s="66" t="e">
        <f t="shared" si="8"/>
        <v>#DIV/0!</v>
      </c>
      <c r="AL6" s="66" t="e">
        <f t="shared" si="8"/>
        <v>#DIV/0!</v>
      </c>
      <c r="AM6" s="66" t="e">
        <f t="shared" si="8"/>
        <v>#DIV/0!</v>
      </c>
      <c r="AN6" s="66" t="e">
        <f t="shared" si="8"/>
        <v>#DIV/0!</v>
      </c>
      <c r="AO6" s="66" t="e">
        <f t="shared" si="8"/>
        <v>#DIV/0!</v>
      </c>
      <c r="AP6" s="66" t="e">
        <f t="shared" si="8"/>
        <v>#DIV/0!</v>
      </c>
      <c r="AQ6" s="66" t="e">
        <f t="shared" si="8"/>
        <v>#DIV/0!</v>
      </c>
      <c r="AR6" s="66" t="e">
        <f t="shared" si="8"/>
        <v>#DIV/0!</v>
      </c>
      <c r="AS6" s="66" t="e">
        <f t="shared" si="8"/>
        <v>#DIV/0!</v>
      </c>
      <c r="AT6" s="66" t="e">
        <f t="shared" si="8"/>
        <v>#DIV/0!</v>
      </c>
      <c r="AU6" s="66" t="e">
        <f t="shared" si="8"/>
        <v>#DIV/0!</v>
      </c>
      <c r="AV6" s="66" t="e">
        <f t="shared" si="8"/>
        <v>#DIV/0!</v>
      </c>
      <c r="AW6" s="66" t="e">
        <f t="shared" si="8"/>
        <v>#DIV/0!</v>
      </c>
      <c r="AX6" s="66" t="e">
        <f t="shared" si="8"/>
        <v>#DIV/0!</v>
      </c>
      <c r="AY6" s="66" t="e">
        <f t="shared" si="8"/>
        <v>#DIV/0!</v>
      </c>
      <c r="AZ6" s="66" t="e">
        <f t="shared" si="8"/>
        <v>#DIV/0!</v>
      </c>
      <c r="BA6" s="66" t="e">
        <f t="shared" si="8"/>
        <v>#DIV/0!</v>
      </c>
      <c r="BB6" s="66" t="e">
        <f t="shared" si="8"/>
        <v>#DIV/0!</v>
      </c>
      <c r="BC6" s="66" t="e">
        <f t="shared" si="8"/>
        <v>#DIV/0!</v>
      </c>
      <c r="BD6" s="66" t="e">
        <f t="shared" si="8"/>
        <v>#DIV/0!</v>
      </c>
      <c r="BE6" s="66" t="e">
        <f t="shared" si="8"/>
        <v>#DIV/0!</v>
      </c>
      <c r="BF6" s="66" t="e">
        <f t="shared" si="8"/>
        <v>#DIV/0!</v>
      </c>
      <c r="BG6" s="66" t="e">
        <f t="shared" si="8"/>
        <v>#DIV/0!</v>
      </c>
      <c r="BH6" s="66" t="e">
        <f t="shared" si="8"/>
        <v>#DIV/0!</v>
      </c>
      <c r="BI6" s="66" t="e">
        <f t="shared" si="8"/>
        <v>#DIV/0!</v>
      </c>
      <c r="BJ6" s="66" t="e">
        <f t="shared" si="8"/>
        <v>#DIV/0!</v>
      </c>
      <c r="BK6" s="66" t="e">
        <f t="shared" si="8"/>
        <v>#DIV/0!</v>
      </c>
      <c r="BL6" s="66" t="e">
        <f t="shared" si="8"/>
        <v>#DIV/0!</v>
      </c>
      <c r="BM6" s="66" t="e">
        <f t="shared" si="8"/>
        <v>#DIV/0!</v>
      </c>
      <c r="BN6" s="66" t="e">
        <f t="shared" si="8"/>
        <v>#DIV/0!</v>
      </c>
      <c r="BO6" s="66" t="e">
        <f t="shared" si="8"/>
        <v>#DIV/0!</v>
      </c>
      <c r="BP6" s="66" t="e">
        <f t="shared" si="8"/>
        <v>#DIV/0!</v>
      </c>
      <c r="BQ6" s="66" t="e">
        <f t="shared" si="8"/>
        <v>#DIV/0!</v>
      </c>
      <c r="BR6" s="66" t="e">
        <f t="shared" ref="BR6:CJ6" si="9">(BR4-BV4)/BV4</f>
        <v>#DIV/0!</v>
      </c>
      <c r="BS6" s="66" t="e">
        <f t="shared" si="9"/>
        <v>#DIV/0!</v>
      </c>
      <c r="BT6" s="66" t="e">
        <f t="shared" si="9"/>
        <v>#DIV/0!</v>
      </c>
      <c r="BU6" s="66" t="e">
        <f t="shared" si="9"/>
        <v>#DIV/0!</v>
      </c>
      <c r="BV6" s="66" t="e">
        <f t="shared" si="9"/>
        <v>#DIV/0!</v>
      </c>
      <c r="BW6" s="66" t="e">
        <f t="shared" si="9"/>
        <v>#DIV/0!</v>
      </c>
      <c r="BX6" s="66" t="e">
        <f t="shared" si="9"/>
        <v>#DIV/0!</v>
      </c>
      <c r="BY6" s="66" t="e">
        <f t="shared" si="9"/>
        <v>#DIV/0!</v>
      </c>
      <c r="BZ6" s="66" t="e">
        <f t="shared" si="9"/>
        <v>#DIV/0!</v>
      </c>
      <c r="CA6" s="66" t="e">
        <f t="shared" si="9"/>
        <v>#DIV/0!</v>
      </c>
      <c r="CB6" s="66" t="e">
        <f t="shared" si="9"/>
        <v>#DIV/0!</v>
      </c>
      <c r="CC6" s="66" t="e">
        <f t="shared" si="9"/>
        <v>#DIV/0!</v>
      </c>
      <c r="CD6" s="66" t="e">
        <f t="shared" si="9"/>
        <v>#DIV/0!</v>
      </c>
      <c r="CE6" s="66" t="e">
        <f t="shared" si="9"/>
        <v>#DIV/0!</v>
      </c>
      <c r="CF6" s="66" t="e">
        <f t="shared" si="9"/>
        <v>#DIV/0!</v>
      </c>
      <c r="CG6" s="66" t="e">
        <f t="shared" si="9"/>
        <v>#DIV/0!</v>
      </c>
      <c r="CH6" s="66" t="e">
        <f t="shared" si="9"/>
        <v>#DIV/0!</v>
      </c>
      <c r="CI6" s="66" t="e">
        <f t="shared" si="9"/>
        <v>#DIV/0!</v>
      </c>
      <c r="CJ6" s="66" t="e">
        <f t="shared" si="9"/>
        <v>#DIV/0!</v>
      </c>
    </row>
    <row r="7" spans="1:89" s="27" customFormat="1">
      <c r="A7" s="128" t="s">
        <v>242</v>
      </c>
      <c r="B7" s="27">
        <f>股权价值增加表!B6</f>
        <v>67115950554.259995</v>
      </c>
      <c r="C7" s="27">
        <f>股权价值增加表!C6</f>
        <v>52277424942.199997</v>
      </c>
      <c r="D7" s="27">
        <f>股权价值增加表!D6</f>
        <v>35452085907.869995</v>
      </c>
      <c r="E7" s="27">
        <f>股权价值增加表!E6</f>
        <v>30121246276.219997</v>
      </c>
      <c r="F7" s="27">
        <f>股权价值增加表!F6</f>
        <v>29235377998.610001</v>
      </c>
      <c r="G7" s="27">
        <f>股权价值增加表!G6</f>
        <v>28727881008.610001</v>
      </c>
      <c r="H7" s="27">
        <f>股权价值增加表!H6</f>
        <v>24411028684.230003</v>
      </c>
      <c r="I7" s="27">
        <f>股权价值增加表!I6</f>
        <v>16851121231.24</v>
      </c>
      <c r="J7" s="27">
        <f>股权价值增加表!J6</f>
        <v>10580352148.57</v>
      </c>
      <c r="K7" s="27">
        <f>股权价值增加表!K6</f>
        <v>8719326210.1199989</v>
      </c>
      <c r="L7" s="27">
        <f>股权价值增加表!L6</f>
        <v>7441972244.8699999</v>
      </c>
      <c r="M7" s="27">
        <f>股权价值增加表!M6</f>
        <v>6365787178.79</v>
      </c>
      <c r="N7" s="27">
        <f>股权价值增加表!N6</f>
        <v>4105007060.7200003</v>
      </c>
      <c r="O7" s="27">
        <f>股权价值增加表!O6</f>
        <v>3243408420.9300003</v>
      </c>
      <c r="P7" s="27">
        <f>股权价值增加表!P6</f>
        <v>2474737270.9700003</v>
      </c>
      <c r="Q7" s="27">
        <f>股权价值增加表!Q6</f>
        <v>1923629805.0699997</v>
      </c>
      <c r="R7" s="27">
        <f>股权价值增加表!R6</f>
        <v>1497573531.55</v>
      </c>
      <c r="S7" s="27">
        <f>股权价值增加表!S6</f>
        <v>1331663940.8600001</v>
      </c>
      <c r="T7" s="27">
        <f>股权价值增加表!T6</f>
        <v>0</v>
      </c>
      <c r="U7" s="27">
        <f>股权价值增加表!U6</f>
        <v>0</v>
      </c>
      <c r="V7" s="27">
        <f>股权价值增加表!V6</f>
        <v>0</v>
      </c>
      <c r="W7" s="27">
        <f>股权价值增加表!W6</f>
        <v>0</v>
      </c>
      <c r="X7" s="27">
        <f>股权价值增加表!X6</f>
        <v>0</v>
      </c>
      <c r="Y7" s="27">
        <f>股权价值增加表!Y6</f>
        <v>0</v>
      </c>
      <c r="Z7" s="27">
        <f>股权价值增加表!Z6</f>
        <v>0</v>
      </c>
      <c r="AA7" s="27">
        <f>股权价值增加表!AA6</f>
        <v>0</v>
      </c>
      <c r="AB7" s="27">
        <f>股权价值增加表!AB6</f>
        <v>0</v>
      </c>
      <c r="AC7" s="27">
        <f>股权价值增加表!AC6</f>
        <v>0</v>
      </c>
      <c r="AD7" s="27">
        <f>股权价值增加表!AD6</f>
        <v>0</v>
      </c>
      <c r="AE7" s="27">
        <f>股权价值增加表!AE6</f>
        <v>0</v>
      </c>
      <c r="AF7" s="27">
        <f>股权价值增加表!AF6</f>
        <v>0</v>
      </c>
      <c r="AG7" s="27">
        <f>股权价值增加表!AG6</f>
        <v>0</v>
      </c>
      <c r="AH7" s="27">
        <f>股权价值增加表!AH6</f>
        <v>0</v>
      </c>
      <c r="AI7" s="27">
        <f>股权价值增加表!AI6</f>
        <v>0</v>
      </c>
      <c r="AJ7" s="27">
        <f>股权价值增加表!AJ6</f>
        <v>0</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243</v>
      </c>
      <c r="B8" s="66">
        <f t="shared" ref="B8:D8" si="10">B7/B2</f>
        <v>0.91142012876842604</v>
      </c>
      <c r="C8" s="66">
        <f t="shared" si="10"/>
        <v>0.89796196153766783</v>
      </c>
      <c r="D8" s="66">
        <f t="shared" si="10"/>
        <v>0.91225136600612233</v>
      </c>
      <c r="E8" s="66">
        <f>E7/E2</f>
        <v>0.92227894052748705</v>
      </c>
      <c r="F8" s="66">
        <f t="shared" ref="F8:BQ8" si="11">F7/F2</f>
        <v>0.9259341285314433</v>
      </c>
      <c r="G8" s="66">
        <f t="shared" si="11"/>
        <v>0.92904940156858784</v>
      </c>
      <c r="H8" s="66">
        <f t="shared" si="11"/>
        <v>0.92272611717304409</v>
      </c>
      <c r="I8" s="66">
        <f t="shared" si="11"/>
        <v>0.91570459549413308</v>
      </c>
      <c r="J8" s="66">
        <f t="shared" si="11"/>
        <v>0.90948973521781318</v>
      </c>
      <c r="K8" s="66">
        <f t="shared" si="11"/>
        <v>0.90168842325201826</v>
      </c>
      <c r="L8" s="66">
        <f t="shared" si="11"/>
        <v>0.90296726160938423</v>
      </c>
      <c r="M8" s="66">
        <f t="shared" si="11"/>
        <v>0.87956450309706191</v>
      </c>
      <c r="N8" s="66">
        <f t="shared" si="11"/>
        <v>0.83840897897617539</v>
      </c>
      <c r="O8" s="66">
        <f t="shared" si="11"/>
        <v>0.82518657856729138</v>
      </c>
      <c r="P8" s="66">
        <f t="shared" si="11"/>
        <v>0.82222825406168676</v>
      </c>
      <c r="Q8" s="66">
        <f t="shared" si="11"/>
        <v>0.80117260978564153</v>
      </c>
      <c r="R8" s="66">
        <f t="shared" si="11"/>
        <v>0.81472667919376396</v>
      </c>
      <c r="S8" s="66">
        <f t="shared" si="11"/>
        <v>0.82241968853485858</v>
      </c>
      <c r="T8" s="66" t="e">
        <f t="shared" si="11"/>
        <v>#DIV/0!</v>
      </c>
      <c r="U8" s="66" t="e">
        <f t="shared" si="11"/>
        <v>#DIV/0!</v>
      </c>
      <c r="V8" s="66" t="e">
        <f t="shared" si="11"/>
        <v>#DIV/0!</v>
      </c>
      <c r="W8" s="66" t="e">
        <f t="shared" si="11"/>
        <v>#DIV/0!</v>
      </c>
      <c r="X8" s="66" t="e">
        <f t="shared" si="11"/>
        <v>#DIV/0!</v>
      </c>
      <c r="Y8" s="66" t="e">
        <f t="shared" si="11"/>
        <v>#DIV/0!</v>
      </c>
      <c r="Z8" s="66" t="e">
        <f t="shared" si="11"/>
        <v>#DIV/0!</v>
      </c>
      <c r="AA8" s="66" t="e">
        <f t="shared" si="11"/>
        <v>#DIV/0!</v>
      </c>
      <c r="AB8" s="66" t="e">
        <f t="shared" si="11"/>
        <v>#DIV/0!</v>
      </c>
      <c r="AC8" s="66" t="e">
        <f t="shared" si="11"/>
        <v>#DIV/0!</v>
      </c>
      <c r="AD8" s="66" t="e">
        <f t="shared" si="11"/>
        <v>#DIV/0!</v>
      </c>
      <c r="AE8" s="66" t="e">
        <f t="shared" si="11"/>
        <v>#DIV/0!</v>
      </c>
      <c r="AF8" s="66" t="e">
        <f t="shared" si="11"/>
        <v>#DIV/0!</v>
      </c>
      <c r="AG8" s="66" t="e">
        <f t="shared" si="11"/>
        <v>#DIV/0!</v>
      </c>
      <c r="AH8" s="66" t="e">
        <f t="shared" si="11"/>
        <v>#DIV/0!</v>
      </c>
      <c r="AI8" s="66" t="e">
        <f t="shared" si="11"/>
        <v>#DIV/0!</v>
      </c>
      <c r="AJ8" s="66" t="e">
        <f t="shared" si="11"/>
        <v>#DIV/0!</v>
      </c>
      <c r="AK8" s="66" t="e">
        <f t="shared" si="11"/>
        <v>#DIV/0!</v>
      </c>
      <c r="AL8" s="66" t="e">
        <f t="shared" si="11"/>
        <v>#DIV/0!</v>
      </c>
      <c r="AM8" s="66" t="e">
        <f t="shared" si="11"/>
        <v>#DIV/0!</v>
      </c>
      <c r="AN8" s="66" t="e">
        <f t="shared" si="11"/>
        <v>#DIV/0!</v>
      </c>
      <c r="AO8" s="66" t="e">
        <f t="shared" si="11"/>
        <v>#DIV/0!</v>
      </c>
      <c r="AP8" s="66" t="e">
        <f t="shared" si="11"/>
        <v>#DIV/0!</v>
      </c>
      <c r="AQ8" s="66" t="e">
        <f t="shared" si="11"/>
        <v>#DIV/0!</v>
      </c>
      <c r="AR8" s="66" t="e">
        <f t="shared" si="11"/>
        <v>#DIV/0!</v>
      </c>
      <c r="AS8" s="66" t="e">
        <f t="shared" si="11"/>
        <v>#DIV/0!</v>
      </c>
      <c r="AT8" s="66" t="e">
        <f t="shared" si="11"/>
        <v>#DIV/0!</v>
      </c>
      <c r="AU8" s="66" t="e">
        <f t="shared" si="11"/>
        <v>#DIV/0!</v>
      </c>
      <c r="AV8" s="66" t="e">
        <f t="shared" si="11"/>
        <v>#DIV/0!</v>
      </c>
      <c r="AW8" s="66" t="e">
        <f t="shared" si="11"/>
        <v>#DIV/0!</v>
      </c>
      <c r="AX8" s="66" t="e">
        <f t="shared" si="11"/>
        <v>#DIV/0!</v>
      </c>
      <c r="AY8" s="66" t="e">
        <f t="shared" si="11"/>
        <v>#DIV/0!</v>
      </c>
      <c r="AZ8" s="66" t="e">
        <f t="shared" si="11"/>
        <v>#DIV/0!</v>
      </c>
      <c r="BA8" s="66" t="e">
        <f t="shared" si="11"/>
        <v>#DIV/0!</v>
      </c>
      <c r="BB8" s="66" t="e">
        <f t="shared" si="11"/>
        <v>#DIV/0!</v>
      </c>
      <c r="BC8" s="66" t="e">
        <f t="shared" si="11"/>
        <v>#DIV/0!</v>
      </c>
      <c r="BD8" s="66" t="e">
        <f t="shared" si="11"/>
        <v>#DIV/0!</v>
      </c>
      <c r="BE8" s="66" t="e">
        <f t="shared" si="11"/>
        <v>#DIV/0!</v>
      </c>
      <c r="BF8" s="66" t="e">
        <f t="shared" si="11"/>
        <v>#DIV/0!</v>
      </c>
      <c r="BG8" s="66" t="e">
        <f t="shared" si="11"/>
        <v>#DIV/0!</v>
      </c>
      <c r="BH8" s="66" t="e">
        <f t="shared" si="11"/>
        <v>#DIV/0!</v>
      </c>
      <c r="BI8" s="66" t="e">
        <f t="shared" si="11"/>
        <v>#DIV/0!</v>
      </c>
      <c r="BJ8" s="66" t="e">
        <f t="shared" si="11"/>
        <v>#DIV/0!</v>
      </c>
      <c r="BK8" s="66" t="e">
        <f t="shared" si="11"/>
        <v>#DIV/0!</v>
      </c>
      <c r="BL8" s="66" t="e">
        <f t="shared" si="11"/>
        <v>#DIV/0!</v>
      </c>
      <c r="BM8" s="66" t="e">
        <f t="shared" si="11"/>
        <v>#DIV/0!</v>
      </c>
      <c r="BN8" s="66" t="e">
        <f t="shared" si="11"/>
        <v>#DIV/0!</v>
      </c>
      <c r="BO8" s="66" t="e">
        <f t="shared" si="11"/>
        <v>#DIV/0!</v>
      </c>
      <c r="BP8" s="66" t="e">
        <f t="shared" si="11"/>
        <v>#DIV/0!</v>
      </c>
      <c r="BQ8" s="66" t="e">
        <f t="shared" si="11"/>
        <v>#DIV/0!</v>
      </c>
      <c r="BR8" s="66" t="e">
        <f t="shared" ref="BR8:CJ8" si="12">BR7/BR2</f>
        <v>#DIV/0!</v>
      </c>
      <c r="BS8" s="66" t="e">
        <f t="shared" si="12"/>
        <v>#DIV/0!</v>
      </c>
      <c r="BT8" s="66" t="e">
        <f t="shared" si="12"/>
        <v>#DIV/0!</v>
      </c>
      <c r="BU8" s="66" t="e">
        <f t="shared" si="12"/>
        <v>#DIV/0!</v>
      </c>
      <c r="BV8" s="66" t="e">
        <f t="shared" si="12"/>
        <v>#DIV/0!</v>
      </c>
      <c r="BW8" s="66" t="e">
        <f t="shared" si="12"/>
        <v>#DIV/0!</v>
      </c>
      <c r="BX8" s="66" t="e">
        <f t="shared" si="12"/>
        <v>#DIV/0!</v>
      </c>
      <c r="BY8" s="66" t="e">
        <f t="shared" si="12"/>
        <v>#DIV/0!</v>
      </c>
      <c r="BZ8" s="66" t="e">
        <f t="shared" si="12"/>
        <v>#DIV/0!</v>
      </c>
      <c r="CA8" s="66" t="e">
        <f t="shared" si="12"/>
        <v>#DIV/0!</v>
      </c>
      <c r="CB8" s="66" t="e">
        <f t="shared" si="12"/>
        <v>#DIV/0!</v>
      </c>
      <c r="CC8" s="66" t="e">
        <f t="shared" si="12"/>
        <v>#DIV/0!</v>
      </c>
      <c r="CD8" s="66" t="e">
        <f t="shared" si="12"/>
        <v>#DIV/0!</v>
      </c>
      <c r="CE8" s="66" t="e">
        <f t="shared" si="12"/>
        <v>#DIV/0!</v>
      </c>
      <c r="CF8" s="66" t="e">
        <f t="shared" si="12"/>
        <v>#DIV/0!</v>
      </c>
      <c r="CG8" s="66" t="e">
        <f t="shared" si="12"/>
        <v>#DIV/0!</v>
      </c>
      <c r="CH8" s="66" t="e">
        <f t="shared" si="12"/>
        <v>#DIV/0!</v>
      </c>
      <c r="CI8" s="66" t="e">
        <f t="shared" si="12"/>
        <v>#DIV/0!</v>
      </c>
      <c r="CJ8" s="66" t="e">
        <f t="shared" si="12"/>
        <v>#DIV/0!</v>
      </c>
    </row>
    <row r="9" spans="1:89" s="66" customFormat="1">
      <c r="A9" s="46" t="s">
        <v>244</v>
      </c>
      <c r="B9" s="66">
        <f t="shared" ref="B9:D9" si="13">(B7-F7)/F7</f>
        <v>1.2957100317789985</v>
      </c>
      <c r="C9" s="66">
        <f t="shared" si="13"/>
        <v>0.8197452477101248</v>
      </c>
      <c r="D9" s="66">
        <f t="shared" si="13"/>
        <v>0.45229790872240988</v>
      </c>
      <c r="E9" s="66">
        <f>(E7-I7)/I7</f>
        <v>0.78749211182332157</v>
      </c>
      <c r="F9" s="66">
        <f t="shared" ref="F9:BQ9" si="14">(F7-J7)/J7</f>
        <v>1.7631762712700771</v>
      </c>
      <c r="G9" s="66">
        <f t="shared" si="14"/>
        <v>2.2947363496123443</v>
      </c>
      <c r="H9" s="66">
        <f t="shared" si="14"/>
        <v>2.2801827097725798</v>
      </c>
      <c r="I9" s="66">
        <f t="shared" si="14"/>
        <v>1.6471386425524579</v>
      </c>
      <c r="J9" s="66">
        <f t="shared" si="14"/>
        <v>1.5774260536142055</v>
      </c>
      <c r="K9" s="66">
        <f t="shared" si="14"/>
        <v>1.6883219991208689</v>
      </c>
      <c r="L9" s="66">
        <f t="shared" si="14"/>
        <v>2.0071766939336708</v>
      </c>
      <c r="M9" s="66">
        <f t="shared" si="14"/>
        <v>2.3092579258296286</v>
      </c>
      <c r="N9" s="66">
        <f t="shared" si="14"/>
        <v>1.7411055111739899</v>
      </c>
      <c r="O9" s="66">
        <f t="shared" si="14"/>
        <v>1.435605802193141</v>
      </c>
      <c r="P9" s="66" t="e">
        <f t="shared" si="14"/>
        <v>#DIV/0!</v>
      </c>
      <c r="Q9" s="66" t="e">
        <f t="shared" si="14"/>
        <v>#DIV/0!</v>
      </c>
      <c r="R9" s="66" t="e">
        <f t="shared" si="14"/>
        <v>#DIV/0!</v>
      </c>
      <c r="S9" s="66" t="e">
        <f t="shared" si="14"/>
        <v>#DIV/0!</v>
      </c>
      <c r="T9" s="66" t="e">
        <f t="shared" si="14"/>
        <v>#DIV/0!</v>
      </c>
      <c r="U9" s="66" t="e">
        <f t="shared" si="14"/>
        <v>#DIV/0!</v>
      </c>
      <c r="V9" s="66" t="e">
        <f t="shared" si="14"/>
        <v>#DIV/0!</v>
      </c>
      <c r="W9" s="66" t="e">
        <f t="shared" si="14"/>
        <v>#DIV/0!</v>
      </c>
      <c r="X9" s="66" t="e">
        <f t="shared" si="14"/>
        <v>#DIV/0!</v>
      </c>
      <c r="Y9" s="66" t="e">
        <f t="shared" si="14"/>
        <v>#DIV/0!</v>
      </c>
      <c r="Z9" s="66" t="e">
        <f t="shared" si="14"/>
        <v>#DIV/0!</v>
      </c>
      <c r="AA9" s="66" t="e">
        <f t="shared" si="14"/>
        <v>#DIV/0!</v>
      </c>
      <c r="AB9" s="66" t="e">
        <f t="shared" si="14"/>
        <v>#DIV/0!</v>
      </c>
      <c r="AC9" s="66" t="e">
        <f t="shared" si="14"/>
        <v>#DIV/0!</v>
      </c>
      <c r="AD9" s="66" t="e">
        <f t="shared" si="14"/>
        <v>#DIV/0!</v>
      </c>
      <c r="AE9" s="66" t="e">
        <f t="shared" si="14"/>
        <v>#DIV/0!</v>
      </c>
      <c r="AF9" s="66" t="e">
        <f t="shared" si="14"/>
        <v>#DIV/0!</v>
      </c>
      <c r="AG9" s="66" t="e">
        <f t="shared" si="14"/>
        <v>#DIV/0!</v>
      </c>
      <c r="AH9" s="66" t="e">
        <f t="shared" si="14"/>
        <v>#DIV/0!</v>
      </c>
      <c r="AI9" s="66" t="e">
        <f t="shared" si="14"/>
        <v>#DIV/0!</v>
      </c>
      <c r="AJ9" s="66" t="e">
        <f t="shared" si="14"/>
        <v>#DIV/0!</v>
      </c>
      <c r="AK9" s="66" t="e">
        <f t="shared" si="14"/>
        <v>#DIV/0!</v>
      </c>
      <c r="AL9" s="66" t="e">
        <f t="shared" si="14"/>
        <v>#DIV/0!</v>
      </c>
      <c r="AM9" s="66" t="e">
        <f t="shared" si="14"/>
        <v>#DIV/0!</v>
      </c>
      <c r="AN9" s="66" t="e">
        <f t="shared" si="14"/>
        <v>#DIV/0!</v>
      </c>
      <c r="AO9" s="66" t="e">
        <f t="shared" si="14"/>
        <v>#DIV/0!</v>
      </c>
      <c r="AP9" s="66" t="e">
        <f t="shared" si="14"/>
        <v>#DIV/0!</v>
      </c>
      <c r="AQ9" s="66" t="e">
        <f t="shared" si="14"/>
        <v>#DIV/0!</v>
      </c>
      <c r="AR9" s="66" t="e">
        <f t="shared" si="14"/>
        <v>#DIV/0!</v>
      </c>
      <c r="AS9" s="66" t="e">
        <f t="shared" si="14"/>
        <v>#DIV/0!</v>
      </c>
      <c r="AT9" s="66" t="e">
        <f t="shared" si="14"/>
        <v>#DIV/0!</v>
      </c>
      <c r="AU9" s="66" t="e">
        <f t="shared" si="14"/>
        <v>#DIV/0!</v>
      </c>
      <c r="AV9" s="66" t="e">
        <f t="shared" si="14"/>
        <v>#DIV/0!</v>
      </c>
      <c r="AW9" s="66" t="e">
        <f t="shared" si="14"/>
        <v>#DIV/0!</v>
      </c>
      <c r="AX9" s="66" t="e">
        <f t="shared" si="14"/>
        <v>#DIV/0!</v>
      </c>
      <c r="AY9" s="66" t="e">
        <f t="shared" si="14"/>
        <v>#DIV/0!</v>
      </c>
      <c r="AZ9" s="66" t="e">
        <f t="shared" si="14"/>
        <v>#DIV/0!</v>
      </c>
      <c r="BA9" s="66" t="e">
        <f t="shared" si="14"/>
        <v>#DIV/0!</v>
      </c>
      <c r="BB9" s="66" t="e">
        <f t="shared" si="14"/>
        <v>#DIV/0!</v>
      </c>
      <c r="BC9" s="66" t="e">
        <f t="shared" si="14"/>
        <v>#DIV/0!</v>
      </c>
      <c r="BD9" s="66" t="e">
        <f t="shared" si="14"/>
        <v>#DIV/0!</v>
      </c>
      <c r="BE9" s="66" t="e">
        <f t="shared" si="14"/>
        <v>#DIV/0!</v>
      </c>
      <c r="BF9" s="66" t="e">
        <f t="shared" si="14"/>
        <v>#DIV/0!</v>
      </c>
      <c r="BG9" s="66" t="e">
        <f t="shared" si="14"/>
        <v>#DIV/0!</v>
      </c>
      <c r="BH9" s="66" t="e">
        <f t="shared" si="14"/>
        <v>#DIV/0!</v>
      </c>
      <c r="BI9" s="66" t="e">
        <f t="shared" si="14"/>
        <v>#DIV/0!</v>
      </c>
      <c r="BJ9" s="66" t="e">
        <f t="shared" si="14"/>
        <v>#DIV/0!</v>
      </c>
      <c r="BK9" s="66" t="e">
        <f t="shared" si="14"/>
        <v>#DIV/0!</v>
      </c>
      <c r="BL9" s="66" t="e">
        <f t="shared" si="14"/>
        <v>#DIV/0!</v>
      </c>
      <c r="BM9" s="66" t="e">
        <f t="shared" si="14"/>
        <v>#DIV/0!</v>
      </c>
      <c r="BN9" s="66" t="e">
        <f t="shared" si="14"/>
        <v>#DIV/0!</v>
      </c>
      <c r="BO9" s="66" t="e">
        <f t="shared" si="14"/>
        <v>#DIV/0!</v>
      </c>
      <c r="BP9" s="66" t="e">
        <f t="shared" si="14"/>
        <v>#DIV/0!</v>
      </c>
      <c r="BQ9" s="66" t="e">
        <f t="shared" si="14"/>
        <v>#DIV/0!</v>
      </c>
      <c r="BR9" s="66" t="e">
        <f t="shared" ref="BR9:CK9" si="15">(BR7-BV7)/BV7</f>
        <v>#DIV/0!</v>
      </c>
      <c r="BS9" s="66" t="e">
        <f t="shared" si="15"/>
        <v>#DIV/0!</v>
      </c>
      <c r="BT9" s="66" t="e">
        <f t="shared" si="15"/>
        <v>#DIV/0!</v>
      </c>
      <c r="BU9" s="66" t="e">
        <f t="shared" si="15"/>
        <v>#DIV/0!</v>
      </c>
      <c r="BV9" s="66" t="e">
        <f t="shared" si="15"/>
        <v>#DIV/0!</v>
      </c>
      <c r="BW9" s="66" t="e">
        <f t="shared" si="15"/>
        <v>#DIV/0!</v>
      </c>
      <c r="BX9" s="66" t="e">
        <f t="shared" si="15"/>
        <v>#DIV/0!</v>
      </c>
      <c r="BY9" s="66" t="e">
        <f t="shared" si="15"/>
        <v>#DIV/0!</v>
      </c>
      <c r="BZ9" s="66" t="e">
        <f t="shared" si="15"/>
        <v>#DIV/0!</v>
      </c>
      <c r="CA9" s="66" t="e">
        <f t="shared" si="15"/>
        <v>#DIV/0!</v>
      </c>
      <c r="CB9" s="66" t="e">
        <f t="shared" si="15"/>
        <v>#DIV/0!</v>
      </c>
      <c r="CC9" s="66" t="e">
        <f t="shared" si="15"/>
        <v>#DIV/0!</v>
      </c>
      <c r="CD9" s="66" t="e">
        <f t="shared" si="15"/>
        <v>#DIV/0!</v>
      </c>
      <c r="CE9" s="66" t="e">
        <f t="shared" si="15"/>
        <v>#DIV/0!</v>
      </c>
      <c r="CF9" s="66" t="e">
        <f t="shared" si="15"/>
        <v>#DIV/0!</v>
      </c>
      <c r="CG9" s="66" t="e">
        <f t="shared" si="15"/>
        <v>#DIV/0!</v>
      </c>
      <c r="CH9" s="66" t="e">
        <f t="shared" si="15"/>
        <v>#DIV/0!</v>
      </c>
      <c r="CI9" s="66" t="e">
        <f t="shared" si="15"/>
        <v>#DIV/0!</v>
      </c>
      <c r="CJ9" s="66" t="e">
        <f t="shared" si="15"/>
        <v>#DIV/0!</v>
      </c>
      <c r="CK9" s="66" t="e">
        <f t="shared" si="15"/>
        <v>#DIV/0!</v>
      </c>
    </row>
    <row r="10" spans="1:89" s="27" customFormat="1">
      <c r="A10" s="128" t="s">
        <v>245</v>
      </c>
      <c r="B10" s="27">
        <f>股权价值增加表!B8</f>
        <v>11288926846.969999</v>
      </c>
      <c r="C10" s="27">
        <f>股权价值增加表!C8</f>
        <v>8404214470.6899996</v>
      </c>
      <c r="D10" s="27">
        <f>股权价值增加表!D8</f>
        <v>6508926343.2600002</v>
      </c>
      <c r="E10" s="27">
        <f>股权价值增加表!E8</f>
        <v>3449170637.4000001</v>
      </c>
      <c r="F10" s="27">
        <f>股权价值增加表!F8</f>
        <v>2788994436.0500002</v>
      </c>
      <c r="G10" s="27">
        <f>股权价值增加表!G8</f>
        <v>2790747889.4899998</v>
      </c>
      <c r="H10" s="27">
        <f>股权价值增加表!H8</f>
        <v>2572644755.4200001</v>
      </c>
      <c r="I10" s="27">
        <f>股权价值增加表!I8</f>
        <v>2477391798.0100002</v>
      </c>
      <c r="J10" s="27">
        <f>股权价值增加表!J8</f>
        <v>1577013104.9000001</v>
      </c>
      <c r="K10" s="27">
        <f>股权价值增加表!K8</f>
        <v>940508549.65999997</v>
      </c>
      <c r="L10" s="27">
        <f>股权价值增加表!L8</f>
        <v>681761604.71000004</v>
      </c>
      <c r="M10" s="27">
        <f>股权价值增加表!M8</f>
        <v>604078928.40999997</v>
      </c>
      <c r="N10" s="27">
        <f>股权价值增加表!N8</f>
        <v>574699589.65999997</v>
      </c>
      <c r="O10" s="27">
        <f>股权价值增加表!O8</f>
        <v>530245028.45999998</v>
      </c>
      <c r="P10" s="27">
        <f>股权价值增加表!P8</f>
        <v>324855608.17000002</v>
      </c>
      <c r="Q10" s="27">
        <f>股权价值增加表!Q8</f>
        <v>308189009.56</v>
      </c>
      <c r="R10" s="27">
        <f>股权价值增加表!R8</f>
        <v>320026615.94999999</v>
      </c>
      <c r="S10" s="27">
        <f>股权价值增加表!S8</f>
        <v>317884849.44</v>
      </c>
      <c r="T10" s="27">
        <f>股权价值增加表!T8</f>
        <v>0</v>
      </c>
      <c r="U10" s="27">
        <f>股权价值增加表!U8</f>
        <v>0</v>
      </c>
      <c r="V10" s="27">
        <f>股权价值增加表!V8</f>
        <v>0</v>
      </c>
      <c r="W10" s="27">
        <f>股权价值增加表!W8</f>
        <v>0</v>
      </c>
      <c r="X10" s="27">
        <f>股权价值增加表!X8</f>
        <v>0</v>
      </c>
      <c r="Y10" s="27">
        <f>股权价值增加表!Y8</f>
        <v>0</v>
      </c>
      <c r="Z10" s="27">
        <f>股权价值增加表!Z8</f>
        <v>0</v>
      </c>
      <c r="AA10" s="27">
        <f>股权价值增加表!AA8</f>
        <v>0</v>
      </c>
      <c r="AB10" s="27">
        <f>股权价值增加表!AB8</f>
        <v>0</v>
      </c>
      <c r="AC10" s="27">
        <f>股权价值增加表!AC8</f>
        <v>0</v>
      </c>
      <c r="AD10" s="27">
        <f>股权价值增加表!AD8</f>
        <v>0</v>
      </c>
      <c r="AE10" s="27">
        <f>股权价值增加表!AE8</f>
        <v>0</v>
      </c>
      <c r="AF10" s="27">
        <f>股权价值增加表!AF8</f>
        <v>0</v>
      </c>
      <c r="AG10" s="27">
        <f>股权价值增加表!AG8</f>
        <v>0</v>
      </c>
      <c r="AH10" s="27">
        <f>股权价值增加表!AH8</f>
        <v>0</v>
      </c>
      <c r="AI10" s="27">
        <f>股权价值增加表!AI8</f>
        <v>0</v>
      </c>
      <c r="AJ10" s="27">
        <f>股权价值增加表!AJ8</f>
        <v>0</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246</v>
      </c>
      <c r="B11" s="57">
        <f t="shared" ref="B11:D11" si="16">B10/B2</f>
        <v>0.15330119108131557</v>
      </c>
      <c r="C11" s="57">
        <f t="shared" si="16"/>
        <v>0.14435800767975732</v>
      </c>
      <c r="D11" s="57">
        <f t="shared" si="16"/>
        <v>0.1674873789740548</v>
      </c>
      <c r="E11" s="57">
        <f>E10/E2</f>
        <v>0.10560975505423192</v>
      </c>
      <c r="F11" s="57">
        <f t="shared" ref="F11:BQ11" si="17">F10/F2</f>
        <v>8.8332195764521421E-2</v>
      </c>
      <c r="G11" s="57">
        <f t="shared" si="17"/>
        <v>9.0251789050588727E-2</v>
      </c>
      <c r="H11" s="57">
        <f t="shared" si="17"/>
        <v>9.7244837025972725E-2</v>
      </c>
      <c r="I11" s="57">
        <f t="shared" si="17"/>
        <v>0.13462362670987069</v>
      </c>
      <c r="J11" s="57">
        <f t="shared" si="17"/>
        <v>0.13556044364783965</v>
      </c>
      <c r="K11" s="57">
        <f t="shared" si="17"/>
        <v>9.7260459209989436E-2</v>
      </c>
      <c r="L11" s="57">
        <f t="shared" si="17"/>
        <v>8.2721137491444913E-2</v>
      </c>
      <c r="M11" s="57">
        <f t="shared" si="17"/>
        <v>8.3465935567035562E-2</v>
      </c>
      <c r="N11" s="57">
        <f t="shared" si="17"/>
        <v>0.11737697135662321</v>
      </c>
      <c r="O11" s="57">
        <f t="shared" si="17"/>
        <v>0.13490471258990011</v>
      </c>
      <c r="P11" s="57">
        <f t="shared" si="17"/>
        <v>0.10793285520085598</v>
      </c>
      <c r="Q11" s="57">
        <f t="shared" si="17"/>
        <v>0.1283576457620193</v>
      </c>
      <c r="R11" s="57">
        <f t="shared" si="17"/>
        <v>0.17410445402083172</v>
      </c>
      <c r="S11" s="57">
        <f t="shared" si="17"/>
        <v>0.19632187284245181</v>
      </c>
      <c r="T11" s="57" t="e">
        <f t="shared" si="17"/>
        <v>#DIV/0!</v>
      </c>
      <c r="U11" s="57" t="e">
        <f t="shared" si="17"/>
        <v>#DIV/0!</v>
      </c>
      <c r="V11" s="57" t="e">
        <f t="shared" si="17"/>
        <v>#DIV/0!</v>
      </c>
      <c r="W11" s="57" t="e">
        <f t="shared" si="17"/>
        <v>#DIV/0!</v>
      </c>
      <c r="X11" s="57" t="e">
        <f t="shared" si="17"/>
        <v>#DIV/0!</v>
      </c>
      <c r="Y11" s="57" t="e">
        <f t="shared" si="17"/>
        <v>#DIV/0!</v>
      </c>
      <c r="Z11" s="57" t="e">
        <f t="shared" si="17"/>
        <v>#DIV/0!</v>
      </c>
      <c r="AA11" s="57" t="e">
        <f t="shared" si="17"/>
        <v>#DIV/0!</v>
      </c>
      <c r="AB11" s="57" t="e">
        <f t="shared" si="17"/>
        <v>#DIV/0!</v>
      </c>
      <c r="AC11" s="57" t="e">
        <f t="shared" si="17"/>
        <v>#DIV/0!</v>
      </c>
      <c r="AD11" s="57" t="e">
        <f t="shared" si="17"/>
        <v>#DIV/0!</v>
      </c>
      <c r="AE11" s="57" t="e">
        <f t="shared" si="17"/>
        <v>#DIV/0!</v>
      </c>
      <c r="AF11" s="57" t="e">
        <f t="shared" si="17"/>
        <v>#DIV/0!</v>
      </c>
      <c r="AG11" s="57" t="e">
        <f t="shared" si="17"/>
        <v>#DIV/0!</v>
      </c>
      <c r="AH11" s="57" t="e">
        <f t="shared" si="17"/>
        <v>#DIV/0!</v>
      </c>
      <c r="AI11" s="57" t="e">
        <f t="shared" si="17"/>
        <v>#DIV/0!</v>
      </c>
      <c r="AJ11" s="57" t="e">
        <f t="shared" si="17"/>
        <v>#DIV/0!</v>
      </c>
      <c r="AK11" s="57" t="e">
        <f t="shared" si="17"/>
        <v>#DIV/0!</v>
      </c>
      <c r="AL11" s="57" t="e">
        <f t="shared" si="17"/>
        <v>#DIV/0!</v>
      </c>
      <c r="AM11" s="57" t="e">
        <f t="shared" si="17"/>
        <v>#DIV/0!</v>
      </c>
      <c r="AN11" s="57" t="e">
        <f t="shared" si="17"/>
        <v>#DIV/0!</v>
      </c>
      <c r="AO11" s="57" t="e">
        <f t="shared" si="17"/>
        <v>#DIV/0!</v>
      </c>
      <c r="AP11" s="57" t="e">
        <f t="shared" si="17"/>
        <v>#DIV/0!</v>
      </c>
      <c r="AQ11" s="57" t="e">
        <f t="shared" si="17"/>
        <v>#DIV/0!</v>
      </c>
      <c r="AR11" s="57" t="e">
        <f t="shared" si="17"/>
        <v>#DIV/0!</v>
      </c>
      <c r="AS11" s="57" t="e">
        <f t="shared" si="17"/>
        <v>#DIV/0!</v>
      </c>
      <c r="AT11" s="57" t="e">
        <f t="shared" si="17"/>
        <v>#DIV/0!</v>
      </c>
      <c r="AU11" s="57" t="e">
        <f t="shared" si="17"/>
        <v>#DIV/0!</v>
      </c>
      <c r="AV11" s="57" t="e">
        <f t="shared" si="17"/>
        <v>#DIV/0!</v>
      </c>
      <c r="AW11" s="57" t="e">
        <f t="shared" si="17"/>
        <v>#DIV/0!</v>
      </c>
      <c r="AX11" s="57" t="e">
        <f t="shared" si="17"/>
        <v>#DIV/0!</v>
      </c>
      <c r="AY11" s="57" t="e">
        <f t="shared" si="17"/>
        <v>#DIV/0!</v>
      </c>
      <c r="AZ11" s="57" t="e">
        <f t="shared" si="17"/>
        <v>#DIV/0!</v>
      </c>
      <c r="BA11" s="57" t="e">
        <f t="shared" si="17"/>
        <v>#DIV/0!</v>
      </c>
      <c r="BB11" s="57" t="e">
        <f t="shared" si="17"/>
        <v>#DIV/0!</v>
      </c>
      <c r="BC11" s="57" t="e">
        <f t="shared" si="17"/>
        <v>#DIV/0!</v>
      </c>
      <c r="BD11" s="57" t="e">
        <f t="shared" si="17"/>
        <v>#DIV/0!</v>
      </c>
      <c r="BE11" s="57" t="e">
        <f t="shared" si="17"/>
        <v>#DIV/0!</v>
      </c>
      <c r="BF11" s="57" t="e">
        <f t="shared" si="17"/>
        <v>#DIV/0!</v>
      </c>
      <c r="BG11" s="57" t="e">
        <f t="shared" si="17"/>
        <v>#DIV/0!</v>
      </c>
      <c r="BH11" s="57" t="e">
        <f t="shared" si="17"/>
        <v>#DIV/0!</v>
      </c>
      <c r="BI11" s="57" t="e">
        <f t="shared" si="17"/>
        <v>#DIV/0!</v>
      </c>
      <c r="BJ11" s="57" t="e">
        <f t="shared" si="17"/>
        <v>#DIV/0!</v>
      </c>
      <c r="BK11" s="57" t="e">
        <f t="shared" si="17"/>
        <v>#DIV/0!</v>
      </c>
      <c r="BL11" s="57" t="e">
        <f t="shared" si="17"/>
        <v>#DIV/0!</v>
      </c>
      <c r="BM11" s="57" t="e">
        <f t="shared" si="17"/>
        <v>#DIV/0!</v>
      </c>
      <c r="BN11" s="57" t="e">
        <f t="shared" si="17"/>
        <v>#DIV/0!</v>
      </c>
      <c r="BO11" s="57" t="e">
        <f t="shared" si="17"/>
        <v>#DIV/0!</v>
      </c>
      <c r="BP11" s="57" t="e">
        <f t="shared" si="17"/>
        <v>#DIV/0!</v>
      </c>
      <c r="BQ11" s="57" t="e">
        <f t="shared" si="17"/>
        <v>#DIV/0!</v>
      </c>
      <c r="BR11" s="57" t="e">
        <f t="shared" ref="BR11:CJ11" si="18">BR10/BR2</f>
        <v>#DIV/0!</v>
      </c>
      <c r="BS11" s="57" t="e">
        <f t="shared" si="18"/>
        <v>#DIV/0!</v>
      </c>
      <c r="BT11" s="57" t="e">
        <f t="shared" si="18"/>
        <v>#DIV/0!</v>
      </c>
      <c r="BU11" s="57" t="e">
        <f t="shared" si="18"/>
        <v>#DIV/0!</v>
      </c>
      <c r="BV11" s="57" t="e">
        <f t="shared" si="18"/>
        <v>#DIV/0!</v>
      </c>
      <c r="BW11" s="57" t="e">
        <f t="shared" si="18"/>
        <v>#DIV/0!</v>
      </c>
      <c r="BX11" s="57" t="e">
        <f t="shared" si="18"/>
        <v>#DIV/0!</v>
      </c>
      <c r="BY11" s="57" t="e">
        <f t="shared" si="18"/>
        <v>#DIV/0!</v>
      </c>
      <c r="BZ11" s="57" t="e">
        <f t="shared" si="18"/>
        <v>#DIV/0!</v>
      </c>
      <c r="CA11" s="57" t="e">
        <f t="shared" si="18"/>
        <v>#DIV/0!</v>
      </c>
      <c r="CB11" s="57" t="e">
        <f t="shared" si="18"/>
        <v>#DIV/0!</v>
      </c>
      <c r="CC11" s="57" t="e">
        <f t="shared" si="18"/>
        <v>#DIV/0!</v>
      </c>
      <c r="CD11" s="57" t="e">
        <f t="shared" si="18"/>
        <v>#DIV/0!</v>
      </c>
      <c r="CE11" s="57" t="e">
        <f t="shared" si="18"/>
        <v>#DIV/0!</v>
      </c>
      <c r="CF11" s="57" t="e">
        <f t="shared" si="18"/>
        <v>#DIV/0!</v>
      </c>
      <c r="CG11" s="57" t="e">
        <f t="shared" si="18"/>
        <v>#DIV/0!</v>
      </c>
      <c r="CH11" s="57" t="e">
        <f t="shared" si="18"/>
        <v>#DIV/0!</v>
      </c>
      <c r="CI11" s="57" t="e">
        <f t="shared" si="18"/>
        <v>#DIV/0!</v>
      </c>
      <c r="CJ11" s="57" t="e">
        <f t="shared" si="18"/>
        <v>#DIV/0!</v>
      </c>
    </row>
    <row r="12" spans="1:89" s="27" customFormat="1">
      <c r="A12" s="128" t="s">
        <v>247</v>
      </c>
      <c r="B12" s="27">
        <f>股权价值增加表!B9</f>
        <v>2572076872.1599998</v>
      </c>
      <c r="C12" s="27">
        <f>股权价值增加表!C9</f>
        <v>2986068544.9899998</v>
      </c>
      <c r="D12" s="27">
        <f>股权价值增加表!D9</f>
        <v>1681052022.9000001</v>
      </c>
      <c r="E12" s="27">
        <f>股权价值增加表!E9</f>
        <v>1484961519.21</v>
      </c>
      <c r="F12" s="27">
        <f>股权价值增加表!F9</f>
        <v>1674733451.0599999</v>
      </c>
      <c r="G12" s="27">
        <f>股权价值增加表!G9</f>
        <v>1858132722.71</v>
      </c>
      <c r="H12" s="27">
        <f>股权价值增加表!H9</f>
        <v>1224553444.02</v>
      </c>
      <c r="I12" s="27">
        <f>股权价值增加表!I9</f>
        <v>720327727.88999999</v>
      </c>
      <c r="J12" s="27">
        <f>股权价值增加表!J9</f>
        <v>676531662.09000003</v>
      </c>
      <c r="K12" s="27">
        <f>股权价值增加表!K9</f>
        <v>621284334.75</v>
      </c>
      <c r="L12" s="27">
        <f>股权价值增加表!L9</f>
        <v>532024659.80000001</v>
      </c>
      <c r="M12" s="27">
        <f>股权价值增加表!M9</f>
        <v>560385186.98000002</v>
      </c>
      <c r="N12" s="27">
        <f>股权价值增加表!N9</f>
        <v>579353831.58000004</v>
      </c>
      <c r="O12" s="27">
        <f>股权价值增加表!O9</f>
        <v>475939394.32999998</v>
      </c>
      <c r="P12" s="27">
        <f>股权价值增加表!P9</f>
        <v>376522300.75</v>
      </c>
      <c r="Q12" s="27">
        <f>股权价值增加表!Q9</f>
        <v>365256375.5</v>
      </c>
      <c r="R12" s="27">
        <f>股权价值增加表!R9</f>
        <v>308176458.60000002</v>
      </c>
      <c r="S12" s="27">
        <f>股权价值增加表!S9</f>
        <v>228319500.78</v>
      </c>
      <c r="T12" s="27">
        <f>股权价值增加表!T9</f>
        <v>0</v>
      </c>
      <c r="U12" s="27">
        <f>股权价值增加表!U9</f>
        <v>0</v>
      </c>
      <c r="V12" s="27">
        <f>股权价值增加表!V9</f>
        <v>0</v>
      </c>
      <c r="W12" s="27">
        <f>股权价值增加表!W9</f>
        <v>0</v>
      </c>
      <c r="X12" s="27">
        <f>股权价值增加表!X9</f>
        <v>0</v>
      </c>
      <c r="Y12" s="27">
        <f>股权价值增加表!Y9</f>
        <v>0</v>
      </c>
      <c r="Z12" s="27">
        <f>股权价值增加表!Z9</f>
        <v>0</v>
      </c>
      <c r="AA12" s="27">
        <f>股权价值增加表!AA9</f>
        <v>0</v>
      </c>
      <c r="AB12" s="27">
        <f>股权价值增加表!AB9</f>
        <v>0</v>
      </c>
      <c r="AC12" s="27">
        <f>股权价值增加表!AC9</f>
        <v>0</v>
      </c>
      <c r="AD12" s="27">
        <f>股权价值增加表!AD9</f>
        <v>0</v>
      </c>
      <c r="AE12" s="27">
        <f>股权价值增加表!AE9</f>
        <v>0</v>
      </c>
      <c r="AF12" s="27">
        <f>股权价值增加表!AF9</f>
        <v>0</v>
      </c>
      <c r="AG12" s="27">
        <f>股权价值增加表!AG9</f>
        <v>0</v>
      </c>
      <c r="AH12" s="27">
        <f>股权价值增加表!AH9</f>
        <v>0</v>
      </c>
      <c r="AI12" s="27">
        <f>股权价值增加表!AI9</f>
        <v>0</v>
      </c>
      <c r="AJ12" s="27">
        <f>股权价值增加表!AJ9</f>
        <v>0</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248</v>
      </c>
      <c r="B13" s="57">
        <f t="shared" ref="B13:D13" si="19">B12/B2</f>
        <v>3.4928249017812107E-2</v>
      </c>
      <c r="C13" s="57">
        <f t="shared" si="19"/>
        <v>5.1291278614235221E-2</v>
      </c>
      <c r="D13" s="57">
        <f t="shared" si="19"/>
        <v>4.3256749636766789E-2</v>
      </c>
      <c r="E13" s="57">
        <f>E12/E2</f>
        <v>4.5467864247778898E-2</v>
      </c>
      <c r="F13" s="57">
        <f t="shared" ref="F13:BQ13" si="20">F12/F2</f>
        <v>5.3041655852830959E-2</v>
      </c>
      <c r="G13" s="57">
        <f t="shared" si="20"/>
        <v>6.0091347967897453E-2</v>
      </c>
      <c r="H13" s="57">
        <f t="shared" si="20"/>
        <v>4.6287580064227611E-2</v>
      </c>
      <c r="I13" s="57">
        <f t="shared" si="20"/>
        <v>3.9143235731275004E-2</v>
      </c>
      <c r="J13" s="57">
        <f t="shared" si="20"/>
        <v>5.8154832049126325E-2</v>
      </c>
      <c r="K13" s="57">
        <f t="shared" si="20"/>
        <v>6.4248644756714157E-2</v>
      </c>
      <c r="L13" s="57">
        <f t="shared" si="20"/>
        <v>6.4552894630778374E-2</v>
      </c>
      <c r="M13" s="57">
        <f t="shared" si="20"/>
        <v>7.7428745995669082E-2</v>
      </c>
      <c r="N13" s="57">
        <f t="shared" si="20"/>
        <v>0.11832755637592668</v>
      </c>
      <c r="O13" s="57">
        <f t="shared" si="20"/>
        <v>0.12108829645942322</v>
      </c>
      <c r="P13" s="57">
        <f t="shared" si="20"/>
        <v>0.12509904691402482</v>
      </c>
      <c r="Q13" s="57">
        <f t="shared" si="20"/>
        <v>0.15212563395976833</v>
      </c>
      <c r="R13" s="57">
        <f t="shared" si="20"/>
        <v>0.16765759906360206</v>
      </c>
      <c r="S13" s="57">
        <f t="shared" si="20"/>
        <v>0.14100738704139998</v>
      </c>
      <c r="T13" s="57" t="e">
        <f t="shared" si="20"/>
        <v>#DIV/0!</v>
      </c>
      <c r="U13" s="57" t="e">
        <f t="shared" si="20"/>
        <v>#DIV/0!</v>
      </c>
      <c r="V13" s="57" t="e">
        <f t="shared" si="20"/>
        <v>#DIV/0!</v>
      </c>
      <c r="W13" s="57" t="e">
        <f t="shared" si="20"/>
        <v>#DIV/0!</v>
      </c>
      <c r="X13" s="57" t="e">
        <f t="shared" si="20"/>
        <v>#DIV/0!</v>
      </c>
      <c r="Y13" s="57" t="e">
        <f t="shared" si="20"/>
        <v>#DIV/0!</v>
      </c>
      <c r="Z13" s="57" t="e">
        <f t="shared" si="20"/>
        <v>#DIV/0!</v>
      </c>
      <c r="AA13" s="57" t="e">
        <f t="shared" si="20"/>
        <v>#DIV/0!</v>
      </c>
      <c r="AB13" s="57" t="e">
        <f t="shared" si="20"/>
        <v>#DIV/0!</v>
      </c>
      <c r="AC13" s="57" t="e">
        <f t="shared" si="20"/>
        <v>#DIV/0!</v>
      </c>
      <c r="AD13" s="57" t="e">
        <f t="shared" si="20"/>
        <v>#DIV/0!</v>
      </c>
      <c r="AE13" s="57" t="e">
        <f t="shared" si="20"/>
        <v>#DIV/0!</v>
      </c>
      <c r="AF13" s="57" t="e">
        <f t="shared" si="20"/>
        <v>#DIV/0!</v>
      </c>
      <c r="AG13" s="57" t="e">
        <f t="shared" si="20"/>
        <v>#DIV/0!</v>
      </c>
      <c r="AH13" s="57" t="e">
        <f t="shared" si="20"/>
        <v>#DIV/0!</v>
      </c>
      <c r="AI13" s="57" t="e">
        <f t="shared" si="20"/>
        <v>#DIV/0!</v>
      </c>
      <c r="AJ13" s="57" t="e">
        <f t="shared" si="20"/>
        <v>#DIV/0!</v>
      </c>
      <c r="AK13" s="57" t="e">
        <f t="shared" si="20"/>
        <v>#DIV/0!</v>
      </c>
      <c r="AL13" s="57" t="e">
        <f t="shared" si="20"/>
        <v>#DIV/0!</v>
      </c>
      <c r="AM13" s="57" t="e">
        <f t="shared" si="20"/>
        <v>#DIV/0!</v>
      </c>
      <c r="AN13" s="57" t="e">
        <f t="shared" si="20"/>
        <v>#DIV/0!</v>
      </c>
      <c r="AO13" s="57" t="e">
        <f t="shared" si="20"/>
        <v>#DIV/0!</v>
      </c>
      <c r="AP13" s="57" t="e">
        <f t="shared" si="20"/>
        <v>#DIV/0!</v>
      </c>
      <c r="AQ13" s="57" t="e">
        <f t="shared" si="20"/>
        <v>#DIV/0!</v>
      </c>
      <c r="AR13" s="57" t="e">
        <f t="shared" si="20"/>
        <v>#DIV/0!</v>
      </c>
      <c r="AS13" s="57" t="e">
        <f t="shared" si="20"/>
        <v>#DIV/0!</v>
      </c>
      <c r="AT13" s="57" t="e">
        <f t="shared" si="20"/>
        <v>#DIV/0!</v>
      </c>
      <c r="AU13" s="57" t="e">
        <f t="shared" si="20"/>
        <v>#DIV/0!</v>
      </c>
      <c r="AV13" s="57" t="e">
        <f t="shared" si="20"/>
        <v>#DIV/0!</v>
      </c>
      <c r="AW13" s="57" t="e">
        <f t="shared" si="20"/>
        <v>#DIV/0!</v>
      </c>
      <c r="AX13" s="57" t="e">
        <f t="shared" si="20"/>
        <v>#DIV/0!</v>
      </c>
      <c r="AY13" s="57" t="e">
        <f t="shared" si="20"/>
        <v>#DIV/0!</v>
      </c>
      <c r="AZ13" s="57" t="e">
        <f t="shared" si="20"/>
        <v>#DIV/0!</v>
      </c>
      <c r="BA13" s="57" t="e">
        <f t="shared" si="20"/>
        <v>#DIV/0!</v>
      </c>
      <c r="BB13" s="57" t="e">
        <f t="shared" si="20"/>
        <v>#DIV/0!</v>
      </c>
      <c r="BC13" s="57" t="e">
        <f t="shared" si="20"/>
        <v>#DIV/0!</v>
      </c>
      <c r="BD13" s="57" t="e">
        <f t="shared" si="20"/>
        <v>#DIV/0!</v>
      </c>
      <c r="BE13" s="57" t="e">
        <f t="shared" si="20"/>
        <v>#DIV/0!</v>
      </c>
      <c r="BF13" s="57" t="e">
        <f t="shared" si="20"/>
        <v>#DIV/0!</v>
      </c>
      <c r="BG13" s="57" t="e">
        <f t="shared" si="20"/>
        <v>#DIV/0!</v>
      </c>
      <c r="BH13" s="57" t="e">
        <f t="shared" si="20"/>
        <v>#DIV/0!</v>
      </c>
      <c r="BI13" s="57" t="e">
        <f t="shared" si="20"/>
        <v>#DIV/0!</v>
      </c>
      <c r="BJ13" s="57" t="e">
        <f t="shared" si="20"/>
        <v>#DIV/0!</v>
      </c>
      <c r="BK13" s="57" t="e">
        <f t="shared" si="20"/>
        <v>#DIV/0!</v>
      </c>
      <c r="BL13" s="57" t="e">
        <f t="shared" si="20"/>
        <v>#DIV/0!</v>
      </c>
      <c r="BM13" s="57" t="e">
        <f t="shared" si="20"/>
        <v>#DIV/0!</v>
      </c>
      <c r="BN13" s="57" t="e">
        <f t="shared" si="20"/>
        <v>#DIV/0!</v>
      </c>
      <c r="BO13" s="57" t="e">
        <f t="shared" si="20"/>
        <v>#DIV/0!</v>
      </c>
      <c r="BP13" s="57" t="e">
        <f t="shared" si="20"/>
        <v>#DIV/0!</v>
      </c>
      <c r="BQ13" s="57" t="e">
        <f t="shared" si="20"/>
        <v>#DIV/0!</v>
      </c>
      <c r="BR13" s="57" t="e">
        <f t="shared" ref="BR13:CJ13" si="21">BR12/BR2</f>
        <v>#DIV/0!</v>
      </c>
      <c r="BS13" s="57" t="e">
        <f t="shared" si="21"/>
        <v>#DIV/0!</v>
      </c>
      <c r="BT13" s="57" t="e">
        <f t="shared" si="21"/>
        <v>#DIV/0!</v>
      </c>
      <c r="BU13" s="57" t="e">
        <f t="shared" si="21"/>
        <v>#DIV/0!</v>
      </c>
      <c r="BV13" s="57" t="e">
        <f t="shared" si="21"/>
        <v>#DIV/0!</v>
      </c>
      <c r="BW13" s="57" t="e">
        <f t="shared" si="21"/>
        <v>#DIV/0!</v>
      </c>
      <c r="BX13" s="57" t="e">
        <f t="shared" si="21"/>
        <v>#DIV/0!</v>
      </c>
      <c r="BY13" s="57" t="e">
        <f t="shared" si="21"/>
        <v>#DIV/0!</v>
      </c>
      <c r="BZ13" s="57" t="e">
        <f t="shared" si="21"/>
        <v>#DIV/0!</v>
      </c>
      <c r="CA13" s="57" t="e">
        <f t="shared" si="21"/>
        <v>#DIV/0!</v>
      </c>
      <c r="CB13" s="57" t="e">
        <f t="shared" si="21"/>
        <v>#DIV/0!</v>
      </c>
      <c r="CC13" s="57" t="e">
        <f t="shared" si="21"/>
        <v>#DIV/0!</v>
      </c>
      <c r="CD13" s="57" t="e">
        <f t="shared" si="21"/>
        <v>#DIV/0!</v>
      </c>
      <c r="CE13" s="57" t="e">
        <f t="shared" si="21"/>
        <v>#DIV/0!</v>
      </c>
      <c r="CF13" s="57" t="e">
        <f t="shared" si="21"/>
        <v>#DIV/0!</v>
      </c>
      <c r="CG13" s="57" t="e">
        <f t="shared" si="21"/>
        <v>#DIV/0!</v>
      </c>
      <c r="CH13" s="57" t="e">
        <f t="shared" si="21"/>
        <v>#DIV/0!</v>
      </c>
      <c r="CI13" s="57" t="e">
        <f t="shared" si="21"/>
        <v>#DIV/0!</v>
      </c>
      <c r="CJ13" s="57" t="e">
        <f t="shared" si="21"/>
        <v>#DIV/0!</v>
      </c>
    </row>
    <row r="14" spans="1:89" s="26" customFormat="1">
      <c r="A14" s="128" t="s">
        <v>249</v>
      </c>
      <c r="B14" s="190">
        <f>股权价值增加表!B10</f>
        <v>5325940762.2399998</v>
      </c>
      <c r="C14" s="190">
        <f>股权价值增加表!C10</f>
        <v>4720542820.1400003</v>
      </c>
      <c r="D14" s="190">
        <f>股权价值增加表!D10</f>
        <v>4187189840.4200001</v>
      </c>
      <c r="E14" s="26">
        <f>股权价值增加表!E10</f>
        <v>3812852076.1900001</v>
      </c>
      <c r="F14" s="26">
        <f>股权价值增加表!F10</f>
        <v>3378499544.5900002</v>
      </c>
      <c r="G14" s="26">
        <f>股权价值增加表!G10</f>
        <v>2834740716</v>
      </c>
      <c r="H14" s="26">
        <f>股权价值增加表!H10</f>
        <v>2204190581.1300001</v>
      </c>
      <c r="I14" s="26">
        <f>股权价值增加表!I10</f>
        <v>1673872427.75</v>
      </c>
      <c r="J14" s="26">
        <f>股权价值增加表!J10</f>
        <v>1346014202.04</v>
      </c>
      <c r="K14" s="26">
        <f>股权价值增加表!K10</f>
        <v>1217158463.04</v>
      </c>
      <c r="L14" s="26">
        <f>股权价值增加表!L10</f>
        <v>941174062.44000006</v>
      </c>
      <c r="M14" s="26">
        <f>股权价值增加表!M10</f>
        <v>723155575.20000005</v>
      </c>
      <c r="N14" s="26">
        <f>股权价值增加表!N10</f>
        <v>492828170.27999997</v>
      </c>
      <c r="O14" s="26">
        <f>股权价值增加表!O10</f>
        <v>350685099.47000003</v>
      </c>
      <c r="P14" s="26">
        <f>股权价值增加表!P10</f>
        <v>311563047.88999999</v>
      </c>
      <c r="Q14" s="26">
        <f>股权价值增加表!Q10</f>
        <v>291880260.69</v>
      </c>
      <c r="R14" s="26">
        <f>股权价值增加表!R10</f>
        <v>237706731.47</v>
      </c>
      <c r="S14" s="26">
        <f>股权价值增加表!S10</f>
        <v>181060278.22</v>
      </c>
      <c r="T14" s="26">
        <f>股权价值增加表!T10</f>
        <v>0</v>
      </c>
      <c r="U14" s="26">
        <f>股权价值增加表!U10</f>
        <v>0</v>
      </c>
      <c r="V14" s="26">
        <f>股权价值增加表!V10</f>
        <v>0</v>
      </c>
      <c r="W14" s="26">
        <f>股权价值增加表!W10</f>
        <v>0</v>
      </c>
      <c r="X14" s="26">
        <f>股权价值增加表!X10</f>
        <v>0</v>
      </c>
      <c r="Y14" s="26">
        <f>股权价值增加表!Y10</f>
        <v>0</v>
      </c>
      <c r="Z14" s="26">
        <f>股权价值增加表!Z10</f>
        <v>0</v>
      </c>
      <c r="AA14" s="26">
        <f>股权价值增加表!AA10</f>
        <v>0</v>
      </c>
      <c r="AB14" s="26">
        <f>股权价值增加表!AB10</f>
        <v>0</v>
      </c>
      <c r="AC14" s="26">
        <f>股权价值增加表!AC10</f>
        <v>0</v>
      </c>
      <c r="AD14" s="26">
        <f>股权价值增加表!AD10</f>
        <v>0</v>
      </c>
      <c r="AE14" s="26">
        <f>股权价值增加表!AE10</f>
        <v>0</v>
      </c>
      <c r="AF14" s="26">
        <f>股权价值增加表!AF10</f>
        <v>0</v>
      </c>
      <c r="AG14" s="26">
        <f>股权价值增加表!AG10</f>
        <v>0</v>
      </c>
      <c r="AH14" s="26">
        <f>股权价值增加表!AH10</f>
        <v>0</v>
      </c>
      <c r="AI14" s="26">
        <f>股权价值增加表!AI10</f>
        <v>0</v>
      </c>
      <c r="AJ14" s="26">
        <f>股权价值增加表!AJ10</f>
        <v>0</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250</v>
      </c>
      <c r="B15" s="57">
        <f t="shared" ref="B15:D15" si="22">B14/B2</f>
        <v>7.2325126519804397E-2</v>
      </c>
      <c r="C15" s="57">
        <f t="shared" si="22"/>
        <v>8.108409882434206E-2</v>
      </c>
      <c r="D15" s="57">
        <f t="shared" si="22"/>
        <v>0.10774456717657206</v>
      </c>
      <c r="E15" s="57">
        <f>E14/E2</f>
        <v>0.11674527477944184</v>
      </c>
      <c r="F15" s="57">
        <f t="shared" ref="F15:BQ15" si="23">F14/F2</f>
        <v>0.10700282485530214</v>
      </c>
      <c r="G15" s="57">
        <f t="shared" si="23"/>
        <v>9.1674501332437042E-2</v>
      </c>
      <c r="H15" s="57">
        <f t="shared" si="23"/>
        <v>8.3317431753680921E-2</v>
      </c>
      <c r="I15" s="57">
        <f t="shared" si="23"/>
        <v>9.0959684719377348E-2</v>
      </c>
      <c r="J15" s="57">
        <f t="shared" si="23"/>
        <v>0.11570371978386675</v>
      </c>
      <c r="K15" s="57">
        <f t="shared" si="23"/>
        <v>0.12586955332770872</v>
      </c>
      <c r="L15" s="57">
        <f t="shared" si="23"/>
        <v>0.11419679325531697</v>
      </c>
      <c r="M15" s="57">
        <f t="shared" si="23"/>
        <v>9.991882485200515E-2</v>
      </c>
      <c r="N15" s="57">
        <f t="shared" si="23"/>
        <v>0.10065550605476413</v>
      </c>
      <c r="O15" s="57">
        <f t="shared" si="23"/>
        <v>8.9221152513134269E-2</v>
      </c>
      <c r="P15" s="57">
        <f t="shared" si="23"/>
        <v>0.10351641925864778</v>
      </c>
      <c r="Q15" s="57">
        <f t="shared" si="23"/>
        <v>0.12156521467154704</v>
      </c>
      <c r="R15" s="57">
        <f t="shared" si="23"/>
        <v>0.12931987102637363</v>
      </c>
      <c r="S15" s="57">
        <f t="shared" si="23"/>
        <v>0.11182065763796342</v>
      </c>
      <c r="T15" s="57" t="e">
        <f t="shared" si="23"/>
        <v>#DIV/0!</v>
      </c>
      <c r="U15" s="57" t="e">
        <f t="shared" si="23"/>
        <v>#DIV/0!</v>
      </c>
      <c r="V15" s="57" t="e">
        <f t="shared" si="23"/>
        <v>#DIV/0!</v>
      </c>
      <c r="W15" s="57" t="e">
        <f t="shared" si="23"/>
        <v>#DIV/0!</v>
      </c>
      <c r="X15" s="57" t="e">
        <f t="shared" si="23"/>
        <v>#DIV/0!</v>
      </c>
      <c r="Y15" s="57" t="e">
        <f t="shared" si="23"/>
        <v>#DIV/0!</v>
      </c>
      <c r="Z15" s="57" t="e">
        <f t="shared" si="23"/>
        <v>#DIV/0!</v>
      </c>
      <c r="AA15" s="57" t="e">
        <f t="shared" si="23"/>
        <v>#DIV/0!</v>
      </c>
      <c r="AB15" s="57" t="e">
        <f t="shared" si="23"/>
        <v>#DIV/0!</v>
      </c>
      <c r="AC15" s="57" t="e">
        <f t="shared" si="23"/>
        <v>#DIV/0!</v>
      </c>
      <c r="AD15" s="57" t="e">
        <f t="shared" si="23"/>
        <v>#DIV/0!</v>
      </c>
      <c r="AE15" s="57" t="e">
        <f t="shared" si="23"/>
        <v>#DIV/0!</v>
      </c>
      <c r="AF15" s="57" t="e">
        <f t="shared" si="23"/>
        <v>#DIV/0!</v>
      </c>
      <c r="AG15" s="57" t="e">
        <f t="shared" si="23"/>
        <v>#DIV/0!</v>
      </c>
      <c r="AH15" s="57" t="e">
        <f t="shared" si="23"/>
        <v>#DIV/0!</v>
      </c>
      <c r="AI15" s="57" t="e">
        <f t="shared" si="23"/>
        <v>#DIV/0!</v>
      </c>
      <c r="AJ15" s="57" t="e">
        <f t="shared" si="23"/>
        <v>#DIV/0!</v>
      </c>
      <c r="AK15" s="57" t="e">
        <f t="shared" si="23"/>
        <v>#DIV/0!</v>
      </c>
      <c r="AL15" s="57" t="e">
        <f t="shared" si="23"/>
        <v>#DIV/0!</v>
      </c>
      <c r="AM15" s="57" t="e">
        <f t="shared" si="23"/>
        <v>#DIV/0!</v>
      </c>
      <c r="AN15" s="57" t="e">
        <f t="shared" si="23"/>
        <v>#DIV/0!</v>
      </c>
      <c r="AO15" s="57" t="e">
        <f t="shared" si="23"/>
        <v>#DIV/0!</v>
      </c>
      <c r="AP15" s="57" t="e">
        <f t="shared" si="23"/>
        <v>#DIV/0!</v>
      </c>
      <c r="AQ15" s="57" t="e">
        <f t="shared" si="23"/>
        <v>#DIV/0!</v>
      </c>
      <c r="AR15" s="57" t="e">
        <f t="shared" si="23"/>
        <v>#DIV/0!</v>
      </c>
      <c r="AS15" s="57" t="e">
        <f t="shared" si="23"/>
        <v>#DIV/0!</v>
      </c>
      <c r="AT15" s="57" t="e">
        <f t="shared" si="23"/>
        <v>#DIV/0!</v>
      </c>
      <c r="AU15" s="57" t="e">
        <f t="shared" si="23"/>
        <v>#DIV/0!</v>
      </c>
      <c r="AV15" s="57" t="e">
        <f t="shared" si="23"/>
        <v>#DIV/0!</v>
      </c>
      <c r="AW15" s="57" t="e">
        <f t="shared" si="23"/>
        <v>#DIV/0!</v>
      </c>
      <c r="AX15" s="57" t="e">
        <f t="shared" si="23"/>
        <v>#DIV/0!</v>
      </c>
      <c r="AY15" s="57" t="e">
        <f t="shared" si="23"/>
        <v>#DIV/0!</v>
      </c>
      <c r="AZ15" s="57" t="e">
        <f t="shared" si="23"/>
        <v>#DIV/0!</v>
      </c>
      <c r="BA15" s="57" t="e">
        <f t="shared" si="23"/>
        <v>#DIV/0!</v>
      </c>
      <c r="BB15" s="57" t="e">
        <f t="shared" si="23"/>
        <v>#DIV/0!</v>
      </c>
      <c r="BC15" s="57" t="e">
        <f t="shared" si="23"/>
        <v>#DIV/0!</v>
      </c>
      <c r="BD15" s="57" t="e">
        <f t="shared" si="23"/>
        <v>#DIV/0!</v>
      </c>
      <c r="BE15" s="57" t="e">
        <f t="shared" si="23"/>
        <v>#DIV/0!</v>
      </c>
      <c r="BF15" s="57" t="e">
        <f t="shared" si="23"/>
        <v>#DIV/0!</v>
      </c>
      <c r="BG15" s="57" t="e">
        <f t="shared" si="23"/>
        <v>#DIV/0!</v>
      </c>
      <c r="BH15" s="57" t="e">
        <f t="shared" si="23"/>
        <v>#DIV/0!</v>
      </c>
      <c r="BI15" s="57" t="e">
        <f t="shared" si="23"/>
        <v>#DIV/0!</v>
      </c>
      <c r="BJ15" s="57" t="e">
        <f t="shared" si="23"/>
        <v>#DIV/0!</v>
      </c>
      <c r="BK15" s="57" t="e">
        <f t="shared" si="23"/>
        <v>#DIV/0!</v>
      </c>
      <c r="BL15" s="57" t="e">
        <f t="shared" si="23"/>
        <v>#DIV/0!</v>
      </c>
      <c r="BM15" s="57" t="e">
        <f t="shared" si="23"/>
        <v>#DIV/0!</v>
      </c>
      <c r="BN15" s="57" t="e">
        <f t="shared" si="23"/>
        <v>#DIV/0!</v>
      </c>
      <c r="BO15" s="57" t="e">
        <f t="shared" si="23"/>
        <v>#DIV/0!</v>
      </c>
      <c r="BP15" s="57" t="e">
        <f t="shared" si="23"/>
        <v>#DIV/0!</v>
      </c>
      <c r="BQ15" s="57" t="e">
        <f t="shared" si="23"/>
        <v>#DIV/0!</v>
      </c>
      <c r="BR15" s="57" t="e">
        <f t="shared" ref="BR15:CK15" si="24">BR14/BR2</f>
        <v>#DIV/0!</v>
      </c>
      <c r="BS15" s="57" t="e">
        <f t="shared" si="24"/>
        <v>#DIV/0!</v>
      </c>
      <c r="BT15" s="57" t="e">
        <f t="shared" si="24"/>
        <v>#DIV/0!</v>
      </c>
      <c r="BU15" s="57" t="e">
        <f t="shared" si="24"/>
        <v>#DIV/0!</v>
      </c>
      <c r="BV15" s="57" t="e">
        <f t="shared" si="24"/>
        <v>#DIV/0!</v>
      </c>
      <c r="BW15" s="57" t="e">
        <f t="shared" si="24"/>
        <v>#DIV/0!</v>
      </c>
      <c r="BX15" s="57" t="e">
        <f t="shared" si="24"/>
        <v>#DIV/0!</v>
      </c>
      <c r="BY15" s="57" t="e">
        <f t="shared" si="24"/>
        <v>#DIV/0!</v>
      </c>
      <c r="BZ15" s="57" t="e">
        <f t="shared" si="24"/>
        <v>#DIV/0!</v>
      </c>
      <c r="CA15" s="57" t="e">
        <f t="shared" si="24"/>
        <v>#DIV/0!</v>
      </c>
      <c r="CB15" s="57" t="e">
        <f t="shared" si="24"/>
        <v>#DIV/0!</v>
      </c>
      <c r="CC15" s="57" t="e">
        <f t="shared" si="24"/>
        <v>#DIV/0!</v>
      </c>
      <c r="CD15" s="57" t="e">
        <f t="shared" si="24"/>
        <v>#DIV/0!</v>
      </c>
      <c r="CE15" s="57" t="e">
        <f t="shared" si="24"/>
        <v>#DIV/0!</v>
      </c>
      <c r="CF15" s="57" t="e">
        <f t="shared" si="24"/>
        <v>#DIV/0!</v>
      </c>
      <c r="CG15" s="57" t="e">
        <f t="shared" si="24"/>
        <v>#DIV/0!</v>
      </c>
      <c r="CH15" s="57" t="e">
        <f t="shared" si="24"/>
        <v>#DIV/0!</v>
      </c>
      <c r="CI15" s="57" t="e">
        <f t="shared" si="24"/>
        <v>#DIV/0!</v>
      </c>
      <c r="CJ15" s="57" t="e">
        <f t="shared" si="24"/>
        <v>#DIV/0!</v>
      </c>
      <c r="CK15" s="57" t="e">
        <f t="shared" si="24"/>
        <v>#DIV/0!</v>
      </c>
    </row>
    <row r="16" spans="1:89" s="26" customFormat="1">
      <c r="A16" s="128" t="s">
        <v>251</v>
      </c>
      <c r="B16" s="190">
        <f>股权价值增加表!B11</f>
        <v>1289685.01</v>
      </c>
      <c r="C16" s="190">
        <f>股权价值增加表!C11</f>
        <v>-8053703.9500000002</v>
      </c>
      <c r="D16" s="190">
        <f>股权价值增加表!D11</f>
        <v>12327496.220000001</v>
      </c>
      <c r="E16" s="26">
        <f>股权价值增加表!E11</f>
        <v>-540313.39</v>
      </c>
      <c r="F16" s="26">
        <f>股权价值增加表!F11</f>
        <v>432745.88</v>
      </c>
      <c r="G16" s="26">
        <f>股权价值增加表!G11</f>
        <v>-2004032.3</v>
      </c>
      <c r="H16" s="26">
        <f>股权价值增加表!H11</f>
        <v>2979258.5</v>
      </c>
      <c r="I16" s="26">
        <f>股权价值增加表!I11</f>
        <v>-2500650.5699999998</v>
      </c>
      <c r="J16" s="26">
        <f>股权价值增加表!J11</f>
        <v>-3066975.05</v>
      </c>
      <c r="K16" s="26">
        <f>股权价值增加表!K11</f>
        <v>-300085.01</v>
      </c>
      <c r="L16" s="26">
        <f>股权价值增加表!L11</f>
        <v>450078.22</v>
      </c>
      <c r="M16" s="26">
        <f>股权价值增加表!M11</f>
        <v>-614738.65</v>
      </c>
      <c r="N16" s="26">
        <f>股权价值增加表!N11</f>
        <v>0</v>
      </c>
      <c r="O16" s="26">
        <f>股权价值增加表!O11</f>
        <v>0</v>
      </c>
      <c r="P16" s="26">
        <f>股权价值增加表!P11</f>
        <v>0</v>
      </c>
      <c r="Q16" s="26">
        <f>股权价值增加表!Q11</f>
        <v>0</v>
      </c>
      <c r="R16" s="26">
        <f>股权价值增加表!R11</f>
        <v>0</v>
      </c>
      <c r="S16" s="26">
        <f>股权价值增加表!S11</f>
        <v>0</v>
      </c>
      <c r="T16" s="26">
        <f>股权价值增加表!T11</f>
        <v>0</v>
      </c>
      <c r="U16" s="26">
        <f>股权价值增加表!U11</f>
        <v>0</v>
      </c>
      <c r="V16" s="26">
        <f>股权价值增加表!V11</f>
        <v>0</v>
      </c>
      <c r="W16" s="26">
        <f>股权价值增加表!W11</f>
        <v>0</v>
      </c>
      <c r="X16" s="26">
        <f>股权价值增加表!X11</f>
        <v>0</v>
      </c>
      <c r="Y16" s="26">
        <f>股权价值增加表!Y11</f>
        <v>0</v>
      </c>
      <c r="Z16" s="26">
        <f>股权价值增加表!Z11</f>
        <v>0</v>
      </c>
      <c r="AA16" s="26">
        <f>股权价值增加表!AA11</f>
        <v>0</v>
      </c>
      <c r="AB16" s="26">
        <f>股权价值增加表!AB11</f>
        <v>0</v>
      </c>
      <c r="AC16" s="26">
        <f>股权价值增加表!AC11</f>
        <v>0</v>
      </c>
      <c r="AD16" s="26">
        <f>股权价值增加表!AD11</f>
        <v>0</v>
      </c>
      <c r="AE16" s="26">
        <f>股权价值增加表!AE11</f>
        <v>0</v>
      </c>
      <c r="AF16" s="26">
        <f>股权价值增加表!AF11</f>
        <v>0</v>
      </c>
      <c r="AG16" s="26">
        <f>股权价值增加表!AG11</f>
        <v>0</v>
      </c>
      <c r="AH16" s="26">
        <f>股权价值增加表!AH11</f>
        <v>0</v>
      </c>
      <c r="AI16" s="26">
        <f>股权价值增加表!AI11</f>
        <v>0</v>
      </c>
      <c r="AJ16" s="26">
        <f>股权价值增加表!AJ11</f>
        <v>0</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554</v>
      </c>
      <c r="B17" s="57">
        <f t="shared" ref="B17:D17" si="25">B16/B2</f>
        <v>1.7513644196018926E-5</v>
      </c>
      <c r="C17" s="57">
        <f t="shared" si="25"/>
        <v>-1.3833733785819714E-4</v>
      </c>
      <c r="D17" s="57">
        <f t="shared" si="25"/>
        <v>3.1721053862260513E-4</v>
      </c>
      <c r="E17" s="57">
        <f>E16/E2</f>
        <v>-1.6543792919864222E-5</v>
      </c>
      <c r="F17" s="57">
        <f t="shared" ref="F17:BQ17" si="26">F16/F2</f>
        <v>1.3705797793769712E-5</v>
      </c>
      <c r="G17" s="57">
        <f t="shared" si="26"/>
        <v>-6.4809688138192623E-5</v>
      </c>
      <c r="H17" s="57">
        <f t="shared" si="26"/>
        <v>1.1261465722399975E-4</v>
      </c>
      <c r="I17" s="57">
        <f t="shared" si="26"/>
        <v>-1.3588752862503278E-4</v>
      </c>
      <c r="J17" s="57">
        <f t="shared" si="26"/>
        <v>-2.6363794767654699E-4</v>
      </c>
      <c r="K17" s="57">
        <f t="shared" si="26"/>
        <v>-3.1032579007586218E-5</v>
      </c>
      <c r="L17" s="57">
        <f t="shared" si="26"/>
        <v>5.4609972256154965E-5</v>
      </c>
      <c r="M17" s="57">
        <f t="shared" si="26"/>
        <v>-8.4938795475814917E-5</v>
      </c>
      <c r="N17" s="57">
        <f t="shared" si="26"/>
        <v>0</v>
      </c>
      <c r="O17" s="57">
        <f t="shared" si="26"/>
        <v>0</v>
      </c>
      <c r="P17" s="57">
        <f t="shared" si="26"/>
        <v>0</v>
      </c>
      <c r="Q17" s="57">
        <f t="shared" si="26"/>
        <v>0</v>
      </c>
      <c r="R17" s="57">
        <f t="shared" si="26"/>
        <v>0</v>
      </c>
      <c r="S17" s="57">
        <f t="shared" si="26"/>
        <v>0</v>
      </c>
      <c r="T17" s="57" t="e">
        <f t="shared" si="26"/>
        <v>#DIV/0!</v>
      </c>
      <c r="U17" s="57" t="e">
        <f t="shared" si="26"/>
        <v>#DIV/0!</v>
      </c>
      <c r="V17" s="57" t="e">
        <f t="shared" si="26"/>
        <v>#DIV/0!</v>
      </c>
      <c r="W17" s="57" t="e">
        <f t="shared" si="26"/>
        <v>#DIV/0!</v>
      </c>
      <c r="X17" s="57" t="e">
        <f t="shared" si="26"/>
        <v>#DIV/0!</v>
      </c>
      <c r="Y17" s="57" t="e">
        <f t="shared" si="26"/>
        <v>#DIV/0!</v>
      </c>
      <c r="Z17" s="57" t="e">
        <f t="shared" si="26"/>
        <v>#DIV/0!</v>
      </c>
      <c r="AA17" s="57" t="e">
        <f t="shared" si="26"/>
        <v>#DIV/0!</v>
      </c>
      <c r="AB17" s="57" t="e">
        <f t="shared" si="26"/>
        <v>#DIV/0!</v>
      </c>
      <c r="AC17" s="57" t="e">
        <f t="shared" si="26"/>
        <v>#DIV/0!</v>
      </c>
      <c r="AD17" s="57" t="e">
        <f t="shared" si="26"/>
        <v>#DIV/0!</v>
      </c>
      <c r="AE17" s="57" t="e">
        <f t="shared" si="26"/>
        <v>#DIV/0!</v>
      </c>
      <c r="AF17" s="57" t="e">
        <f t="shared" si="26"/>
        <v>#DIV/0!</v>
      </c>
      <c r="AG17" s="57" t="e">
        <f t="shared" si="26"/>
        <v>#DIV/0!</v>
      </c>
      <c r="AH17" s="57" t="e">
        <f t="shared" si="26"/>
        <v>#DIV/0!</v>
      </c>
      <c r="AI17" s="57" t="e">
        <f t="shared" si="26"/>
        <v>#DIV/0!</v>
      </c>
      <c r="AJ17" s="57" t="e">
        <f t="shared" si="26"/>
        <v>#DIV/0!</v>
      </c>
      <c r="AK17" s="57" t="e">
        <f t="shared" si="26"/>
        <v>#DIV/0!</v>
      </c>
      <c r="AL17" s="57" t="e">
        <f t="shared" si="26"/>
        <v>#DIV/0!</v>
      </c>
      <c r="AM17" s="57" t="e">
        <f t="shared" si="26"/>
        <v>#DIV/0!</v>
      </c>
      <c r="AN17" s="57" t="e">
        <f t="shared" si="26"/>
        <v>#DIV/0!</v>
      </c>
      <c r="AO17" s="57" t="e">
        <f t="shared" si="26"/>
        <v>#DIV/0!</v>
      </c>
      <c r="AP17" s="57" t="e">
        <f t="shared" si="26"/>
        <v>#DIV/0!</v>
      </c>
      <c r="AQ17" s="57" t="e">
        <f t="shared" si="26"/>
        <v>#DIV/0!</v>
      </c>
      <c r="AR17" s="57" t="e">
        <f t="shared" si="26"/>
        <v>#DIV/0!</v>
      </c>
      <c r="AS17" s="57" t="e">
        <f t="shared" si="26"/>
        <v>#DIV/0!</v>
      </c>
      <c r="AT17" s="57" t="e">
        <f t="shared" si="26"/>
        <v>#DIV/0!</v>
      </c>
      <c r="AU17" s="57" t="e">
        <f t="shared" si="26"/>
        <v>#DIV/0!</v>
      </c>
      <c r="AV17" s="57" t="e">
        <f t="shared" si="26"/>
        <v>#DIV/0!</v>
      </c>
      <c r="AW17" s="57" t="e">
        <f t="shared" si="26"/>
        <v>#DIV/0!</v>
      </c>
      <c r="AX17" s="57" t="e">
        <f t="shared" si="26"/>
        <v>#DIV/0!</v>
      </c>
      <c r="AY17" s="57" t="e">
        <f t="shared" si="26"/>
        <v>#DIV/0!</v>
      </c>
      <c r="AZ17" s="57" t="e">
        <f t="shared" si="26"/>
        <v>#DIV/0!</v>
      </c>
      <c r="BA17" s="57" t="e">
        <f t="shared" si="26"/>
        <v>#DIV/0!</v>
      </c>
      <c r="BB17" s="57" t="e">
        <f t="shared" si="26"/>
        <v>#DIV/0!</v>
      </c>
      <c r="BC17" s="57" t="e">
        <f t="shared" si="26"/>
        <v>#DIV/0!</v>
      </c>
      <c r="BD17" s="57" t="e">
        <f t="shared" si="26"/>
        <v>#DIV/0!</v>
      </c>
      <c r="BE17" s="57" t="e">
        <f t="shared" si="26"/>
        <v>#DIV/0!</v>
      </c>
      <c r="BF17" s="57" t="e">
        <f t="shared" si="26"/>
        <v>#DIV/0!</v>
      </c>
      <c r="BG17" s="57" t="e">
        <f t="shared" si="26"/>
        <v>#DIV/0!</v>
      </c>
      <c r="BH17" s="57" t="e">
        <f t="shared" si="26"/>
        <v>#DIV/0!</v>
      </c>
      <c r="BI17" s="57" t="e">
        <f t="shared" si="26"/>
        <v>#DIV/0!</v>
      </c>
      <c r="BJ17" s="57" t="e">
        <f t="shared" si="26"/>
        <v>#DIV/0!</v>
      </c>
      <c r="BK17" s="57" t="e">
        <f t="shared" si="26"/>
        <v>#DIV/0!</v>
      </c>
      <c r="BL17" s="57" t="e">
        <f t="shared" si="26"/>
        <v>#DIV/0!</v>
      </c>
      <c r="BM17" s="57" t="e">
        <f t="shared" si="26"/>
        <v>#DIV/0!</v>
      </c>
      <c r="BN17" s="57" t="e">
        <f t="shared" si="26"/>
        <v>#DIV/0!</v>
      </c>
      <c r="BO17" s="57" t="e">
        <f t="shared" si="26"/>
        <v>#DIV/0!</v>
      </c>
      <c r="BP17" s="57" t="e">
        <f t="shared" si="26"/>
        <v>#DIV/0!</v>
      </c>
      <c r="BQ17" s="57" t="e">
        <f t="shared" si="26"/>
        <v>#DIV/0!</v>
      </c>
      <c r="BR17" s="57" t="e">
        <f t="shared" ref="BR17:CK17" si="27">BR16/BR2</f>
        <v>#DIV/0!</v>
      </c>
      <c r="BS17" s="57" t="e">
        <f t="shared" si="27"/>
        <v>#DIV/0!</v>
      </c>
      <c r="BT17" s="57" t="e">
        <f t="shared" si="27"/>
        <v>#DIV/0!</v>
      </c>
      <c r="BU17" s="57" t="e">
        <f t="shared" si="27"/>
        <v>#DIV/0!</v>
      </c>
      <c r="BV17" s="57" t="e">
        <f t="shared" si="27"/>
        <v>#DIV/0!</v>
      </c>
      <c r="BW17" s="57" t="e">
        <f t="shared" si="27"/>
        <v>#DIV/0!</v>
      </c>
      <c r="BX17" s="57" t="e">
        <f t="shared" si="27"/>
        <v>#DIV/0!</v>
      </c>
      <c r="BY17" s="57" t="e">
        <f t="shared" si="27"/>
        <v>#DIV/0!</v>
      </c>
      <c r="BZ17" s="57" t="e">
        <f t="shared" si="27"/>
        <v>#DIV/0!</v>
      </c>
      <c r="CA17" s="57" t="e">
        <f t="shared" si="27"/>
        <v>#DIV/0!</v>
      </c>
      <c r="CB17" s="57" t="e">
        <f t="shared" si="27"/>
        <v>#DIV/0!</v>
      </c>
      <c r="CC17" s="57" t="e">
        <f t="shared" si="27"/>
        <v>#DIV/0!</v>
      </c>
      <c r="CD17" s="57" t="e">
        <f t="shared" si="27"/>
        <v>#DIV/0!</v>
      </c>
      <c r="CE17" s="57" t="e">
        <f t="shared" si="27"/>
        <v>#DIV/0!</v>
      </c>
      <c r="CF17" s="57" t="e">
        <f t="shared" si="27"/>
        <v>#DIV/0!</v>
      </c>
      <c r="CG17" s="57" t="e">
        <f t="shared" si="27"/>
        <v>#DIV/0!</v>
      </c>
      <c r="CH17" s="57" t="e">
        <f t="shared" si="27"/>
        <v>#DIV/0!</v>
      </c>
      <c r="CI17" s="57" t="e">
        <f t="shared" si="27"/>
        <v>#DIV/0!</v>
      </c>
      <c r="CJ17" s="57" t="e">
        <f t="shared" si="27"/>
        <v>#DIV/0!</v>
      </c>
      <c r="CK17" s="57" t="e">
        <f t="shared" si="27"/>
        <v>#DIV/0!</v>
      </c>
    </row>
    <row r="18" spans="1:89" s="26" customFormat="1">
      <c r="A18" s="128" t="s">
        <v>252</v>
      </c>
      <c r="B18" s="190">
        <f>股权价值增加表!B12</f>
        <v>463</v>
      </c>
      <c r="C18" s="190">
        <f>股权价值增加表!C12</f>
        <v>603</v>
      </c>
      <c r="D18" s="190">
        <f>股权价值增加表!D12</f>
        <v>653</v>
      </c>
      <c r="E18" s="26">
        <f>股权价值增加表!E12</f>
        <v>4084075.75</v>
      </c>
      <c r="F18" s="26">
        <f>股权价值增加表!F12</f>
        <v>1204</v>
      </c>
      <c r="G18" s="26">
        <f>股权价值增加表!G12</f>
        <v>868</v>
      </c>
      <c r="H18" s="26">
        <f>股权价值增加表!H12</f>
        <v>644</v>
      </c>
      <c r="I18" s="26">
        <f>股权价值增加表!I12</f>
        <v>787035.87</v>
      </c>
      <c r="J18" s="26">
        <f>股权价值增加表!J12</f>
        <v>0</v>
      </c>
      <c r="K18" s="26">
        <f>股权价值增加表!K12</f>
        <v>0</v>
      </c>
      <c r="L18" s="26">
        <f>股权价值增加表!L12</f>
        <v>0</v>
      </c>
      <c r="M18" s="26">
        <f>股权价值增加表!M12</f>
        <v>1633270.12</v>
      </c>
      <c r="N18" s="26">
        <f>股权价值增加表!N12</f>
        <v>0</v>
      </c>
      <c r="O18" s="26">
        <f>股权价值增加表!O12</f>
        <v>0</v>
      </c>
      <c r="P18" s="26">
        <f>股权价值增加表!P12</f>
        <v>0</v>
      </c>
      <c r="Q18" s="26">
        <f>股权价值增加表!Q12</f>
        <v>831553.24</v>
      </c>
      <c r="R18" s="26">
        <f>股权价值增加表!R12</f>
        <v>0</v>
      </c>
      <c r="S18" s="26">
        <f>股权价值增加表!S12</f>
        <v>0</v>
      </c>
      <c r="T18" s="26">
        <f>股权价值增加表!T12</f>
        <v>0</v>
      </c>
      <c r="U18" s="26">
        <f>股权价值增加表!U12</f>
        <v>434996.18</v>
      </c>
      <c r="V18" s="26">
        <f>股权价值增加表!V12</f>
        <v>0</v>
      </c>
      <c r="W18" s="26">
        <f>股权价值增加表!W12</f>
        <v>0</v>
      </c>
      <c r="X18" s="26">
        <f>股权价值增加表!X12</f>
        <v>0</v>
      </c>
      <c r="Y18" s="26">
        <f>股权价值增加表!Y12</f>
        <v>603190.06999999995</v>
      </c>
      <c r="Z18" s="26">
        <f>股权价值增加表!Z12</f>
        <v>0</v>
      </c>
      <c r="AA18" s="26">
        <f>股权价值增加表!AA12</f>
        <v>0</v>
      </c>
      <c r="AB18" s="26">
        <f>股权价值增加表!AB12</f>
        <v>0</v>
      </c>
      <c r="AC18" s="26">
        <f>股权价值增加表!AC12</f>
        <v>352310</v>
      </c>
      <c r="AD18" s="26">
        <f>股权价值增加表!AD12</f>
        <v>0</v>
      </c>
      <c r="AE18" s="26">
        <f>股权价值增加表!AE12</f>
        <v>0</v>
      </c>
      <c r="AF18" s="26">
        <f>股权价值增加表!AF12</f>
        <v>0</v>
      </c>
      <c r="AG18" s="26">
        <f>股权价值增加表!AG12</f>
        <v>284184.78000000003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253</v>
      </c>
      <c r="B19" s="57">
        <f t="shared" ref="B19:D19" si="28">B18/B2</f>
        <v>6.2874401112538038E-9</v>
      </c>
      <c r="C19" s="57">
        <f t="shared" si="28"/>
        <v>1.0357646028010861E-8</v>
      </c>
      <c r="D19" s="57">
        <f t="shared" si="28"/>
        <v>1.6802964529366624E-8</v>
      </c>
      <c r="E19" s="57">
        <f>E18/E2</f>
        <v>1.2504984093960573E-4</v>
      </c>
      <c r="F19" s="57">
        <f t="shared" ref="F19:BQ19" si="29">F18/F2</f>
        <v>3.8132727095400041E-8</v>
      </c>
      <c r="G19" s="57">
        <f t="shared" si="29"/>
        <v>2.8070809689021081E-8</v>
      </c>
      <c r="H19" s="57">
        <f t="shared" si="29"/>
        <v>2.434291594779568E-8</v>
      </c>
      <c r="I19" s="57">
        <f t="shared" si="29"/>
        <v>4.2768214238566165E-5</v>
      </c>
      <c r="J19" s="57">
        <f t="shared" si="29"/>
        <v>0</v>
      </c>
      <c r="K19" s="57">
        <f t="shared" si="29"/>
        <v>0</v>
      </c>
      <c r="L19" s="57">
        <f t="shared" si="29"/>
        <v>0</v>
      </c>
      <c r="M19" s="57">
        <f t="shared" si="29"/>
        <v>2.2566987886549786E-4</v>
      </c>
      <c r="N19" s="57">
        <f t="shared" si="29"/>
        <v>0</v>
      </c>
      <c r="O19" s="57">
        <f t="shared" si="29"/>
        <v>0</v>
      </c>
      <c r="P19" s="57">
        <f t="shared" si="29"/>
        <v>0</v>
      </c>
      <c r="Q19" s="57">
        <f t="shared" si="29"/>
        <v>3.4633362287826616E-4</v>
      </c>
      <c r="R19" s="57">
        <f t="shared" si="29"/>
        <v>0</v>
      </c>
      <c r="S19" s="57">
        <f t="shared" si="29"/>
        <v>0</v>
      </c>
      <c r="T19" s="57" t="e">
        <f t="shared" si="29"/>
        <v>#DIV/0!</v>
      </c>
      <c r="U19" s="57" t="e">
        <f t="shared" si="29"/>
        <v>#DIV/0!</v>
      </c>
      <c r="V19" s="57" t="e">
        <f t="shared" si="29"/>
        <v>#DIV/0!</v>
      </c>
      <c r="W19" s="57" t="e">
        <f t="shared" si="29"/>
        <v>#DIV/0!</v>
      </c>
      <c r="X19" s="57" t="e">
        <f t="shared" si="29"/>
        <v>#DIV/0!</v>
      </c>
      <c r="Y19" s="57" t="e">
        <f t="shared" si="29"/>
        <v>#DIV/0!</v>
      </c>
      <c r="Z19" s="57" t="e">
        <f t="shared" si="29"/>
        <v>#DIV/0!</v>
      </c>
      <c r="AA19" s="57" t="e">
        <f t="shared" si="29"/>
        <v>#DIV/0!</v>
      </c>
      <c r="AB19" s="57" t="e">
        <f t="shared" si="29"/>
        <v>#DIV/0!</v>
      </c>
      <c r="AC19" s="57" t="e">
        <f t="shared" si="29"/>
        <v>#DIV/0!</v>
      </c>
      <c r="AD19" s="57" t="e">
        <f t="shared" si="29"/>
        <v>#DIV/0!</v>
      </c>
      <c r="AE19" s="57" t="e">
        <f t="shared" si="29"/>
        <v>#DIV/0!</v>
      </c>
      <c r="AF19" s="57" t="e">
        <f t="shared" si="29"/>
        <v>#DIV/0!</v>
      </c>
      <c r="AG19" s="57" t="e">
        <f t="shared" si="29"/>
        <v>#DIV/0!</v>
      </c>
      <c r="AH19" s="57" t="e">
        <f t="shared" si="29"/>
        <v>#DIV/0!</v>
      </c>
      <c r="AI19" s="57" t="e">
        <f t="shared" si="29"/>
        <v>#DIV/0!</v>
      </c>
      <c r="AJ19" s="57" t="e">
        <f t="shared" si="29"/>
        <v>#DIV/0!</v>
      </c>
      <c r="AK19" s="57" t="e">
        <f t="shared" si="29"/>
        <v>#DIV/0!</v>
      </c>
      <c r="AL19" s="57" t="e">
        <f t="shared" si="29"/>
        <v>#DIV/0!</v>
      </c>
      <c r="AM19" s="57" t="e">
        <f t="shared" si="29"/>
        <v>#DIV/0!</v>
      </c>
      <c r="AN19" s="57" t="e">
        <f t="shared" si="29"/>
        <v>#DIV/0!</v>
      </c>
      <c r="AO19" s="57" t="e">
        <f t="shared" si="29"/>
        <v>#DIV/0!</v>
      </c>
      <c r="AP19" s="57" t="e">
        <f t="shared" si="29"/>
        <v>#DIV/0!</v>
      </c>
      <c r="AQ19" s="57" t="e">
        <f t="shared" si="29"/>
        <v>#DIV/0!</v>
      </c>
      <c r="AR19" s="57" t="e">
        <f t="shared" si="29"/>
        <v>#DIV/0!</v>
      </c>
      <c r="AS19" s="57" t="e">
        <f t="shared" si="29"/>
        <v>#DIV/0!</v>
      </c>
      <c r="AT19" s="57" t="e">
        <f t="shared" si="29"/>
        <v>#DIV/0!</v>
      </c>
      <c r="AU19" s="57" t="e">
        <f t="shared" si="29"/>
        <v>#DIV/0!</v>
      </c>
      <c r="AV19" s="57" t="e">
        <f t="shared" si="29"/>
        <v>#DIV/0!</v>
      </c>
      <c r="AW19" s="57" t="e">
        <f t="shared" si="29"/>
        <v>#DIV/0!</v>
      </c>
      <c r="AX19" s="57" t="e">
        <f t="shared" si="29"/>
        <v>#DIV/0!</v>
      </c>
      <c r="AY19" s="57" t="e">
        <f t="shared" si="29"/>
        <v>#DIV/0!</v>
      </c>
      <c r="AZ19" s="57" t="e">
        <f t="shared" si="29"/>
        <v>#DIV/0!</v>
      </c>
      <c r="BA19" s="57" t="e">
        <f t="shared" si="29"/>
        <v>#DIV/0!</v>
      </c>
      <c r="BB19" s="57" t="e">
        <f t="shared" si="29"/>
        <v>#DIV/0!</v>
      </c>
      <c r="BC19" s="57" t="e">
        <f t="shared" si="29"/>
        <v>#DIV/0!</v>
      </c>
      <c r="BD19" s="57" t="e">
        <f t="shared" si="29"/>
        <v>#DIV/0!</v>
      </c>
      <c r="BE19" s="57" t="e">
        <f t="shared" si="29"/>
        <v>#DIV/0!</v>
      </c>
      <c r="BF19" s="57" t="e">
        <f t="shared" si="29"/>
        <v>#DIV/0!</v>
      </c>
      <c r="BG19" s="57" t="e">
        <f t="shared" si="29"/>
        <v>#DIV/0!</v>
      </c>
      <c r="BH19" s="57" t="e">
        <f t="shared" si="29"/>
        <v>#DIV/0!</v>
      </c>
      <c r="BI19" s="57" t="e">
        <f t="shared" si="29"/>
        <v>#DIV/0!</v>
      </c>
      <c r="BJ19" s="57" t="e">
        <f t="shared" si="29"/>
        <v>#DIV/0!</v>
      </c>
      <c r="BK19" s="57" t="e">
        <f t="shared" si="29"/>
        <v>#DIV/0!</v>
      </c>
      <c r="BL19" s="57" t="e">
        <f t="shared" si="29"/>
        <v>#DIV/0!</v>
      </c>
      <c r="BM19" s="57" t="e">
        <f t="shared" si="29"/>
        <v>#DIV/0!</v>
      </c>
      <c r="BN19" s="57" t="e">
        <f t="shared" si="29"/>
        <v>#DIV/0!</v>
      </c>
      <c r="BO19" s="57" t="e">
        <f t="shared" si="29"/>
        <v>#DIV/0!</v>
      </c>
      <c r="BP19" s="57" t="e">
        <f t="shared" si="29"/>
        <v>#DIV/0!</v>
      </c>
      <c r="BQ19" s="57" t="e">
        <f t="shared" si="29"/>
        <v>#DIV/0!</v>
      </c>
      <c r="BR19" s="57" t="e">
        <f t="shared" ref="BR19:CK19" si="30">BR18/BR2</f>
        <v>#DIV/0!</v>
      </c>
      <c r="BS19" s="57" t="e">
        <f t="shared" si="30"/>
        <v>#DIV/0!</v>
      </c>
      <c r="BT19" s="57" t="e">
        <f t="shared" si="30"/>
        <v>#DIV/0!</v>
      </c>
      <c r="BU19" s="57" t="e">
        <f t="shared" si="30"/>
        <v>#DIV/0!</v>
      </c>
      <c r="BV19" s="57" t="e">
        <f t="shared" si="30"/>
        <v>#DIV/0!</v>
      </c>
      <c r="BW19" s="57" t="e">
        <f t="shared" si="30"/>
        <v>#DIV/0!</v>
      </c>
      <c r="BX19" s="57" t="e">
        <f t="shared" si="30"/>
        <v>#DIV/0!</v>
      </c>
      <c r="BY19" s="57" t="e">
        <f t="shared" si="30"/>
        <v>#DIV/0!</v>
      </c>
      <c r="BZ19" s="57" t="e">
        <f t="shared" si="30"/>
        <v>#DIV/0!</v>
      </c>
      <c r="CA19" s="57" t="e">
        <f t="shared" si="30"/>
        <v>#DIV/0!</v>
      </c>
      <c r="CB19" s="57" t="e">
        <f t="shared" si="30"/>
        <v>#DIV/0!</v>
      </c>
      <c r="CC19" s="57" t="e">
        <f t="shared" si="30"/>
        <v>#DIV/0!</v>
      </c>
      <c r="CD19" s="57" t="e">
        <f t="shared" si="30"/>
        <v>#DIV/0!</v>
      </c>
      <c r="CE19" s="57" t="e">
        <f t="shared" si="30"/>
        <v>#DIV/0!</v>
      </c>
      <c r="CF19" s="57" t="e">
        <f t="shared" si="30"/>
        <v>#DIV/0!</v>
      </c>
      <c r="CG19" s="57" t="e">
        <f t="shared" si="30"/>
        <v>#DIV/0!</v>
      </c>
      <c r="CH19" s="57" t="e">
        <f t="shared" si="30"/>
        <v>#DIV/0!</v>
      </c>
      <c r="CI19" s="57" t="e">
        <f t="shared" si="30"/>
        <v>#DIV/0!</v>
      </c>
      <c r="CJ19" s="57" t="e">
        <f t="shared" si="30"/>
        <v>#DIV/0!</v>
      </c>
      <c r="CK19" s="57" t="e">
        <f t="shared" si="30"/>
        <v>#DIV/0!</v>
      </c>
    </row>
    <row r="20" spans="1:89" s="26" customFormat="1">
      <c r="A20" s="128" t="s">
        <v>254</v>
      </c>
      <c r="B20" s="190">
        <f>股权价值增加表!B13-股权价值增加表!B14</f>
        <v>-515384233.70999998</v>
      </c>
      <c r="C20" s="190">
        <f>股权价值增加表!C13-股权价值增加表!C14</f>
        <v>-199935390.85000002</v>
      </c>
      <c r="D20" s="190">
        <f>股权价值增加表!D13-股权价值增加表!D14</f>
        <v>-307744212.31</v>
      </c>
      <c r="E20" s="26">
        <f>股权价值增加表!E13-股权价值增加表!E14</f>
        <v>-157277001.53</v>
      </c>
      <c r="F20" s="26">
        <f>股权价值增加表!F13-股权价值增加表!F14</f>
        <v>-220630813.56999999</v>
      </c>
      <c r="G20" s="26">
        <f>股权价值增加表!G13-股权价值增加表!G14</f>
        <v>-359184526.03000003</v>
      </c>
      <c r="H20" s="26">
        <f>股权价值增加表!H13-股权价值增加表!H14</f>
        <v>-130249348.49000001</v>
      </c>
      <c r="I20" s="26">
        <f>股权价值增加表!I13-股权价值增加表!I14</f>
        <v>-1503951.2800000003</v>
      </c>
      <c r="J20" s="26">
        <f>股权价值增加表!J13-股权价值增加表!J14</f>
        <v>1510501.87</v>
      </c>
      <c r="K20" s="26">
        <f>股权价值增加表!K13-股权价值增加表!K14</f>
        <v>5019373.92</v>
      </c>
      <c r="L20" s="26">
        <f>股权价值增加表!L13-股权价值增加表!L14</f>
        <v>-5084216.87</v>
      </c>
      <c r="M20" s="26">
        <f>股权价值增加表!M13-股权价值增加表!M14</f>
        <v>-3315985.8699999996</v>
      </c>
      <c r="N20" s="26">
        <f>股权价值增加表!N13-股权价值增加表!N14</f>
        <v>957801.04</v>
      </c>
      <c r="O20" s="26">
        <f>股权价值增加表!O13-股权价值增加表!O14</f>
        <v>965952.46</v>
      </c>
      <c r="P20" s="26">
        <f>股权价值增加表!P13-股权价值增加表!P14</f>
        <v>2565458.9800000004</v>
      </c>
      <c r="Q20" s="26">
        <f>股权价值增加表!Q13-股权价值增加表!Q14</f>
        <v>1254821.02</v>
      </c>
      <c r="R20" s="26">
        <f>股权价值增加表!R13-股权价值增加表!R14</f>
        <v>127210.12</v>
      </c>
      <c r="S20" s="26">
        <f>股权价值增加表!S13-股权价值增加表!S14</f>
        <v>-2932126.66</v>
      </c>
      <c r="T20" s="26">
        <f>股权价值增加表!T13-股权价值增加表!T14</f>
        <v>0</v>
      </c>
      <c r="U20" s="26">
        <f>股权价值增加表!U13-股权价值增加表!U14</f>
        <v>0</v>
      </c>
      <c r="V20" s="26">
        <f>股权价值增加表!V13-股权价值增加表!V14</f>
        <v>0</v>
      </c>
      <c r="W20" s="26">
        <f>股权价值增加表!W13-股权价值增加表!W14</f>
        <v>0</v>
      </c>
      <c r="X20" s="26">
        <f>股权价值增加表!X13-股权价值增加表!X14</f>
        <v>0</v>
      </c>
      <c r="Y20" s="26">
        <f>股权价值增加表!Y13-股权价值增加表!Y14</f>
        <v>0</v>
      </c>
      <c r="Z20" s="26">
        <f>股权价值增加表!Z13-股权价值增加表!Z14</f>
        <v>0</v>
      </c>
      <c r="AA20" s="26">
        <f>股权价值增加表!AA13-股权价值增加表!AA14</f>
        <v>0</v>
      </c>
      <c r="AB20" s="26">
        <f>股权价值增加表!AB13-股权价值增加表!AB14</f>
        <v>0</v>
      </c>
      <c r="AC20" s="26">
        <f>股权价值增加表!AC13-股权价值增加表!AC14</f>
        <v>0</v>
      </c>
      <c r="AD20" s="26">
        <f>股权价值增加表!AD13-股权价值增加表!AD14</f>
        <v>0</v>
      </c>
      <c r="AE20" s="26">
        <f>股权价值增加表!AE13-股权价值增加表!AE14</f>
        <v>0</v>
      </c>
      <c r="AF20" s="26">
        <f>股权价值增加表!AF13-股权价值增加表!AF14</f>
        <v>0</v>
      </c>
      <c r="AG20" s="26">
        <f>股权价值增加表!AG13-股权价值增加表!AG14</f>
        <v>0</v>
      </c>
      <c r="AH20" s="26">
        <f>股权价值增加表!AH13-股权价值增加表!AH14</f>
        <v>0</v>
      </c>
      <c r="AI20" s="26">
        <f>股权价值增加表!AI13-股权价值增加表!AI14</f>
        <v>0</v>
      </c>
      <c r="AJ20" s="26">
        <f>股权价值增加表!AJ13-股权价值增加表!AJ14</f>
        <v>0</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255</v>
      </c>
      <c r="B21" s="57">
        <f t="shared" ref="B21:D21" si="31">B20/B2</f>
        <v>-6.9988067035336044E-3</v>
      </c>
      <c r="C21" s="57">
        <f t="shared" si="31"/>
        <v>-3.4342620346539E-3</v>
      </c>
      <c r="D21" s="57">
        <f t="shared" si="31"/>
        <v>-7.9188592397592666E-3</v>
      </c>
      <c r="E21" s="57">
        <f>E20/E2</f>
        <v>-4.8156462388790483E-3</v>
      </c>
      <c r="F21" s="57">
        <f t="shared" ref="F21:BQ21" si="32">F20/F2</f>
        <v>-6.9877529922764891E-3</v>
      </c>
      <c r="G21" s="57">
        <f t="shared" si="32"/>
        <v>-1.161589916293706E-2</v>
      </c>
      <c r="H21" s="57">
        <f t="shared" si="32"/>
        <v>-4.9233679232099665E-3</v>
      </c>
      <c r="I21" s="57">
        <f t="shared" si="32"/>
        <v>-8.172602164550113E-5</v>
      </c>
      <c r="J21" s="57">
        <f t="shared" si="32"/>
        <v>1.2984312114582949E-4</v>
      </c>
      <c r="K21" s="57">
        <f t="shared" si="32"/>
        <v>5.1906663961994544E-4</v>
      </c>
      <c r="L21" s="57">
        <f t="shared" si="32"/>
        <v>-6.1689042010292135E-4</v>
      </c>
      <c r="M21" s="57">
        <f t="shared" si="32"/>
        <v>-4.5817168907896414E-4</v>
      </c>
      <c r="N21" s="57">
        <f t="shared" si="32"/>
        <v>1.9562182966571345E-4</v>
      </c>
      <c r="O21" s="57">
        <f t="shared" si="32"/>
        <v>2.4575721034155297E-4</v>
      </c>
      <c r="P21" s="57">
        <f t="shared" si="32"/>
        <v>8.523704244230647E-4</v>
      </c>
      <c r="Q21" s="57">
        <f t="shared" si="32"/>
        <v>5.2262042767147571E-4</v>
      </c>
      <c r="R21" s="57">
        <f t="shared" si="32"/>
        <v>6.9206270305919792E-5</v>
      </c>
      <c r="S21" s="57">
        <f t="shared" si="32"/>
        <v>-1.810846280710002E-3</v>
      </c>
      <c r="T21" s="57" t="e">
        <f t="shared" si="32"/>
        <v>#DIV/0!</v>
      </c>
      <c r="U21" s="57" t="e">
        <f t="shared" si="32"/>
        <v>#DIV/0!</v>
      </c>
      <c r="V21" s="57" t="e">
        <f t="shared" si="32"/>
        <v>#DIV/0!</v>
      </c>
      <c r="W21" s="57" t="e">
        <f t="shared" si="32"/>
        <v>#DIV/0!</v>
      </c>
      <c r="X21" s="57" t="e">
        <f t="shared" si="32"/>
        <v>#DIV/0!</v>
      </c>
      <c r="Y21" s="57" t="e">
        <f t="shared" si="32"/>
        <v>#DIV/0!</v>
      </c>
      <c r="Z21" s="57" t="e">
        <f t="shared" si="32"/>
        <v>#DIV/0!</v>
      </c>
      <c r="AA21" s="57" t="e">
        <f t="shared" si="32"/>
        <v>#DIV/0!</v>
      </c>
      <c r="AB21" s="57" t="e">
        <f t="shared" si="32"/>
        <v>#DIV/0!</v>
      </c>
      <c r="AC21" s="57" t="e">
        <f t="shared" si="32"/>
        <v>#DIV/0!</v>
      </c>
      <c r="AD21" s="57" t="e">
        <f t="shared" si="32"/>
        <v>#DIV/0!</v>
      </c>
      <c r="AE21" s="57" t="e">
        <f t="shared" si="32"/>
        <v>#DIV/0!</v>
      </c>
      <c r="AF21" s="57" t="e">
        <f t="shared" si="32"/>
        <v>#DIV/0!</v>
      </c>
      <c r="AG21" s="57" t="e">
        <f t="shared" si="32"/>
        <v>#DIV/0!</v>
      </c>
      <c r="AH21" s="57" t="e">
        <f t="shared" si="32"/>
        <v>#DIV/0!</v>
      </c>
      <c r="AI21" s="57" t="e">
        <f t="shared" si="32"/>
        <v>#DIV/0!</v>
      </c>
      <c r="AJ21" s="57" t="e">
        <f t="shared" si="32"/>
        <v>#DIV/0!</v>
      </c>
      <c r="AK21" s="57" t="e">
        <f t="shared" si="32"/>
        <v>#DIV/0!</v>
      </c>
      <c r="AL21" s="57" t="e">
        <f t="shared" si="32"/>
        <v>#DIV/0!</v>
      </c>
      <c r="AM21" s="57" t="e">
        <f t="shared" si="32"/>
        <v>#DIV/0!</v>
      </c>
      <c r="AN21" s="57" t="e">
        <f t="shared" si="32"/>
        <v>#DIV/0!</v>
      </c>
      <c r="AO21" s="57" t="e">
        <f t="shared" si="32"/>
        <v>#DIV/0!</v>
      </c>
      <c r="AP21" s="57" t="e">
        <f t="shared" si="32"/>
        <v>#DIV/0!</v>
      </c>
      <c r="AQ21" s="57" t="e">
        <f t="shared" si="32"/>
        <v>#DIV/0!</v>
      </c>
      <c r="AR21" s="57" t="e">
        <f t="shared" si="32"/>
        <v>#DIV/0!</v>
      </c>
      <c r="AS21" s="57" t="e">
        <f t="shared" si="32"/>
        <v>#DIV/0!</v>
      </c>
      <c r="AT21" s="57" t="e">
        <f t="shared" si="32"/>
        <v>#DIV/0!</v>
      </c>
      <c r="AU21" s="57" t="e">
        <f t="shared" si="32"/>
        <v>#DIV/0!</v>
      </c>
      <c r="AV21" s="57" t="e">
        <f t="shared" si="32"/>
        <v>#DIV/0!</v>
      </c>
      <c r="AW21" s="57" t="e">
        <f t="shared" si="32"/>
        <v>#DIV/0!</v>
      </c>
      <c r="AX21" s="57" t="e">
        <f t="shared" si="32"/>
        <v>#DIV/0!</v>
      </c>
      <c r="AY21" s="57" t="e">
        <f t="shared" si="32"/>
        <v>#DIV/0!</v>
      </c>
      <c r="AZ21" s="57" t="e">
        <f t="shared" si="32"/>
        <v>#DIV/0!</v>
      </c>
      <c r="BA21" s="57" t="e">
        <f t="shared" si="32"/>
        <v>#DIV/0!</v>
      </c>
      <c r="BB21" s="57" t="e">
        <f t="shared" si="32"/>
        <v>#DIV/0!</v>
      </c>
      <c r="BC21" s="57" t="e">
        <f t="shared" si="32"/>
        <v>#DIV/0!</v>
      </c>
      <c r="BD21" s="57" t="e">
        <f t="shared" si="32"/>
        <v>#DIV/0!</v>
      </c>
      <c r="BE21" s="57" t="e">
        <f t="shared" si="32"/>
        <v>#DIV/0!</v>
      </c>
      <c r="BF21" s="57" t="e">
        <f t="shared" si="32"/>
        <v>#DIV/0!</v>
      </c>
      <c r="BG21" s="57" t="e">
        <f t="shared" si="32"/>
        <v>#DIV/0!</v>
      </c>
      <c r="BH21" s="57" t="e">
        <f t="shared" si="32"/>
        <v>#DIV/0!</v>
      </c>
      <c r="BI21" s="57" t="e">
        <f t="shared" si="32"/>
        <v>#DIV/0!</v>
      </c>
      <c r="BJ21" s="57" t="e">
        <f t="shared" si="32"/>
        <v>#DIV/0!</v>
      </c>
      <c r="BK21" s="57" t="e">
        <f t="shared" si="32"/>
        <v>#DIV/0!</v>
      </c>
      <c r="BL21" s="57" t="e">
        <f t="shared" si="32"/>
        <v>#DIV/0!</v>
      </c>
      <c r="BM21" s="57" t="e">
        <f t="shared" si="32"/>
        <v>#DIV/0!</v>
      </c>
      <c r="BN21" s="57" t="e">
        <f t="shared" si="32"/>
        <v>#DIV/0!</v>
      </c>
      <c r="BO21" s="57" t="e">
        <f t="shared" si="32"/>
        <v>#DIV/0!</v>
      </c>
      <c r="BP21" s="57" t="e">
        <f t="shared" si="32"/>
        <v>#DIV/0!</v>
      </c>
      <c r="BQ21" s="57" t="e">
        <f t="shared" si="32"/>
        <v>#DIV/0!</v>
      </c>
      <c r="BR21" s="57" t="e">
        <f t="shared" ref="BR21:CK21" si="33">BR20/BR2</f>
        <v>#DIV/0!</v>
      </c>
      <c r="BS21" s="57" t="e">
        <f t="shared" si="33"/>
        <v>#DIV/0!</v>
      </c>
      <c r="BT21" s="57" t="e">
        <f t="shared" si="33"/>
        <v>#DIV/0!</v>
      </c>
      <c r="BU21" s="57" t="e">
        <f t="shared" si="33"/>
        <v>#DIV/0!</v>
      </c>
      <c r="BV21" s="57" t="e">
        <f t="shared" si="33"/>
        <v>#DIV/0!</v>
      </c>
      <c r="BW21" s="57" t="e">
        <f t="shared" si="33"/>
        <v>#DIV/0!</v>
      </c>
      <c r="BX21" s="57" t="e">
        <f t="shared" si="33"/>
        <v>#DIV/0!</v>
      </c>
      <c r="BY21" s="57" t="e">
        <f t="shared" si="33"/>
        <v>#DIV/0!</v>
      </c>
      <c r="BZ21" s="57" t="e">
        <f t="shared" si="33"/>
        <v>#DIV/0!</v>
      </c>
      <c r="CA21" s="57" t="e">
        <f t="shared" si="33"/>
        <v>#DIV/0!</v>
      </c>
      <c r="CB21" s="57" t="e">
        <f t="shared" si="33"/>
        <v>#DIV/0!</v>
      </c>
      <c r="CC21" s="57" t="e">
        <f t="shared" si="33"/>
        <v>#DIV/0!</v>
      </c>
      <c r="CD21" s="57" t="e">
        <f t="shared" si="33"/>
        <v>#DIV/0!</v>
      </c>
      <c r="CE21" s="57" t="e">
        <f t="shared" si="33"/>
        <v>#DIV/0!</v>
      </c>
      <c r="CF21" s="57" t="e">
        <f t="shared" si="33"/>
        <v>#DIV/0!</v>
      </c>
      <c r="CG21" s="57" t="e">
        <f t="shared" si="33"/>
        <v>#DIV/0!</v>
      </c>
      <c r="CH21" s="57" t="e">
        <f t="shared" si="33"/>
        <v>#DIV/0!</v>
      </c>
      <c r="CI21" s="57" t="e">
        <f t="shared" si="33"/>
        <v>#DIV/0!</v>
      </c>
      <c r="CJ21" s="57" t="e">
        <f t="shared" si="33"/>
        <v>#DIV/0!</v>
      </c>
      <c r="CK21" s="57" t="e">
        <f t="shared" si="33"/>
        <v>#DIV/0!</v>
      </c>
    </row>
    <row r="22" spans="1:89" s="66" customFormat="1">
      <c r="A22" s="46" t="s">
        <v>256</v>
      </c>
      <c r="B22" s="66">
        <f t="shared" ref="B22:D22" si="34">B11+B13+B15+B17+B19+B21</f>
        <v>0.25357327984703459</v>
      </c>
      <c r="C22" s="66">
        <f t="shared" si="34"/>
        <v>0.2731607961034685</v>
      </c>
      <c r="D22" s="66">
        <f t="shared" si="34"/>
        <v>0.31088706388922149</v>
      </c>
      <c r="E22" s="66">
        <f>E11+E13+E15+E17+E19+E21</f>
        <v>0.26311575389059333</v>
      </c>
      <c r="F22" s="66">
        <f t="shared" ref="F22:BQ22" si="35">F11+F13+F15+F17+F19+F21</f>
        <v>0.24140266741089891</v>
      </c>
      <c r="G22" s="66">
        <f t="shared" si="35"/>
        <v>0.23033695757065764</v>
      </c>
      <c r="H22" s="66">
        <f t="shared" si="35"/>
        <v>0.22203911992081127</v>
      </c>
      <c r="I22" s="66">
        <f t="shared" si="35"/>
        <v>0.264551701824491</v>
      </c>
      <c r="J22" s="66">
        <f t="shared" si="35"/>
        <v>0.30928520065430204</v>
      </c>
      <c r="K22" s="66">
        <f t="shared" si="35"/>
        <v>0.28786669135502463</v>
      </c>
      <c r="L22" s="66">
        <f t="shared" si="35"/>
        <v>0.26090854492969345</v>
      </c>
      <c r="M22" s="66">
        <f t="shared" si="35"/>
        <v>0.26049606580902052</v>
      </c>
      <c r="N22" s="66">
        <f t="shared" si="35"/>
        <v>0.33655565561697975</v>
      </c>
      <c r="O22" s="66">
        <f t="shared" si="35"/>
        <v>0.34545991877279913</v>
      </c>
      <c r="P22" s="66">
        <f t="shared" si="35"/>
        <v>0.33740069179795162</v>
      </c>
      <c r="Q22" s="66">
        <f t="shared" si="35"/>
        <v>0.40291744844388444</v>
      </c>
      <c r="R22" s="66">
        <f t="shared" si="35"/>
        <v>0.47115113038111334</v>
      </c>
      <c r="S22" s="66">
        <f t="shared" si="35"/>
        <v>0.44733907124110522</v>
      </c>
      <c r="T22" s="66" t="e">
        <f t="shared" si="35"/>
        <v>#DIV/0!</v>
      </c>
      <c r="U22" s="66" t="e">
        <f t="shared" si="35"/>
        <v>#DIV/0!</v>
      </c>
      <c r="V22" s="66" t="e">
        <f t="shared" si="35"/>
        <v>#DIV/0!</v>
      </c>
      <c r="W22" s="66" t="e">
        <f t="shared" si="35"/>
        <v>#DIV/0!</v>
      </c>
      <c r="X22" s="66" t="e">
        <f t="shared" si="35"/>
        <v>#DIV/0!</v>
      </c>
      <c r="Y22" s="66" t="e">
        <f t="shared" si="35"/>
        <v>#DIV/0!</v>
      </c>
      <c r="Z22" s="66" t="e">
        <f t="shared" si="35"/>
        <v>#DIV/0!</v>
      </c>
      <c r="AA22" s="66" t="e">
        <f t="shared" si="35"/>
        <v>#DIV/0!</v>
      </c>
      <c r="AB22" s="66" t="e">
        <f t="shared" si="35"/>
        <v>#DIV/0!</v>
      </c>
      <c r="AC22" s="66" t="e">
        <f t="shared" si="35"/>
        <v>#DIV/0!</v>
      </c>
      <c r="AD22" s="66" t="e">
        <f t="shared" si="35"/>
        <v>#DIV/0!</v>
      </c>
      <c r="AE22" s="66" t="e">
        <f t="shared" si="35"/>
        <v>#DIV/0!</v>
      </c>
      <c r="AF22" s="66" t="e">
        <f t="shared" si="35"/>
        <v>#DIV/0!</v>
      </c>
      <c r="AG22" s="66" t="e">
        <f t="shared" si="35"/>
        <v>#DIV/0!</v>
      </c>
      <c r="AH22" s="66" t="e">
        <f t="shared" si="35"/>
        <v>#DIV/0!</v>
      </c>
      <c r="AI22" s="66" t="e">
        <f t="shared" si="35"/>
        <v>#DIV/0!</v>
      </c>
      <c r="AJ22" s="66" t="e">
        <f t="shared" si="35"/>
        <v>#DIV/0!</v>
      </c>
      <c r="AK22" s="66" t="e">
        <f t="shared" si="35"/>
        <v>#DIV/0!</v>
      </c>
      <c r="AL22" s="66" t="e">
        <f t="shared" si="35"/>
        <v>#DIV/0!</v>
      </c>
      <c r="AM22" s="66" t="e">
        <f t="shared" si="35"/>
        <v>#DIV/0!</v>
      </c>
      <c r="AN22" s="66" t="e">
        <f t="shared" si="35"/>
        <v>#DIV/0!</v>
      </c>
      <c r="AO22" s="66" t="e">
        <f t="shared" si="35"/>
        <v>#DIV/0!</v>
      </c>
      <c r="AP22" s="66" t="e">
        <f t="shared" si="35"/>
        <v>#DIV/0!</v>
      </c>
      <c r="AQ22" s="66" t="e">
        <f t="shared" si="35"/>
        <v>#DIV/0!</v>
      </c>
      <c r="AR22" s="66" t="e">
        <f t="shared" si="35"/>
        <v>#DIV/0!</v>
      </c>
      <c r="AS22" s="66" t="e">
        <f t="shared" si="35"/>
        <v>#DIV/0!</v>
      </c>
      <c r="AT22" s="66" t="e">
        <f t="shared" si="35"/>
        <v>#DIV/0!</v>
      </c>
      <c r="AU22" s="66" t="e">
        <f t="shared" si="35"/>
        <v>#DIV/0!</v>
      </c>
      <c r="AV22" s="66" t="e">
        <f t="shared" si="35"/>
        <v>#DIV/0!</v>
      </c>
      <c r="AW22" s="66" t="e">
        <f t="shared" si="35"/>
        <v>#DIV/0!</v>
      </c>
      <c r="AX22" s="66" t="e">
        <f t="shared" si="35"/>
        <v>#DIV/0!</v>
      </c>
      <c r="AY22" s="66" t="e">
        <f t="shared" si="35"/>
        <v>#DIV/0!</v>
      </c>
      <c r="AZ22" s="66" t="e">
        <f t="shared" si="35"/>
        <v>#DIV/0!</v>
      </c>
      <c r="BA22" s="66" t="e">
        <f t="shared" si="35"/>
        <v>#DIV/0!</v>
      </c>
      <c r="BB22" s="66" t="e">
        <f t="shared" si="35"/>
        <v>#DIV/0!</v>
      </c>
      <c r="BC22" s="66" t="e">
        <f t="shared" si="35"/>
        <v>#DIV/0!</v>
      </c>
      <c r="BD22" s="66" t="e">
        <f t="shared" si="35"/>
        <v>#DIV/0!</v>
      </c>
      <c r="BE22" s="66" t="e">
        <f t="shared" si="35"/>
        <v>#DIV/0!</v>
      </c>
      <c r="BF22" s="66" t="e">
        <f t="shared" si="35"/>
        <v>#DIV/0!</v>
      </c>
      <c r="BG22" s="66" t="e">
        <f t="shared" si="35"/>
        <v>#DIV/0!</v>
      </c>
      <c r="BH22" s="66" t="e">
        <f t="shared" si="35"/>
        <v>#DIV/0!</v>
      </c>
      <c r="BI22" s="66" t="e">
        <f t="shared" si="35"/>
        <v>#DIV/0!</v>
      </c>
      <c r="BJ22" s="66" t="e">
        <f t="shared" si="35"/>
        <v>#DIV/0!</v>
      </c>
      <c r="BK22" s="66" t="e">
        <f t="shared" si="35"/>
        <v>#DIV/0!</v>
      </c>
      <c r="BL22" s="66" t="e">
        <f t="shared" si="35"/>
        <v>#DIV/0!</v>
      </c>
      <c r="BM22" s="66" t="e">
        <f t="shared" si="35"/>
        <v>#DIV/0!</v>
      </c>
      <c r="BN22" s="66" t="e">
        <f t="shared" si="35"/>
        <v>#DIV/0!</v>
      </c>
      <c r="BO22" s="66" t="e">
        <f t="shared" si="35"/>
        <v>#DIV/0!</v>
      </c>
      <c r="BP22" s="66" t="e">
        <f t="shared" si="35"/>
        <v>#DIV/0!</v>
      </c>
      <c r="BQ22" s="66" t="e">
        <f t="shared" si="35"/>
        <v>#DIV/0!</v>
      </c>
      <c r="BR22" s="66" t="e">
        <f t="shared" ref="BR22:CJ22" si="36">BR11+BR13+BR15+BR17+BR19+BR21</f>
        <v>#DIV/0!</v>
      </c>
      <c r="BS22" s="66" t="e">
        <f t="shared" si="36"/>
        <v>#DIV/0!</v>
      </c>
      <c r="BT22" s="66" t="e">
        <f t="shared" si="36"/>
        <v>#DIV/0!</v>
      </c>
      <c r="BU22" s="66" t="e">
        <f t="shared" si="36"/>
        <v>#DIV/0!</v>
      </c>
      <c r="BV22" s="66" t="e">
        <f t="shared" si="36"/>
        <v>#DIV/0!</v>
      </c>
      <c r="BW22" s="66" t="e">
        <f t="shared" si="36"/>
        <v>#DIV/0!</v>
      </c>
      <c r="BX22" s="66" t="e">
        <f t="shared" si="36"/>
        <v>#DIV/0!</v>
      </c>
      <c r="BY22" s="66" t="e">
        <f t="shared" si="36"/>
        <v>#DIV/0!</v>
      </c>
      <c r="BZ22" s="66" t="e">
        <f t="shared" si="36"/>
        <v>#DIV/0!</v>
      </c>
      <c r="CA22" s="66" t="e">
        <f t="shared" si="36"/>
        <v>#DIV/0!</v>
      </c>
      <c r="CB22" s="66" t="e">
        <f t="shared" si="36"/>
        <v>#DIV/0!</v>
      </c>
      <c r="CC22" s="66" t="e">
        <f t="shared" si="36"/>
        <v>#DIV/0!</v>
      </c>
      <c r="CD22" s="66" t="e">
        <f t="shared" si="36"/>
        <v>#DIV/0!</v>
      </c>
      <c r="CE22" s="66" t="e">
        <f t="shared" si="36"/>
        <v>#DIV/0!</v>
      </c>
      <c r="CF22" s="66" t="e">
        <f t="shared" si="36"/>
        <v>#DIV/0!</v>
      </c>
      <c r="CG22" s="66" t="e">
        <f t="shared" si="36"/>
        <v>#DIV/0!</v>
      </c>
      <c r="CH22" s="66" t="e">
        <f t="shared" si="36"/>
        <v>#DIV/0!</v>
      </c>
      <c r="CI22" s="66" t="e">
        <f t="shared" si="36"/>
        <v>#DIV/0!</v>
      </c>
      <c r="CJ22" s="66" t="e">
        <f t="shared" si="36"/>
        <v>#DIV/0!</v>
      </c>
    </row>
    <row r="23" spans="1:89" s="27" customFormat="1">
      <c r="A23" s="128" t="s">
        <v>257</v>
      </c>
      <c r="B23" s="27">
        <f>股权价值增加表!B17</f>
        <v>34415402468.11377</v>
      </c>
      <c r="C23" s="27">
        <f>股权价值增加表!C17</f>
        <v>26257157191.427803</v>
      </c>
      <c r="D23" s="27">
        <f>股权价值增加表!D17</f>
        <v>16736855705.237827</v>
      </c>
      <c r="E23" s="27">
        <f>股权价值增加表!E17</f>
        <v>15682034461.803722</v>
      </c>
      <c r="F23" s="27">
        <f>股权价值增加表!F17</f>
        <v>15592227645.080812</v>
      </c>
      <c r="G23" s="27">
        <f>股权价值增加表!G17</f>
        <v>15530429172.430237</v>
      </c>
      <c r="H23" s="27">
        <f>股权价值增加表!H17</f>
        <v>13690774072.866924</v>
      </c>
      <c r="I23" s="27">
        <f>股权价值增加表!I17</f>
        <v>8983960830.1862259</v>
      </c>
      <c r="J23" s="27">
        <f>股权价值增加表!J17</f>
        <v>5207769203.1045113</v>
      </c>
      <c r="K23" s="27">
        <f>股权价值增加表!K17</f>
        <v>4451921450.1984816</v>
      </c>
      <c r="L23" s="27">
        <f>股权价值增加表!L17</f>
        <v>3923628849.1004276</v>
      </c>
      <c r="M23" s="27">
        <f>股权价值增加表!M17</f>
        <v>2933886546.983974</v>
      </c>
      <c r="N23" s="27">
        <f>股权价值增加表!N17</f>
        <v>1555595302.6431525</v>
      </c>
      <c r="O23" s="27">
        <f>股权价值增加表!O17</f>
        <v>1149168967.6063571</v>
      </c>
      <c r="P23" s="27">
        <f>股权价值增加表!P17</f>
        <v>839095033.9406172</v>
      </c>
      <c r="Q23" s="27">
        <f>股权价值增加表!Q17</f>
        <v>596254532.94442034</v>
      </c>
      <c r="R23" s="27">
        <f>股权价值增加表!R17</f>
        <v>381912695.02318752</v>
      </c>
      <c r="S23" s="27">
        <f>股权价值增加表!S17</f>
        <v>339060052.98992616</v>
      </c>
      <c r="T23" s="27">
        <f>股权价值增加表!T17</f>
        <v>0</v>
      </c>
      <c r="U23" s="27">
        <f>股权价值增加表!U17</f>
        <v>24528506.514677748</v>
      </c>
      <c r="V23" s="27">
        <f>股权价值增加表!V17</f>
        <v>0</v>
      </c>
      <c r="W23" s="27">
        <f>股权价值增加表!W17</f>
        <v>0</v>
      </c>
      <c r="X23" s="27">
        <f>股权价值增加表!X17</f>
        <v>0</v>
      </c>
      <c r="Y23" s="27">
        <f>股权价值增加表!Y17</f>
        <v>6516125.4415978026</v>
      </c>
      <c r="Z23" s="27">
        <f>股权价值增加表!Z17</f>
        <v>0</v>
      </c>
      <c r="AA23" s="27">
        <f>股权价值增加表!AA17</f>
        <v>0</v>
      </c>
      <c r="AB23" s="27">
        <f>股权价值增加表!AB17</f>
        <v>0</v>
      </c>
      <c r="AC23" s="27">
        <f>股权价值增加表!AC17</f>
        <v>3486549.024058504</v>
      </c>
      <c r="AD23" s="27">
        <f>股权价值增加表!AD17</f>
        <v>0</v>
      </c>
      <c r="AE23" s="27">
        <f>股权价值增加表!AE17</f>
        <v>0</v>
      </c>
      <c r="AF23" s="27">
        <f>股权价值增加表!AF17</f>
        <v>0</v>
      </c>
      <c r="AG23" s="27">
        <f>股权价值增加表!AG17</f>
        <v>3250952.4063841924</v>
      </c>
      <c r="AH23" s="27">
        <f>股权价值增加表!AH17</f>
        <v>0</v>
      </c>
      <c r="AI23" s="27">
        <f>股权价值增加表!AI17</f>
        <v>0</v>
      </c>
      <c r="AJ23" s="27">
        <f>股权价值增加表!AJ17</f>
        <v>0</v>
      </c>
      <c r="AK23" s="27">
        <f>股权价值增加表!AK17</f>
        <v>0</v>
      </c>
      <c r="AL23" s="27">
        <f>股权价值增加表!AL17</f>
        <v>0</v>
      </c>
      <c r="AM23" s="27">
        <f>股权价值增加表!AM17</f>
        <v>0</v>
      </c>
      <c r="AN23" s="27">
        <f>股权价值增加表!AN17</f>
        <v>0</v>
      </c>
      <c r="AO23" s="27">
        <f>股权价值增加表!AO17</f>
        <v>0</v>
      </c>
      <c r="AP23" s="27">
        <f>股权价值增加表!AP17</f>
        <v>0</v>
      </c>
      <c r="AQ23" s="27">
        <f>股权价值增加表!AQ17</f>
        <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t="e">
        <f>股权价值增加表!BW17</f>
        <v>#DIV/0!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258</v>
      </c>
      <c r="B24" s="57">
        <f t="shared" ref="B24:D24" si="37">B23/B2</f>
        <v>0.46735374065434487</v>
      </c>
      <c r="C24" s="57">
        <f t="shared" si="37"/>
        <v>0.45101548903921884</v>
      </c>
      <c r="D24" s="57">
        <f t="shared" si="37"/>
        <v>0.43067196439240218</v>
      </c>
      <c r="E24" s="57">
        <f>E23/E2</f>
        <v>0.48016639139417799</v>
      </c>
      <c r="F24" s="57">
        <f t="shared" ref="F24:BQ24" si="38">F23/F2</f>
        <v>0.49383236013224135</v>
      </c>
      <c r="G24" s="57">
        <f t="shared" si="38"/>
        <v>0.50224852729044966</v>
      </c>
      <c r="H24" s="57">
        <f t="shared" si="38"/>
        <v>0.51750522129822962</v>
      </c>
      <c r="I24" s="57">
        <f t="shared" si="38"/>
        <v>0.48819625145711748</v>
      </c>
      <c r="J24" s="57">
        <f t="shared" si="38"/>
        <v>0.4476611522091124</v>
      </c>
      <c r="K24" s="57">
        <f t="shared" si="38"/>
        <v>0.46038488939801481</v>
      </c>
      <c r="L24" s="57">
        <f t="shared" si="38"/>
        <v>0.47607116512508341</v>
      </c>
      <c r="M24" s="57">
        <f t="shared" si="38"/>
        <v>0.40537680421349237</v>
      </c>
      <c r="N24" s="57">
        <f t="shared" si="38"/>
        <v>0.31771567017973035</v>
      </c>
      <c r="O24" s="57">
        <f t="shared" si="38"/>
        <v>0.29237107558069764</v>
      </c>
      <c r="P24" s="57">
        <f t="shared" si="38"/>
        <v>0.27878823859083868</v>
      </c>
      <c r="Q24" s="57">
        <f t="shared" si="38"/>
        <v>0.248334060429167</v>
      </c>
      <c r="R24" s="57">
        <f t="shared" si="38"/>
        <v>0.20777240997050414</v>
      </c>
      <c r="S24" s="57">
        <f t="shared" si="38"/>
        <v>0.20939942474863754</v>
      </c>
      <c r="T24" s="57" t="e">
        <f t="shared" si="38"/>
        <v>#DIV/0!</v>
      </c>
      <c r="U24" s="57" t="e">
        <f t="shared" si="38"/>
        <v>#DIV/0!</v>
      </c>
      <c r="V24" s="57" t="e">
        <f t="shared" si="38"/>
        <v>#DIV/0!</v>
      </c>
      <c r="W24" s="57" t="e">
        <f t="shared" si="38"/>
        <v>#DIV/0!</v>
      </c>
      <c r="X24" s="57" t="e">
        <f t="shared" si="38"/>
        <v>#DIV/0!</v>
      </c>
      <c r="Y24" s="57" t="e">
        <f t="shared" si="38"/>
        <v>#DIV/0!</v>
      </c>
      <c r="Z24" s="57" t="e">
        <f t="shared" si="38"/>
        <v>#DIV/0!</v>
      </c>
      <c r="AA24" s="57" t="e">
        <f t="shared" si="38"/>
        <v>#DIV/0!</v>
      </c>
      <c r="AB24" s="57" t="e">
        <f t="shared" si="38"/>
        <v>#DIV/0!</v>
      </c>
      <c r="AC24" s="57" t="e">
        <f t="shared" si="38"/>
        <v>#DIV/0!</v>
      </c>
      <c r="AD24" s="57" t="e">
        <f t="shared" si="38"/>
        <v>#DIV/0!</v>
      </c>
      <c r="AE24" s="57" t="e">
        <f t="shared" si="38"/>
        <v>#DIV/0!</v>
      </c>
      <c r="AF24" s="57" t="e">
        <f t="shared" si="38"/>
        <v>#DIV/0!</v>
      </c>
      <c r="AG24" s="57" t="e">
        <f t="shared" si="38"/>
        <v>#DIV/0!</v>
      </c>
      <c r="AH24" s="57" t="e">
        <f t="shared" si="38"/>
        <v>#DIV/0!</v>
      </c>
      <c r="AI24" s="57" t="e">
        <f t="shared" si="38"/>
        <v>#DIV/0!</v>
      </c>
      <c r="AJ24" s="57" t="e">
        <f t="shared" si="38"/>
        <v>#DIV/0!</v>
      </c>
      <c r="AK24" s="57" t="e">
        <f t="shared" si="38"/>
        <v>#DIV/0!</v>
      </c>
      <c r="AL24" s="57" t="e">
        <f t="shared" si="38"/>
        <v>#DIV/0!</v>
      </c>
      <c r="AM24" s="57" t="e">
        <f t="shared" si="38"/>
        <v>#DIV/0!</v>
      </c>
      <c r="AN24" s="57" t="e">
        <f t="shared" si="38"/>
        <v>#DIV/0!</v>
      </c>
      <c r="AO24" s="57" t="e">
        <f t="shared" si="38"/>
        <v>#DIV/0!</v>
      </c>
      <c r="AP24" s="57" t="e">
        <f t="shared" si="38"/>
        <v>#DIV/0!</v>
      </c>
      <c r="AQ24" s="57" t="e">
        <f t="shared" si="38"/>
        <v>#DIV/0!</v>
      </c>
      <c r="AR24" s="57" t="e">
        <f t="shared" si="38"/>
        <v>#DIV/0!</v>
      </c>
      <c r="AS24" s="57" t="e">
        <f t="shared" si="38"/>
        <v>#DIV/0!</v>
      </c>
      <c r="AT24" s="57" t="e">
        <f t="shared" si="38"/>
        <v>#DIV/0!</v>
      </c>
      <c r="AU24" s="57" t="e">
        <f t="shared" si="38"/>
        <v>#DIV/0!</v>
      </c>
      <c r="AV24" s="57" t="e">
        <f t="shared" si="38"/>
        <v>#DIV/0!</v>
      </c>
      <c r="AW24" s="57" t="e">
        <f t="shared" si="38"/>
        <v>#DIV/0!</v>
      </c>
      <c r="AX24" s="57" t="e">
        <f t="shared" si="38"/>
        <v>#DIV/0!</v>
      </c>
      <c r="AY24" s="57" t="e">
        <f t="shared" si="38"/>
        <v>#DIV/0!</v>
      </c>
      <c r="AZ24" s="57" t="e">
        <f t="shared" si="38"/>
        <v>#DIV/0!</v>
      </c>
      <c r="BA24" s="57" t="e">
        <f t="shared" si="38"/>
        <v>#DIV/0!</v>
      </c>
      <c r="BB24" s="57" t="e">
        <f t="shared" si="38"/>
        <v>#DIV/0!</v>
      </c>
      <c r="BC24" s="57" t="e">
        <f t="shared" si="38"/>
        <v>#DIV/0!</v>
      </c>
      <c r="BD24" s="57" t="e">
        <f t="shared" si="38"/>
        <v>#DIV/0!</v>
      </c>
      <c r="BE24" s="57" t="e">
        <f t="shared" si="38"/>
        <v>#DIV/0!</v>
      </c>
      <c r="BF24" s="57" t="e">
        <f t="shared" si="38"/>
        <v>#DIV/0!</v>
      </c>
      <c r="BG24" s="57" t="e">
        <f t="shared" si="38"/>
        <v>#DIV/0!</v>
      </c>
      <c r="BH24" s="57" t="e">
        <f t="shared" si="38"/>
        <v>#DIV/0!</v>
      </c>
      <c r="BI24" s="57" t="e">
        <f t="shared" si="38"/>
        <v>#DIV/0!</v>
      </c>
      <c r="BJ24" s="57" t="e">
        <f t="shared" si="38"/>
        <v>#DIV/0!</v>
      </c>
      <c r="BK24" s="57" t="e">
        <f t="shared" si="38"/>
        <v>#DIV/0!</v>
      </c>
      <c r="BL24" s="57" t="e">
        <f t="shared" si="38"/>
        <v>#DIV/0!</v>
      </c>
      <c r="BM24" s="57" t="e">
        <f t="shared" si="38"/>
        <v>#DIV/0!</v>
      </c>
      <c r="BN24" s="57" t="e">
        <f t="shared" si="38"/>
        <v>#DIV/0!</v>
      </c>
      <c r="BO24" s="57" t="e">
        <f t="shared" si="38"/>
        <v>#DIV/0!</v>
      </c>
      <c r="BP24" s="57" t="e">
        <f t="shared" si="38"/>
        <v>#DIV/0!</v>
      </c>
      <c r="BQ24" s="57" t="e">
        <f t="shared" si="38"/>
        <v>#DIV/0!</v>
      </c>
      <c r="BR24" s="57" t="e">
        <f t="shared" ref="BR24:CJ24" si="39">BR23/BR2</f>
        <v>#DIV/0!</v>
      </c>
      <c r="BS24" s="57" t="e">
        <f t="shared" si="39"/>
        <v>#DIV/0!</v>
      </c>
      <c r="BT24" s="57" t="e">
        <f t="shared" si="39"/>
        <v>#DIV/0!</v>
      </c>
      <c r="BU24" s="57" t="e">
        <f t="shared" si="39"/>
        <v>#DIV/0!</v>
      </c>
      <c r="BV24" s="57" t="e">
        <f t="shared" si="39"/>
        <v>#DIV/0!</v>
      </c>
      <c r="BW24" s="57" t="e">
        <f t="shared" si="39"/>
        <v>#DIV/0!</v>
      </c>
      <c r="BX24" s="57" t="e">
        <f t="shared" si="39"/>
        <v>#DIV/0!</v>
      </c>
      <c r="BY24" s="57" t="e">
        <f t="shared" si="39"/>
        <v>#DIV/0!</v>
      </c>
      <c r="BZ24" s="57" t="e">
        <f t="shared" si="39"/>
        <v>#DIV/0!</v>
      </c>
      <c r="CA24" s="57" t="e">
        <f t="shared" si="39"/>
        <v>#DIV/0!</v>
      </c>
      <c r="CB24" s="57" t="e">
        <f t="shared" si="39"/>
        <v>#DIV/0!</v>
      </c>
      <c r="CC24" s="57" t="e">
        <f t="shared" si="39"/>
        <v>#DIV/0!</v>
      </c>
      <c r="CD24" s="57" t="e">
        <f t="shared" si="39"/>
        <v>#DIV/0!</v>
      </c>
      <c r="CE24" s="57" t="e">
        <f t="shared" si="39"/>
        <v>#DIV/0!</v>
      </c>
      <c r="CF24" s="57" t="e">
        <f t="shared" si="39"/>
        <v>#DIV/0!</v>
      </c>
      <c r="CG24" s="57" t="e">
        <f t="shared" si="39"/>
        <v>#DIV/0!</v>
      </c>
      <c r="CH24" s="57" t="e">
        <f t="shared" si="39"/>
        <v>#DIV/0!</v>
      </c>
      <c r="CI24" s="57" t="e">
        <f t="shared" si="39"/>
        <v>#DIV/0!</v>
      </c>
      <c r="CJ24" s="57" t="e">
        <f t="shared" si="39"/>
        <v>#DIV/0!</v>
      </c>
    </row>
    <row r="25" spans="1:89" s="16" customFormat="1" ht="369.6" customHeight="1" thickBot="1">
      <c r="A25" s="280" t="s">
        <v>555</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3" customFormat="1" ht="14.25" thickBot="1">
      <c r="A26" s="149" t="s">
        <v>485</v>
      </c>
      <c r="B26" s="150"/>
      <c r="C26" s="150"/>
      <c r="D26" s="150"/>
      <c r="E26" s="151" t="e">
        <f>POWER(E2/Y2,1/6)-1</f>
        <v>#DIV/0!</v>
      </c>
    </row>
    <row r="27" spans="1:89" s="26" customFormat="1">
      <c r="A27" s="20" t="s">
        <v>264</v>
      </c>
      <c r="B27" s="271" t="s">
        <v>638</v>
      </c>
      <c r="C27" s="271" t="s">
        <v>639</v>
      </c>
      <c r="D27" s="271" t="s">
        <v>640</v>
      </c>
      <c r="E27" s="271" t="s">
        <v>641</v>
      </c>
      <c r="F27" s="271" t="s">
        <v>642</v>
      </c>
      <c r="G27" s="271" t="s">
        <v>643</v>
      </c>
      <c r="H27" s="271" t="s">
        <v>644</v>
      </c>
      <c r="I27" s="271" t="s">
        <v>645</v>
      </c>
      <c r="J27" s="271" t="s">
        <v>646</v>
      </c>
      <c r="K27" s="271" t="s">
        <v>647</v>
      </c>
      <c r="L27" s="271" t="s">
        <v>648</v>
      </c>
      <c r="M27" s="271" t="s">
        <v>649</v>
      </c>
      <c r="N27" s="271" t="s">
        <v>650</v>
      </c>
      <c r="O27" s="271" t="s">
        <v>651</v>
      </c>
      <c r="P27" s="271" t="s">
        <v>652</v>
      </c>
      <c r="Q27" s="271" t="s">
        <v>653</v>
      </c>
      <c r="R27" s="271" t="s">
        <v>654</v>
      </c>
      <c r="S27" s="271" t="s">
        <v>655</v>
      </c>
      <c r="T27" s="315"/>
      <c r="U27" s="315"/>
      <c r="V27" s="315"/>
      <c r="W27" s="315"/>
      <c r="X27" s="315"/>
      <c r="Y27" s="315"/>
      <c r="Z27" s="315"/>
      <c r="AA27" s="315"/>
      <c r="AB27" s="315"/>
      <c r="AC27" s="315"/>
      <c r="AD27" s="315"/>
      <c r="AE27" s="315"/>
      <c r="AF27" s="315"/>
      <c r="AG27" s="315"/>
      <c r="AH27" s="315"/>
      <c r="AI27" s="315"/>
      <c r="AJ27" s="315"/>
      <c r="AK27" s="315"/>
      <c r="AL27" s="315"/>
      <c r="AM27" s="315"/>
      <c r="AN27" s="315"/>
      <c r="AO27" s="315"/>
      <c r="AP27" s="315"/>
      <c r="AQ27" s="315"/>
      <c r="AR27" s="315"/>
      <c r="AS27" s="315"/>
      <c r="AT27" s="315"/>
      <c r="AU27" s="315"/>
      <c r="AV27" s="315"/>
      <c r="AW27" s="315"/>
      <c r="AX27" s="315"/>
      <c r="AY27" s="315"/>
      <c r="AZ27" s="315"/>
      <c r="BA27" s="315"/>
      <c r="BB27" s="315"/>
      <c r="BC27" s="315"/>
      <c r="BD27" s="315"/>
      <c r="BE27" s="315"/>
      <c r="BF27" s="315"/>
      <c r="BG27" s="315"/>
      <c r="BH27" s="315"/>
      <c r="BI27" s="315"/>
      <c r="BJ27" s="315"/>
      <c r="BK27" s="315"/>
      <c r="BL27" s="315"/>
      <c r="BM27" s="315"/>
      <c r="BN27" s="315"/>
      <c r="BO27" s="315"/>
      <c r="BP27" s="315"/>
      <c r="BQ27" s="315"/>
      <c r="BR27" s="315"/>
      <c r="BS27" s="315"/>
      <c r="BT27" s="315"/>
      <c r="BU27" s="315"/>
      <c r="BV27" s="315"/>
      <c r="BW27" s="315"/>
      <c r="BX27" s="315"/>
      <c r="BY27" s="315"/>
      <c r="BZ27" s="315"/>
      <c r="CA27" s="315"/>
      <c r="CB27" s="315"/>
      <c r="CC27" s="315"/>
      <c r="CD27" s="315"/>
      <c r="CE27" s="315"/>
      <c r="CF27" s="315"/>
      <c r="CG27" s="315"/>
      <c r="CH27" s="315"/>
      <c r="CI27" s="315"/>
      <c r="CJ27" s="315"/>
      <c r="CK27" s="315"/>
    </row>
    <row r="28" spans="1:89" s="26" customFormat="1">
      <c r="A28" s="17" t="s">
        <v>260</v>
      </c>
      <c r="E28" s="26">
        <f>股权价值增加表!E15</f>
        <v>21213441279.529999</v>
      </c>
      <c r="F28" s="26">
        <f>股权价值增加表!F15</f>
        <v>21172085803.459999</v>
      </c>
      <c r="G28" s="26">
        <f>股权价值增加表!G15</f>
        <v>20887078318.68</v>
      </c>
      <c r="H28" s="26">
        <f>股权价值增加表!H15</f>
        <v>18276410652.670002</v>
      </c>
      <c r="I28" s="26">
        <f>股权价值增加表!I15</f>
        <v>11979738941.010002</v>
      </c>
      <c r="J28" s="26">
        <f>股权价值增加表!J15</f>
        <v>6985370656.46</v>
      </c>
      <c r="K28" s="26">
        <f>股权价值增加表!K15</f>
        <v>5945694321.5999994</v>
      </c>
      <c r="L28" s="26">
        <f>股权价值增加表!L15</f>
        <v>5281477622.8300009</v>
      </c>
      <c r="M28" s="26">
        <f>股权价值增加表!M15</f>
        <v>4473832970.8599997</v>
      </c>
      <c r="N28" s="26">
        <f>股权价值增加表!N15</f>
        <v>2459083270.2400002</v>
      </c>
      <c r="O28" s="26">
        <f>股权价值增加表!O15</f>
        <v>1887504851.1300004</v>
      </c>
      <c r="P28" s="26">
        <f>股权价值增加表!P15</f>
        <v>1464361773.1400003</v>
      </c>
      <c r="Q28" s="26">
        <f>股权价值增加表!Q15</f>
        <v>958727427.09999967</v>
      </c>
      <c r="R28" s="26">
        <f>股权价值增加表!R15</f>
        <v>631790935.64999998</v>
      </c>
      <c r="S28" s="26">
        <f>股权价值增加表!S15</f>
        <v>601467185.75999999</v>
      </c>
      <c r="T28" s="26">
        <f>股权价值增加表!T15</f>
        <v>0</v>
      </c>
      <c r="U28" s="26">
        <f>股权价值增加表!U15</f>
        <v>-434996.18</v>
      </c>
      <c r="V28" s="26">
        <f>股权价值增加表!V15</f>
        <v>0</v>
      </c>
      <c r="W28" s="26">
        <f>股权价值增加表!W15</f>
        <v>0</v>
      </c>
      <c r="X28" s="26">
        <f>股权价值增加表!X15</f>
        <v>0</v>
      </c>
      <c r="Y28" s="26">
        <f>股权价值增加表!Y15</f>
        <v>-603190.06999999995</v>
      </c>
      <c r="Z28" s="26">
        <f>股权价值增加表!Z15</f>
        <v>0</v>
      </c>
      <c r="AA28" s="26">
        <f>股权价值增加表!AA15</f>
        <v>0</v>
      </c>
      <c r="AB28" s="26">
        <f>股权价值增加表!AB15</f>
        <v>0</v>
      </c>
      <c r="AC28" s="26">
        <f>股权价值增加表!AC15</f>
        <v>-352310</v>
      </c>
      <c r="AD28" s="26">
        <f>股权价值增加表!AD15</f>
        <v>0</v>
      </c>
      <c r="AE28" s="26">
        <f>股权价值增加表!AE15</f>
        <v>0</v>
      </c>
      <c r="AF28" s="26">
        <f>股权价值增加表!AF15</f>
        <v>0</v>
      </c>
      <c r="AG28" s="26">
        <f>股权价值增加表!AG15</f>
        <v>-284184.78000000003</v>
      </c>
      <c r="AH28" s="26">
        <f>股权价值增加表!AH15</f>
        <v>0</v>
      </c>
      <c r="AI28" s="26">
        <f>股权价值增加表!AI15</f>
        <v>0</v>
      </c>
      <c r="AJ28" s="26">
        <f>股权价值增加表!AJ15</f>
        <v>0</v>
      </c>
      <c r="AK28" s="26">
        <f>股权价值增加表!AK15</f>
        <v>0</v>
      </c>
      <c r="AL28" s="26">
        <f>股权价值增加表!AL15</f>
        <v>0</v>
      </c>
      <c r="AM28" s="26">
        <f>股权价值增加表!AM15</f>
        <v>0</v>
      </c>
      <c r="AN28" s="26">
        <f>股权价值增加表!AN15</f>
        <v>0</v>
      </c>
      <c r="AO28" s="26">
        <f>股权价值增加表!AO15</f>
        <v>0</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4" t="s">
        <v>265</v>
      </c>
      <c r="E29" s="59">
        <f t="shared" ref="E29:AJ29" si="40">E28/E34</f>
        <v>0.99754807368593923</v>
      </c>
      <c r="F29" s="59">
        <f t="shared" si="40"/>
        <v>0.99988155844740212</v>
      </c>
      <c r="G29" s="59">
        <f t="shared" si="40"/>
        <v>0.99985477885425789</v>
      </c>
      <c r="H29" s="59">
        <f t="shared" si="40"/>
        <v>0.99982936891431506</v>
      </c>
      <c r="I29" s="59">
        <f t="shared" si="40"/>
        <v>0.99378870158031052</v>
      </c>
      <c r="J29" s="59">
        <f t="shared" si="40"/>
        <v>0.99993285703369827</v>
      </c>
      <c r="K29" s="59">
        <f t="shared" si="40"/>
        <v>0.99979662572205497</v>
      </c>
      <c r="L29" s="59">
        <f t="shared" si="40"/>
        <v>0.99974970658896234</v>
      </c>
      <c r="M29" s="59">
        <f t="shared" si="40"/>
        <v>0.97556078663223433</v>
      </c>
      <c r="N29" s="59">
        <f t="shared" si="40"/>
        <v>0.99877627489088217</v>
      </c>
      <c r="O29" s="59">
        <f t="shared" si="40"/>
        <v>0.9997733215933704</v>
      </c>
      <c r="P29" s="59">
        <f t="shared" si="40"/>
        <v>0.9997848919966007</v>
      </c>
      <c r="Q29" s="59">
        <f t="shared" si="40"/>
        <v>0.87713593801637324</v>
      </c>
      <c r="R29" s="59">
        <f t="shared" si="40"/>
        <v>1</v>
      </c>
      <c r="S29" s="59">
        <f t="shared" si="40"/>
        <v>1</v>
      </c>
      <c r="T29" s="59">
        <f t="shared" si="40"/>
        <v>0</v>
      </c>
      <c r="U29" s="59">
        <f t="shared" si="40"/>
        <v>-1.0138013729261511E-3</v>
      </c>
      <c r="V29" s="59">
        <f t="shared" si="40"/>
        <v>0</v>
      </c>
      <c r="W29" s="59">
        <f t="shared" si="40"/>
        <v>0</v>
      </c>
      <c r="X29" s="59">
        <f t="shared" si="40"/>
        <v>0</v>
      </c>
      <c r="Y29" s="59">
        <f t="shared" si="40"/>
        <v>-1.4323875649932926E-3</v>
      </c>
      <c r="Z29" s="59">
        <f t="shared" si="40"/>
        <v>0</v>
      </c>
      <c r="AA29" s="59">
        <f t="shared" si="40"/>
        <v>0</v>
      </c>
      <c r="AB29" s="59">
        <f t="shared" si="40"/>
        <v>0</v>
      </c>
      <c r="AC29" s="59">
        <f t="shared" si="40"/>
        <v>-1.0041763574711129E-3</v>
      </c>
      <c r="AD29" s="59">
        <f t="shared" si="40"/>
        <v>0</v>
      </c>
      <c r="AE29" s="59">
        <f t="shared" si="40"/>
        <v>0</v>
      </c>
      <c r="AF29" s="59">
        <f t="shared" si="40"/>
        <v>0</v>
      </c>
      <c r="AG29" s="59">
        <f t="shared" si="40"/>
        <v>-1.6085602410749089E-3</v>
      </c>
      <c r="AH29" s="59">
        <f t="shared" si="40"/>
        <v>0</v>
      </c>
      <c r="AI29" s="59">
        <f t="shared" si="40"/>
        <v>0</v>
      </c>
      <c r="AJ29" s="59">
        <f t="shared" si="40"/>
        <v>0</v>
      </c>
      <c r="AK29" s="59" t="e">
        <f t="shared" ref="AK29:BP29" si="41">AK28/AK34</f>
        <v>#DIV/0!</v>
      </c>
      <c r="AL29" s="59">
        <f t="shared" si="41"/>
        <v>0</v>
      </c>
      <c r="AM29" s="59">
        <f t="shared" si="41"/>
        <v>0</v>
      </c>
      <c r="AN29" s="59">
        <f t="shared" si="41"/>
        <v>0</v>
      </c>
      <c r="AO29" s="59">
        <f t="shared" si="41"/>
        <v>0</v>
      </c>
      <c r="AP29" s="59">
        <f t="shared" si="41"/>
        <v>0</v>
      </c>
      <c r="AQ29" s="59">
        <f t="shared" si="41"/>
        <v>0</v>
      </c>
      <c r="AR29" s="59">
        <f t="shared" si="41"/>
        <v>0</v>
      </c>
      <c r="AS29" s="59">
        <f t="shared" si="41"/>
        <v>0</v>
      </c>
      <c r="AT29" s="59">
        <f t="shared" si="41"/>
        <v>0</v>
      </c>
      <c r="AU29" s="59">
        <f t="shared" si="41"/>
        <v>0</v>
      </c>
      <c r="AV29" s="59">
        <f t="shared" si="41"/>
        <v>0</v>
      </c>
      <c r="AW29" s="59" t="e">
        <f t="shared" si="41"/>
        <v>#DIV/0!</v>
      </c>
      <c r="AX29" s="59">
        <f t="shared" si="41"/>
        <v>0</v>
      </c>
      <c r="AY29" s="59">
        <f t="shared" si="41"/>
        <v>0</v>
      </c>
      <c r="AZ29" s="59">
        <f t="shared" si="41"/>
        <v>0</v>
      </c>
      <c r="BA29" s="59" t="e">
        <f t="shared" si="41"/>
        <v>#DIV/0!</v>
      </c>
      <c r="BB29" s="59">
        <f t="shared" si="41"/>
        <v>0</v>
      </c>
      <c r="BC29" s="59">
        <f t="shared" si="41"/>
        <v>0</v>
      </c>
      <c r="BD29" s="59">
        <f t="shared" si="41"/>
        <v>0</v>
      </c>
      <c r="BE29" s="59">
        <f t="shared" si="41"/>
        <v>0</v>
      </c>
      <c r="BF29" s="59">
        <f t="shared" si="41"/>
        <v>0</v>
      </c>
      <c r="BG29" s="59" t="e">
        <f t="shared" si="41"/>
        <v>#DIV/0!</v>
      </c>
      <c r="BH29" s="59" t="e">
        <f t="shared" si="41"/>
        <v>#DIV/0!</v>
      </c>
      <c r="BI29" s="59" t="e">
        <f t="shared" si="41"/>
        <v>#DIV/0!</v>
      </c>
      <c r="BJ29" s="59" t="e">
        <f t="shared" si="41"/>
        <v>#DIV/0!</v>
      </c>
      <c r="BK29" s="59" t="e">
        <f t="shared" si="41"/>
        <v>#DIV/0!</v>
      </c>
      <c r="BL29" s="59" t="e">
        <f t="shared" si="41"/>
        <v>#DIV/0!</v>
      </c>
      <c r="BM29" s="59" t="e">
        <f t="shared" si="41"/>
        <v>#DIV/0!</v>
      </c>
      <c r="BN29" s="59" t="e">
        <f t="shared" si="41"/>
        <v>#DIV/0!</v>
      </c>
      <c r="BO29" s="59" t="e">
        <f t="shared" si="41"/>
        <v>#DIV/0!</v>
      </c>
      <c r="BP29" s="59" t="e">
        <f t="shared" si="41"/>
        <v>#DIV/0!</v>
      </c>
      <c r="BQ29" s="59" t="e">
        <f t="shared" ref="BQ29:CK29" si="42">BQ28/BQ34</f>
        <v>#DIV/0!</v>
      </c>
      <c r="BR29" s="59" t="e">
        <f t="shared" si="42"/>
        <v>#DIV/0!</v>
      </c>
      <c r="BS29" s="59" t="e">
        <f t="shared" si="42"/>
        <v>#DIV/0!</v>
      </c>
      <c r="BT29" s="59" t="e">
        <f t="shared" si="42"/>
        <v>#DIV/0!</v>
      </c>
      <c r="BU29" s="59" t="e">
        <f t="shared" si="42"/>
        <v>#DIV/0!</v>
      </c>
      <c r="BV29" s="59" t="e">
        <f t="shared" si="42"/>
        <v>#DIV/0!</v>
      </c>
      <c r="BW29" s="59" t="e">
        <f t="shared" si="42"/>
        <v>#DIV/0!</v>
      </c>
      <c r="BX29" s="59" t="e">
        <f t="shared" si="42"/>
        <v>#DIV/0!</v>
      </c>
      <c r="BY29" s="59" t="e">
        <f t="shared" si="42"/>
        <v>#DIV/0!</v>
      </c>
      <c r="BZ29" s="59" t="e">
        <f t="shared" si="42"/>
        <v>#DIV/0!</v>
      </c>
      <c r="CA29" s="59" t="e">
        <f t="shared" si="42"/>
        <v>#DIV/0!</v>
      </c>
      <c r="CB29" s="59" t="e">
        <f t="shared" si="42"/>
        <v>#DIV/0!</v>
      </c>
      <c r="CC29" s="59" t="e">
        <f t="shared" si="42"/>
        <v>#DIV/0!</v>
      </c>
      <c r="CD29" s="59" t="e">
        <f t="shared" si="42"/>
        <v>#DIV/0!</v>
      </c>
      <c r="CE29" s="59">
        <f t="shared" si="42"/>
        <v>0</v>
      </c>
      <c r="CF29" s="59">
        <f t="shared" si="42"/>
        <v>0</v>
      </c>
      <c r="CG29" s="59" t="e">
        <f t="shared" si="42"/>
        <v>#DIV/0!</v>
      </c>
      <c r="CH29" s="59" t="e">
        <f t="shared" si="42"/>
        <v>#DIV/0!</v>
      </c>
      <c r="CI29" s="59" t="e">
        <f t="shared" si="42"/>
        <v>#DIV/0!</v>
      </c>
      <c r="CJ29" s="59" t="e">
        <f t="shared" si="42"/>
        <v>#DIV/0!</v>
      </c>
      <c r="CK29" s="59" t="e">
        <f t="shared" si="42"/>
        <v>#DIV/0!</v>
      </c>
    </row>
    <row r="30" spans="1:89" s="26" customFormat="1">
      <c r="A30" s="17" t="s">
        <v>261</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4" t="s">
        <v>266</v>
      </c>
      <c r="E31" s="59">
        <f>E30/E34</f>
        <v>0</v>
      </c>
      <c r="F31" s="59">
        <f t="shared" ref="F31:BQ31" si="43">F30/F34</f>
        <v>0</v>
      </c>
      <c r="G31" s="59">
        <f t="shared" si="43"/>
        <v>0</v>
      </c>
      <c r="H31" s="59">
        <f t="shared" si="43"/>
        <v>0</v>
      </c>
      <c r="I31" s="59">
        <f t="shared" si="43"/>
        <v>0</v>
      </c>
      <c r="J31" s="59">
        <f t="shared" si="43"/>
        <v>0</v>
      </c>
      <c r="K31" s="59">
        <f t="shared" si="43"/>
        <v>0</v>
      </c>
      <c r="L31" s="59">
        <f t="shared" si="43"/>
        <v>0</v>
      </c>
      <c r="M31" s="59">
        <f t="shared" si="43"/>
        <v>0</v>
      </c>
      <c r="N31" s="59">
        <f t="shared" si="43"/>
        <v>0</v>
      </c>
      <c r="O31" s="59">
        <f t="shared" si="43"/>
        <v>0</v>
      </c>
      <c r="P31" s="59">
        <f t="shared" si="43"/>
        <v>0</v>
      </c>
      <c r="Q31" s="59">
        <f t="shared" si="43"/>
        <v>0</v>
      </c>
      <c r="R31" s="59">
        <f t="shared" si="43"/>
        <v>0</v>
      </c>
      <c r="S31" s="59">
        <f t="shared" si="43"/>
        <v>0</v>
      </c>
      <c r="T31" s="59">
        <f t="shared" si="43"/>
        <v>0</v>
      </c>
      <c r="U31" s="59">
        <f t="shared" si="43"/>
        <v>0</v>
      </c>
      <c r="V31" s="59">
        <f t="shared" si="43"/>
        <v>0</v>
      </c>
      <c r="W31" s="59">
        <f t="shared" si="43"/>
        <v>0</v>
      </c>
      <c r="X31" s="59">
        <f t="shared" si="43"/>
        <v>0</v>
      </c>
      <c r="Y31" s="59">
        <f t="shared" si="43"/>
        <v>0</v>
      </c>
      <c r="Z31" s="59">
        <f t="shared" si="43"/>
        <v>0</v>
      </c>
      <c r="AA31" s="59">
        <f t="shared" si="43"/>
        <v>0</v>
      </c>
      <c r="AB31" s="59">
        <f t="shared" si="43"/>
        <v>0</v>
      </c>
      <c r="AC31" s="59">
        <f t="shared" si="43"/>
        <v>0</v>
      </c>
      <c r="AD31" s="59">
        <f t="shared" si="43"/>
        <v>0</v>
      </c>
      <c r="AE31" s="59">
        <f t="shared" si="43"/>
        <v>0</v>
      </c>
      <c r="AF31" s="59">
        <f t="shared" si="43"/>
        <v>0</v>
      </c>
      <c r="AG31" s="59">
        <f t="shared" si="43"/>
        <v>0</v>
      </c>
      <c r="AH31" s="59">
        <f t="shared" si="43"/>
        <v>0</v>
      </c>
      <c r="AI31" s="59">
        <f t="shared" si="43"/>
        <v>0</v>
      </c>
      <c r="AJ31" s="59">
        <f t="shared" si="43"/>
        <v>0</v>
      </c>
      <c r="AK31" s="59" t="e">
        <f t="shared" si="43"/>
        <v>#DIV/0!</v>
      </c>
      <c r="AL31" s="59">
        <f t="shared" si="43"/>
        <v>0</v>
      </c>
      <c r="AM31" s="59">
        <f t="shared" si="43"/>
        <v>0</v>
      </c>
      <c r="AN31" s="59">
        <f t="shared" si="43"/>
        <v>0</v>
      </c>
      <c r="AO31" s="59">
        <f t="shared" si="43"/>
        <v>0</v>
      </c>
      <c r="AP31" s="59">
        <f t="shared" si="43"/>
        <v>0</v>
      </c>
      <c r="AQ31" s="59">
        <f t="shared" si="43"/>
        <v>0</v>
      </c>
      <c r="AR31" s="59">
        <f t="shared" si="43"/>
        <v>0</v>
      </c>
      <c r="AS31" s="59">
        <f t="shared" si="43"/>
        <v>0</v>
      </c>
      <c r="AT31" s="59">
        <f t="shared" si="43"/>
        <v>0</v>
      </c>
      <c r="AU31" s="59">
        <f t="shared" si="43"/>
        <v>0</v>
      </c>
      <c r="AV31" s="59">
        <f t="shared" si="43"/>
        <v>0</v>
      </c>
      <c r="AW31" s="59" t="e">
        <f t="shared" si="43"/>
        <v>#DIV/0!</v>
      </c>
      <c r="AX31" s="59">
        <f t="shared" si="43"/>
        <v>0</v>
      </c>
      <c r="AY31" s="59">
        <f t="shared" si="43"/>
        <v>0</v>
      </c>
      <c r="AZ31" s="59">
        <f t="shared" si="43"/>
        <v>0</v>
      </c>
      <c r="BA31" s="59" t="e">
        <f t="shared" si="43"/>
        <v>#DIV/0!</v>
      </c>
      <c r="BB31" s="59">
        <f t="shared" si="43"/>
        <v>0</v>
      </c>
      <c r="BC31" s="59">
        <f t="shared" si="43"/>
        <v>0</v>
      </c>
      <c r="BD31" s="59">
        <f t="shared" si="43"/>
        <v>0</v>
      </c>
      <c r="BE31" s="59">
        <f t="shared" si="43"/>
        <v>0</v>
      </c>
      <c r="BF31" s="59">
        <f t="shared" si="43"/>
        <v>0</v>
      </c>
      <c r="BG31" s="59" t="e">
        <f t="shared" si="43"/>
        <v>#DIV/0!</v>
      </c>
      <c r="BH31" s="59" t="e">
        <f t="shared" si="43"/>
        <v>#DIV/0!</v>
      </c>
      <c r="BI31" s="59" t="e">
        <f t="shared" si="43"/>
        <v>#DIV/0!</v>
      </c>
      <c r="BJ31" s="59" t="e">
        <f t="shared" si="43"/>
        <v>#DIV/0!</v>
      </c>
      <c r="BK31" s="59" t="e">
        <f t="shared" si="43"/>
        <v>#DIV/0!</v>
      </c>
      <c r="BL31" s="59" t="e">
        <f t="shared" si="43"/>
        <v>#DIV/0!</v>
      </c>
      <c r="BM31" s="59" t="e">
        <f t="shared" si="43"/>
        <v>#DIV/0!</v>
      </c>
      <c r="BN31" s="59" t="e">
        <f t="shared" si="43"/>
        <v>#DIV/0!</v>
      </c>
      <c r="BO31" s="59" t="e">
        <f t="shared" si="43"/>
        <v>#DIV/0!</v>
      </c>
      <c r="BP31" s="59" t="e">
        <f t="shared" si="43"/>
        <v>#DIV/0!</v>
      </c>
      <c r="BQ31" s="59" t="e">
        <f t="shared" si="43"/>
        <v>#DIV/0!</v>
      </c>
      <c r="BR31" s="59" t="e">
        <f t="shared" ref="BR31:CK31" si="44">BR30/BR34</f>
        <v>#DIV/0!</v>
      </c>
      <c r="BS31" s="59" t="e">
        <f t="shared" si="44"/>
        <v>#DIV/0!</v>
      </c>
      <c r="BT31" s="59" t="e">
        <f t="shared" si="44"/>
        <v>#DIV/0!</v>
      </c>
      <c r="BU31" s="59" t="e">
        <f t="shared" si="44"/>
        <v>#DIV/0!</v>
      </c>
      <c r="BV31" s="59" t="e">
        <f t="shared" si="44"/>
        <v>#DIV/0!</v>
      </c>
      <c r="BW31" s="59" t="e">
        <f t="shared" si="44"/>
        <v>#DIV/0!</v>
      </c>
      <c r="BX31" s="59" t="e">
        <f t="shared" si="44"/>
        <v>#DIV/0!</v>
      </c>
      <c r="BY31" s="59" t="e">
        <f t="shared" si="44"/>
        <v>#DIV/0!</v>
      </c>
      <c r="BZ31" s="59" t="e">
        <f t="shared" si="44"/>
        <v>#DIV/0!</v>
      </c>
      <c r="CA31" s="59" t="e">
        <f t="shared" si="44"/>
        <v>#DIV/0!</v>
      </c>
      <c r="CB31" s="59" t="e">
        <f t="shared" si="44"/>
        <v>#DIV/0!</v>
      </c>
      <c r="CC31" s="59" t="e">
        <f t="shared" si="44"/>
        <v>#DIV/0!</v>
      </c>
      <c r="CD31" s="59" t="e">
        <f t="shared" si="44"/>
        <v>#DIV/0!</v>
      </c>
      <c r="CE31" s="59">
        <f t="shared" si="44"/>
        <v>0</v>
      </c>
      <c r="CF31" s="59">
        <f t="shared" si="44"/>
        <v>0</v>
      </c>
      <c r="CG31" s="59" t="e">
        <f t="shared" si="44"/>
        <v>#DIV/0!</v>
      </c>
      <c r="CH31" s="59" t="e">
        <f t="shared" si="44"/>
        <v>#DIV/0!</v>
      </c>
      <c r="CI31" s="59" t="e">
        <f t="shared" si="44"/>
        <v>#DIV/0!</v>
      </c>
      <c r="CJ31" s="59" t="e">
        <f t="shared" si="44"/>
        <v>#DIV/0!</v>
      </c>
      <c r="CK31" s="59" t="e">
        <f t="shared" si="44"/>
        <v>#DIV/0!</v>
      </c>
    </row>
    <row r="32" spans="1:89" s="26" customFormat="1">
      <c r="A32" s="17" t="s">
        <v>262</v>
      </c>
      <c r="E32" s="26">
        <f>股权价值增加表!E27</f>
        <v>52141642.349999994</v>
      </c>
      <c r="F32" s="26">
        <f>股权价值增加表!F27</f>
        <v>2507951.7599999998</v>
      </c>
      <c r="G32" s="26">
        <f>股权价值增加表!G27</f>
        <v>3033686</v>
      </c>
      <c r="H32" s="26">
        <f>股权价值增加表!H27</f>
        <v>3119056</v>
      </c>
      <c r="I32" s="26">
        <f>股权价值增加表!I27</f>
        <v>74874803.299999997</v>
      </c>
      <c r="J32" s="26">
        <f>股权价值增加表!J27</f>
        <v>469050</v>
      </c>
      <c r="K32" s="26">
        <f>股权价值增加表!K27</f>
        <v>1209447.26</v>
      </c>
      <c r="L32" s="26">
        <f>股权价值增加表!L27</f>
        <v>1322250</v>
      </c>
      <c r="M32" s="26">
        <f>股权价值增加表!M27</f>
        <v>112076008.02</v>
      </c>
      <c r="N32" s="26">
        <f>股权价值增加表!N27</f>
        <v>3012928.94</v>
      </c>
      <c r="O32" s="26">
        <f>股权价值增加表!O27</f>
        <v>427953.6</v>
      </c>
      <c r="P32" s="26">
        <f>股权价值增加表!P27</f>
        <v>315063.71000000002</v>
      </c>
      <c r="Q32" s="26">
        <f>股权价值增加表!Q27</f>
        <v>134292919.63</v>
      </c>
      <c r="R32" s="26">
        <f>股权价值增加表!R27</f>
        <v>0</v>
      </c>
      <c r="S32" s="26">
        <f>股权价值增加表!S27</f>
        <v>0</v>
      </c>
      <c r="T32" s="26">
        <f>股权价值增加表!T27</f>
        <v>3010000</v>
      </c>
      <c r="U32" s="26">
        <f>股权价值增加表!U27</f>
        <v>429509360.86000001</v>
      </c>
      <c r="V32" s="26">
        <f>股权价值增加表!V27</f>
        <v>3010000</v>
      </c>
      <c r="W32" s="26">
        <f>股权价值增加表!W27</f>
        <v>3010000</v>
      </c>
      <c r="X32" s="26">
        <f>股权价值增加表!X27</f>
        <v>3010000</v>
      </c>
      <c r="Y32" s="26">
        <f>股权价值增加表!Y27</f>
        <v>421711334.77999997</v>
      </c>
      <c r="Z32" s="26">
        <f>股权价值增加表!Z27</f>
        <v>3103250</v>
      </c>
      <c r="AA32" s="26">
        <f>股权价值增加表!AA27</f>
        <v>3103250</v>
      </c>
      <c r="AB32" s="26">
        <f>股权价值增加表!AB27</f>
        <v>3103250</v>
      </c>
      <c r="AC32" s="26">
        <f>股权价值增加表!AC27</f>
        <v>351197056.91999996</v>
      </c>
      <c r="AD32" s="26">
        <f>股权价值增加表!AD27</f>
        <v>3383000</v>
      </c>
      <c r="AE32" s="26">
        <f>股权价值增加表!AE27</f>
        <v>3289750</v>
      </c>
      <c r="AF32" s="26">
        <f>股权价值增加表!AF27</f>
        <v>3196500</v>
      </c>
      <c r="AG32" s="26">
        <f>股权价值增加表!AG27</f>
        <v>176954459.69</v>
      </c>
      <c r="AH32" s="26">
        <f>股权价值增加表!AH27</f>
        <v>469050</v>
      </c>
      <c r="AI32" s="26">
        <f>股权价值增加表!AI27</f>
        <v>375800</v>
      </c>
      <c r="AJ32" s="26">
        <f>股权价值增加表!AJ27</f>
        <v>282550</v>
      </c>
      <c r="AK32" s="26">
        <f>股权价值增加表!AK27</f>
        <v>0</v>
      </c>
      <c r="AL32" s="26">
        <f>股权价值增加表!AL27</f>
        <v>1209447.26</v>
      </c>
      <c r="AM32" s="26">
        <f>股权价值增加表!AM27</f>
        <v>972122.26</v>
      </c>
      <c r="AN32" s="26">
        <f>股权价值增加表!AN27</f>
        <v>734797.26</v>
      </c>
      <c r="AO32" s="26">
        <f>股权价值增加表!AO27</f>
        <v>301075</v>
      </c>
      <c r="AP32" s="26">
        <f>股权价值增加表!AP27</f>
        <v>1322250</v>
      </c>
      <c r="AQ32" s="26">
        <f>股权价值增加表!AQ27</f>
        <v>1021175</v>
      </c>
      <c r="AR32" s="26">
        <f>股权价值增加表!AR27</f>
        <v>720100</v>
      </c>
      <c r="AS32" s="26">
        <f>股权价值增加表!AS27</f>
        <v>419025</v>
      </c>
      <c r="AT32" s="26">
        <f>股权价值增加表!AT27</f>
        <v>1814950</v>
      </c>
      <c r="AU32" s="26">
        <f>股权价值增加表!AU27</f>
        <v>859950</v>
      </c>
      <c r="AV32" s="26">
        <f>股权价值增加表!AV27</f>
        <v>859950</v>
      </c>
      <c r="AW32" s="26">
        <f>股权价值增加表!AW27</f>
        <v>0</v>
      </c>
      <c r="AX32" s="26">
        <f>股权价值增加表!AX27</f>
        <v>3012928.94</v>
      </c>
      <c r="AY32" s="26">
        <f>股权价值增加表!AY27</f>
        <v>144435.35999999999</v>
      </c>
      <c r="AZ32" s="26">
        <f>股权价值增加表!AZ27</f>
        <v>144435.35999999999</v>
      </c>
      <c r="BA32" s="26">
        <f>股权价值增加表!BA27</f>
        <v>0</v>
      </c>
      <c r="BB32" s="26">
        <f>股权价值增加表!BB27</f>
        <v>427953.6</v>
      </c>
      <c r="BC32" s="26">
        <f>股权价值增加表!BC27</f>
        <v>23718.23</v>
      </c>
      <c r="BD32" s="26">
        <f>股权价值增加表!BD27</f>
        <v>23718.23</v>
      </c>
      <c r="BE32" s="26">
        <f>股权价值增加表!BE27</f>
        <v>-187658.6</v>
      </c>
      <c r="BF32" s="26">
        <f>股权价值增加表!BF27</f>
        <v>315063.71000000002</v>
      </c>
      <c r="BG32" s="26">
        <f>股权价值增加表!BG27</f>
        <v>0</v>
      </c>
      <c r="BH32" s="26">
        <f>股权价值增加表!BH27</f>
        <v>0</v>
      </c>
      <c r="BI32" s="26">
        <f>股权价值增加表!BI27</f>
        <v>0</v>
      </c>
      <c r="BJ32" s="26">
        <f>股权价值增加表!BJ27</f>
        <v>0</v>
      </c>
      <c r="BK32" s="26">
        <f>股权价值增加表!BK27</f>
        <v>0</v>
      </c>
      <c r="BL32" s="26">
        <f>股权价值增加表!BL27</f>
        <v>0</v>
      </c>
      <c r="BM32" s="26">
        <f>股权价值增加表!BM27</f>
        <v>0</v>
      </c>
      <c r="BN32" s="26">
        <f>股权价值增加表!BN27</f>
        <v>0</v>
      </c>
      <c r="BO32" s="26">
        <f>股权价值增加表!BO27</f>
        <v>0</v>
      </c>
      <c r="BP32" s="26">
        <f>股权价值增加表!BP27</f>
        <v>0</v>
      </c>
      <c r="BQ32" s="26">
        <f>股权价值增加表!BQ27</f>
        <v>0</v>
      </c>
      <c r="BR32" s="26">
        <f>股权价值增加表!BR27</f>
        <v>0</v>
      </c>
      <c r="BS32" s="26">
        <f>股权价值增加表!BS27</f>
        <v>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4" t="s">
        <v>267</v>
      </c>
      <c r="E33" s="59">
        <f>E32/E34</f>
        <v>2.4519263140608222E-3</v>
      </c>
      <c r="F33" s="59">
        <f t="shared" ref="F33:BQ33" si="45">F32/F34</f>
        <v>1.1844155259799189E-4</v>
      </c>
      <c r="G33" s="59">
        <f t="shared" si="45"/>
        <v>1.4522114574207955E-4</v>
      </c>
      <c r="H33" s="59">
        <f t="shared" si="45"/>
        <v>1.7063108568491389E-4</v>
      </c>
      <c r="I33" s="59">
        <f t="shared" si="45"/>
        <v>6.2112984196894963E-3</v>
      </c>
      <c r="J33" s="59">
        <f t="shared" si="45"/>
        <v>6.7142966301711216E-5</v>
      </c>
      <c r="K33" s="59">
        <f t="shared" si="45"/>
        <v>2.0337427794494929E-4</v>
      </c>
      <c r="L33" s="59">
        <f t="shared" si="45"/>
        <v>2.5029341103767185E-4</v>
      </c>
      <c r="M33" s="59">
        <f t="shared" si="45"/>
        <v>2.4439213367765514E-2</v>
      </c>
      <c r="N33" s="59">
        <f t="shared" si="45"/>
        <v>1.2237251091177729E-3</v>
      </c>
      <c r="O33" s="59">
        <f t="shared" si="45"/>
        <v>2.2667840662962742E-4</v>
      </c>
      <c r="P33" s="59">
        <f t="shared" si="45"/>
        <v>2.1510800339929602E-4</v>
      </c>
      <c r="Q33" s="59">
        <f t="shared" si="45"/>
        <v>0.12286406198362687</v>
      </c>
      <c r="R33" s="59">
        <f t="shared" si="45"/>
        <v>0</v>
      </c>
      <c r="S33" s="59">
        <f t="shared" si="45"/>
        <v>0</v>
      </c>
      <c r="T33" s="59">
        <f t="shared" si="45"/>
        <v>1</v>
      </c>
      <c r="U33" s="59">
        <f t="shared" si="45"/>
        <v>1.0010138013729262</v>
      </c>
      <c r="V33" s="59">
        <f t="shared" si="45"/>
        <v>1</v>
      </c>
      <c r="W33" s="59">
        <f t="shared" si="45"/>
        <v>1</v>
      </c>
      <c r="X33" s="59">
        <f t="shared" si="45"/>
        <v>1</v>
      </c>
      <c r="Y33" s="59">
        <f t="shared" si="45"/>
        <v>1.0014323875649933</v>
      </c>
      <c r="Z33" s="59">
        <f t="shared" si="45"/>
        <v>1</v>
      </c>
      <c r="AA33" s="59">
        <f t="shared" si="45"/>
        <v>1</v>
      </c>
      <c r="AB33" s="59">
        <f t="shared" si="45"/>
        <v>1</v>
      </c>
      <c r="AC33" s="59">
        <f t="shared" si="45"/>
        <v>1.0010041763574711</v>
      </c>
      <c r="AD33" s="59">
        <f t="shared" si="45"/>
        <v>1</v>
      </c>
      <c r="AE33" s="59">
        <f t="shared" si="45"/>
        <v>1</v>
      </c>
      <c r="AF33" s="59">
        <f t="shared" si="45"/>
        <v>1</v>
      </c>
      <c r="AG33" s="59">
        <f t="shared" si="45"/>
        <v>1.0016085602410749</v>
      </c>
      <c r="AH33" s="59">
        <f t="shared" si="45"/>
        <v>1</v>
      </c>
      <c r="AI33" s="59">
        <f t="shared" si="45"/>
        <v>1</v>
      </c>
      <c r="AJ33" s="59">
        <f t="shared" si="45"/>
        <v>1</v>
      </c>
      <c r="AK33" s="59" t="e">
        <f t="shared" si="45"/>
        <v>#DIV/0!</v>
      </c>
      <c r="AL33" s="59">
        <f t="shared" si="45"/>
        <v>1</v>
      </c>
      <c r="AM33" s="59">
        <f t="shared" si="45"/>
        <v>1</v>
      </c>
      <c r="AN33" s="59">
        <f t="shared" si="45"/>
        <v>1</v>
      </c>
      <c r="AO33" s="59">
        <f t="shared" si="45"/>
        <v>1</v>
      </c>
      <c r="AP33" s="59">
        <f t="shared" si="45"/>
        <v>1</v>
      </c>
      <c r="AQ33" s="59">
        <f t="shared" si="45"/>
        <v>1</v>
      </c>
      <c r="AR33" s="59">
        <f t="shared" si="45"/>
        <v>1</v>
      </c>
      <c r="AS33" s="59">
        <f t="shared" si="45"/>
        <v>1</v>
      </c>
      <c r="AT33" s="59">
        <f t="shared" si="45"/>
        <v>1</v>
      </c>
      <c r="AU33" s="59">
        <f t="shared" si="45"/>
        <v>1</v>
      </c>
      <c r="AV33" s="59">
        <f t="shared" si="45"/>
        <v>1</v>
      </c>
      <c r="AW33" s="59" t="e">
        <f t="shared" si="45"/>
        <v>#DIV/0!</v>
      </c>
      <c r="AX33" s="59">
        <f t="shared" si="45"/>
        <v>1</v>
      </c>
      <c r="AY33" s="59">
        <f t="shared" si="45"/>
        <v>1</v>
      </c>
      <c r="AZ33" s="59">
        <f t="shared" si="45"/>
        <v>1</v>
      </c>
      <c r="BA33" s="59" t="e">
        <f t="shared" si="45"/>
        <v>#DIV/0!</v>
      </c>
      <c r="BB33" s="59">
        <f t="shared" si="45"/>
        <v>1</v>
      </c>
      <c r="BC33" s="59">
        <f t="shared" si="45"/>
        <v>1</v>
      </c>
      <c r="BD33" s="59">
        <f t="shared" si="45"/>
        <v>1</v>
      </c>
      <c r="BE33" s="59">
        <f t="shared" si="45"/>
        <v>1</v>
      </c>
      <c r="BF33" s="59">
        <f t="shared" si="45"/>
        <v>1</v>
      </c>
      <c r="BG33" s="59" t="e">
        <f t="shared" si="45"/>
        <v>#DIV/0!</v>
      </c>
      <c r="BH33" s="59" t="e">
        <f t="shared" si="45"/>
        <v>#DIV/0!</v>
      </c>
      <c r="BI33" s="59" t="e">
        <f t="shared" si="45"/>
        <v>#DIV/0!</v>
      </c>
      <c r="BJ33" s="59" t="e">
        <f t="shared" si="45"/>
        <v>#DIV/0!</v>
      </c>
      <c r="BK33" s="59" t="e">
        <f t="shared" si="45"/>
        <v>#DIV/0!</v>
      </c>
      <c r="BL33" s="59" t="e">
        <f t="shared" si="45"/>
        <v>#DIV/0!</v>
      </c>
      <c r="BM33" s="59" t="e">
        <f t="shared" si="45"/>
        <v>#DIV/0!</v>
      </c>
      <c r="BN33" s="59" t="e">
        <f t="shared" si="45"/>
        <v>#DIV/0!</v>
      </c>
      <c r="BO33" s="59" t="e">
        <f t="shared" si="45"/>
        <v>#DIV/0!</v>
      </c>
      <c r="BP33" s="59" t="e">
        <f t="shared" si="45"/>
        <v>#DIV/0!</v>
      </c>
      <c r="BQ33" s="59" t="e">
        <f t="shared" si="45"/>
        <v>#DIV/0!</v>
      </c>
      <c r="BR33" s="59" t="e">
        <f t="shared" ref="BR33:CJ33" si="46">BR32/BR34</f>
        <v>#DIV/0!</v>
      </c>
      <c r="BS33" s="59" t="e">
        <f t="shared" si="46"/>
        <v>#DIV/0!</v>
      </c>
      <c r="BT33" s="59" t="e">
        <f t="shared" si="46"/>
        <v>#DIV/0!</v>
      </c>
      <c r="BU33" s="59" t="e">
        <f t="shared" si="46"/>
        <v>#DIV/0!</v>
      </c>
      <c r="BV33" s="59" t="e">
        <f t="shared" si="46"/>
        <v>#DIV/0!</v>
      </c>
      <c r="BW33" s="59" t="e">
        <f t="shared" si="46"/>
        <v>#DIV/0!</v>
      </c>
      <c r="BX33" s="59" t="e">
        <f t="shared" si="46"/>
        <v>#DIV/0!</v>
      </c>
      <c r="BY33" s="59" t="e">
        <f t="shared" si="46"/>
        <v>#DIV/0!</v>
      </c>
      <c r="BZ33" s="59" t="e">
        <f t="shared" si="46"/>
        <v>#DIV/0!</v>
      </c>
      <c r="CA33" s="59" t="e">
        <f t="shared" si="46"/>
        <v>#DIV/0!</v>
      </c>
      <c r="CB33" s="59" t="e">
        <f t="shared" si="46"/>
        <v>#DIV/0!</v>
      </c>
      <c r="CC33" s="59" t="e">
        <f t="shared" si="46"/>
        <v>#DIV/0!</v>
      </c>
      <c r="CD33" s="59" t="e">
        <f t="shared" si="46"/>
        <v>#DIV/0!</v>
      </c>
      <c r="CE33" s="59">
        <f t="shared" si="46"/>
        <v>1</v>
      </c>
      <c r="CF33" s="59">
        <f t="shared" si="46"/>
        <v>1</v>
      </c>
      <c r="CG33" s="59" t="e">
        <f t="shared" si="46"/>
        <v>#DIV/0!</v>
      </c>
      <c r="CH33" s="59" t="e">
        <f t="shared" si="46"/>
        <v>#DIV/0!</v>
      </c>
      <c r="CI33" s="59" t="e">
        <f t="shared" si="46"/>
        <v>#DIV/0!</v>
      </c>
      <c r="CJ33" s="59" t="e">
        <f t="shared" si="46"/>
        <v>#DIV/0!</v>
      </c>
    </row>
    <row r="34" spans="1:89" s="58" customFormat="1">
      <c r="A34" s="144" t="s">
        <v>263</v>
      </c>
      <c r="E34" s="58">
        <f>股权价值增加表!E31</f>
        <v>21265582921.879997</v>
      </c>
      <c r="F34" s="58">
        <f>股权价值增加表!F31</f>
        <v>21174593755.219997</v>
      </c>
      <c r="G34" s="58">
        <f>股权价值增加表!G31</f>
        <v>20890112004.68</v>
      </c>
      <c r="H34" s="58">
        <f>股权价值增加表!H31</f>
        <v>18279529708.670002</v>
      </c>
      <c r="I34" s="58">
        <f>股权价值增加表!I31</f>
        <v>12054613744.310001</v>
      </c>
      <c r="J34" s="58">
        <f>股权价值增加表!J31</f>
        <v>6985839706.46</v>
      </c>
      <c r="K34" s="58">
        <f>股权价值增加表!K31</f>
        <v>5946903768.8599997</v>
      </c>
      <c r="L34" s="58">
        <f>股权价值增加表!L31</f>
        <v>5282799872.8300009</v>
      </c>
      <c r="M34" s="58">
        <f>股权价值增加表!M31</f>
        <v>4585908978.8800001</v>
      </c>
      <c r="N34" s="58">
        <f>股权价值增加表!N31</f>
        <v>2462096199.1800003</v>
      </c>
      <c r="O34" s="58">
        <f>股权价值增加表!O31</f>
        <v>1887932804.7300003</v>
      </c>
      <c r="P34" s="58">
        <f>股权价值增加表!P31</f>
        <v>1464676836.8500004</v>
      </c>
      <c r="Q34" s="58">
        <f>股权价值增加表!Q31</f>
        <v>1093020346.7299995</v>
      </c>
      <c r="R34" s="58">
        <f>股权价值增加表!R31</f>
        <v>631790935.64999998</v>
      </c>
      <c r="S34" s="58">
        <f>股权价值增加表!S31</f>
        <v>601467185.75999999</v>
      </c>
      <c r="T34" s="58">
        <f>股权价值增加表!T31</f>
        <v>3010000</v>
      </c>
      <c r="U34" s="58">
        <f>股权价值增加表!U31</f>
        <v>429074364.68000001</v>
      </c>
      <c r="V34" s="58">
        <f>股权价值增加表!V31</f>
        <v>3010000</v>
      </c>
      <c r="W34" s="58">
        <f>股权价值增加表!W31</f>
        <v>3010000</v>
      </c>
      <c r="X34" s="58">
        <f>股权价值增加表!X31</f>
        <v>3010000</v>
      </c>
      <c r="Y34" s="58">
        <f>股权价值增加表!Y31</f>
        <v>421108144.70999998</v>
      </c>
      <c r="Z34" s="58">
        <f>股权价值增加表!Z31</f>
        <v>3103250</v>
      </c>
      <c r="AA34" s="58">
        <f>股权价值增加表!AA31</f>
        <v>3103250</v>
      </c>
      <c r="AB34" s="58">
        <f>股权价值增加表!AB31</f>
        <v>3103250</v>
      </c>
      <c r="AC34" s="58">
        <f>股权价值增加表!AC31</f>
        <v>350844746.91999996</v>
      </c>
      <c r="AD34" s="58">
        <f>股权价值增加表!AD31</f>
        <v>3383000</v>
      </c>
      <c r="AE34" s="58">
        <f>股权价值增加表!AE31</f>
        <v>3289750</v>
      </c>
      <c r="AF34" s="58">
        <f>股权价值增加表!AF31</f>
        <v>3196500</v>
      </c>
      <c r="AG34" s="58">
        <f>股权价值增加表!AG31</f>
        <v>176670274.91</v>
      </c>
      <c r="AH34" s="58">
        <f>股权价值增加表!AH31</f>
        <v>469050</v>
      </c>
      <c r="AI34" s="58">
        <f>股权价值增加表!AI31</f>
        <v>375800</v>
      </c>
      <c r="AJ34" s="58">
        <f>股权价值增加表!AJ31</f>
        <v>282550</v>
      </c>
      <c r="AK34" s="58">
        <f>股权价值增加表!AK31</f>
        <v>0</v>
      </c>
      <c r="AL34" s="58">
        <f>股权价值增加表!AL31</f>
        <v>1209447.26</v>
      </c>
      <c r="AM34" s="58">
        <f>股权价值增加表!AM31</f>
        <v>972122.26</v>
      </c>
      <c r="AN34" s="58">
        <f>股权价值增加表!AN31</f>
        <v>734797.26</v>
      </c>
      <c r="AO34" s="58">
        <f>股权价值增加表!AO31</f>
        <v>301075</v>
      </c>
      <c r="AP34" s="58">
        <f>股权价值增加表!AP31</f>
        <v>1322250</v>
      </c>
      <c r="AQ34" s="58">
        <f>股权价值增加表!AQ31</f>
        <v>1021175</v>
      </c>
      <c r="AR34" s="58">
        <f>股权价值增加表!AR31</f>
        <v>720100</v>
      </c>
      <c r="AS34" s="58">
        <f>股权价值增加表!AS31</f>
        <v>419025</v>
      </c>
      <c r="AT34" s="58">
        <f>股权价值增加表!AT31</f>
        <v>1814950</v>
      </c>
      <c r="AU34" s="58">
        <f>股权价值增加表!AU31</f>
        <v>859950</v>
      </c>
      <c r="AV34" s="58">
        <f>股权价值增加表!AV31</f>
        <v>859950</v>
      </c>
      <c r="AW34" s="58">
        <f>股权价值增加表!AW31</f>
        <v>0</v>
      </c>
      <c r="AX34" s="58">
        <f>股权价值增加表!AX31</f>
        <v>3012928.94</v>
      </c>
      <c r="AY34" s="58">
        <f>股权价值增加表!AY31</f>
        <v>144435.35999999999</v>
      </c>
      <c r="AZ34" s="58">
        <f>股权价值增加表!AZ31</f>
        <v>144435.35999999999</v>
      </c>
      <c r="BA34" s="58">
        <f>股权价值增加表!BA31</f>
        <v>0</v>
      </c>
      <c r="BB34" s="58">
        <f>股权价值增加表!BB31</f>
        <v>427953.6</v>
      </c>
      <c r="BC34" s="58">
        <f>股权价值增加表!BC31</f>
        <v>23718.23</v>
      </c>
      <c r="BD34" s="58">
        <f>股权价值增加表!BD31</f>
        <v>23718.23</v>
      </c>
      <c r="BE34" s="58">
        <f>股权价值增加表!BE31</f>
        <v>-187658.6</v>
      </c>
      <c r="BF34" s="58">
        <f>股权价值增加表!BF31</f>
        <v>315063.71000000002</v>
      </c>
      <c r="BG34" s="58">
        <f>股权价值增加表!BG31</f>
        <v>0</v>
      </c>
      <c r="BH34" s="58">
        <f>股权价值增加表!BH31</f>
        <v>0</v>
      </c>
      <c r="BI34" s="58">
        <f>股权价值增加表!BI31</f>
        <v>0</v>
      </c>
      <c r="BJ34" s="58">
        <f>股权价值增加表!BJ31</f>
        <v>0</v>
      </c>
      <c r="BK34" s="58">
        <f>股权价值增加表!BK31</f>
        <v>0</v>
      </c>
      <c r="BL34" s="58">
        <f>股权价值增加表!BL31</f>
        <v>0</v>
      </c>
      <c r="BM34" s="58">
        <f>股权价值增加表!BM31</f>
        <v>0</v>
      </c>
      <c r="BN34" s="58">
        <f>股权价值增加表!BN31</f>
        <v>0</v>
      </c>
      <c r="BO34" s="58">
        <f>股权价值增加表!BO31</f>
        <v>0</v>
      </c>
      <c r="BP34" s="58">
        <f>股权价值增加表!BP31</f>
        <v>0</v>
      </c>
      <c r="BQ34" s="58">
        <f>股权价值增加表!BQ31</f>
        <v>0</v>
      </c>
      <c r="BR34" s="58">
        <f>股权价值增加表!BR31</f>
        <v>0</v>
      </c>
      <c r="BS34" s="58">
        <f>股权价值增加表!BS31</f>
        <v>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0" t="s">
        <v>562</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c r="A38" s="20" t="s">
        <v>268</v>
      </c>
      <c r="B38" s="271" t="s">
        <v>638</v>
      </c>
      <c r="C38" s="271" t="s">
        <v>639</v>
      </c>
      <c r="D38" s="271" t="s">
        <v>640</v>
      </c>
      <c r="E38" s="271" t="s">
        <v>641</v>
      </c>
      <c r="F38" s="271" t="s">
        <v>642</v>
      </c>
      <c r="G38" s="271" t="s">
        <v>643</v>
      </c>
      <c r="H38" s="271" t="s">
        <v>644</v>
      </c>
      <c r="I38" s="271" t="s">
        <v>645</v>
      </c>
      <c r="J38" s="271" t="s">
        <v>646</v>
      </c>
      <c r="K38" s="271" t="s">
        <v>647</v>
      </c>
      <c r="L38" s="271" t="s">
        <v>648</v>
      </c>
      <c r="M38" s="271" t="s">
        <v>649</v>
      </c>
      <c r="N38" s="271" t="s">
        <v>650</v>
      </c>
      <c r="O38" s="271" t="s">
        <v>651</v>
      </c>
      <c r="P38" s="271" t="s">
        <v>652</v>
      </c>
      <c r="Q38" s="271" t="s">
        <v>653</v>
      </c>
      <c r="R38" s="271" t="s">
        <v>654</v>
      </c>
      <c r="S38" s="271" t="s">
        <v>655</v>
      </c>
      <c r="T38" s="315"/>
      <c r="U38" s="315"/>
      <c r="V38" s="315"/>
      <c r="W38" s="315"/>
      <c r="X38" s="315"/>
      <c r="Y38" s="315"/>
      <c r="Z38" s="315"/>
      <c r="AA38" s="315"/>
      <c r="AB38" s="315"/>
      <c r="AC38" s="315"/>
      <c r="AD38" s="315"/>
      <c r="AE38" s="315"/>
      <c r="AF38" s="315"/>
      <c r="AG38" s="315"/>
      <c r="AH38" s="315"/>
      <c r="AI38" s="315"/>
      <c r="AJ38" s="315"/>
      <c r="AK38" s="315"/>
      <c r="AL38" s="315"/>
      <c r="AM38" s="315"/>
      <c r="AN38" s="315"/>
      <c r="AO38" s="315"/>
      <c r="AP38" s="315"/>
      <c r="AQ38" s="315"/>
      <c r="AR38" s="315"/>
      <c r="AS38" s="315"/>
      <c r="AT38" s="315"/>
      <c r="AU38" s="315"/>
      <c r="AV38" s="315"/>
      <c r="AW38" s="315"/>
      <c r="AX38" s="315"/>
      <c r="AY38" s="315"/>
      <c r="AZ38" s="315"/>
      <c r="BA38" s="315"/>
      <c r="BB38" s="315"/>
      <c r="BC38" s="315"/>
      <c r="BD38" s="315"/>
      <c r="BE38" s="315"/>
      <c r="BF38" s="315"/>
      <c r="BG38" s="315"/>
      <c r="BH38" s="315"/>
      <c r="BI38" s="315"/>
      <c r="BJ38" s="315"/>
      <c r="BK38" s="315"/>
      <c r="BL38" s="315"/>
      <c r="BM38" s="315"/>
      <c r="BN38" s="315"/>
      <c r="BO38" s="315"/>
      <c r="BP38" s="315"/>
      <c r="BQ38" s="315"/>
      <c r="BR38" s="315"/>
      <c r="BS38" s="315"/>
      <c r="BT38" s="315"/>
      <c r="BU38" s="315"/>
      <c r="BV38" s="315"/>
      <c r="BW38" s="315"/>
      <c r="BX38" s="315"/>
      <c r="BY38" s="315"/>
      <c r="BZ38" s="315"/>
      <c r="CA38" s="315"/>
      <c r="CB38" s="315"/>
      <c r="CC38" s="315"/>
      <c r="CD38" s="315"/>
      <c r="CE38" s="315"/>
      <c r="CF38" s="315"/>
      <c r="CG38" s="315"/>
      <c r="CH38" s="315"/>
      <c r="CI38" s="315"/>
      <c r="CJ38" s="315"/>
      <c r="CK38" s="315"/>
    </row>
    <row r="39" spans="1:89">
      <c r="A39" s="17" t="s">
        <v>263</v>
      </c>
      <c r="B39" s="190">
        <f>股权价值增加表!B31</f>
        <v>47412690073.869995</v>
      </c>
      <c r="C39" s="190">
        <f>股权价值增加表!C31</f>
        <v>35978585223.640007</v>
      </c>
      <c r="D39" s="190">
        <f>股权价值增加表!D31</f>
        <v>22756674230.669998</v>
      </c>
      <c r="E39" s="26">
        <f>股权价值增加表!E31</f>
        <v>21265582921.879997</v>
      </c>
      <c r="F39" s="26">
        <f>股权价值增加表!F31</f>
        <v>21174593755.219997</v>
      </c>
      <c r="G39" s="26">
        <f>股权价值增加表!G31</f>
        <v>20890112004.68</v>
      </c>
      <c r="H39" s="26">
        <f>股权价值增加表!H31</f>
        <v>18279529708.670002</v>
      </c>
      <c r="I39" s="26">
        <f>股权价值增加表!I31</f>
        <v>12054613744.310001</v>
      </c>
      <c r="J39" s="26">
        <f>股权价值增加表!J31</f>
        <v>6985839706.46</v>
      </c>
      <c r="K39" s="26">
        <f>股权价值增加表!K31</f>
        <v>5946903768.8599997</v>
      </c>
      <c r="L39" s="26">
        <f>股权价值增加表!L31</f>
        <v>5282799872.8300009</v>
      </c>
      <c r="M39" s="26">
        <f>股权价值增加表!M31</f>
        <v>4585908978.8800001</v>
      </c>
      <c r="N39" s="26">
        <f>股权价值增加表!N31</f>
        <v>2462096199.1800003</v>
      </c>
      <c r="O39" s="26">
        <f>股权价值增加表!O31</f>
        <v>1887932804.7300003</v>
      </c>
      <c r="P39" s="26">
        <f>股权价值增加表!P31</f>
        <v>1464676836.8500004</v>
      </c>
      <c r="Q39" s="26">
        <f>股权价值增加表!Q31</f>
        <v>1093020346.7299995</v>
      </c>
      <c r="R39" s="26">
        <f>股权价值增加表!R31</f>
        <v>631790935.64999998</v>
      </c>
      <c r="S39" s="26">
        <f>股权价值增加表!S31</f>
        <v>601467185.75999999</v>
      </c>
      <c r="T39" s="26">
        <f>股权价值增加表!T31</f>
        <v>3010000</v>
      </c>
      <c r="U39" s="26">
        <f>股权价值增加表!U31</f>
        <v>429074364.68000001</v>
      </c>
      <c r="V39" s="26">
        <f>股权价值增加表!V31</f>
        <v>3010000</v>
      </c>
      <c r="W39" s="26">
        <f>股权价值增加表!W31</f>
        <v>3010000</v>
      </c>
      <c r="X39" s="26">
        <f>股权价值增加表!X31</f>
        <v>3010000</v>
      </c>
      <c r="Y39" s="26">
        <f>股权价值增加表!Y31</f>
        <v>421108144.70999998</v>
      </c>
      <c r="Z39" s="26">
        <f>股权价值增加表!Z31</f>
        <v>3103250</v>
      </c>
      <c r="AA39" s="26">
        <f>股权价值增加表!AA31</f>
        <v>3103250</v>
      </c>
      <c r="AB39" s="26">
        <f>股权价值增加表!AB31</f>
        <v>3103250</v>
      </c>
      <c r="AC39" s="26">
        <f>股权价值增加表!AC31</f>
        <v>350844746.91999996</v>
      </c>
      <c r="AD39" s="26">
        <f>股权价值增加表!AD31</f>
        <v>3383000</v>
      </c>
      <c r="AE39" s="26">
        <f>股权价值增加表!AE31</f>
        <v>3289750</v>
      </c>
      <c r="AF39" s="26">
        <f>股权价值增加表!AF31</f>
        <v>3196500</v>
      </c>
      <c r="AG39" s="26">
        <f>股权价值增加表!AG31</f>
        <v>176670274.91</v>
      </c>
      <c r="AH39" s="26">
        <f>股权价值增加表!AH31</f>
        <v>469050</v>
      </c>
      <c r="AI39" s="26">
        <f>股权价值增加表!AI31</f>
        <v>375800</v>
      </c>
      <c r="AJ39" s="26">
        <f>股权价值增加表!AJ31</f>
        <v>282550</v>
      </c>
      <c r="AK39" s="26">
        <f>股权价值增加表!AK31</f>
        <v>0</v>
      </c>
      <c r="AL39" s="26">
        <f>股权价值增加表!AL31</f>
        <v>1209447.26</v>
      </c>
      <c r="AM39" s="26">
        <f>股权价值增加表!AM31</f>
        <v>972122.26</v>
      </c>
      <c r="AN39" s="26">
        <f>股权价值增加表!AN31</f>
        <v>734797.26</v>
      </c>
      <c r="AO39" s="26">
        <f>股权价值增加表!AO31</f>
        <v>301075</v>
      </c>
      <c r="AP39" s="26">
        <f>股权价值增加表!AP31</f>
        <v>1322250</v>
      </c>
      <c r="AQ39" s="26">
        <f>股权价值增加表!AQ31</f>
        <v>1021175</v>
      </c>
      <c r="AR39" s="26">
        <f>股权价值增加表!AR31</f>
        <v>720100</v>
      </c>
      <c r="AS39" s="26">
        <f>股权价值增加表!AS31</f>
        <v>419025</v>
      </c>
      <c r="AT39" s="26">
        <f>股权价值增加表!AT31</f>
        <v>1814950</v>
      </c>
      <c r="AU39" s="26">
        <f>股权价值增加表!AU31</f>
        <v>859950</v>
      </c>
      <c r="AV39" s="26">
        <f>股权价值增加表!AV31</f>
        <v>859950</v>
      </c>
      <c r="AW39" s="26">
        <f>股权价值增加表!AW31</f>
        <v>0</v>
      </c>
      <c r="AX39" s="26">
        <f>股权价值增加表!AX31</f>
        <v>3012928.94</v>
      </c>
      <c r="AY39" s="26">
        <f>股权价值增加表!AY31</f>
        <v>144435.35999999999</v>
      </c>
      <c r="AZ39" s="26">
        <f>股权价值增加表!AZ31</f>
        <v>144435.35999999999</v>
      </c>
      <c r="BA39" s="26">
        <f>股权价值增加表!BA31</f>
        <v>0</v>
      </c>
      <c r="BB39" s="26">
        <f>股权价值增加表!BB31</f>
        <v>427953.6</v>
      </c>
      <c r="BC39" s="26">
        <f>股权价值增加表!BC31</f>
        <v>23718.23</v>
      </c>
      <c r="BD39" s="26">
        <f>股权价值增加表!BD31</f>
        <v>23718.23</v>
      </c>
      <c r="BE39" s="26">
        <f>股权价值增加表!BE31</f>
        <v>-187658.6</v>
      </c>
      <c r="BF39" s="26">
        <f>股权价值增加表!BF31</f>
        <v>315063.71000000002</v>
      </c>
      <c r="BG39" s="26">
        <f>股权价值增加表!BG31</f>
        <v>0</v>
      </c>
      <c r="BH39" s="26">
        <f>股权价值增加表!BH31</f>
        <v>0</v>
      </c>
      <c r="BI39" s="26">
        <f>股权价值增加表!BI31</f>
        <v>0</v>
      </c>
      <c r="BJ39" s="26">
        <f>股权价值增加表!BJ31</f>
        <v>0</v>
      </c>
      <c r="BK39" s="26">
        <f>股权价值增加表!BK31</f>
        <v>0</v>
      </c>
      <c r="BL39" s="26">
        <f>股权价值增加表!BL31</f>
        <v>0</v>
      </c>
      <c r="BM39" s="26">
        <f>股权价值增加表!BM31</f>
        <v>0</v>
      </c>
      <c r="BN39" s="26">
        <f>股权价值增加表!BN31</f>
        <v>0</v>
      </c>
      <c r="BO39" s="26">
        <f>股权价值增加表!BO31</f>
        <v>0</v>
      </c>
      <c r="BP39" s="26">
        <f>股权价值增加表!BP31</f>
        <v>0</v>
      </c>
      <c r="BQ39" s="26">
        <f>股权价值增加表!BQ31</f>
        <v>0</v>
      </c>
      <c r="BR39" s="26">
        <f>股权价值增加表!BR31</f>
        <v>0</v>
      </c>
      <c r="BS39" s="26">
        <f>股权价值增加表!BS31</f>
        <v>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269</v>
      </c>
      <c r="B40" s="190">
        <f>股权价值增加表!B38</f>
        <v>47416185647.099998</v>
      </c>
      <c r="C40" s="190">
        <f>股权价值增加表!C38</f>
        <v>36034279851.830009</v>
      </c>
      <c r="D40" s="190">
        <f>股权价值增加表!D38</f>
        <v>22789814102.189999</v>
      </c>
      <c r="E40" s="26">
        <f>股权价值增加表!E38</f>
        <v>21272162325.919998</v>
      </c>
      <c r="F40" s="26">
        <f>股权价值增加表!F38</f>
        <v>21297728135.059998</v>
      </c>
      <c r="G40" s="26">
        <f>股权价值增加表!G38</f>
        <v>21319163060.360001</v>
      </c>
      <c r="H40" s="26">
        <f>股权价值增加表!H38</f>
        <v>18700488817.160004</v>
      </c>
      <c r="I40" s="26">
        <f>股权价值增加表!I38</f>
        <v>12333873437.930002</v>
      </c>
      <c r="J40" s="26">
        <f>股权价值增加表!J38</f>
        <v>7162416731.3699999</v>
      </c>
      <c r="K40" s="26">
        <f>股权价值增加表!K38</f>
        <v>6080539884.6399994</v>
      </c>
      <c r="L40" s="26">
        <f>股权价值增加表!L38</f>
        <v>5385300638.1600008</v>
      </c>
      <c r="M40" s="26">
        <f>股权价值增加表!M38</f>
        <v>4520391745.8100004</v>
      </c>
      <c r="N40" s="26">
        <f>股权价值增加表!N38</f>
        <v>2487364567.0700002</v>
      </c>
      <c r="O40" s="26">
        <f>股权价值增加表!O38</f>
        <v>1920197398.6800003</v>
      </c>
      <c r="P40" s="26">
        <f>股权价值增加表!P38</f>
        <v>1490670632.3900003</v>
      </c>
      <c r="Q40" s="26">
        <f>股权价值增加表!Q38</f>
        <v>974777653.08999956</v>
      </c>
      <c r="R40" s="26">
        <f>股权价值增加表!R38</f>
        <v>649252437.51999998</v>
      </c>
      <c r="S40" s="26">
        <f>股权价值增加表!S38</f>
        <v>607209539.25</v>
      </c>
      <c r="T40" s="26">
        <f>股权价值增加表!T38</f>
        <v>56899235.740000002</v>
      </c>
      <c r="U40" s="26">
        <f>股权价值增加表!U38</f>
        <v>23688224.139999986</v>
      </c>
      <c r="V40" s="26">
        <f>股权价值增加表!V38</f>
        <v>432084364.68000001</v>
      </c>
      <c r="W40" s="26">
        <f>股权价值增加表!W38</f>
        <v>346836830.68000001</v>
      </c>
      <c r="X40" s="26">
        <f>股权价值增加表!X38</f>
        <v>241800533.41</v>
      </c>
      <c r="Y40" s="26">
        <f>股权价值增加表!Y38</f>
        <v>113916024.45999998</v>
      </c>
      <c r="Z40" s="26">
        <f>股权价值增加表!Z38</f>
        <v>424079172.49000001</v>
      </c>
      <c r="AA40" s="26">
        <f>股权价值增加表!AA38</f>
        <v>300568437.51999998</v>
      </c>
      <c r="AB40" s="26">
        <f>股权价值增加表!AB38</f>
        <v>190304070.61000001</v>
      </c>
      <c r="AC40" s="26">
        <f>股权价值增加表!AC38</f>
        <v>95944737.599999964</v>
      </c>
      <c r="AD40" s="26">
        <f>股权价值增加表!AD38</f>
        <v>354134496.92000002</v>
      </c>
      <c r="AE40" s="26">
        <f>股权价值增加表!AE38</f>
        <v>221103255.31999999</v>
      </c>
      <c r="AF40" s="26">
        <f>股权价值增加表!AF38</f>
        <v>152085045.19</v>
      </c>
      <c r="AG40" s="26">
        <f>股权价值增加表!AG38</f>
        <v>53282757.49000001</v>
      </c>
      <c r="AH40" s="26">
        <f>股权价值增加表!AH38</f>
        <v>177046074.91</v>
      </c>
      <c r="AI40" s="26">
        <f>股权价值增加表!AI38</f>
        <v>137706393.52000001</v>
      </c>
      <c r="AJ40" s="26">
        <f>股权价值增加表!AJ38</f>
        <v>100057323.51000001</v>
      </c>
      <c r="AK40" s="26">
        <f>股权价值增加表!AK38</f>
        <v>46248011.119999997</v>
      </c>
      <c r="AL40" s="26">
        <f>股权价值增加表!AL38</f>
        <v>134845563.03999999</v>
      </c>
      <c r="AM40" s="26">
        <f>股权价值增加表!AM38</f>
        <v>91401565.950000003</v>
      </c>
      <c r="AN40" s="26">
        <f>股权价值增加表!AN38</f>
        <v>88519526.770000011</v>
      </c>
      <c r="AO40" s="26">
        <f>股权价值增加表!AO38</f>
        <v>81608472.079999998</v>
      </c>
      <c r="AP40" s="26">
        <f>股权价值增加表!AP38</f>
        <v>103823015.33</v>
      </c>
      <c r="AQ40" s="26">
        <f>股权价值增加表!AQ38</f>
        <v>63203200.009999998</v>
      </c>
      <c r="AR40" s="26">
        <f>股权价值增加表!AR38</f>
        <v>46842642.109999999</v>
      </c>
      <c r="AS40" s="26">
        <f>股权价值增加表!AS38</f>
        <v>40099492.920000002</v>
      </c>
      <c r="AT40" s="26">
        <f>股权价值增加表!AT38</f>
        <v>46558774.950000003</v>
      </c>
      <c r="AU40" s="26">
        <f>股权价值增加表!AU38</f>
        <v>39017967.710000001</v>
      </c>
      <c r="AV40" s="26">
        <f>股权价值增加表!AV38</f>
        <v>33826099.120000005</v>
      </c>
      <c r="AW40" s="26">
        <f>股权价值增加表!AW38</f>
        <v>26751923.239999998</v>
      </c>
      <c r="AX40" s="26">
        <f>股权价值增加表!AX38</f>
        <v>28281296.830000002</v>
      </c>
      <c r="AY40" s="26">
        <f>股权价值增加表!AY38</f>
        <v>14613448.279999999</v>
      </c>
      <c r="AZ40" s="26">
        <f>股权价值增加表!AZ38</f>
        <v>6842669.4900000002</v>
      </c>
      <c r="BA40" s="26">
        <f>股权价值增加表!BA38</f>
        <v>2819139.21</v>
      </c>
      <c r="BB40" s="26">
        <f>股权价值增加表!BB38</f>
        <v>32692547.550000001</v>
      </c>
      <c r="BC40" s="26">
        <f>股权价值增加表!BC38</f>
        <v>14249622.210000001</v>
      </c>
      <c r="BD40" s="26">
        <f>股权价值增加表!BD38</f>
        <v>8131598.6800000006</v>
      </c>
      <c r="BE40" s="26">
        <f>股权价值增加表!BE38</f>
        <v>3559265.42</v>
      </c>
      <c r="BF40" s="26">
        <f>股权价值增加表!BF38</f>
        <v>26308859.25</v>
      </c>
      <c r="BG40" s="26">
        <f>股权价值增加表!BG38</f>
        <v>22307046.379999999</v>
      </c>
      <c r="BH40" s="26">
        <f>股权价值增加表!BH38</f>
        <v>9958861.9700000007</v>
      </c>
      <c r="BI40" s="26">
        <f>股权价值增加表!BI38</f>
        <v>6747422.2300000004</v>
      </c>
      <c r="BJ40" s="26">
        <f>股权价值增加表!BJ38</f>
        <v>16050225.99</v>
      </c>
      <c r="BK40" s="26">
        <f>股权价值增加表!BK38</f>
        <v>12245012.15</v>
      </c>
      <c r="BL40" s="26">
        <f>股权价值增加表!BL38</f>
        <v>4371087.49</v>
      </c>
      <c r="BM40" s="26">
        <f>股权价值增加表!BM38</f>
        <v>2211149.4700000002</v>
      </c>
      <c r="BN40" s="26">
        <f>股权价值增加表!BN38</f>
        <v>17461501.870000001</v>
      </c>
      <c r="BO40" s="26">
        <f>股权价值增加表!BO38</f>
        <v>15259418.529999999</v>
      </c>
      <c r="BP40" s="26">
        <f>股权价值增加表!BP38</f>
        <v>11910236.880000001</v>
      </c>
      <c r="BQ40" s="26">
        <f>股权价值增加表!BQ38</f>
        <v>2661960.19</v>
      </c>
      <c r="BR40" s="26">
        <f>股权价值增加表!BR38</f>
        <v>5742353.4900000002</v>
      </c>
      <c r="BS40" s="26">
        <f>股权价值增加表!BS38</f>
        <v>-1336222</v>
      </c>
      <c r="BT40" s="26">
        <f>股权价值增加表!BT38</f>
        <v>-6680065.6699999999</v>
      </c>
      <c r="BU40" s="26">
        <f>股权价值增加表!BU38</f>
        <v>-11277315.43</v>
      </c>
      <c r="BV40" s="26">
        <f>股权价值增加表!BV38</f>
        <v>-41920771.770000003</v>
      </c>
      <c r="BW40" s="26">
        <f>股权价值增加表!BW38</f>
        <v>0</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270</v>
      </c>
      <c r="B41" s="59">
        <f t="shared" ref="B41:D41" si="47">1-B40/B39</f>
        <v>-7.3726532381135357E-5</v>
      </c>
      <c r="C41" s="59">
        <f t="shared" si="47"/>
        <v>-1.5479938369953317E-3</v>
      </c>
      <c r="D41" s="59">
        <f t="shared" si="47"/>
        <v>-1.4562704191343201E-3</v>
      </c>
      <c r="E41" s="59">
        <f>1-E40/E39</f>
        <v>-3.0939213207425986E-4</v>
      </c>
      <c r="F41" s="59">
        <f t="shared" ref="F41:BQ41" si="48">1-F40/F39</f>
        <v>-5.815194438365312E-3</v>
      </c>
      <c r="G41" s="59">
        <f t="shared" si="48"/>
        <v>-2.0538475599550576E-2</v>
      </c>
      <c r="H41" s="59">
        <f t="shared" si="48"/>
        <v>-2.3028990088860946E-2</v>
      </c>
      <c r="I41" s="59">
        <f t="shared" si="48"/>
        <v>-2.3166208353363249E-2</v>
      </c>
      <c r="J41" s="59">
        <f t="shared" si="48"/>
        <v>-2.5276420921412468E-2</v>
      </c>
      <c r="K41" s="59">
        <f t="shared" si="48"/>
        <v>-2.2471545021421679E-2</v>
      </c>
      <c r="L41" s="59">
        <f t="shared" si="48"/>
        <v>-1.9402734874961247E-2</v>
      </c>
      <c r="M41" s="59">
        <f t="shared" si="48"/>
        <v>1.4286640526825489E-2</v>
      </c>
      <c r="N41" s="59">
        <f t="shared" si="48"/>
        <v>-1.026294906690306E-2</v>
      </c>
      <c r="O41" s="59">
        <f t="shared" si="48"/>
        <v>-1.708990588497894E-2</v>
      </c>
      <c r="P41" s="59">
        <f t="shared" si="48"/>
        <v>-1.7747119969414804E-2</v>
      </c>
      <c r="Q41" s="59">
        <f t="shared" si="48"/>
        <v>0.10817977359135889</v>
      </c>
      <c r="R41" s="59">
        <f t="shared" si="48"/>
        <v>-2.7638101284304106E-2</v>
      </c>
      <c r="S41" s="59">
        <f t="shared" si="48"/>
        <v>-9.5472431845871064E-3</v>
      </c>
      <c r="T41" s="59">
        <f t="shared" si="48"/>
        <v>-17.903400578073089</v>
      </c>
      <c r="U41" s="59">
        <f t="shared" si="48"/>
        <v>0.94479226425548291</v>
      </c>
      <c r="V41" s="59">
        <f t="shared" si="48"/>
        <v>-142.54962281727575</v>
      </c>
      <c r="W41" s="59">
        <f t="shared" si="48"/>
        <v>-114.22818295016612</v>
      </c>
      <c r="X41" s="59">
        <f t="shared" si="48"/>
        <v>-79.33240312624585</v>
      </c>
      <c r="Y41" s="59">
        <f t="shared" si="48"/>
        <v>0.72948510758810114</v>
      </c>
      <c r="Z41" s="59">
        <f t="shared" si="48"/>
        <v>-135.65646418754531</v>
      </c>
      <c r="AA41" s="59">
        <f t="shared" si="48"/>
        <v>-95.856017890920796</v>
      </c>
      <c r="AB41" s="59">
        <f t="shared" si="48"/>
        <v>-60.324118459679376</v>
      </c>
      <c r="AC41" s="59">
        <f t="shared" si="48"/>
        <v>0.72653220992395995</v>
      </c>
      <c r="AD41" s="59">
        <f t="shared" si="48"/>
        <v>-103.68060801655336</v>
      </c>
      <c r="AE41" s="59">
        <f t="shared" si="48"/>
        <v>-66.209743998784106</v>
      </c>
      <c r="AF41" s="59">
        <f t="shared" si="48"/>
        <v>-46.578615732832787</v>
      </c>
      <c r="AG41" s="59">
        <f t="shared" si="48"/>
        <v>0.69840564567444352</v>
      </c>
      <c r="AH41" s="59">
        <f t="shared" si="48"/>
        <v>-376.45672083999574</v>
      </c>
      <c r="AI41" s="59">
        <f t="shared" si="48"/>
        <v>-365.43532070250137</v>
      </c>
      <c r="AJ41" s="59">
        <f t="shared" si="48"/>
        <v>-353.1225394089542</v>
      </c>
      <c r="AK41" s="59" t="e">
        <f t="shared" si="48"/>
        <v>#DIV/0!</v>
      </c>
      <c r="AL41" s="59">
        <f t="shared" si="48"/>
        <v>-110.49354543992268</v>
      </c>
      <c r="AM41" s="59">
        <f t="shared" si="48"/>
        <v>-93.022706516359378</v>
      </c>
      <c r="AN41" s="59">
        <f t="shared" si="48"/>
        <v>-119.46795978798289</v>
      </c>
      <c r="AO41" s="59">
        <f t="shared" si="48"/>
        <v>-270.05695285227932</v>
      </c>
      <c r="AP41" s="59">
        <f t="shared" si="48"/>
        <v>-77.519958653809795</v>
      </c>
      <c r="AQ41" s="59">
        <f t="shared" si="48"/>
        <v>-60.892623703087125</v>
      </c>
      <c r="AR41" s="59">
        <f t="shared" si="48"/>
        <v>-64.050190404110538</v>
      </c>
      <c r="AS41" s="59">
        <f t="shared" si="48"/>
        <v>-94.697137211383577</v>
      </c>
      <c r="AT41" s="59">
        <f t="shared" si="48"/>
        <v>-24.652924295435138</v>
      </c>
      <c r="AU41" s="59">
        <f t="shared" si="48"/>
        <v>-44.372367823710682</v>
      </c>
      <c r="AV41" s="59">
        <f t="shared" si="48"/>
        <v>-38.334960311646029</v>
      </c>
      <c r="AW41" s="59" t="e">
        <f t="shared" si="48"/>
        <v>#DIV/0!</v>
      </c>
      <c r="AX41" s="59">
        <f t="shared" si="48"/>
        <v>-8.3866458164791648</v>
      </c>
      <c r="AY41" s="59">
        <f t="shared" si="48"/>
        <v>-100.1763897704828</v>
      </c>
      <c r="AZ41" s="59">
        <f t="shared" si="48"/>
        <v>-46.375306780832624</v>
      </c>
      <c r="BA41" s="59" t="e">
        <f t="shared" si="48"/>
        <v>#DIV/0!</v>
      </c>
      <c r="BB41" s="59">
        <f t="shared" si="48"/>
        <v>-75.392738722141843</v>
      </c>
      <c r="BC41" s="59">
        <f t="shared" si="48"/>
        <v>-599.78775734951557</v>
      </c>
      <c r="BD41" s="59">
        <f t="shared" si="48"/>
        <v>-341.84171626634873</v>
      </c>
      <c r="BE41" s="59">
        <f t="shared" si="48"/>
        <v>19.96670560262093</v>
      </c>
      <c r="BF41" s="59">
        <f t="shared" si="48"/>
        <v>-82.503299221608216</v>
      </c>
      <c r="BG41" s="59" t="e">
        <f t="shared" si="48"/>
        <v>#DIV/0!</v>
      </c>
      <c r="BH41" s="59" t="e">
        <f t="shared" si="48"/>
        <v>#DIV/0!</v>
      </c>
      <c r="BI41" s="59" t="e">
        <f t="shared" si="48"/>
        <v>#DIV/0!</v>
      </c>
      <c r="BJ41" s="59" t="e">
        <f t="shared" si="48"/>
        <v>#DIV/0!</v>
      </c>
      <c r="BK41" s="59" t="e">
        <f t="shared" si="48"/>
        <v>#DIV/0!</v>
      </c>
      <c r="BL41" s="59" t="e">
        <f t="shared" si="48"/>
        <v>#DIV/0!</v>
      </c>
      <c r="BM41" s="59" t="e">
        <f t="shared" si="48"/>
        <v>#DIV/0!</v>
      </c>
      <c r="BN41" s="59" t="e">
        <f t="shared" si="48"/>
        <v>#DIV/0!</v>
      </c>
      <c r="BO41" s="59" t="e">
        <f t="shared" si="48"/>
        <v>#DIV/0!</v>
      </c>
      <c r="BP41" s="59" t="e">
        <f t="shared" si="48"/>
        <v>#DIV/0!</v>
      </c>
      <c r="BQ41" s="59" t="e">
        <f t="shared" si="48"/>
        <v>#DIV/0!</v>
      </c>
      <c r="BR41" s="59" t="e">
        <f t="shared" ref="BR41:CK41" si="49">1-BR40/BR39</f>
        <v>#DIV/0!</v>
      </c>
      <c r="BS41" s="59" t="e">
        <f t="shared" si="49"/>
        <v>#DIV/0!</v>
      </c>
      <c r="BT41" s="59" t="e">
        <f t="shared" si="49"/>
        <v>#DIV/0!</v>
      </c>
      <c r="BU41" s="59" t="e">
        <f t="shared" si="49"/>
        <v>#DIV/0!</v>
      </c>
      <c r="BV41" s="59" t="e">
        <f t="shared" si="49"/>
        <v>#DIV/0!</v>
      </c>
      <c r="BW41" s="59" t="e">
        <f t="shared" si="49"/>
        <v>#DIV/0!</v>
      </c>
      <c r="BX41" s="59" t="e">
        <f t="shared" si="49"/>
        <v>#DIV/0!</v>
      </c>
      <c r="BY41" s="59" t="e">
        <f t="shared" si="49"/>
        <v>#DIV/0!</v>
      </c>
      <c r="BZ41" s="59" t="e">
        <f t="shared" si="49"/>
        <v>#DIV/0!</v>
      </c>
      <c r="CA41" s="59" t="e">
        <f t="shared" si="49"/>
        <v>#DIV/0!</v>
      </c>
      <c r="CB41" s="59" t="e">
        <f t="shared" si="49"/>
        <v>#DIV/0!</v>
      </c>
      <c r="CC41" s="59" t="e">
        <f t="shared" si="49"/>
        <v>#DIV/0!</v>
      </c>
      <c r="CD41" s="59" t="e">
        <f t="shared" si="49"/>
        <v>#DIV/0!</v>
      </c>
      <c r="CE41" s="59">
        <f t="shared" si="49"/>
        <v>0</v>
      </c>
      <c r="CF41" s="59">
        <f t="shared" si="49"/>
        <v>0</v>
      </c>
      <c r="CG41" s="59" t="e">
        <f t="shared" si="49"/>
        <v>#DIV/0!</v>
      </c>
      <c r="CH41" s="59" t="e">
        <f t="shared" si="49"/>
        <v>#DIV/0!</v>
      </c>
      <c r="CI41" s="59" t="e">
        <f t="shared" si="49"/>
        <v>#DIV/0!</v>
      </c>
      <c r="CJ41" s="59" t="e">
        <f t="shared" si="49"/>
        <v>#DIV/0!</v>
      </c>
      <c r="CK41" s="59" t="e">
        <f t="shared" si="49"/>
        <v>#DIV/0!</v>
      </c>
    </row>
    <row r="42" spans="1:89" s="60" customFormat="1">
      <c r="A42" s="21" t="s">
        <v>315</v>
      </c>
      <c r="B42" s="148">
        <f t="shared" ref="B42:D42" si="50">B39/(B39-B40)</f>
        <v>-13563.638051383195</v>
      </c>
      <c r="C42" s="148">
        <f t="shared" si="50"/>
        <v>-645.99740393093066</v>
      </c>
      <c r="D42" s="148">
        <f t="shared" si="50"/>
        <v>-686.68565045389425</v>
      </c>
      <c r="E42" s="148">
        <f>E39/(E39-E40)</f>
        <v>-3232.1442478059212</v>
      </c>
      <c r="F42" s="29">
        <f t="shared" ref="F42:BQ42" si="51">F39/(F39-F40)</f>
        <v>-171.96329556971901</v>
      </c>
      <c r="G42" s="29">
        <f t="shared" si="51"/>
        <v>-48.689105243131017</v>
      </c>
      <c r="H42" s="29">
        <f t="shared" si="51"/>
        <v>-43.42352817650022</v>
      </c>
      <c r="I42" s="29">
        <f t="shared" si="51"/>
        <v>-43.166321598537479</v>
      </c>
      <c r="J42" s="29">
        <f t="shared" si="51"/>
        <v>-39.562563193148357</v>
      </c>
      <c r="K42" s="29">
        <f t="shared" si="51"/>
        <v>-44.500722983075704</v>
      </c>
      <c r="L42" s="29">
        <f t="shared" si="51"/>
        <v>-51.539126130640028</v>
      </c>
      <c r="M42" s="29">
        <f t="shared" si="51"/>
        <v>69.995461712803703</v>
      </c>
      <c r="N42" s="29">
        <f t="shared" si="51"/>
        <v>-97.437880036343472</v>
      </c>
      <c r="O42" s="29">
        <f t="shared" si="51"/>
        <v>-58.514072969760633</v>
      </c>
      <c r="P42" s="29">
        <f t="shared" si="51"/>
        <v>-56.347170792973102</v>
      </c>
      <c r="Q42" s="29">
        <f t="shared" si="51"/>
        <v>9.2438721842534619</v>
      </c>
      <c r="R42" s="29">
        <f t="shared" si="51"/>
        <v>-36.18193557196004</v>
      </c>
      <c r="S42" s="29">
        <f t="shared" si="51"/>
        <v>-104.74227802370957</v>
      </c>
      <c r="T42" s="29">
        <f t="shared" si="51"/>
        <v>-5.585531059528067E-2</v>
      </c>
      <c r="U42" s="29">
        <f t="shared" si="51"/>
        <v>1.0584337296495774</v>
      </c>
      <c r="V42" s="29">
        <f t="shared" si="51"/>
        <v>-7.0151009889505567E-3</v>
      </c>
      <c r="W42" s="29">
        <f t="shared" si="51"/>
        <v>-8.7544069613386573E-3</v>
      </c>
      <c r="X42" s="29">
        <f t="shared" si="51"/>
        <v>-1.2605189816431593E-2</v>
      </c>
      <c r="Y42" s="29">
        <f t="shared" si="51"/>
        <v>1.3708299039939322</v>
      </c>
      <c r="Z42" s="29">
        <f t="shared" si="51"/>
        <v>-7.3715617312382405E-3</v>
      </c>
      <c r="AA42" s="29">
        <f t="shared" si="51"/>
        <v>-1.0432313192249947E-2</v>
      </c>
      <c r="AB42" s="29">
        <f t="shared" si="51"/>
        <v>-1.6577117503480798E-2</v>
      </c>
      <c r="AC42" s="29">
        <f t="shared" si="51"/>
        <v>1.3764014676027394</v>
      </c>
      <c r="AD42" s="29">
        <f t="shared" si="51"/>
        <v>-9.6450051666396742E-3</v>
      </c>
      <c r="AE42" s="29">
        <f t="shared" si="51"/>
        <v>-1.5103517089846539E-2</v>
      </c>
      <c r="AF42" s="29">
        <f t="shared" si="51"/>
        <v>-2.1469079410513917E-2</v>
      </c>
      <c r="AG42" s="29">
        <f t="shared" si="51"/>
        <v>1.4318326408062034</v>
      </c>
      <c r="AH42" s="29">
        <f t="shared" si="51"/>
        <v>-2.6563478472868786E-3</v>
      </c>
      <c r="AI42" s="29">
        <f t="shared" si="51"/>
        <v>-2.7364623596800425E-3</v>
      </c>
      <c r="AJ42" s="29">
        <f t="shared" si="51"/>
        <v>-2.8318781397352029E-3</v>
      </c>
      <c r="AK42" s="29">
        <f t="shared" si="51"/>
        <v>0</v>
      </c>
      <c r="AL42" s="29">
        <f t="shared" si="51"/>
        <v>-9.0503024047112138E-3</v>
      </c>
      <c r="AM42" s="29">
        <f t="shared" si="51"/>
        <v>-1.0750063478578058E-2</v>
      </c>
      <c r="AN42" s="29">
        <f t="shared" si="51"/>
        <v>-8.3704451115987726E-3</v>
      </c>
      <c r="AO42" s="29">
        <f t="shared" si="51"/>
        <v>-3.7029226222033179E-3</v>
      </c>
      <c r="AP42" s="29">
        <f t="shared" si="51"/>
        <v>-1.289990368113869E-2</v>
      </c>
      <c r="AQ42" s="29">
        <f t="shared" si="51"/>
        <v>-1.6422350346997811E-2</v>
      </c>
      <c r="AR42" s="29">
        <f t="shared" si="51"/>
        <v>-1.5612756085356198E-2</v>
      </c>
      <c r="AS42" s="29">
        <f t="shared" si="51"/>
        <v>-1.0559981319897702E-2</v>
      </c>
      <c r="AT42" s="29">
        <f t="shared" si="51"/>
        <v>-4.0563139204754108E-2</v>
      </c>
      <c r="AU42" s="29">
        <f t="shared" si="51"/>
        <v>-2.2536548060111478E-2</v>
      </c>
      <c r="AV42" s="29">
        <f t="shared" si="51"/>
        <v>-2.6085849362317021E-2</v>
      </c>
      <c r="AW42" s="29">
        <f t="shared" si="51"/>
        <v>0</v>
      </c>
      <c r="AX42" s="29">
        <f t="shared" si="51"/>
        <v>-0.11923718037967825</v>
      </c>
      <c r="AY42" s="29">
        <f t="shared" si="51"/>
        <v>-9.982392081518715E-3</v>
      </c>
      <c r="AZ42" s="29">
        <f t="shared" si="51"/>
        <v>-2.1563199672747179E-2</v>
      </c>
      <c r="BA42" s="29">
        <f t="shared" si="51"/>
        <v>0</v>
      </c>
      <c r="BB42" s="29">
        <f t="shared" si="51"/>
        <v>-1.3263876826195111E-2</v>
      </c>
      <c r="BC42" s="29">
        <f t="shared" si="51"/>
        <v>-1.6672564382091378E-3</v>
      </c>
      <c r="BD42" s="29">
        <f t="shared" si="51"/>
        <v>-2.9253305036089916E-3</v>
      </c>
      <c r="BE42" s="29">
        <f t="shared" si="51"/>
        <v>5.0083374789115689E-2</v>
      </c>
      <c r="BF42" s="29">
        <f t="shared" si="51"/>
        <v>-1.2120727406475554E-2</v>
      </c>
      <c r="BG42" s="29">
        <f t="shared" si="51"/>
        <v>0</v>
      </c>
      <c r="BH42" s="29">
        <f t="shared" si="51"/>
        <v>0</v>
      </c>
      <c r="BI42" s="29">
        <f t="shared" si="51"/>
        <v>0</v>
      </c>
      <c r="BJ42" s="29">
        <f t="shared" si="51"/>
        <v>0</v>
      </c>
      <c r="BK42" s="29">
        <f t="shared" si="51"/>
        <v>0</v>
      </c>
      <c r="BL42" s="29">
        <f t="shared" si="51"/>
        <v>0</v>
      </c>
      <c r="BM42" s="29">
        <f t="shared" si="51"/>
        <v>0</v>
      </c>
      <c r="BN42" s="29">
        <f t="shared" si="51"/>
        <v>0</v>
      </c>
      <c r="BO42" s="29">
        <f t="shared" si="51"/>
        <v>0</v>
      </c>
      <c r="BP42" s="29">
        <f t="shared" si="51"/>
        <v>0</v>
      </c>
      <c r="BQ42" s="29">
        <f t="shared" si="51"/>
        <v>0</v>
      </c>
      <c r="BR42" s="29">
        <f t="shared" ref="BR42:CK42" si="52">BR39/(BR39-BR40)</f>
        <v>0</v>
      </c>
      <c r="BS42" s="29">
        <f t="shared" si="52"/>
        <v>0</v>
      </c>
      <c r="BT42" s="29">
        <f t="shared" si="52"/>
        <v>0</v>
      </c>
      <c r="BU42" s="29">
        <f t="shared" si="52"/>
        <v>0</v>
      </c>
      <c r="BV42" s="29">
        <f t="shared" si="52"/>
        <v>0</v>
      </c>
      <c r="BW42" s="29" t="e">
        <f t="shared" si="52"/>
        <v>#DIV/0!</v>
      </c>
      <c r="BX42" s="29">
        <f t="shared" si="52"/>
        <v>0</v>
      </c>
      <c r="BY42" s="29">
        <f t="shared" si="52"/>
        <v>0</v>
      </c>
      <c r="BZ42" s="29">
        <f t="shared" si="52"/>
        <v>0</v>
      </c>
      <c r="CA42" s="29">
        <f t="shared" si="52"/>
        <v>0</v>
      </c>
      <c r="CB42" s="29">
        <f t="shared" si="52"/>
        <v>0</v>
      </c>
      <c r="CC42" s="29">
        <f t="shared" si="52"/>
        <v>0</v>
      </c>
      <c r="CD42" s="29" t="e">
        <f t="shared" si="52"/>
        <v>#DIV/0!</v>
      </c>
      <c r="CE42" s="29" t="e">
        <f t="shared" si="52"/>
        <v>#DIV/0!</v>
      </c>
      <c r="CF42" s="29" t="e">
        <f t="shared" si="52"/>
        <v>#DIV/0!</v>
      </c>
      <c r="CG42" s="29" t="e">
        <f t="shared" si="52"/>
        <v>#DIV/0!</v>
      </c>
      <c r="CH42" s="29" t="e">
        <f t="shared" si="52"/>
        <v>#DIV/0!</v>
      </c>
      <c r="CI42" s="29" t="e">
        <f t="shared" si="52"/>
        <v>#DIV/0!</v>
      </c>
      <c r="CJ42" s="29" t="e">
        <f t="shared" si="52"/>
        <v>#DIV/0!</v>
      </c>
      <c r="CK42" s="29" t="e">
        <f t="shared" si="52"/>
        <v>#DIV/0!</v>
      </c>
    </row>
    <row r="43" spans="1:89" s="16" customFormat="1" ht="106.15" customHeight="1">
      <c r="A43" s="280" t="s">
        <v>584</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310</v>
      </c>
      <c r="B46" s="271" t="s">
        <v>638</v>
      </c>
      <c r="C46" s="271" t="s">
        <v>639</v>
      </c>
      <c r="D46" s="271" t="s">
        <v>640</v>
      </c>
      <c r="E46" s="271" t="s">
        <v>641</v>
      </c>
      <c r="F46" s="271" t="s">
        <v>642</v>
      </c>
      <c r="G46" s="271" t="s">
        <v>643</v>
      </c>
      <c r="H46" s="271" t="s">
        <v>644</v>
      </c>
      <c r="I46" s="271" t="s">
        <v>645</v>
      </c>
      <c r="J46" s="271" t="s">
        <v>646</v>
      </c>
      <c r="K46" s="271" t="s">
        <v>647</v>
      </c>
      <c r="L46" s="271" t="s">
        <v>648</v>
      </c>
      <c r="M46" s="271" t="s">
        <v>649</v>
      </c>
      <c r="N46" s="271" t="s">
        <v>650</v>
      </c>
      <c r="O46" s="271" t="s">
        <v>651</v>
      </c>
      <c r="P46" s="271" t="s">
        <v>652</v>
      </c>
      <c r="Q46" s="271" t="s">
        <v>653</v>
      </c>
      <c r="R46" s="271" t="s">
        <v>654</v>
      </c>
      <c r="S46" s="271" t="s">
        <v>655</v>
      </c>
      <c r="T46" s="315"/>
      <c r="U46" s="315"/>
      <c r="V46" s="315"/>
      <c r="W46" s="315"/>
      <c r="X46" s="315"/>
      <c r="Y46" s="315"/>
      <c r="Z46" s="315"/>
      <c r="AA46" s="315"/>
      <c r="AB46" s="315"/>
      <c r="AC46" s="315"/>
      <c r="AD46" s="315"/>
      <c r="AE46" s="315"/>
      <c r="AF46" s="315"/>
      <c r="AG46" s="315"/>
      <c r="AH46" s="315"/>
      <c r="AI46" s="315"/>
      <c r="AJ46" s="315"/>
      <c r="AK46" s="315"/>
      <c r="AL46" s="315"/>
      <c r="AM46" s="315"/>
      <c r="AN46" s="315"/>
      <c r="AO46" s="315"/>
      <c r="AP46" s="315"/>
      <c r="AQ46" s="315"/>
      <c r="AR46" s="315"/>
      <c r="AS46" s="315"/>
      <c r="AT46" s="315"/>
      <c r="AU46" s="315"/>
      <c r="AV46" s="315"/>
      <c r="AW46" s="315"/>
      <c r="AX46" s="315"/>
      <c r="AY46" s="315"/>
      <c r="AZ46" s="315"/>
      <c r="BA46" s="315"/>
      <c r="BB46" s="315"/>
      <c r="BC46" s="315"/>
      <c r="BD46" s="315"/>
      <c r="BE46" s="315"/>
      <c r="BF46" s="315"/>
      <c r="BG46" s="315"/>
      <c r="BH46" s="315"/>
      <c r="BI46" s="315"/>
      <c r="BJ46" s="315"/>
      <c r="BK46" s="315"/>
      <c r="BL46" s="315"/>
      <c r="BM46" s="315"/>
      <c r="BN46" s="315"/>
      <c r="BO46" s="315"/>
      <c r="BP46" s="315"/>
      <c r="BQ46" s="315"/>
      <c r="BR46" s="315"/>
      <c r="BS46" s="315"/>
      <c r="BT46" s="315"/>
      <c r="BU46" s="315"/>
      <c r="BV46" s="315"/>
      <c r="BW46" s="315"/>
      <c r="BX46" s="315"/>
      <c r="BY46" s="315"/>
      <c r="BZ46" s="315"/>
      <c r="CA46" s="315"/>
      <c r="CB46" s="315"/>
      <c r="CC46" s="315"/>
      <c r="CD46" s="315"/>
      <c r="CE46" s="315"/>
      <c r="CF46" s="315"/>
      <c r="CG46" s="315"/>
      <c r="CH46" s="315"/>
      <c r="CI46" s="315"/>
      <c r="CJ46" s="315"/>
      <c r="CK46" s="315"/>
    </row>
    <row r="47" spans="1:89" s="26" customFormat="1">
      <c r="A47" s="17" t="s">
        <v>311</v>
      </c>
      <c r="B47" s="190">
        <f>股权价值增加表!B42</f>
        <v>34418199956.440002</v>
      </c>
      <c r="C47" s="190">
        <f>股权价值增加表!C42</f>
        <v>26300630945.230011</v>
      </c>
      <c r="D47" s="190">
        <f>股权价值增加表!D42</f>
        <v>16762576254.959999</v>
      </c>
      <c r="E47" s="26">
        <f>股权价值增加表!E42</f>
        <v>15725443989.799999</v>
      </c>
      <c r="F47" s="26">
        <f>股权价值增加表!F42</f>
        <v>15684757207.559998</v>
      </c>
      <c r="G47" s="26">
        <f>股权价值增加表!G42</f>
        <v>15851702515.440001</v>
      </c>
      <c r="H47" s="26">
        <f>股权价值增加表!H42</f>
        <v>14008449050.170004</v>
      </c>
      <c r="I47" s="26">
        <f>股权价值增加表!I42</f>
        <v>9249536771.7500019</v>
      </c>
      <c r="J47" s="26">
        <f>股权价值增加表!J42</f>
        <v>5339761496.9699993</v>
      </c>
      <c r="K47" s="26">
        <f>股权价值增加表!K42</f>
        <v>4552888943.999999</v>
      </c>
      <c r="L47" s="26">
        <f>股权价值增加表!L42</f>
        <v>4000759343.1100006</v>
      </c>
      <c r="M47" s="26">
        <f>股权价值增加表!M42</f>
        <v>2964419238.8300004</v>
      </c>
      <c r="N47" s="26">
        <f>股权价值增加表!N42</f>
        <v>1573485812.1000001</v>
      </c>
      <c r="O47" s="26">
        <f>股权价值增加表!O42</f>
        <v>1169073160.7500005</v>
      </c>
      <c r="P47" s="26">
        <f>股权价值增加表!P42</f>
        <v>854170293.04000032</v>
      </c>
      <c r="Q47" s="26">
        <f>股权价值增加表!Q42</f>
        <v>606236535.88999963</v>
      </c>
      <c r="R47" s="26">
        <f>股权价值增加表!R42</f>
        <v>392468036.76999998</v>
      </c>
      <c r="S47" s="26">
        <f>股权价值增加表!S42</f>
        <v>342297141.76999998</v>
      </c>
      <c r="T47" s="26">
        <f>股权价值增加表!T42</f>
        <v>-2501741693.0300002</v>
      </c>
      <c r="U47" s="26">
        <f>股权价值增加表!U42</f>
        <v>-1335728419.8200002</v>
      </c>
      <c r="V47" s="26">
        <f>股权价值增加表!V42</f>
        <v>-5035376180.2399998</v>
      </c>
      <c r="W47" s="26">
        <f>股权价值增加表!W42</f>
        <v>-3658375018.9900002</v>
      </c>
      <c r="X47" s="26">
        <f>股权价值增加表!X42</f>
        <v>-2262690841.3800001</v>
      </c>
      <c r="Y47" s="26">
        <f>股权价值增加表!Y42</f>
        <v>-1230608960.77</v>
      </c>
      <c r="Z47" s="26">
        <f>股权价值增加表!Z42</f>
        <v>-4267960594.5</v>
      </c>
      <c r="AA47" s="26">
        <f>股权价值增加表!AA42</f>
        <v>-3346708444.7800002</v>
      </c>
      <c r="AB47" s="26">
        <f>股权价值增加表!AB42</f>
        <v>-2260932571.5099998</v>
      </c>
      <c r="AC47" s="26">
        <f>股权价值增加表!AC42</f>
        <v>-949493432.61000013</v>
      </c>
      <c r="AD47" s="26">
        <f>股权价值增加表!AD42</f>
        <v>-2730202169.2599998</v>
      </c>
      <c r="AE47" s="26">
        <f>股权价值增加表!AE42</f>
        <v>-2127736683.78</v>
      </c>
      <c r="AF47" s="26">
        <f>股权价值增加表!AF42</f>
        <v>-1568955652.28</v>
      </c>
      <c r="AG47" s="26">
        <f>股权价值增加表!AG42</f>
        <v>-609531969.59000003</v>
      </c>
      <c r="AH47" s="26">
        <f>股权价值增加表!AH42</f>
        <v>-1645609159.49</v>
      </c>
      <c r="AI47" s="26">
        <f>股权价值增加表!AI42</f>
        <v>-1346973483.01</v>
      </c>
      <c r="AJ47" s="26">
        <f>股权价值增加表!AJ42</f>
        <v>-1002896385.1900001</v>
      </c>
      <c r="AK47" s="26">
        <f>股权价值增加表!AK42</f>
        <v>-402149862.12</v>
      </c>
      <c r="AL47" s="26">
        <f>股权价值增加表!AL42</f>
        <v>-1392805377.6000001</v>
      </c>
      <c r="AM47" s="26">
        <f>股权价值增加表!AM42</f>
        <v>-1234169676.96</v>
      </c>
      <c r="AN47" s="26">
        <f>股权价值增加表!AN42</f>
        <v>-888437375.52999997</v>
      </c>
      <c r="AO47" s="26">
        <f>股权价值增加表!AO42</f>
        <v>-344594120.43000001</v>
      </c>
      <c r="AP47" s="26">
        <f>股权价值增加表!AP42</f>
        <v>-1280718279.72</v>
      </c>
      <c r="AQ47" s="26">
        <f>股权价值增加表!AQ42</f>
        <v>-1036488938.5899999</v>
      </c>
      <c r="AR47" s="26">
        <f>股权价值增加表!AR42</f>
        <v>-736742395.75</v>
      </c>
      <c r="AS47" s="26">
        <f>股权价值增加表!AS42</f>
        <v>-265409540.38</v>
      </c>
      <c r="AT47" s="26">
        <f>股权价值增加表!AT42</f>
        <v>-1509413732.03</v>
      </c>
      <c r="AU47" s="26">
        <f>股权价值增加表!AU42</f>
        <v>-799806842.82999992</v>
      </c>
      <c r="AV47" s="26">
        <f>股权价值增加表!AV42</f>
        <v>-433286010.30000001</v>
      </c>
      <c r="AW47" s="26">
        <f>股权价值增加表!AW42</f>
        <v>-285975778.98000002</v>
      </c>
      <c r="AX47" s="26">
        <f>股权价值增加表!AX42</f>
        <v>-885597458.13999999</v>
      </c>
      <c r="AY47" s="26">
        <f>股权价值增加表!AY42</f>
        <v>-558621064.98000002</v>
      </c>
      <c r="AZ47" s="26">
        <f>股权价值增加表!AZ42</f>
        <v>-331151346.61000001</v>
      </c>
      <c r="BA47" s="26">
        <f>股权价值增加表!BA42</f>
        <v>-201114877.60999998</v>
      </c>
      <c r="BB47" s="26">
        <f>股权价值增加表!BB42</f>
        <v>-718431690.38</v>
      </c>
      <c r="BC47" s="26">
        <f>股权价值增加表!BC42</f>
        <v>-401898116.90000004</v>
      </c>
      <c r="BD47" s="26">
        <f>股权价值增加表!BD42</f>
        <v>-245963416.15000001</v>
      </c>
      <c r="BE47" s="26">
        <f>股权价值增加表!BE42</f>
        <v>-170008116.06</v>
      </c>
      <c r="BF47" s="26">
        <f>股权价值增加表!BF42</f>
        <v>-610191480.10000002</v>
      </c>
      <c r="BG47" s="26">
        <f>股权价值增加表!BG42</f>
        <v>-315471185.13</v>
      </c>
      <c r="BH47" s="26">
        <f>股权价值增加表!BH42</f>
        <v>-195701598.39000002</v>
      </c>
      <c r="BI47" s="26">
        <f>股权价值增加表!BI42</f>
        <v>-123091999.73999999</v>
      </c>
      <c r="BJ47" s="26">
        <f>股权价值增加表!BJ42</f>
        <v>-352490891.20999998</v>
      </c>
      <c r="BK47" s="26">
        <f>股权价值增加表!BK42</f>
        <v>-214232454.16</v>
      </c>
      <c r="BL47" s="26">
        <f>股权价值增加表!BL42</f>
        <v>-144379248.41999999</v>
      </c>
      <c r="BM47" s="26">
        <f>股权价值增加表!BM42</f>
        <v>-114107711.54000001</v>
      </c>
      <c r="BN47" s="26">
        <f>股权价值增加表!BN42</f>
        <v>-239322898.88</v>
      </c>
      <c r="BO47" s="26">
        <f>股权价值增加表!BO42</f>
        <v>-192965728.02000001</v>
      </c>
      <c r="BP47" s="26">
        <f>股权价值增加表!BP42</f>
        <v>-143620388.34999999</v>
      </c>
      <c r="BQ47" s="26">
        <f>股权价值增加表!BQ42</f>
        <v>-121544563.97</v>
      </c>
      <c r="BR47" s="26">
        <f>股权价值增加表!BR42</f>
        <v>-259170043.98999998</v>
      </c>
      <c r="BS47" s="26">
        <f>股权价值增加表!BS42</f>
        <v>-144261351</v>
      </c>
      <c r="BT47" s="26">
        <f>股权价值增加表!BT42</f>
        <v>-196240654.41999999</v>
      </c>
      <c r="BU47" s="26">
        <f>股权价值增加表!BU42</f>
        <v>-149179820.65000001</v>
      </c>
      <c r="BV47" s="26">
        <f>股权价值增加表!BV42</f>
        <v>-113995075.88</v>
      </c>
      <c r="BW47" s="26">
        <f>股权价值增加表!BW42</f>
        <v>0</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314</v>
      </c>
      <c r="B48" s="63">
        <f>股权价值增加表!B43</f>
        <v>0.46739172994227818</v>
      </c>
      <c r="C48" s="63">
        <f>股权价值增加表!C43</f>
        <v>0.45176223158215778</v>
      </c>
      <c r="D48" s="63">
        <f>股权价值增加表!D43</f>
        <v>0.43133380433827884</v>
      </c>
      <c r="E48" s="63">
        <f>股权价值增加表!E43</f>
        <v>0.48149554268898387</v>
      </c>
      <c r="F48" s="63">
        <f>股权价值增加表!F43</f>
        <v>0.49676292869891542</v>
      </c>
      <c r="G48" s="63">
        <f>股权价值增加表!G43</f>
        <v>0.51263839234780295</v>
      </c>
      <c r="H48" s="63">
        <f>股权价值增加表!H43</f>
        <v>0.5295131953218426</v>
      </c>
      <c r="I48" s="63">
        <f>股权价值增加表!I43</f>
        <v>0.50262787928801733</v>
      </c>
      <c r="J48" s="63">
        <f>股权价值增加表!J43</f>
        <v>0.45900724303036539</v>
      </c>
      <c r="K48" s="63">
        <f>股权价值增加表!K43</f>
        <v>0.47082620310639889</v>
      </c>
      <c r="L48" s="63">
        <f>股权价值增加表!L43</f>
        <v>0.48542974759096302</v>
      </c>
      <c r="M48" s="63">
        <f>股权价值增加表!M43</f>
        <v>0.40959552393777798</v>
      </c>
      <c r="N48" s="63">
        <f>股权价值增加表!N43</f>
        <v>0.32136963801589008</v>
      </c>
      <c r="O48" s="63">
        <f>股权价值增加表!O43</f>
        <v>0.2974350918585601</v>
      </c>
      <c r="P48" s="63">
        <f>股权价值增加表!P43</f>
        <v>0.28379697390760017</v>
      </c>
      <c r="Q48" s="63">
        <f>股权价值增加表!Q43</f>
        <v>0.25249146500343578</v>
      </c>
      <c r="R48" s="63">
        <f>股权价值增加表!R43</f>
        <v>0.21351484488135292</v>
      </c>
      <c r="S48" s="63">
        <f>股权价值增加表!S43</f>
        <v>0.21139861197942544</v>
      </c>
      <c r="T48" s="63" t="e">
        <f>股权价值增加表!T43</f>
        <v>#DIV/0!</v>
      </c>
      <c r="U48" s="63" t="e">
        <f>股权价值增加表!U43</f>
        <v>#DIV/0!</v>
      </c>
      <c r="V48" s="63" t="e">
        <f>股权价值增加表!V43</f>
        <v>#DIV/0!</v>
      </c>
      <c r="W48" s="63" t="e">
        <f>股权价值增加表!W43</f>
        <v>#DIV/0!</v>
      </c>
      <c r="X48" s="63" t="e">
        <f>股权价值增加表!X43</f>
        <v>#DIV/0!</v>
      </c>
      <c r="Y48" s="63" t="e">
        <f>股权价值增加表!Y43</f>
        <v>#DIV/0!</v>
      </c>
      <c r="Z48" s="63" t="e">
        <f>股权价值增加表!Z43</f>
        <v>#DIV/0!</v>
      </c>
      <c r="AA48" s="63" t="e">
        <f>股权价值增加表!AA43</f>
        <v>#DIV/0!</v>
      </c>
      <c r="AB48" s="63" t="e">
        <f>股权价值增加表!AB43</f>
        <v>#DIV/0!</v>
      </c>
      <c r="AC48" s="63" t="e">
        <f>股权价值增加表!AC43</f>
        <v>#DIV/0!</v>
      </c>
      <c r="AD48" s="63" t="e">
        <f>股权价值增加表!AD43</f>
        <v>#DIV/0!</v>
      </c>
      <c r="AE48" s="63" t="e">
        <f>股权价值增加表!AE43</f>
        <v>#DIV/0!</v>
      </c>
      <c r="AF48" s="63" t="e">
        <f>股权价值增加表!AF43</f>
        <v>#DIV/0!</v>
      </c>
      <c r="AG48" s="63" t="e">
        <f>股权价值增加表!AG43</f>
        <v>#DIV/0!</v>
      </c>
      <c r="AH48" s="63" t="e">
        <f>股权价值增加表!AH43</f>
        <v>#DIV/0!</v>
      </c>
      <c r="AI48" s="63" t="e">
        <f>股权价值增加表!AI43</f>
        <v>#DIV/0!</v>
      </c>
      <c r="AJ48" s="63" t="e">
        <f>股权价值增加表!AJ43</f>
        <v>#DIV/0!</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312</v>
      </c>
      <c r="B49" s="59">
        <f t="shared" ref="B49:D49" si="53">(B47-F47)/F47</f>
        <v>1.1943725045262767</v>
      </c>
      <c r="C49" s="59">
        <f t="shared" si="53"/>
        <v>0.65916758276358411</v>
      </c>
      <c r="D49" s="59">
        <f t="shared" si="53"/>
        <v>0.19660472011757588</v>
      </c>
      <c r="E49" s="59">
        <f>(E47-I47)/I47</f>
        <v>0.70013313940528965</v>
      </c>
      <c r="F49" s="59">
        <f t="shared" ref="F49:BQ49" si="54">(F47-J47)/J47</f>
        <v>1.9373516432260458</v>
      </c>
      <c r="G49" s="59">
        <f t="shared" si="54"/>
        <v>2.4816800300675212</v>
      </c>
      <c r="H49" s="59">
        <f t="shared" si="54"/>
        <v>2.5014475625220935</v>
      </c>
      <c r="I49" s="59">
        <f t="shared" si="54"/>
        <v>2.1201851109968568</v>
      </c>
      <c r="J49" s="59">
        <f t="shared" si="54"/>
        <v>2.393587317983799</v>
      </c>
      <c r="K49" s="59">
        <f t="shared" si="54"/>
        <v>2.8944431339773167</v>
      </c>
      <c r="L49" s="59">
        <f t="shared" si="54"/>
        <v>3.683795931220295</v>
      </c>
      <c r="M49" s="59">
        <f t="shared" si="54"/>
        <v>3.8898722913128547</v>
      </c>
      <c r="N49" s="59">
        <f t="shared" si="54"/>
        <v>3.0092075396756908</v>
      </c>
      <c r="O49" s="59">
        <f t="shared" si="54"/>
        <v>2.4153751758042339</v>
      </c>
      <c r="P49" s="59">
        <f t="shared" si="54"/>
        <v>-1.3414302505409608</v>
      </c>
      <c r="Q49" s="59">
        <f t="shared" si="54"/>
        <v>-1.4538621226399411</v>
      </c>
      <c r="R49" s="59">
        <f t="shared" si="54"/>
        <v>-1.0779421482569937</v>
      </c>
      <c r="S49" s="59">
        <f t="shared" si="54"/>
        <v>-1.0935653507344638</v>
      </c>
      <c r="T49" s="59">
        <f t="shared" si="54"/>
        <v>0.1056489235198409</v>
      </c>
      <c r="U49" s="59">
        <f t="shared" si="54"/>
        <v>8.5420683906142103E-2</v>
      </c>
      <c r="V49" s="59">
        <f t="shared" si="54"/>
        <v>0.17980849840294835</v>
      </c>
      <c r="W49" s="59">
        <f t="shared" si="54"/>
        <v>9.3126299871182178E-2</v>
      </c>
      <c r="X49" s="59">
        <f t="shared" si="54"/>
        <v>7.7767461628724022E-4</v>
      </c>
      <c r="Y49" s="59">
        <f t="shared" si="54"/>
        <v>0.2960689547765063</v>
      </c>
      <c r="Z49" s="59">
        <f t="shared" si="54"/>
        <v>0.56323976390979058</v>
      </c>
      <c r="AA49" s="59">
        <f t="shared" si="54"/>
        <v>0.57289596513157515</v>
      </c>
      <c r="AB49" s="59">
        <f t="shared" si="54"/>
        <v>0.44104300731790713</v>
      </c>
      <c r="AC49" s="59">
        <f t="shared" si="54"/>
        <v>0.5577418084381599</v>
      </c>
      <c r="AD49" s="59">
        <f t="shared" si="54"/>
        <v>0.65908299277219151</v>
      </c>
      <c r="AE49" s="59">
        <f t="shared" si="54"/>
        <v>0.57964259179421695</v>
      </c>
      <c r="AF49" s="59">
        <f t="shared" si="54"/>
        <v>0.56442447639569393</v>
      </c>
      <c r="AG49" s="59">
        <f t="shared" si="54"/>
        <v>0.5156836468294449</v>
      </c>
      <c r="AH49" s="59">
        <f t="shared" si="54"/>
        <v>0.18150689676802972</v>
      </c>
      <c r="AI49" s="59">
        <f t="shared" si="54"/>
        <v>9.1400565218761221E-2</v>
      </c>
      <c r="AJ49" s="59">
        <f t="shared" si="54"/>
        <v>0.12883182631946255</v>
      </c>
      <c r="AK49" s="59">
        <f t="shared" si="54"/>
        <v>0.1670247351236851</v>
      </c>
      <c r="AL49" s="59">
        <f t="shared" si="54"/>
        <v>8.7518933441400881E-2</v>
      </c>
      <c r="AM49" s="59">
        <f t="shared" si="54"/>
        <v>0.190721512801591</v>
      </c>
      <c r="AN49" s="59">
        <f t="shared" si="54"/>
        <v>0.20589962062054981</v>
      </c>
      <c r="AO49" s="59">
        <f t="shared" si="54"/>
        <v>0.29834865746207739</v>
      </c>
      <c r="AP49" s="59">
        <f t="shared" si="54"/>
        <v>-0.15151276780980985</v>
      </c>
      <c r="AQ49" s="59">
        <f t="shared" si="54"/>
        <v>0.29592406951975414</v>
      </c>
      <c r="AR49" s="59">
        <f t="shared" si="54"/>
        <v>0.70036045068681507</v>
      </c>
      <c r="AS49" s="59">
        <f t="shared" si="54"/>
        <v>-7.1916015661726174E-2</v>
      </c>
      <c r="AT49" s="59">
        <f t="shared" si="54"/>
        <v>0.70440160837880794</v>
      </c>
      <c r="AU49" s="59">
        <f t="shared" si="54"/>
        <v>0.43175202828886328</v>
      </c>
      <c r="AV49" s="59">
        <f t="shared" si="54"/>
        <v>0.30842291518833814</v>
      </c>
      <c r="AW49" s="59">
        <f t="shared" si="54"/>
        <v>0.42195238054223649</v>
      </c>
      <c r="AX49" s="59">
        <f t="shared" si="54"/>
        <v>0.2326815061172775</v>
      </c>
      <c r="AY49" s="59">
        <f t="shared" si="54"/>
        <v>0.38995691069385047</v>
      </c>
      <c r="AZ49" s="59">
        <f t="shared" si="54"/>
        <v>0.34634390672167448</v>
      </c>
      <c r="BA49" s="59">
        <f t="shared" si="54"/>
        <v>0.18297221492073737</v>
      </c>
      <c r="BB49" s="59">
        <f t="shared" si="54"/>
        <v>0.17738728548333915</v>
      </c>
      <c r="BC49" s="59">
        <f t="shared" si="54"/>
        <v>0.27396141341525393</v>
      </c>
      <c r="BD49" s="59">
        <f t="shared" si="54"/>
        <v>0.25682885665469496</v>
      </c>
      <c r="BE49" s="59">
        <f t="shared" si="54"/>
        <v>0.38114675542763271</v>
      </c>
      <c r="BF49" s="59">
        <f t="shared" si="54"/>
        <v>0.73108439201191255</v>
      </c>
      <c r="BG49" s="59">
        <f t="shared" si="54"/>
        <v>0.4725648658927728</v>
      </c>
      <c r="BH49" s="59">
        <f t="shared" si="54"/>
        <v>0.35546902017873816</v>
      </c>
      <c r="BI49" s="59">
        <f t="shared" si="54"/>
        <v>7.8735153643411576E-2</v>
      </c>
      <c r="BJ49" s="59">
        <f t="shared" si="54"/>
        <v>0.47286738067945627</v>
      </c>
      <c r="BK49" s="59">
        <f t="shared" si="54"/>
        <v>0.11020986139982218</v>
      </c>
      <c r="BL49" s="59">
        <f t="shared" si="54"/>
        <v>5.283790684026464E-3</v>
      </c>
      <c r="BM49" s="59">
        <f t="shared" si="54"/>
        <v>-6.1186219992821554E-2</v>
      </c>
      <c r="BN49" s="59">
        <f t="shared" si="54"/>
        <v>-7.6579626273342694E-2</v>
      </c>
      <c r="BO49" s="59">
        <f t="shared" si="54"/>
        <v>0.33761209556397409</v>
      </c>
      <c r="BP49" s="59">
        <f t="shared" si="54"/>
        <v>-0.26814151341638193</v>
      </c>
      <c r="BQ49" s="59">
        <f t="shared" si="54"/>
        <v>-0.18524795484797366</v>
      </c>
      <c r="BR49" s="59">
        <f t="shared" ref="BR49:CJ49" si="55">(BR47-BV47)/BV47</f>
        <v>1.2735196409959177</v>
      </c>
      <c r="BS49" s="59" t="e">
        <f t="shared" si="55"/>
        <v>#DIV/0!</v>
      </c>
      <c r="BT49" s="59">
        <f t="shared" si="55"/>
        <v>2.439165300765088</v>
      </c>
      <c r="BU49" s="59">
        <f t="shared" si="55"/>
        <v>-0.31501912145224087</v>
      </c>
      <c r="BV49" s="59">
        <f t="shared" si="55"/>
        <v>1.7940968769389047</v>
      </c>
      <c r="BW49" s="59">
        <f t="shared" si="55"/>
        <v>-1</v>
      </c>
      <c r="BX49" s="59">
        <f t="shared" si="55"/>
        <v>-0.60452225899251344</v>
      </c>
      <c r="BY49" s="59">
        <f t="shared" si="55"/>
        <v>0.82626460561985016</v>
      </c>
      <c r="BZ49" s="59" t="e">
        <f t="shared" si="55"/>
        <v>#DIV/0!</v>
      </c>
      <c r="CA49" s="59">
        <f t="shared" si="55"/>
        <v>7.9605727040486034</v>
      </c>
      <c r="CB49" s="59">
        <f t="shared" si="55"/>
        <v>9.0513382279123302</v>
      </c>
      <c r="CC49" s="59">
        <f t="shared" si="55"/>
        <v>26.541020842956119</v>
      </c>
      <c r="CD49" s="59">
        <f t="shared" si="55"/>
        <v>-1</v>
      </c>
      <c r="CE49" s="59">
        <f t="shared" si="55"/>
        <v>0.60519584332533971</v>
      </c>
      <c r="CF49" s="59">
        <f t="shared" si="55"/>
        <v>2.9544253002754819</v>
      </c>
      <c r="CG49" s="59" t="e">
        <f t="shared" si="55"/>
        <v>#DIV/0!</v>
      </c>
      <c r="CH49" s="59" t="e">
        <f t="shared" si="55"/>
        <v>#DIV/0!</v>
      </c>
      <c r="CI49" s="59" t="e">
        <f t="shared" si="55"/>
        <v>#DIV/0!</v>
      </c>
      <c r="CJ49" s="59" t="e">
        <f t="shared" si="55"/>
        <v>#DIV/0!</v>
      </c>
    </row>
    <row r="50" spans="1:88" s="26" customFormat="1">
      <c r="A50" s="17" t="s">
        <v>313</v>
      </c>
      <c r="B50" s="190">
        <f>股权价值增加表!B47</f>
        <v>25025520922.637604</v>
      </c>
      <c r="C50" s="190">
        <f>股权价值增加表!C47</f>
        <v>18619060747.22361</v>
      </c>
      <c r="D50" s="190">
        <f>股权价值增加表!D47</f>
        <v>10690692826.582397</v>
      </c>
      <c r="E50" s="26">
        <f>股权价值增加表!E47</f>
        <v>10426710356.096798</v>
      </c>
      <c r="F50" s="26">
        <f>股权价值增加表!F47</f>
        <v>11259833140.270397</v>
      </c>
      <c r="G50" s="26">
        <f>股权价值增加表!G47</f>
        <v>12321375133.579201</v>
      </c>
      <c r="H50" s="26">
        <f>股权价值增加表!H47</f>
        <v>11172126138.390003</v>
      </c>
      <c r="I50" s="26">
        <f>股权价值增加表!I47</f>
        <v>7217266402.8468018</v>
      </c>
      <c r="J50" s="26">
        <f>股权价值增加表!J47</f>
        <v>3855810321.4003992</v>
      </c>
      <c r="K50" s="26">
        <f>股权价值增加表!K47</f>
        <v>3380763712.4631991</v>
      </c>
      <c r="L50" s="26">
        <f>股权价值增加表!L47</f>
        <v>3080485879.4340005</v>
      </c>
      <c r="M50" s="26">
        <f>股权价值增加表!M47</f>
        <v>2294910777.1948004</v>
      </c>
      <c r="N50" s="26">
        <f>股权价值增加表!N47</f>
        <v>1093883520.1456001</v>
      </c>
      <c r="O50" s="26">
        <f>股权价值增加表!O47</f>
        <v>756081554.22840047</v>
      </c>
      <c r="P50" s="26">
        <f>股权价值增加表!P47</f>
        <v>516833673.30160034</v>
      </c>
      <c r="Q50" s="26">
        <f>股权价值增加表!Q47</f>
        <v>328594608.61559963</v>
      </c>
      <c r="R50" s="26">
        <f>股权价值增加表!R47</f>
        <v>164240396.27719998</v>
      </c>
      <c r="S50" s="26">
        <f>股权价值增加表!S47</f>
        <v>139823888.58599997</v>
      </c>
      <c r="T50" s="26">
        <f>股权价值增加表!T47</f>
        <v>-6231675843.5276003</v>
      </c>
      <c r="U50" s="26">
        <f>股权价值增加表!U47</f>
        <v>-5132014151.3903999</v>
      </c>
      <c r="V50" s="26">
        <f>股权价值增加表!V47</f>
        <v>-8565703562.1007996</v>
      </c>
      <c r="W50" s="26">
        <f>股权价值增加表!W47</f>
        <v>-6844004435.1652012</v>
      </c>
      <c r="X50" s="26">
        <f>股权价值增加表!X47</f>
        <v>-5125019416.0615997</v>
      </c>
      <c r="Y50" s="26">
        <f>股权价值增加表!Y47</f>
        <v>-4318259605.2035999</v>
      </c>
      <c r="Z50" s="26">
        <f>股权价值增加表!Z47</f>
        <v>-7104283506.2800007</v>
      </c>
      <c r="AA50" s="26">
        <f>股权价值增加表!AA47</f>
        <v>-5906033682.2824001</v>
      </c>
      <c r="AB50" s="26">
        <f>股权价值增加表!AB47</f>
        <v>-4533314590.2003994</v>
      </c>
      <c r="AC50" s="26">
        <f>股权价值增加表!AC47</f>
        <v>-3231943064.7723999</v>
      </c>
      <c r="AD50" s="26">
        <f>股权价值增加表!AD47</f>
        <v>-4762472538.1632004</v>
      </c>
      <c r="AE50" s="26">
        <f>股权价值增加表!AE47</f>
        <v>-3974438293.0823998</v>
      </c>
      <c r="AF50" s="26">
        <f>股权价值增加表!AF47</f>
        <v>-3292552123.2519999</v>
      </c>
      <c r="AG50" s="26">
        <f>股权价值增加表!AG47</f>
        <v>-2252786451.5307999</v>
      </c>
      <c r="AH50" s="26">
        <f>股权价值增加表!AH47</f>
        <v>-3129560335.0595999</v>
      </c>
      <c r="AI50" s="26">
        <f>股权价值增加表!AI47</f>
        <v>-2764715098.4851999</v>
      </c>
      <c r="AJ50" s="26">
        <f>股权价值增加表!AJ47</f>
        <v>-2341873448.8875999</v>
      </c>
      <c r="AK50" s="26">
        <f>股权价值增加表!AK47</f>
        <v>-1681825717.4816003</v>
      </c>
      <c r="AL50" s="26">
        <f>股权价值增加表!AL47</f>
        <v>-2564930609.1367998</v>
      </c>
      <c r="AM50" s="26">
        <f>股权价值增加表!AM47</f>
        <v>-2371424055.4424</v>
      </c>
      <c r="AN50" s="26">
        <f>股权价值增加表!AN47</f>
        <v>-1941795485.0563998</v>
      </c>
      <c r="AO50" s="26">
        <f>股权价值增加表!AO47</f>
        <v>-1353234718.7532001</v>
      </c>
      <c r="AP50" s="26">
        <f>股权价值增加表!AP47</f>
        <v>-2200991743.3959999</v>
      </c>
      <c r="AQ50" s="26">
        <f>股权价值增加表!AQ47</f>
        <v>-1901049317.2972</v>
      </c>
      <c r="AR50" s="26">
        <f>股权价值增加表!AR47</f>
        <v>-1525113193.8676</v>
      </c>
      <c r="AS50" s="26">
        <f>股权价值增加表!AS47</f>
        <v>-1008284841.5824001</v>
      </c>
      <c r="AT50" s="26">
        <f>股权价值增加表!AT47</f>
        <v>-2178922193.6652002</v>
      </c>
      <c r="AU50" s="26">
        <f>股权价值增加表!AU47</f>
        <v>-1356038788.7764001</v>
      </c>
      <c r="AV50" s="26">
        <f>股权价值增加表!AV47</f>
        <v>-930838961.93919992</v>
      </c>
      <c r="AW50" s="26">
        <f>股权价值增加表!AW47</f>
        <v>-757045922.46720004</v>
      </c>
      <c r="AX50" s="26">
        <f>股权价值增加表!AX47</f>
        <v>-1365199750.0943999</v>
      </c>
      <c r="AY50" s="26">
        <f>股权价值增加表!AY47</f>
        <v>-991824619.22880006</v>
      </c>
      <c r="AZ50" s="26">
        <f>股权价值增加表!AZ47</f>
        <v>-735829295.1012001</v>
      </c>
      <c r="BA50" s="26">
        <f>股权价值增加表!BA47</f>
        <v>-648178523.34920001</v>
      </c>
      <c r="BB50" s="26">
        <f>股权价值增加表!BB47</f>
        <v>-1131423296.9016001</v>
      </c>
      <c r="BC50" s="26">
        <f>股权价值增加表!BC47</f>
        <v>-783138384.66240001</v>
      </c>
      <c r="BD50" s="26">
        <f>股权价值增加表!BD47</f>
        <v>-621310402.61000001</v>
      </c>
      <c r="BE50" s="26">
        <f>股权价值增加表!BE47</f>
        <v>-538060049.17919993</v>
      </c>
      <c r="BF50" s="26">
        <f>股权价值增加表!BF47</f>
        <v>-947528099.83840001</v>
      </c>
      <c r="BG50" s="26">
        <f>股权价值增加表!BG47</f>
        <v>-627509134.42040002</v>
      </c>
      <c r="BH50" s="26">
        <f>股权价值增加表!BH47</f>
        <v>-501073222.04439998</v>
      </c>
      <c r="BI50" s="26">
        <f>股权价值增加表!BI47</f>
        <v>-421315559.26319999</v>
      </c>
      <c r="BJ50" s="26">
        <f>股权价值增加表!BJ47</f>
        <v>-630132818.48440003</v>
      </c>
      <c r="BK50" s="26">
        <f>股权价值增加表!BK47</f>
        <v>-472753784.18720001</v>
      </c>
      <c r="BL50" s="26">
        <f>股权价值增加表!BL47</f>
        <v>-394361102.22319996</v>
      </c>
      <c r="BM50" s="26">
        <f>股权价值增加表!BM47</f>
        <v>-362145525.64480001</v>
      </c>
      <c r="BN50" s="26">
        <f>股权价值增加表!BN47</f>
        <v>-469301616.69519997</v>
      </c>
      <c r="BO50" s="26">
        <f>股权价值增加表!BO47</f>
        <v>-421590076.05760002</v>
      </c>
      <c r="BP50" s="26">
        <f>股权价值增加表!BP47</f>
        <v>-366344607.61240005</v>
      </c>
      <c r="BQ50" s="26">
        <f>股权价值增加表!BQ47</f>
        <v>-341661554.09799999</v>
      </c>
      <c r="BR50" s="26">
        <f>股权价值增加表!BR47</f>
        <v>-462180580.29479998</v>
      </c>
      <c r="BS50" s="26">
        <f>股权价值增加表!BS47</f>
        <v>-189184983.25920001</v>
      </c>
      <c r="BT50" s="26">
        <f>股权价值增加表!BT47</f>
        <v>-231743024.26319999</v>
      </c>
      <c r="BU50" s="26">
        <f>股权价值增加表!BU47</f>
        <v>-172008769.0684</v>
      </c>
      <c r="BV50" s="26">
        <f>股权价值增加表!BV47</f>
        <v>-132722398.11839999</v>
      </c>
      <c r="BW50" s="26">
        <f>股权价值增加表!BW47</f>
        <v>0</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0" t="s">
        <v>569</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c r="A53" s="20" t="s">
        <v>556</v>
      </c>
      <c r="B53" s="1" t="str">
        <f t="shared" ref="B53:D53" si="56">B1</f>
        <v>2018-12-31</v>
      </c>
      <c r="C53" s="1" t="str">
        <f t="shared" si="56"/>
        <v>2017-12-31</v>
      </c>
      <c r="D53" s="1" t="str">
        <f t="shared" si="56"/>
        <v>2016-12-31</v>
      </c>
      <c r="E53" s="1" t="str">
        <f>E1</f>
        <v>2015-12-31</v>
      </c>
      <c r="F53" s="1" t="str">
        <f t="shared" ref="F53:AC53" si="57">F1</f>
        <v>2014-12-31</v>
      </c>
      <c r="G53" s="1" t="str">
        <f t="shared" si="57"/>
        <v>2013-12-31</v>
      </c>
      <c r="H53" s="1" t="str">
        <f t="shared" si="57"/>
        <v>2012-12-31</v>
      </c>
      <c r="I53" s="1" t="str">
        <f t="shared" si="57"/>
        <v>2011-12-31</v>
      </c>
      <c r="J53" s="1" t="str">
        <f t="shared" si="57"/>
        <v>2010-12-31</v>
      </c>
      <c r="K53" s="1" t="str">
        <f t="shared" si="57"/>
        <v>2009-12-31</v>
      </c>
      <c r="L53" s="1" t="str">
        <f t="shared" si="57"/>
        <v>2008-12-31</v>
      </c>
      <c r="M53" s="1" t="str">
        <f t="shared" si="57"/>
        <v>2007-12-31</v>
      </c>
      <c r="N53" s="1" t="str">
        <f t="shared" si="57"/>
        <v>2006-12-31</v>
      </c>
      <c r="O53" s="1" t="str">
        <f t="shared" si="57"/>
        <v>2005-12-31</v>
      </c>
      <c r="P53" s="1" t="str">
        <f t="shared" si="57"/>
        <v>2004-12-31</v>
      </c>
      <c r="Q53" s="1" t="str">
        <f t="shared" si="57"/>
        <v>2003-12-31</v>
      </c>
      <c r="R53" s="1" t="str">
        <f t="shared" si="57"/>
        <v>2002-12-31</v>
      </c>
      <c r="S53" s="1" t="str">
        <f t="shared" si="57"/>
        <v>2001-12-31</v>
      </c>
      <c r="T53" s="1">
        <f t="shared" si="57"/>
        <v>0</v>
      </c>
      <c r="U53" s="1">
        <f t="shared" si="57"/>
        <v>0</v>
      </c>
      <c r="V53" s="1">
        <f t="shared" si="57"/>
        <v>0</v>
      </c>
      <c r="W53" s="1">
        <f t="shared" si="57"/>
        <v>0</v>
      </c>
      <c r="X53" s="1">
        <f t="shared" si="57"/>
        <v>0</v>
      </c>
      <c r="Y53" s="1">
        <f t="shared" si="57"/>
        <v>0</v>
      </c>
      <c r="Z53" s="1">
        <f t="shared" si="57"/>
        <v>0</v>
      </c>
      <c r="AA53" s="1">
        <f t="shared" si="57"/>
        <v>0</v>
      </c>
      <c r="AB53" s="1">
        <f t="shared" si="57"/>
        <v>0</v>
      </c>
      <c r="AC53" s="1">
        <f t="shared" si="57"/>
        <v>0</v>
      </c>
    </row>
    <row r="54" spans="1:88">
      <c r="A54" s="17" t="s">
        <v>557</v>
      </c>
      <c r="B54" s="190">
        <f t="shared" ref="B54:D54" si="58">B39</f>
        <v>47412690073.869995</v>
      </c>
      <c r="C54" s="190">
        <f t="shared" si="58"/>
        <v>35978585223.640007</v>
      </c>
      <c r="D54" s="190">
        <f t="shared" si="58"/>
        <v>22756674230.669998</v>
      </c>
      <c r="E54" s="190">
        <f>E39</f>
        <v>21265582921.879997</v>
      </c>
      <c r="F54" s="190">
        <f t="shared" ref="F54:AC54" si="59">F39</f>
        <v>21174593755.219997</v>
      </c>
      <c r="G54" s="190">
        <f t="shared" si="59"/>
        <v>20890112004.68</v>
      </c>
      <c r="H54" s="190">
        <f t="shared" si="59"/>
        <v>18279529708.670002</v>
      </c>
      <c r="I54" s="190">
        <f t="shared" si="59"/>
        <v>12054613744.310001</v>
      </c>
      <c r="J54" s="190">
        <f t="shared" si="59"/>
        <v>6985839706.46</v>
      </c>
      <c r="K54" s="190">
        <f t="shared" si="59"/>
        <v>5946903768.8599997</v>
      </c>
      <c r="L54" s="190">
        <f t="shared" si="59"/>
        <v>5282799872.8300009</v>
      </c>
      <c r="M54" s="190">
        <f t="shared" si="59"/>
        <v>4585908978.8800001</v>
      </c>
      <c r="N54" s="190">
        <f t="shared" si="59"/>
        <v>2462096199.1800003</v>
      </c>
      <c r="O54" s="190">
        <f t="shared" si="59"/>
        <v>1887932804.7300003</v>
      </c>
      <c r="P54" s="190">
        <f t="shared" si="59"/>
        <v>1464676836.8500004</v>
      </c>
      <c r="Q54" s="190">
        <f t="shared" si="59"/>
        <v>1093020346.7299995</v>
      </c>
      <c r="R54" s="190">
        <f t="shared" si="59"/>
        <v>631790935.64999998</v>
      </c>
      <c r="S54" s="190">
        <f t="shared" si="59"/>
        <v>601467185.75999999</v>
      </c>
      <c r="T54" s="190">
        <f t="shared" si="59"/>
        <v>3010000</v>
      </c>
      <c r="U54" s="190">
        <f t="shared" si="59"/>
        <v>429074364.68000001</v>
      </c>
      <c r="V54" s="190">
        <f t="shared" si="59"/>
        <v>3010000</v>
      </c>
      <c r="W54" s="190">
        <f t="shared" si="59"/>
        <v>3010000</v>
      </c>
      <c r="X54" s="190">
        <f t="shared" si="59"/>
        <v>3010000</v>
      </c>
      <c r="Y54" s="190">
        <f t="shared" si="59"/>
        <v>421108144.70999998</v>
      </c>
      <c r="Z54" s="190">
        <f t="shared" si="59"/>
        <v>3103250</v>
      </c>
      <c r="AA54" s="190">
        <f t="shared" si="59"/>
        <v>3103250</v>
      </c>
      <c r="AB54" s="190">
        <f t="shared" si="59"/>
        <v>3103250</v>
      </c>
      <c r="AC54" s="190">
        <f t="shared" si="59"/>
        <v>350844746.91999996</v>
      </c>
    </row>
    <row r="55" spans="1:88" s="63" customFormat="1">
      <c r="A55" s="63" t="s">
        <v>558</v>
      </c>
      <c r="B55" s="63">
        <f t="shared" ref="B55:D55" si="60">B54/B2</f>
        <v>0.64385410227407192</v>
      </c>
      <c r="C55" s="63">
        <f t="shared" si="60"/>
        <v>0.61799908844956075</v>
      </c>
      <c r="D55" s="63">
        <f t="shared" si="60"/>
        <v>0.58557364457013705</v>
      </c>
      <c r="E55" s="63">
        <f>E54/E2</f>
        <v>0.65112841304892299</v>
      </c>
      <c r="F55" s="63">
        <f t="shared" ref="F55:AC55" si="61">F54/F2</f>
        <v>0.67063538623236385</v>
      </c>
      <c r="G55" s="63">
        <f t="shared" si="61"/>
        <v>0.67557875399274991</v>
      </c>
      <c r="H55" s="63">
        <f t="shared" si="61"/>
        <v>0.69095816034687563</v>
      </c>
      <c r="I55" s="63">
        <f t="shared" si="61"/>
        <v>0.65505820361124634</v>
      </c>
      <c r="J55" s="63">
        <f t="shared" si="61"/>
        <v>0.60050454046192714</v>
      </c>
      <c r="K55" s="63">
        <f t="shared" si="61"/>
        <v>0.61498493729380277</v>
      </c>
      <c r="L55" s="63">
        <f t="shared" si="61"/>
        <v>0.6409853702542313</v>
      </c>
      <c r="M55" s="63">
        <f t="shared" si="61"/>
        <v>0.63363770087953886</v>
      </c>
      <c r="N55" s="63">
        <f t="shared" si="61"/>
        <v>0.50285992934043011</v>
      </c>
      <c r="O55" s="63">
        <f t="shared" si="61"/>
        <v>0.48032705398643405</v>
      </c>
      <c r="P55" s="63">
        <f t="shared" si="61"/>
        <v>0.48663698262229338</v>
      </c>
      <c r="Q55" s="63">
        <f t="shared" si="61"/>
        <v>0.45523206254678222</v>
      </c>
      <c r="R55" s="63">
        <f t="shared" si="61"/>
        <v>0.34371396135326249</v>
      </c>
      <c r="S55" s="63">
        <f t="shared" si="61"/>
        <v>0.37145892473233327</v>
      </c>
      <c r="T55" s="63" t="e">
        <f t="shared" si="61"/>
        <v>#DIV/0!</v>
      </c>
      <c r="U55" s="63" t="e">
        <f t="shared" si="61"/>
        <v>#DIV/0!</v>
      </c>
      <c r="V55" s="63" t="e">
        <f t="shared" si="61"/>
        <v>#DIV/0!</v>
      </c>
      <c r="W55" s="63" t="e">
        <f t="shared" si="61"/>
        <v>#DIV/0!</v>
      </c>
      <c r="X55" s="63" t="e">
        <f t="shared" si="61"/>
        <v>#DIV/0!</v>
      </c>
      <c r="Y55" s="63" t="e">
        <f t="shared" si="61"/>
        <v>#DIV/0!</v>
      </c>
      <c r="Z55" s="63" t="e">
        <f t="shared" si="61"/>
        <v>#DIV/0!</v>
      </c>
      <c r="AA55" s="63" t="e">
        <f t="shared" si="61"/>
        <v>#DIV/0!</v>
      </c>
      <c r="AB55" s="63" t="e">
        <f t="shared" si="61"/>
        <v>#DIV/0!</v>
      </c>
      <c r="AC55" s="63" t="e">
        <f t="shared" si="61"/>
        <v>#DIV/0!</v>
      </c>
    </row>
    <row r="56" spans="1:88">
      <c r="A56" s="17" t="s">
        <v>559</v>
      </c>
      <c r="B56" s="190">
        <f t="shared" ref="B56:D56" si="62">B23</f>
        <v>34415402468.11377</v>
      </c>
      <c r="C56" s="190">
        <f t="shared" si="62"/>
        <v>26257157191.427803</v>
      </c>
      <c r="D56" s="190">
        <f t="shared" si="62"/>
        <v>16736855705.237827</v>
      </c>
      <c r="E56" s="190">
        <f>E23</f>
        <v>15682034461.803722</v>
      </c>
      <c r="F56" s="190">
        <f t="shared" ref="F56:AC56" si="63">F23</f>
        <v>15592227645.080812</v>
      </c>
      <c r="G56" s="190">
        <f t="shared" si="63"/>
        <v>15530429172.430237</v>
      </c>
      <c r="H56" s="190">
        <f t="shared" si="63"/>
        <v>13690774072.866924</v>
      </c>
      <c r="I56" s="190">
        <f t="shared" si="63"/>
        <v>8983960830.1862259</v>
      </c>
      <c r="J56" s="190">
        <f t="shared" si="63"/>
        <v>5207769203.1045113</v>
      </c>
      <c r="K56" s="190">
        <f t="shared" si="63"/>
        <v>4451921450.1984816</v>
      </c>
      <c r="L56" s="190">
        <f t="shared" si="63"/>
        <v>3923628849.1004276</v>
      </c>
      <c r="M56" s="190">
        <f t="shared" si="63"/>
        <v>2933886546.983974</v>
      </c>
      <c r="N56" s="190">
        <f t="shared" si="63"/>
        <v>1555595302.6431525</v>
      </c>
      <c r="O56" s="190">
        <f t="shared" si="63"/>
        <v>1149168967.6063571</v>
      </c>
      <c r="P56" s="190">
        <f t="shared" si="63"/>
        <v>839095033.9406172</v>
      </c>
      <c r="Q56" s="190">
        <f t="shared" si="63"/>
        <v>596254532.94442034</v>
      </c>
      <c r="R56" s="190">
        <f t="shared" si="63"/>
        <v>381912695.02318752</v>
      </c>
      <c r="S56" s="190">
        <f t="shared" si="63"/>
        <v>339060052.98992616</v>
      </c>
      <c r="T56" s="190">
        <f t="shared" si="63"/>
        <v>0</v>
      </c>
      <c r="U56" s="190">
        <f t="shared" si="63"/>
        <v>24528506.514677748</v>
      </c>
      <c r="V56" s="190">
        <f t="shared" si="63"/>
        <v>0</v>
      </c>
      <c r="W56" s="190">
        <f t="shared" si="63"/>
        <v>0</v>
      </c>
      <c r="X56" s="190">
        <f t="shared" si="63"/>
        <v>0</v>
      </c>
      <c r="Y56" s="190">
        <f t="shared" si="63"/>
        <v>6516125.4415978026</v>
      </c>
      <c r="Z56" s="190">
        <f t="shared" si="63"/>
        <v>0</v>
      </c>
      <c r="AA56" s="190">
        <f t="shared" si="63"/>
        <v>0</v>
      </c>
      <c r="AB56" s="190">
        <f t="shared" si="63"/>
        <v>0</v>
      </c>
      <c r="AC56" s="190">
        <f t="shared" si="63"/>
        <v>3486549.024058504</v>
      </c>
    </row>
    <row r="57" spans="1:88" s="63" customFormat="1">
      <c r="A57" s="63" t="s">
        <v>560</v>
      </c>
      <c r="B57" s="63">
        <f t="shared" ref="B57:D57" si="64">B56/B2</f>
        <v>0.46735374065434487</v>
      </c>
      <c r="C57" s="63">
        <f t="shared" si="64"/>
        <v>0.45101548903921884</v>
      </c>
      <c r="D57" s="63">
        <f t="shared" si="64"/>
        <v>0.43067196439240218</v>
      </c>
      <c r="E57" s="63">
        <f>E56/E2</f>
        <v>0.48016639139417799</v>
      </c>
      <c r="F57" s="63">
        <f t="shared" ref="F57:AC57" si="65">F56/F2</f>
        <v>0.49383236013224135</v>
      </c>
      <c r="G57" s="63">
        <f t="shared" si="65"/>
        <v>0.50224852729044966</v>
      </c>
      <c r="H57" s="63">
        <f t="shared" si="65"/>
        <v>0.51750522129822962</v>
      </c>
      <c r="I57" s="63">
        <f t="shared" si="65"/>
        <v>0.48819625145711748</v>
      </c>
      <c r="J57" s="63">
        <f t="shared" si="65"/>
        <v>0.4476611522091124</v>
      </c>
      <c r="K57" s="63">
        <f t="shared" si="65"/>
        <v>0.46038488939801481</v>
      </c>
      <c r="L57" s="63">
        <f t="shared" si="65"/>
        <v>0.47607116512508341</v>
      </c>
      <c r="M57" s="63">
        <f t="shared" si="65"/>
        <v>0.40537680421349237</v>
      </c>
      <c r="N57" s="63">
        <f t="shared" si="65"/>
        <v>0.31771567017973035</v>
      </c>
      <c r="O57" s="63">
        <f t="shared" si="65"/>
        <v>0.29237107558069764</v>
      </c>
      <c r="P57" s="63">
        <f t="shared" si="65"/>
        <v>0.27878823859083868</v>
      </c>
      <c r="Q57" s="63">
        <f t="shared" si="65"/>
        <v>0.248334060429167</v>
      </c>
      <c r="R57" s="63">
        <f t="shared" si="65"/>
        <v>0.20777240997050414</v>
      </c>
      <c r="S57" s="63">
        <f t="shared" si="65"/>
        <v>0.20939942474863754</v>
      </c>
      <c r="T57" s="63" t="e">
        <f t="shared" si="65"/>
        <v>#DIV/0!</v>
      </c>
      <c r="U57" s="63" t="e">
        <f t="shared" si="65"/>
        <v>#DIV/0!</v>
      </c>
      <c r="V57" s="63" t="e">
        <f t="shared" si="65"/>
        <v>#DIV/0!</v>
      </c>
      <c r="W57" s="63" t="e">
        <f t="shared" si="65"/>
        <v>#DIV/0!</v>
      </c>
      <c r="X57" s="63" t="e">
        <f t="shared" si="65"/>
        <v>#DIV/0!</v>
      </c>
      <c r="Y57" s="63" t="e">
        <f t="shared" si="65"/>
        <v>#DIV/0!</v>
      </c>
      <c r="Z57" s="63" t="e">
        <f t="shared" si="65"/>
        <v>#DIV/0!</v>
      </c>
      <c r="AA57" s="63" t="e">
        <f t="shared" si="65"/>
        <v>#DIV/0!</v>
      </c>
      <c r="AB57" s="63" t="e">
        <f t="shared" si="65"/>
        <v>#DIV/0!</v>
      </c>
      <c r="AC57" s="63" t="e">
        <f t="shared" si="65"/>
        <v>#DIV/0!</v>
      </c>
    </row>
    <row r="58" spans="1:88" ht="93" customHeight="1">
      <c r="A58" s="276" t="s">
        <v>561</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21" customFormat="1">
      <c r="A60" s="223" t="s">
        <v>563</v>
      </c>
      <c r="B60" s="224" t="str">
        <f t="shared" ref="B60:D60" si="66">B53</f>
        <v>2018-12-31</v>
      </c>
      <c r="C60" s="224" t="str">
        <f t="shared" si="66"/>
        <v>2017-12-31</v>
      </c>
      <c r="D60" s="224" t="str">
        <f t="shared" si="66"/>
        <v>2016-12-31</v>
      </c>
      <c r="E60" s="224" t="str">
        <f>E53</f>
        <v>2015-12-31</v>
      </c>
      <c r="F60" s="224" t="str">
        <f t="shared" ref="F60:AC60" si="67">F53</f>
        <v>2014-12-31</v>
      </c>
      <c r="G60" s="224" t="str">
        <f t="shared" si="67"/>
        <v>2013-12-31</v>
      </c>
      <c r="H60" s="224" t="str">
        <f t="shared" si="67"/>
        <v>2012-12-31</v>
      </c>
      <c r="I60" s="224" t="str">
        <f t="shared" si="67"/>
        <v>2011-12-31</v>
      </c>
      <c r="J60" s="224" t="str">
        <f t="shared" si="67"/>
        <v>2010-12-31</v>
      </c>
      <c r="K60" s="224" t="str">
        <f t="shared" si="67"/>
        <v>2009-12-31</v>
      </c>
      <c r="L60" s="224" t="str">
        <f t="shared" si="67"/>
        <v>2008-12-31</v>
      </c>
      <c r="M60" s="224" t="str">
        <f t="shared" si="67"/>
        <v>2007-12-31</v>
      </c>
      <c r="N60" s="224" t="str">
        <f t="shared" si="67"/>
        <v>2006-12-31</v>
      </c>
      <c r="O60" s="224" t="str">
        <f t="shared" si="67"/>
        <v>2005-12-31</v>
      </c>
      <c r="P60" s="224" t="str">
        <f t="shared" si="67"/>
        <v>2004-12-31</v>
      </c>
      <c r="Q60" s="224" t="str">
        <f t="shared" si="67"/>
        <v>2003-12-31</v>
      </c>
      <c r="R60" s="224" t="str">
        <f t="shared" si="67"/>
        <v>2002-12-31</v>
      </c>
      <c r="S60" s="224" t="str">
        <f t="shared" si="67"/>
        <v>2001-12-31</v>
      </c>
      <c r="T60" s="224">
        <f t="shared" si="67"/>
        <v>0</v>
      </c>
      <c r="U60" s="224">
        <f t="shared" si="67"/>
        <v>0</v>
      </c>
      <c r="V60" s="224">
        <f t="shared" si="67"/>
        <v>0</v>
      </c>
      <c r="W60" s="224">
        <f t="shared" si="67"/>
        <v>0</v>
      </c>
      <c r="X60" s="224">
        <f t="shared" si="67"/>
        <v>0</v>
      </c>
      <c r="Y60" s="224">
        <f t="shared" si="67"/>
        <v>0</v>
      </c>
      <c r="Z60" s="224">
        <f t="shared" si="67"/>
        <v>0</v>
      </c>
      <c r="AA60" s="224">
        <f t="shared" si="67"/>
        <v>0</v>
      </c>
      <c r="AB60" s="224">
        <f t="shared" si="67"/>
        <v>0</v>
      </c>
      <c r="AC60" s="224">
        <f t="shared" si="67"/>
        <v>0</v>
      </c>
    </row>
    <row r="61" spans="1:88" s="190" customFormat="1">
      <c r="A61" s="89" t="s">
        <v>564</v>
      </c>
      <c r="B61" s="89">
        <f>股权价值增加表!B38</f>
        <v>47416185647.099998</v>
      </c>
      <c r="C61" s="89">
        <f>股权价值增加表!C38</f>
        <v>36034279851.830009</v>
      </c>
      <c r="D61" s="89">
        <f>股权价值增加表!D38</f>
        <v>22789814102.189999</v>
      </c>
      <c r="E61" s="89">
        <f>股权价值增加表!E38</f>
        <v>21272162325.919998</v>
      </c>
      <c r="F61" s="89">
        <f>股权价值增加表!F38</f>
        <v>21297728135.059998</v>
      </c>
      <c r="G61" s="89">
        <f>股权价值增加表!G38</f>
        <v>21319163060.360001</v>
      </c>
      <c r="H61" s="89">
        <f>股权价值增加表!H38</f>
        <v>18700488817.160004</v>
      </c>
      <c r="I61" s="89">
        <f>股权价值增加表!I38</f>
        <v>12333873437.930002</v>
      </c>
      <c r="J61" s="89">
        <f>股权价值增加表!J38</f>
        <v>7162416731.3699999</v>
      </c>
      <c r="K61" s="89">
        <f>股权价值增加表!K38</f>
        <v>6080539884.6399994</v>
      </c>
      <c r="L61" s="89">
        <f>股权价值增加表!L38</f>
        <v>5385300638.1600008</v>
      </c>
      <c r="M61" s="89">
        <f>股权价值增加表!M38</f>
        <v>4520391745.8100004</v>
      </c>
      <c r="N61" s="89">
        <f>股权价值增加表!N38</f>
        <v>2487364567.0700002</v>
      </c>
      <c r="O61" s="89">
        <f>股权价值增加表!O38</f>
        <v>1920197398.6800003</v>
      </c>
      <c r="P61" s="89">
        <f>股权价值增加表!P38</f>
        <v>1490670632.3900003</v>
      </c>
      <c r="Q61" s="89">
        <f>股权价值增加表!Q38</f>
        <v>974777653.08999956</v>
      </c>
      <c r="R61" s="89">
        <f>股权价值增加表!R38</f>
        <v>649252437.51999998</v>
      </c>
      <c r="S61" s="89">
        <f>股权价值增加表!S38</f>
        <v>607209539.25</v>
      </c>
      <c r="T61" s="89">
        <f>股权价值增加表!T38</f>
        <v>56899235.740000002</v>
      </c>
      <c r="U61" s="89">
        <f>股权价值增加表!U38</f>
        <v>23688224.139999986</v>
      </c>
      <c r="V61" s="89">
        <f>股权价值增加表!V38</f>
        <v>432084364.68000001</v>
      </c>
      <c r="W61" s="89">
        <f>股权价值增加表!W38</f>
        <v>346836830.68000001</v>
      </c>
      <c r="X61" s="89">
        <f>股权价值增加表!X38</f>
        <v>241800533.41</v>
      </c>
      <c r="Y61" s="89">
        <f>股权价值增加表!Y38</f>
        <v>113916024.45999998</v>
      </c>
      <c r="Z61" s="89">
        <f>股权价值增加表!Z38</f>
        <v>424079172.49000001</v>
      </c>
      <c r="AA61" s="89">
        <f>股权价值增加表!AA38</f>
        <v>300568437.51999998</v>
      </c>
      <c r="AB61" s="89">
        <f>股权价值增加表!AB38</f>
        <v>190304070.61000001</v>
      </c>
      <c r="AC61" s="89">
        <f>股权价值增加表!AC38</f>
        <v>95944737.599999964</v>
      </c>
    </row>
    <row r="62" spans="1:88" s="190" customFormat="1">
      <c r="A62" s="89" t="s">
        <v>565</v>
      </c>
      <c r="B62" s="89">
        <f>股权价值增加表!B40</f>
        <v>12997985690.66</v>
      </c>
      <c r="C62" s="89">
        <f>股权价值增加表!C40</f>
        <v>9733648906.6000004</v>
      </c>
      <c r="D62" s="89">
        <f>股权价值增加表!D40</f>
        <v>6027237847.2299995</v>
      </c>
      <c r="E62" s="89">
        <f>股权价值增加表!E40</f>
        <v>5546718336.1199999</v>
      </c>
      <c r="F62" s="89">
        <f>股权价值增加表!F40</f>
        <v>5612970927.5</v>
      </c>
      <c r="G62" s="89">
        <f>股权价值增加表!G40</f>
        <v>5467460544.9200001</v>
      </c>
      <c r="H62" s="89">
        <f>股权价值增加表!H40</f>
        <v>4692039766.9899998</v>
      </c>
      <c r="I62" s="89">
        <f>股权价值增加表!I40</f>
        <v>3084336666.1799998</v>
      </c>
      <c r="J62" s="89">
        <f>股权价值增加表!J40</f>
        <v>1822655234.4000001</v>
      </c>
      <c r="K62" s="89">
        <f>股权价值增加表!K40</f>
        <v>1527650940.6400001</v>
      </c>
      <c r="L62" s="89">
        <f>股权价值增加表!L40</f>
        <v>1384541295.05</v>
      </c>
      <c r="M62" s="89">
        <f>股权价值增加表!M40</f>
        <v>1555972506.98</v>
      </c>
      <c r="N62" s="89">
        <f>股权价值增加表!N40</f>
        <v>913878754.97000003</v>
      </c>
      <c r="O62" s="89">
        <f>股权价值增加表!O40</f>
        <v>751124237.92999995</v>
      </c>
      <c r="P62" s="89">
        <f>股权价值增加表!P40</f>
        <v>636500339.35000002</v>
      </c>
      <c r="Q62" s="89">
        <f>股权价值增加表!Q40</f>
        <v>368541117.19999999</v>
      </c>
      <c r="R62" s="89">
        <f>股权价值增加表!R40</f>
        <v>256784400.75</v>
      </c>
      <c r="S62" s="89">
        <f>股权价值增加表!S40</f>
        <v>264912397.47999999</v>
      </c>
      <c r="T62" s="89">
        <f>股权价值增加表!T40</f>
        <v>2558640928.77</v>
      </c>
      <c r="U62" s="89">
        <f>股权价值增加表!U40</f>
        <v>1359416643.96</v>
      </c>
      <c r="V62" s="89">
        <f>股权价值增加表!V40</f>
        <v>5467460544.9200001</v>
      </c>
      <c r="W62" s="89">
        <f>股权价值增加表!W40</f>
        <v>4005211849.6700001</v>
      </c>
      <c r="X62" s="89">
        <f>股权价值增加表!X40</f>
        <v>2504491374.79</v>
      </c>
      <c r="Y62" s="89">
        <f>股权价值增加表!Y40</f>
        <v>1344524985.23</v>
      </c>
      <c r="Z62" s="89">
        <f>股权价值增加表!Z40</f>
        <v>4692039766.9899998</v>
      </c>
      <c r="AA62" s="89">
        <f>股权价值增加表!AA40</f>
        <v>3647276882.3000002</v>
      </c>
      <c r="AB62" s="89">
        <f>股权价值增加表!AB40</f>
        <v>2451236642.1199999</v>
      </c>
      <c r="AC62" s="89">
        <f>股权价值增加表!AC40</f>
        <v>1045438170.21</v>
      </c>
    </row>
    <row r="63" spans="1:88">
      <c r="A63" s="182" t="s">
        <v>566</v>
      </c>
      <c r="B63" s="64">
        <f>股权价值增加表!B42</f>
        <v>34418199956.440002</v>
      </c>
      <c r="C63" s="64">
        <f>股权价值增加表!C42</f>
        <v>26300630945.230011</v>
      </c>
      <c r="D63" s="64">
        <f>股权价值增加表!D42</f>
        <v>16762576254.959999</v>
      </c>
      <c r="E63" s="64">
        <f>股权价值增加表!E42</f>
        <v>15725443989.799999</v>
      </c>
      <c r="F63" s="64">
        <f>股权价值增加表!F42</f>
        <v>15684757207.559998</v>
      </c>
      <c r="G63" s="64">
        <f>股权价值增加表!G42</f>
        <v>15851702515.440001</v>
      </c>
      <c r="H63" s="64">
        <f>股权价值增加表!H42</f>
        <v>14008449050.170004</v>
      </c>
      <c r="I63" s="64">
        <f>股权价值增加表!I42</f>
        <v>9249536771.7500019</v>
      </c>
      <c r="J63" s="64">
        <f>股权价值增加表!J42</f>
        <v>5339761496.9699993</v>
      </c>
      <c r="K63" s="64">
        <f>股权价值增加表!K42</f>
        <v>4552888943.999999</v>
      </c>
      <c r="L63" s="64">
        <f>股权价值增加表!L42</f>
        <v>4000759343.1100006</v>
      </c>
      <c r="M63" s="64">
        <f>股权价值增加表!M42</f>
        <v>2964419238.8300004</v>
      </c>
      <c r="N63" s="64">
        <f>股权价值增加表!N42</f>
        <v>1573485812.1000001</v>
      </c>
      <c r="O63" s="64">
        <f>股权价值增加表!O42</f>
        <v>1169073160.7500005</v>
      </c>
      <c r="P63" s="64">
        <f>股权价值增加表!P42</f>
        <v>854170293.04000032</v>
      </c>
      <c r="Q63" s="64">
        <f>股权价值增加表!Q42</f>
        <v>606236535.88999963</v>
      </c>
      <c r="R63" s="64">
        <f>股权价值增加表!R42</f>
        <v>392468036.76999998</v>
      </c>
      <c r="S63" s="64">
        <f>股权价值增加表!S42</f>
        <v>342297141.76999998</v>
      </c>
      <c r="T63" s="64">
        <f>股权价值增加表!T42</f>
        <v>-2501741693.0300002</v>
      </c>
      <c r="U63" s="64">
        <f>股权价值增加表!U42</f>
        <v>-1335728419.8200002</v>
      </c>
      <c r="V63" s="64">
        <f>股权价值增加表!V42</f>
        <v>-5035376180.2399998</v>
      </c>
      <c r="W63" s="64">
        <f>股权价值增加表!W42</f>
        <v>-3658375018.9900002</v>
      </c>
      <c r="X63" s="64">
        <f>股权价值增加表!X42</f>
        <v>-2262690841.3800001</v>
      </c>
      <c r="Y63" s="64">
        <f>股权价值增加表!Y42</f>
        <v>-1230608960.77</v>
      </c>
      <c r="Z63" s="64">
        <f>股权价值增加表!Z42</f>
        <v>-4267960594.5</v>
      </c>
      <c r="AA63" s="64">
        <f>股权价值增加表!AA42</f>
        <v>-3346708444.7800002</v>
      </c>
      <c r="AB63" s="64">
        <f>股权价值增加表!AB42</f>
        <v>-2260932571.5099998</v>
      </c>
      <c r="AC63" s="64">
        <f>股权价值增加表!AC42</f>
        <v>-949493432.61000013</v>
      </c>
    </row>
    <row r="64" spans="1:88" s="63" customFormat="1">
      <c r="A64" s="211" t="s">
        <v>567</v>
      </c>
      <c r="B64" s="211">
        <f t="shared" ref="B64:D64" si="68">1-B63/B61</f>
        <v>0.27412550194144436</v>
      </c>
      <c r="C64" s="211">
        <f t="shared" si="68"/>
        <v>0.27012192131004031</v>
      </c>
      <c r="D64" s="211">
        <f t="shared" si="68"/>
        <v>0.26447068941430329</v>
      </c>
      <c r="E64" s="211">
        <f>1-E63/E61</f>
        <v>0.26075009447259423</v>
      </c>
      <c r="F64" s="211">
        <f t="shared" ref="F64:AC64" si="69">1-F63/F61</f>
        <v>0.26354787195635254</v>
      </c>
      <c r="G64" s="211">
        <f t="shared" si="69"/>
        <v>0.25645756024475364</v>
      </c>
      <c r="H64" s="211">
        <f t="shared" si="69"/>
        <v>0.25090465884958446</v>
      </c>
      <c r="I64" s="211">
        <f t="shared" si="69"/>
        <v>0.25007040016276072</v>
      </c>
      <c r="J64" s="211">
        <f t="shared" si="69"/>
        <v>0.25447489342767826</v>
      </c>
      <c r="K64" s="211">
        <f t="shared" si="69"/>
        <v>0.25123606943175991</v>
      </c>
      <c r="L64" s="211">
        <f t="shared" si="69"/>
        <v>0.25709637921404094</v>
      </c>
      <c r="M64" s="211">
        <f t="shared" si="69"/>
        <v>0.34421187243832296</v>
      </c>
      <c r="N64" s="211">
        <f t="shared" si="69"/>
        <v>0.36740844790858573</v>
      </c>
      <c r="O64" s="211">
        <f t="shared" si="69"/>
        <v>0.39117032365856996</v>
      </c>
      <c r="P64" s="211">
        <f t="shared" si="69"/>
        <v>0.42698925270265475</v>
      </c>
      <c r="Q64" s="211">
        <f t="shared" si="69"/>
        <v>0.37807710920715287</v>
      </c>
      <c r="R64" s="211">
        <f t="shared" si="69"/>
        <v>0.39550779621384147</v>
      </c>
      <c r="S64" s="211">
        <f t="shared" si="69"/>
        <v>0.43627838555897658</v>
      </c>
      <c r="T64" s="211">
        <f t="shared" si="69"/>
        <v>44.967931387719553</v>
      </c>
      <c r="U64" s="211">
        <f t="shared" si="69"/>
        <v>57.38786647431651</v>
      </c>
      <c r="V64" s="211">
        <f t="shared" si="69"/>
        <v>12.653687547729666</v>
      </c>
      <c r="W64" s="211">
        <f t="shared" si="69"/>
        <v>11.547827379858932</v>
      </c>
      <c r="X64" s="211">
        <f t="shared" si="69"/>
        <v>10.357675144344505</v>
      </c>
      <c r="Y64" s="211">
        <f t="shared" si="69"/>
        <v>11.802773065541022</v>
      </c>
      <c r="Z64" s="211">
        <f t="shared" si="69"/>
        <v>11.064065559835152</v>
      </c>
      <c r="AA64" s="211">
        <f t="shared" si="69"/>
        <v>12.134597073444574</v>
      </c>
      <c r="AB64" s="211">
        <f t="shared" si="69"/>
        <v>12.880631687292942</v>
      </c>
      <c r="AC64" s="211">
        <f t="shared" si="69"/>
        <v>10.896253367938758</v>
      </c>
    </row>
    <row r="65" spans="1:29" ht="42.6" customHeight="1">
      <c r="A65" s="278" t="s">
        <v>568</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9" customHeight="1">
      <c r="A68" s="276" t="s">
        <v>620</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c r="A69" s="283" t="s">
        <v>588</v>
      </c>
      <c r="B69" s="283"/>
      <c r="C69" s="283"/>
      <c r="D69" s="283"/>
      <c r="E69" s="283"/>
      <c r="F69" s="251"/>
      <c r="G69" s="251"/>
      <c r="H69" s="251"/>
      <c r="I69" s="251" t="s">
        <v>592</v>
      </c>
      <c r="J69" s="251"/>
      <c r="K69" s="251"/>
      <c r="L69" s="251"/>
      <c r="M69" s="251" t="s">
        <v>593</v>
      </c>
    </row>
    <row r="70" spans="1:29" ht="40.5">
      <c r="A70" s="284" t="s">
        <v>589</v>
      </c>
      <c r="B70" s="65"/>
      <c r="C70" s="65"/>
      <c r="D70" s="65"/>
      <c r="E70" s="65" t="s">
        <v>590</v>
      </c>
      <c r="F70" s="65"/>
      <c r="G70" s="65"/>
      <c r="H70" s="65"/>
      <c r="I70" s="252" t="s">
        <v>594</v>
      </c>
      <c r="J70" s="253"/>
      <c r="K70" s="253"/>
      <c r="L70" s="253"/>
      <c r="M70" s="252" t="s">
        <v>595</v>
      </c>
    </row>
    <row r="71" spans="1:29" ht="54.6" customHeight="1">
      <c r="A71" s="284"/>
      <c r="B71" s="65"/>
      <c r="C71" s="65"/>
      <c r="D71" s="65"/>
      <c r="E71" s="65" t="s">
        <v>591</v>
      </c>
      <c r="F71" s="65"/>
      <c r="G71" s="65"/>
      <c r="H71" s="65"/>
      <c r="I71" s="252" t="s">
        <v>596</v>
      </c>
      <c r="J71" s="253"/>
      <c r="K71" s="253"/>
      <c r="L71" s="253"/>
      <c r="M71" s="252" t="s">
        <v>597</v>
      </c>
    </row>
    <row r="72" spans="1:29" ht="40.5">
      <c r="A72" s="284" t="s">
        <v>605</v>
      </c>
      <c r="B72" s="65"/>
      <c r="C72" s="65"/>
      <c r="D72" s="65"/>
      <c r="E72" s="65" t="s">
        <v>598</v>
      </c>
      <c r="F72" s="65"/>
      <c r="G72" s="65"/>
      <c r="H72" s="65"/>
      <c r="I72" s="252" t="s">
        <v>606</v>
      </c>
      <c r="J72" s="253"/>
      <c r="K72" s="253"/>
      <c r="L72" s="253"/>
      <c r="M72" s="252" t="s">
        <v>607</v>
      </c>
    </row>
    <row r="73" spans="1:29" ht="40.5">
      <c r="A73" s="284"/>
      <c r="B73" s="65"/>
      <c r="C73" s="65"/>
      <c r="D73" s="65"/>
      <c r="E73" s="65" t="s">
        <v>599</v>
      </c>
      <c r="F73" s="65"/>
      <c r="G73" s="65"/>
      <c r="H73" s="65"/>
      <c r="I73" s="252" t="s">
        <v>608</v>
      </c>
      <c r="J73" s="253"/>
      <c r="K73" s="253"/>
      <c r="L73" s="253"/>
      <c r="M73" s="252" t="s">
        <v>609</v>
      </c>
    </row>
    <row r="74" spans="1:29" ht="54">
      <c r="A74" s="284"/>
      <c r="B74" s="65"/>
      <c r="C74" s="65"/>
      <c r="D74" s="65"/>
      <c r="E74" s="65" t="s">
        <v>600</v>
      </c>
      <c r="F74" s="65"/>
      <c r="G74" s="65"/>
      <c r="H74" s="65"/>
      <c r="I74" s="252" t="s">
        <v>610</v>
      </c>
      <c r="J74" s="253"/>
      <c r="K74" s="253"/>
      <c r="L74" s="253"/>
      <c r="M74" s="252" t="s">
        <v>611</v>
      </c>
    </row>
    <row r="75" spans="1:29" ht="54">
      <c r="A75" s="284"/>
      <c r="B75" s="65"/>
      <c r="C75" s="65"/>
      <c r="D75" s="65"/>
      <c r="E75" s="65" t="s">
        <v>601</v>
      </c>
      <c r="F75" s="65"/>
      <c r="G75" s="65"/>
      <c r="H75" s="65"/>
      <c r="I75" s="252" t="s">
        <v>612</v>
      </c>
      <c r="J75" s="253"/>
      <c r="K75" s="253"/>
      <c r="L75" s="253"/>
      <c r="M75" s="252" t="s">
        <v>613</v>
      </c>
    </row>
    <row r="76" spans="1:29">
      <c r="A76" s="284"/>
      <c r="B76" s="65"/>
      <c r="C76" s="65"/>
      <c r="D76" s="65"/>
      <c r="E76" s="65" t="s">
        <v>602</v>
      </c>
      <c r="F76" s="65"/>
      <c r="G76" s="65"/>
      <c r="H76" s="65"/>
      <c r="I76" s="252" t="s">
        <v>614</v>
      </c>
      <c r="J76" s="253"/>
      <c r="K76" s="253"/>
      <c r="L76" s="253"/>
      <c r="M76" s="252" t="s">
        <v>615</v>
      </c>
    </row>
    <row r="77" spans="1:29" ht="40.5">
      <c r="A77" s="284"/>
      <c r="B77" s="65"/>
      <c r="C77" s="65"/>
      <c r="D77" s="65"/>
      <c r="E77" s="65" t="s">
        <v>603</v>
      </c>
      <c r="F77" s="65"/>
      <c r="G77" s="65"/>
      <c r="H77" s="65"/>
      <c r="I77" s="252" t="s">
        <v>616</v>
      </c>
      <c r="J77" s="253"/>
      <c r="K77" s="253"/>
      <c r="L77" s="253"/>
      <c r="M77" s="252" t="s">
        <v>617</v>
      </c>
    </row>
    <row r="78" spans="1:29" ht="54">
      <c r="A78" s="284"/>
      <c r="B78" s="65"/>
      <c r="C78" s="65"/>
      <c r="D78" s="65"/>
      <c r="E78" s="65" t="s">
        <v>604</v>
      </c>
      <c r="F78" s="65"/>
      <c r="G78" s="65"/>
      <c r="H78" s="65"/>
      <c r="I78" s="252" t="s">
        <v>618</v>
      </c>
      <c r="J78" s="253"/>
      <c r="K78" s="253"/>
      <c r="L78" s="253"/>
      <c r="M78" s="252" t="s">
        <v>619</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workbookViewId="0">
      <selection activeCell="B56" sqref="B56"/>
    </sheetView>
  </sheetViews>
  <sheetFormatPr defaultRowHeight="13.5"/>
  <cols>
    <col min="1" max="1" width="48.875" style="17" bestFit="1" customWidth="1"/>
    <col min="2" max="4" width="20.5" bestFit="1" customWidth="1"/>
    <col min="5" max="7" width="21.625" bestFit="1" customWidth="1"/>
    <col min="8" max="15" width="20.5" bestFit="1" customWidth="1"/>
    <col min="16" max="19" width="19.375" bestFit="1" customWidth="1"/>
    <col min="20" max="20" width="20.5" bestFit="1" customWidth="1"/>
    <col min="21" max="21" width="21.625" bestFit="1" customWidth="1"/>
    <col min="22" max="47" width="20.5" bestFit="1" customWidth="1"/>
    <col min="48" max="49" width="19.375" bestFit="1" customWidth="1"/>
    <col min="50" max="50" width="20.5" bestFit="1" customWidth="1"/>
    <col min="51" max="53" width="19.375" bestFit="1" customWidth="1"/>
    <col min="54" max="54" width="20.5" bestFit="1" customWidth="1"/>
    <col min="55" max="70" width="19.375" bestFit="1" customWidth="1"/>
    <col min="71" max="74" width="18.375" bestFit="1" customWidth="1"/>
    <col min="75" max="75" width="9.625" bestFit="1" customWidth="1"/>
    <col min="76" max="78" width="19.375" bestFit="1" customWidth="1"/>
    <col min="79" max="81" width="18.375" bestFit="1" customWidth="1"/>
    <col min="82" max="82" width="9.625" bestFit="1" customWidth="1"/>
    <col min="83" max="84" width="19.375" bestFit="1" customWidth="1"/>
    <col min="85" max="87" width="17.25" bestFit="1" customWidth="1"/>
    <col min="88" max="89" width="16.125" bestFit="1" customWidth="1"/>
  </cols>
  <sheetData>
    <row r="1" spans="1:89" s="26" customFormat="1">
      <c r="A1" s="17">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315"/>
      <c r="U1" s="315"/>
      <c r="V1" s="315"/>
      <c r="W1" s="315"/>
      <c r="X1" s="315"/>
      <c r="Y1" s="315"/>
      <c r="Z1" s="315"/>
      <c r="AA1" s="315"/>
      <c r="AB1" s="315"/>
      <c r="AC1" s="315"/>
      <c r="AD1" s="315"/>
      <c r="AE1" s="315"/>
      <c r="AF1" s="315"/>
      <c r="AG1" s="315"/>
      <c r="AH1" s="315"/>
      <c r="AI1" s="315"/>
      <c r="AJ1" s="315"/>
      <c r="AK1" s="315"/>
      <c r="AL1" s="315"/>
      <c r="AM1" s="315"/>
      <c r="AN1" s="315"/>
      <c r="AO1" s="315"/>
      <c r="AP1" s="315"/>
      <c r="AQ1" s="315"/>
      <c r="AR1" s="315"/>
      <c r="AS1" s="315"/>
      <c r="AT1" s="315"/>
      <c r="AU1" s="315"/>
      <c r="AV1" s="315"/>
      <c r="AW1" s="315"/>
      <c r="AX1" s="315"/>
      <c r="AY1" s="315"/>
      <c r="AZ1" s="315"/>
      <c r="BA1" s="315"/>
      <c r="BB1" s="315"/>
      <c r="BC1" s="315"/>
      <c r="BD1" s="315"/>
      <c r="BE1" s="315"/>
      <c r="BF1" s="315"/>
      <c r="BG1" s="315"/>
      <c r="BH1" s="315"/>
      <c r="BI1" s="315"/>
      <c r="BJ1" s="315"/>
      <c r="BK1" s="315"/>
      <c r="BL1" s="315"/>
      <c r="BM1" s="315"/>
      <c r="BN1" s="315"/>
      <c r="BO1" s="315"/>
      <c r="BP1" s="315"/>
      <c r="BQ1" s="315"/>
      <c r="BR1" s="315"/>
      <c r="BS1" s="315"/>
      <c r="BT1" s="315"/>
      <c r="BU1" s="315"/>
      <c r="BV1" s="315"/>
      <c r="BW1" s="315"/>
      <c r="BX1" s="315"/>
      <c r="BY1" s="315"/>
      <c r="BZ1" s="315"/>
      <c r="CA1" s="315"/>
      <c r="CB1" s="315"/>
      <c r="CC1" s="315"/>
      <c r="CD1" s="315"/>
      <c r="CE1" s="315"/>
      <c r="CF1" s="315"/>
      <c r="CG1" s="315"/>
      <c r="CH1" s="315"/>
      <c r="CI1" s="315"/>
      <c r="CJ1" s="315"/>
      <c r="CK1" s="315"/>
    </row>
    <row r="2" spans="1:89" s="26" customFormat="1">
      <c r="A2" s="17" t="s">
        <v>311</v>
      </c>
      <c r="B2" s="190">
        <f>股权价值增加表!B42</f>
        <v>34418199956.440002</v>
      </c>
      <c r="C2" s="190">
        <f>股权价值增加表!C42</f>
        <v>26300630945.230011</v>
      </c>
      <c r="D2" s="190">
        <f>股权价值增加表!D42</f>
        <v>16762576254.959999</v>
      </c>
      <c r="E2" s="26">
        <f>股权价值增加表!E42</f>
        <v>15725443989.799999</v>
      </c>
      <c r="F2" s="26">
        <f>股权价值增加表!F42</f>
        <v>15684757207.559998</v>
      </c>
      <c r="G2" s="26">
        <f>股权价值增加表!G42</f>
        <v>15851702515.440001</v>
      </c>
      <c r="H2" s="26">
        <f>股权价值增加表!H42</f>
        <v>14008449050.170004</v>
      </c>
      <c r="I2" s="26">
        <f>股权价值增加表!I42</f>
        <v>9249536771.7500019</v>
      </c>
      <c r="J2" s="26">
        <f>股权价值增加表!J42</f>
        <v>5339761496.9699993</v>
      </c>
      <c r="K2" s="26">
        <f>股权价值增加表!K42</f>
        <v>4552888943.999999</v>
      </c>
      <c r="L2" s="26">
        <f>股权价值增加表!L42</f>
        <v>4000759343.1100006</v>
      </c>
      <c r="M2" s="26">
        <f>股权价值增加表!M42</f>
        <v>2964419238.8300004</v>
      </c>
      <c r="N2" s="26">
        <f>股权价值增加表!N42</f>
        <v>1573485812.1000001</v>
      </c>
      <c r="O2" s="26">
        <f>股权价值增加表!O42</f>
        <v>1169073160.7500005</v>
      </c>
      <c r="P2" s="26">
        <f>股权价值增加表!P42</f>
        <v>854170293.04000032</v>
      </c>
      <c r="Q2" s="26">
        <f>股权价值增加表!Q42</f>
        <v>606236535.88999963</v>
      </c>
      <c r="R2" s="26">
        <f>股权价值增加表!R42</f>
        <v>392468036.76999998</v>
      </c>
      <c r="S2" s="26">
        <f>股权价值增加表!S42</f>
        <v>342297141.76999998</v>
      </c>
      <c r="T2" s="26">
        <f>股权价值增加表!T42</f>
        <v>-2501741693.0300002</v>
      </c>
      <c r="U2" s="26">
        <f>股权价值增加表!U42</f>
        <v>-1335728419.8200002</v>
      </c>
      <c r="V2" s="26">
        <f>股权价值增加表!V42</f>
        <v>-5035376180.2399998</v>
      </c>
      <c r="W2" s="26">
        <f>股权价值增加表!W42</f>
        <v>-3658375018.9900002</v>
      </c>
      <c r="X2" s="26">
        <f>股权价值增加表!X42</f>
        <v>-2262690841.3800001</v>
      </c>
      <c r="Y2" s="26">
        <f>股权价值增加表!Y42</f>
        <v>-1230608960.77</v>
      </c>
      <c r="Z2" s="26">
        <f>股权价值增加表!Z42</f>
        <v>-4267960594.5</v>
      </c>
      <c r="AA2" s="26">
        <f>股权价值增加表!AA42</f>
        <v>-3346708444.7800002</v>
      </c>
      <c r="AB2" s="26">
        <f>股权价值增加表!AB42</f>
        <v>-2260932571.5099998</v>
      </c>
      <c r="AC2" s="26">
        <f>股权价值增加表!AC42</f>
        <v>-949493432.61000013</v>
      </c>
      <c r="AD2" s="26">
        <f>股权价值增加表!AD42</f>
        <v>-2730202169.2599998</v>
      </c>
      <c r="AE2" s="26">
        <f>股权价值增加表!AE42</f>
        <v>-2127736683.78</v>
      </c>
      <c r="AF2" s="26">
        <f>股权价值增加表!AF42</f>
        <v>-1568955652.28</v>
      </c>
      <c r="AG2" s="26">
        <f>股权价值增加表!AG42</f>
        <v>-609531969.59000003</v>
      </c>
      <c r="AH2" s="26">
        <f>股权价值增加表!AH42</f>
        <v>-1645609159.49</v>
      </c>
      <c r="AI2" s="26">
        <f>股权价值增加表!AI42</f>
        <v>-1346973483.01</v>
      </c>
      <c r="AJ2" s="26">
        <f>股权价值增加表!AJ42</f>
        <v>-1002896385.1900001</v>
      </c>
      <c r="AK2" s="26">
        <f>股权价值增加表!AK42</f>
        <v>-402149862.12</v>
      </c>
      <c r="AL2" s="26">
        <f>股权价值增加表!AL42</f>
        <v>-1392805377.6000001</v>
      </c>
      <c r="AM2" s="26">
        <f>股权价值增加表!AM42</f>
        <v>-1234169676.96</v>
      </c>
      <c r="AN2" s="26">
        <f>股权价值增加表!AN42</f>
        <v>-888437375.52999997</v>
      </c>
      <c r="AO2" s="26">
        <f>股权价值增加表!AO42</f>
        <v>-344594120.43000001</v>
      </c>
      <c r="AP2" s="26">
        <f>股权价值增加表!AP42</f>
        <v>-1280718279.72</v>
      </c>
      <c r="AQ2" s="26">
        <f>股权价值增加表!AQ42</f>
        <v>-1036488938.5899999</v>
      </c>
      <c r="AR2" s="26">
        <f>股权价值增加表!AR42</f>
        <v>-736742395.75</v>
      </c>
      <c r="AS2" s="26">
        <f>股权价值增加表!AS42</f>
        <v>-265409540.38</v>
      </c>
      <c r="AT2" s="26">
        <f>股权价值增加表!AT42</f>
        <v>-1509413732.03</v>
      </c>
      <c r="AU2" s="26">
        <f>股权价值增加表!AU42</f>
        <v>-799806842.82999992</v>
      </c>
      <c r="AV2" s="26">
        <f>股权价值增加表!AV42</f>
        <v>-433286010.30000001</v>
      </c>
      <c r="AW2" s="26">
        <f>股权价值增加表!AW42</f>
        <v>-285975778.98000002</v>
      </c>
      <c r="AX2" s="26">
        <f>股权价值增加表!AX42</f>
        <v>-885597458.13999999</v>
      </c>
      <c r="AY2" s="26">
        <f>股权价值增加表!AY42</f>
        <v>-558621064.98000002</v>
      </c>
      <c r="AZ2" s="26">
        <f>股权价值增加表!AZ42</f>
        <v>-331151346.61000001</v>
      </c>
      <c r="BA2" s="26">
        <f>股权价值增加表!BA42</f>
        <v>-201114877.60999998</v>
      </c>
      <c r="BB2" s="26">
        <f>股权价值增加表!BB42</f>
        <v>-718431690.38</v>
      </c>
      <c r="BC2" s="26">
        <f>股权价值增加表!BC42</f>
        <v>-401898116.90000004</v>
      </c>
      <c r="BD2" s="26">
        <f>股权价值增加表!BD42</f>
        <v>-245963416.15000001</v>
      </c>
      <c r="BE2" s="26">
        <f>股权价值增加表!BE42</f>
        <v>-170008116.06</v>
      </c>
      <c r="BF2" s="26">
        <f>股权价值增加表!BF42</f>
        <v>-610191480.10000002</v>
      </c>
      <c r="BG2" s="26">
        <f>股权价值增加表!BG42</f>
        <v>-315471185.13</v>
      </c>
      <c r="BH2" s="26">
        <f>股权价值增加表!BH42</f>
        <v>-195701598.39000002</v>
      </c>
      <c r="BI2" s="26">
        <f>股权价值增加表!BI42</f>
        <v>-123091999.73999999</v>
      </c>
      <c r="BJ2" s="26">
        <f>股权价值增加表!BJ42</f>
        <v>-352490891.20999998</v>
      </c>
      <c r="BK2" s="26">
        <f>股权价值增加表!BK42</f>
        <v>-214232454.16</v>
      </c>
      <c r="BL2" s="26">
        <f>股权价值增加表!BL42</f>
        <v>-144379248.41999999</v>
      </c>
      <c r="BM2" s="26">
        <f>股权价值增加表!BM42</f>
        <v>-114107711.54000001</v>
      </c>
      <c r="BN2" s="26">
        <f>股权价值增加表!BN42</f>
        <v>-239322898.88</v>
      </c>
      <c r="BO2" s="26">
        <f>股权价值增加表!BO42</f>
        <v>-192965728.02000001</v>
      </c>
      <c r="BP2" s="26">
        <f>股权价值增加表!BP42</f>
        <v>-143620388.34999999</v>
      </c>
      <c r="BQ2" s="26">
        <f>股权价值增加表!BQ42</f>
        <v>-121544563.97</v>
      </c>
      <c r="BR2" s="26">
        <f>股权价值增加表!BR42</f>
        <v>-259170043.98999998</v>
      </c>
      <c r="BS2" s="26">
        <f>股权价值增加表!BS42</f>
        <v>-144261351</v>
      </c>
      <c r="BT2" s="26">
        <f>股权价值增加表!BT42</f>
        <v>-196240654.41999999</v>
      </c>
      <c r="BU2" s="26">
        <f>股权价值增加表!BU42</f>
        <v>-149179820.65000001</v>
      </c>
      <c r="BV2" s="26">
        <f>股权价值增加表!BV42</f>
        <v>-113995075.88</v>
      </c>
      <c r="BW2" s="26">
        <f>股权价值增加表!BW42</f>
        <v>0</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316</v>
      </c>
      <c r="B3" s="190">
        <f>资产资本表!B107</f>
        <v>117408487922.53</v>
      </c>
      <c r="C3" s="190">
        <f>资产资本表!C107</f>
        <v>96019627475.080002</v>
      </c>
      <c r="D3" s="190">
        <f>资产资本表!D107</f>
        <v>75898542854.720001</v>
      </c>
      <c r="E3" s="26">
        <f>资产资本表!E107</f>
        <v>66234170421.290001</v>
      </c>
      <c r="F3" s="26">
        <f>资产资本表!F107</f>
        <v>55311550841.119995</v>
      </c>
      <c r="G3" s="26">
        <f>资产资本表!G107</f>
        <v>44129092273.259995</v>
      </c>
      <c r="H3" s="26">
        <f>资产资本表!H107</f>
        <v>35454036397.25</v>
      </c>
      <c r="I3" s="26">
        <f>资产资本表!I107</f>
        <v>25403379611.289997</v>
      </c>
      <c r="J3" s="26">
        <f>资产资本表!J107</f>
        <v>18549389694.619999</v>
      </c>
      <c r="K3" s="26">
        <f>资产资本表!K107</f>
        <v>14651565394.209999</v>
      </c>
      <c r="L3" s="26">
        <f>资产资本表!L107</f>
        <v>11503418295.949999</v>
      </c>
      <c r="M3" s="26">
        <f>资产资本表!M107</f>
        <v>8368855770.4400005</v>
      </c>
      <c r="N3" s="26">
        <f>资产资本表!N107</f>
        <v>5995028649.4300003</v>
      </c>
      <c r="O3" s="26">
        <f>资产资本表!O107</f>
        <v>5162395081.5200005</v>
      </c>
      <c r="P3" s="26">
        <f>资产资本表!P107</f>
        <v>4216707746.73</v>
      </c>
      <c r="Q3" s="26">
        <f>资产资本表!Q107</f>
        <v>3470524090.9299998</v>
      </c>
      <c r="R3" s="26">
        <f>资产资本表!R107</f>
        <v>2852845506.1599998</v>
      </c>
      <c r="S3" s="26">
        <f>资产资本表!S107</f>
        <v>2530915664.8000002</v>
      </c>
      <c r="T3" s="26">
        <f>资产资本表!T107</f>
        <v>46624176881.220001</v>
      </c>
      <c r="U3" s="26">
        <f>资产资本表!U107</f>
        <v>47453571644.629997</v>
      </c>
      <c r="V3" s="26">
        <f>资产资本表!V107</f>
        <v>44129092273.259995</v>
      </c>
      <c r="W3" s="26">
        <f>资产资本表!W107</f>
        <v>39820367702.190002</v>
      </c>
      <c r="X3" s="26">
        <f>资产资本表!X107</f>
        <v>35779107183.520004</v>
      </c>
      <c r="Y3" s="26">
        <f>资产资本表!Y107</f>
        <v>38595633055.419998</v>
      </c>
      <c r="Z3" s="26">
        <f>资产资本表!Z107</f>
        <v>35454036397.25</v>
      </c>
      <c r="AA3" s="26">
        <f>资产资本表!AA107</f>
        <v>31991565468.779999</v>
      </c>
      <c r="AB3" s="26">
        <f>资产资本表!AB107</f>
        <v>28404775233.629997</v>
      </c>
      <c r="AC3" s="26">
        <f>资产资本表!AC107</f>
        <v>28530620402.029999</v>
      </c>
      <c r="AD3" s="26">
        <f>资产资本表!AD107</f>
        <v>25403379611.289997</v>
      </c>
      <c r="AE3" s="26">
        <f>资产资本表!AE107</f>
        <v>23083770116.279999</v>
      </c>
      <c r="AF3" s="26">
        <f>资产资本表!AF107</f>
        <v>21544955887.150002</v>
      </c>
      <c r="AG3" s="26">
        <f>资产资本表!AG107</f>
        <v>20540681024.259998</v>
      </c>
      <c r="AH3" s="26">
        <f>资产资本表!AH107</f>
        <v>18549389694.619999</v>
      </c>
      <c r="AI3" s="26">
        <f>资产资本表!AI107</f>
        <v>17721770193.439999</v>
      </c>
      <c r="AJ3" s="26">
        <f>资产资本表!AJ107</f>
        <v>16737213296.220001</v>
      </c>
      <c r="AK3" s="26">
        <f>资产资本表!AK107</f>
        <v>15995948192.019999</v>
      </c>
      <c r="AL3" s="26">
        <f>资产资本表!AL107</f>
        <v>14651565394.209999</v>
      </c>
      <c r="AM3" s="26">
        <f>资产资本表!AM107</f>
        <v>14215679731.030001</v>
      </c>
      <c r="AN3" s="26">
        <f>资产资本表!AN107</f>
        <v>13166976369.08</v>
      </c>
      <c r="AO3" s="26">
        <f>资产资本表!AO107</f>
        <v>12608007479.039999</v>
      </c>
      <c r="AP3" s="26">
        <f>资产资本表!AP107</f>
        <v>11503418295.949999</v>
      </c>
      <c r="AQ3" s="26">
        <f>资产资本表!AQ107</f>
        <v>10807004733.84</v>
      </c>
      <c r="AR3" s="26">
        <f>资产资本表!AR107</f>
        <v>9854634976.4699993</v>
      </c>
      <c r="AS3" s="26">
        <f>资产资本表!AS107</f>
        <v>9285941265.0299988</v>
      </c>
      <c r="AT3" s="26">
        <f>资产资本表!AT107</f>
        <v>8368855770.4400005</v>
      </c>
      <c r="AU3" s="26">
        <f>资产资本表!AU107</f>
        <v>6952899324.3299999</v>
      </c>
      <c r="AV3" s="26">
        <f>资产资本表!AV107</f>
        <v>6219411895.4899998</v>
      </c>
      <c r="AW3" s="26">
        <f>资产资本表!AW107</f>
        <v>5888376793.5900002</v>
      </c>
      <c r="AX3" s="26">
        <f>资产资本表!AX107</f>
        <v>5995028649.4300003</v>
      </c>
      <c r="AY3" s="26">
        <f>资产资本表!AY107</f>
        <v>5415044428.1099997</v>
      </c>
      <c r="AZ3" s="26">
        <f>资产资本表!AZ107</f>
        <v>5058474356.1400003</v>
      </c>
      <c r="BA3" s="26">
        <f>资产资本表!BA107</f>
        <v>5588295571.7399998</v>
      </c>
      <c r="BB3" s="26">
        <f>资产资本表!BB107</f>
        <v>5162395081.5200005</v>
      </c>
      <c r="BC3" s="26">
        <f>资产资本表!BC107</f>
        <v>4765503347.0299997</v>
      </c>
      <c r="BD3" s="26">
        <f>资产资本表!BD107</f>
        <v>4691837330.75</v>
      </c>
      <c r="BE3" s="26">
        <f>资产资本表!BE107</f>
        <v>4600649163.9900007</v>
      </c>
      <c r="BF3" s="26">
        <f>资产资本表!BF107</f>
        <v>4216707746.73</v>
      </c>
      <c r="BG3" s="26">
        <f>资产资本表!BG107</f>
        <v>3900474366.1300001</v>
      </c>
      <c r="BH3" s="26">
        <f>资产资本表!BH107</f>
        <v>3817145295.6799998</v>
      </c>
      <c r="BI3" s="26">
        <f>资产资本表!BI107</f>
        <v>3727794494.04</v>
      </c>
      <c r="BJ3" s="26">
        <f>资产资本表!BJ107</f>
        <v>3470524090.9299998</v>
      </c>
      <c r="BK3" s="26">
        <f>资产资本表!BK107</f>
        <v>3231516625.3400002</v>
      </c>
      <c r="BL3" s="26">
        <f>资产资本表!BL107</f>
        <v>3124773172.54</v>
      </c>
      <c r="BM3" s="26">
        <f>资产资本表!BM107</f>
        <v>3100472676.3099999</v>
      </c>
      <c r="BN3" s="26">
        <f>资产资本表!BN107</f>
        <v>2874733972.6900001</v>
      </c>
      <c r="BO3" s="26">
        <f>资产资本表!BO107</f>
        <v>2857804350.4700003</v>
      </c>
      <c r="BP3" s="26">
        <f>资产资本表!BP107</f>
        <v>2784052740.7799997</v>
      </c>
      <c r="BQ3" s="26">
        <f>资产资本表!BQ107</f>
        <v>2751462376.5999999</v>
      </c>
      <c r="BR3" s="26">
        <f>资产资本表!BR107</f>
        <v>2537631703.8100004</v>
      </c>
      <c r="BS3" s="26">
        <f>资产资本表!BS107</f>
        <v>561545403.24000001</v>
      </c>
      <c r="BT3" s="26">
        <f>资产资本表!BT107</f>
        <v>443779623.04000002</v>
      </c>
      <c r="BU3" s="26">
        <f>资产资本表!BU107</f>
        <v>285361855.23000002</v>
      </c>
      <c r="BV3" s="26">
        <f>资产资本表!BV107</f>
        <v>234091527.97999999</v>
      </c>
      <c r="BW3" s="26">
        <f>资产资本表!BW107</f>
        <v>0</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4" t="s">
        <v>317</v>
      </c>
      <c r="B4" s="59">
        <f>B2/B3</f>
        <v>0.29314916293914173</v>
      </c>
      <c r="C4" s="59">
        <f t="shared" ref="C4:D4" si="0">C2/C3</f>
        <v>0.27390890421914854</v>
      </c>
      <c r="D4" s="59">
        <f t="shared" si="0"/>
        <v>0.22085504707311471</v>
      </c>
      <c r="E4" s="59">
        <f>E2/E3</f>
        <v>0.23742192118926708</v>
      </c>
      <c r="F4" s="59">
        <f t="shared" ref="F4:BQ4" si="1">F2/F3</f>
        <v>0.2835710980625688</v>
      </c>
      <c r="G4" s="59">
        <f t="shared" si="1"/>
        <v>0.35921206847586423</v>
      </c>
      <c r="H4" s="59">
        <f t="shared" si="1"/>
        <v>0.39511577449772606</v>
      </c>
      <c r="I4" s="59">
        <f t="shared" si="1"/>
        <v>0.36410654461264041</v>
      </c>
      <c r="J4" s="59">
        <f t="shared" si="1"/>
        <v>0.28786723363296018</v>
      </c>
      <c r="K4" s="59">
        <f t="shared" si="1"/>
        <v>0.31074419841849854</v>
      </c>
      <c r="L4" s="59">
        <f t="shared" si="1"/>
        <v>0.3477887389801817</v>
      </c>
      <c r="M4" s="59">
        <f t="shared" si="1"/>
        <v>0.35422037613561874</v>
      </c>
      <c r="N4" s="59">
        <f t="shared" si="1"/>
        <v>0.26246510302325332</v>
      </c>
      <c r="O4" s="59">
        <f t="shared" si="1"/>
        <v>0.22645945191893024</v>
      </c>
      <c r="P4" s="59">
        <f t="shared" si="1"/>
        <v>0.20256805648966256</v>
      </c>
      <c r="Q4" s="59">
        <f t="shared" si="1"/>
        <v>0.17468155241289388</v>
      </c>
      <c r="R4" s="59">
        <f t="shared" si="1"/>
        <v>0.13757072926752056</v>
      </c>
      <c r="S4" s="59">
        <f t="shared" si="1"/>
        <v>0.13524636420354577</v>
      </c>
      <c r="T4" s="59">
        <f t="shared" si="1"/>
        <v>-5.3657605568103658E-2</v>
      </c>
      <c r="U4" s="59">
        <f t="shared" si="1"/>
        <v>-2.8148111375535537E-2</v>
      </c>
      <c r="V4" s="59">
        <f t="shared" si="1"/>
        <v>-0.11410559159158558</v>
      </c>
      <c r="W4" s="59">
        <f t="shared" si="1"/>
        <v>-9.1871954733074968E-2</v>
      </c>
      <c r="X4" s="59">
        <f t="shared" si="1"/>
        <v>-6.3240561866848496E-2</v>
      </c>
      <c r="Y4" s="59">
        <f t="shared" si="1"/>
        <v>-3.1884668376936626E-2</v>
      </c>
      <c r="Z4" s="59">
        <f t="shared" si="1"/>
        <v>-0.1203801041630071</v>
      </c>
      <c r="AA4" s="59">
        <f t="shared" si="1"/>
        <v>-0.10461221249225811</v>
      </c>
      <c r="AB4" s="59">
        <f t="shared" si="1"/>
        <v>-7.9596918226381722E-2</v>
      </c>
      <c r="AC4" s="59">
        <f t="shared" si="1"/>
        <v>-3.3279803216001644E-2</v>
      </c>
      <c r="AD4" s="59">
        <f t="shared" si="1"/>
        <v>-0.10747397437019045</v>
      </c>
      <c r="AE4" s="59">
        <f t="shared" si="1"/>
        <v>-9.217457430315501E-2</v>
      </c>
      <c r="AF4" s="59">
        <f t="shared" si="1"/>
        <v>-7.2822411913860907E-2</v>
      </c>
      <c r="AG4" s="59">
        <f t="shared" si="1"/>
        <v>-2.9674379776897349E-2</v>
      </c>
      <c r="AH4" s="59">
        <f t="shared" si="1"/>
        <v>-8.871500284277746E-2</v>
      </c>
      <c r="AI4" s="59">
        <f t="shared" si="1"/>
        <v>-7.6006711987982117E-2</v>
      </c>
      <c r="AJ4" s="59">
        <f t="shared" si="1"/>
        <v>-5.9920153220279396E-2</v>
      </c>
      <c r="AK4" s="59">
        <f t="shared" si="1"/>
        <v>-2.5140732971404789E-2</v>
      </c>
      <c r="AL4" s="59">
        <f t="shared" si="1"/>
        <v>-9.5061881793900918E-2</v>
      </c>
      <c r="AM4" s="59">
        <f t="shared" si="1"/>
        <v>-8.6817493099964338E-2</v>
      </c>
      <c r="AN4" s="59">
        <f t="shared" si="1"/>
        <v>-6.747466925028564E-2</v>
      </c>
      <c r="AO4" s="59">
        <f t="shared" si="1"/>
        <v>-2.7331370242511796E-2</v>
      </c>
      <c r="AP4" s="59">
        <f t="shared" si="1"/>
        <v>-0.11133371375105969</v>
      </c>
      <c r="AQ4" s="59">
        <f t="shared" si="1"/>
        <v>-9.5908992742867932E-2</v>
      </c>
      <c r="AR4" s="59">
        <f t="shared" si="1"/>
        <v>-7.4761003072069787E-2</v>
      </c>
      <c r="AS4" s="59">
        <f t="shared" si="1"/>
        <v>-2.8581867234020522E-2</v>
      </c>
      <c r="AT4" s="59">
        <f t="shared" si="1"/>
        <v>-0.18036082511559895</v>
      </c>
      <c r="AU4" s="59">
        <f t="shared" si="1"/>
        <v>-0.11503213343407233</v>
      </c>
      <c r="AV4" s="59">
        <f t="shared" si="1"/>
        <v>-6.9666717300746223E-2</v>
      </c>
      <c r="AW4" s="59">
        <f t="shared" si="1"/>
        <v>-4.8566148024241418E-2</v>
      </c>
      <c r="AX4" s="59">
        <f t="shared" si="1"/>
        <v>-0.14772197264214934</v>
      </c>
      <c r="AY4" s="59">
        <f t="shared" si="1"/>
        <v>-0.10316093845512071</v>
      </c>
      <c r="AZ4" s="59">
        <f t="shared" si="1"/>
        <v>-6.5464668454441585E-2</v>
      </c>
      <c r="BA4" s="59">
        <f t="shared" si="1"/>
        <v>-3.5988589906918583E-2</v>
      </c>
      <c r="BB4" s="59">
        <f t="shared" si="1"/>
        <v>-0.13916635186481446</v>
      </c>
      <c r="BC4" s="59">
        <f t="shared" si="1"/>
        <v>-8.4334872443322204E-2</v>
      </c>
      <c r="BD4" s="59">
        <f t="shared" si="1"/>
        <v>-5.2423687952259469E-2</v>
      </c>
      <c r="BE4" s="59">
        <f t="shared" si="1"/>
        <v>-3.6953071186275208E-2</v>
      </c>
      <c r="BF4" s="59">
        <f t="shared" si="1"/>
        <v>-0.14470803213080044</v>
      </c>
      <c r="BG4" s="59">
        <f t="shared" si="1"/>
        <v>-8.0880209819967713E-2</v>
      </c>
      <c r="BH4" s="59">
        <f t="shared" si="1"/>
        <v>-5.1269098562080548E-2</v>
      </c>
      <c r="BI4" s="59">
        <f t="shared" si="1"/>
        <v>-3.3020060504086145E-2</v>
      </c>
      <c r="BJ4" s="59">
        <f t="shared" si="1"/>
        <v>-0.10156704923363394</v>
      </c>
      <c r="BK4" s="59">
        <f t="shared" si="1"/>
        <v>-6.6294708954950765E-2</v>
      </c>
      <c r="BL4" s="59">
        <f t="shared" si="1"/>
        <v>-4.6204713253679149E-2</v>
      </c>
      <c r="BM4" s="59">
        <f t="shared" si="1"/>
        <v>-3.6803327573847314E-2</v>
      </c>
      <c r="BN4" s="59">
        <f t="shared" si="1"/>
        <v>-8.3250450703811138E-2</v>
      </c>
      <c r="BO4" s="59">
        <f t="shared" si="1"/>
        <v>-6.7522371847556495E-2</v>
      </c>
      <c r="BP4" s="59">
        <f t="shared" si="1"/>
        <v>-5.1586805898570121E-2</v>
      </c>
      <c r="BQ4" s="59">
        <f t="shared" si="1"/>
        <v>-4.4174532424533244E-2</v>
      </c>
      <c r="BR4" s="59">
        <f t="shared" ref="BR4:CJ4" si="2">BR2/BR3</f>
        <v>-0.10213067704067617</v>
      </c>
      <c r="BS4" s="59">
        <f t="shared" si="2"/>
        <v>-0.25690059996509995</v>
      </c>
      <c r="BT4" s="59">
        <f t="shared" si="2"/>
        <v>-0.44220294090049256</v>
      </c>
      <c r="BU4" s="59">
        <f t="shared" si="2"/>
        <v>-0.52277421777259592</v>
      </c>
      <c r="BV4" s="59">
        <f t="shared" si="2"/>
        <v>-0.48696796874143761</v>
      </c>
      <c r="BW4" s="59" t="e">
        <f t="shared" si="2"/>
        <v>#DIV/0!</v>
      </c>
      <c r="BX4" s="59">
        <f t="shared" si="2"/>
        <v>-2.7305636971819917E-2</v>
      </c>
      <c r="BY4" s="59">
        <f t="shared" si="2"/>
        <v>-0.12339266093922316</v>
      </c>
      <c r="BZ4" s="59">
        <f t="shared" si="2"/>
        <v>-2.1880368727117284E-2</v>
      </c>
      <c r="CA4" s="59">
        <f t="shared" si="2"/>
        <v>-0.45857349816157594</v>
      </c>
      <c r="CB4" s="59">
        <f t="shared" si="2"/>
        <v>-0.54454807845742792</v>
      </c>
      <c r="CC4" s="59">
        <f t="shared" si="2"/>
        <v>-0.52774240026214003</v>
      </c>
      <c r="CD4" s="59" t="e">
        <f t="shared" si="2"/>
        <v>#DIV/0!</v>
      </c>
      <c r="CE4" s="59">
        <f t="shared" si="2"/>
        <v>-1.8598030262897112E-2</v>
      </c>
      <c r="CF4" s="59">
        <f t="shared" si="2"/>
        <v>-1.4294123244527224E-2</v>
      </c>
      <c r="CG4" s="59">
        <f t="shared" si="2"/>
        <v>-8.7884894672049466E-3</v>
      </c>
      <c r="CH4" s="59">
        <f t="shared" si="2"/>
        <v>-2.0706575073601571E-2</v>
      </c>
      <c r="CI4" s="59">
        <f t="shared" si="2"/>
        <v>-7.6809725547983057E-2</v>
      </c>
      <c r="CJ4" s="59">
        <f t="shared" si="2"/>
        <v>-3.9175480250377724E-2</v>
      </c>
    </row>
    <row r="5" spans="1:89" s="26" customFormat="1">
      <c r="A5" s="20" t="s">
        <v>313</v>
      </c>
      <c r="B5" s="190">
        <f>股权价值增加表!B47</f>
        <v>25025520922.637604</v>
      </c>
      <c r="C5" s="190">
        <f>股权价值增加表!C47</f>
        <v>18619060747.22361</v>
      </c>
      <c r="D5" s="190">
        <f>股权价值增加表!D47</f>
        <v>10690692826.582397</v>
      </c>
      <c r="E5" s="26">
        <f>股权价值增加表!E47</f>
        <v>10426710356.096798</v>
      </c>
      <c r="F5" s="26">
        <f>股权价值增加表!F47</f>
        <v>11259833140.270397</v>
      </c>
      <c r="G5" s="26">
        <f>股权价值增加表!G47</f>
        <v>12321375133.579201</v>
      </c>
      <c r="H5" s="26">
        <f>股权价值增加表!H47</f>
        <v>11172126138.390003</v>
      </c>
      <c r="I5" s="26">
        <f>股权价值增加表!I47</f>
        <v>7217266402.8468018</v>
      </c>
      <c r="J5" s="26">
        <f>股权价值增加表!J47</f>
        <v>3855810321.4003992</v>
      </c>
      <c r="K5" s="26">
        <f>股权价值增加表!K47</f>
        <v>3380763712.4631991</v>
      </c>
      <c r="L5" s="26">
        <f>股权价值增加表!L47</f>
        <v>3080485879.4340005</v>
      </c>
      <c r="M5" s="26">
        <f>股权价值增加表!M47</f>
        <v>2294910777.1948004</v>
      </c>
      <c r="N5" s="26">
        <f>股权价值增加表!N47</f>
        <v>1093883520.1456001</v>
      </c>
      <c r="O5" s="26">
        <f>股权价值增加表!O47</f>
        <v>756081554.22840047</v>
      </c>
      <c r="P5" s="26">
        <f>股权价值增加表!P47</f>
        <v>516833673.30160034</v>
      </c>
      <c r="Q5" s="26">
        <f>股权价值增加表!Q47</f>
        <v>328594608.61559963</v>
      </c>
      <c r="R5" s="26">
        <f>股权价值增加表!R47</f>
        <v>164240396.27719998</v>
      </c>
      <c r="S5" s="26">
        <f>股权价值增加表!S47</f>
        <v>139823888.58599997</v>
      </c>
      <c r="T5" s="26">
        <f>股权价值增加表!T47</f>
        <v>-6231675843.5276003</v>
      </c>
      <c r="U5" s="26">
        <f>股权价值增加表!U47</f>
        <v>-5132014151.3903999</v>
      </c>
      <c r="V5" s="26">
        <f>股权价值增加表!V47</f>
        <v>-8565703562.1007996</v>
      </c>
      <c r="W5" s="26">
        <f>股权价值增加表!W47</f>
        <v>-6844004435.1652012</v>
      </c>
      <c r="X5" s="26">
        <f>股权价值增加表!X47</f>
        <v>-5125019416.0615997</v>
      </c>
      <c r="Y5" s="26">
        <f>股权价值增加表!Y47</f>
        <v>-4318259605.2035999</v>
      </c>
      <c r="Z5" s="26">
        <f>股权价值增加表!Z47</f>
        <v>-7104283506.2800007</v>
      </c>
      <c r="AA5" s="26">
        <f>股权价值增加表!AA47</f>
        <v>-5906033682.2824001</v>
      </c>
      <c r="AB5" s="26">
        <f>股权价值增加表!AB47</f>
        <v>-4533314590.2003994</v>
      </c>
      <c r="AC5" s="26">
        <f>股权价值增加表!AC47</f>
        <v>-3231943064.7723999</v>
      </c>
      <c r="AD5" s="26">
        <f>股权价值增加表!AD47</f>
        <v>-4762472538.1632004</v>
      </c>
      <c r="AE5" s="26">
        <f>股权价值增加表!AE47</f>
        <v>-3974438293.0823998</v>
      </c>
      <c r="AF5" s="26">
        <f>股权价值增加表!AF47</f>
        <v>-3292552123.2519999</v>
      </c>
      <c r="AG5" s="26">
        <f>股权价值增加表!AG47</f>
        <v>-2252786451.5307999</v>
      </c>
      <c r="AH5" s="26">
        <f>股权价值增加表!AH47</f>
        <v>-3129560335.0595999</v>
      </c>
      <c r="AI5" s="26">
        <f>股权价值增加表!AI47</f>
        <v>-2764715098.4851999</v>
      </c>
      <c r="AJ5" s="26">
        <f>股权价值增加表!AJ47</f>
        <v>-2341873448.8875999</v>
      </c>
      <c r="AK5" s="26">
        <f>股权价值增加表!AK47</f>
        <v>-1681825717.4816003</v>
      </c>
      <c r="AL5" s="26">
        <f>股权价值增加表!AL47</f>
        <v>-2564930609.1367998</v>
      </c>
      <c r="AM5" s="26">
        <f>股权价值增加表!AM47</f>
        <v>-2371424055.4424</v>
      </c>
      <c r="AN5" s="26">
        <f>股权价值增加表!AN47</f>
        <v>-1941795485.0563998</v>
      </c>
      <c r="AO5" s="26">
        <f>股权价值增加表!AO47</f>
        <v>-1353234718.7532001</v>
      </c>
      <c r="AP5" s="26">
        <f>股权价值增加表!AP47</f>
        <v>-2200991743.3959999</v>
      </c>
      <c r="AQ5" s="26">
        <f>股权价值增加表!AQ47</f>
        <v>-1901049317.2972</v>
      </c>
      <c r="AR5" s="26">
        <f>股权价值增加表!AR47</f>
        <v>-1525113193.8676</v>
      </c>
      <c r="AS5" s="26">
        <f>股权价值增加表!AS47</f>
        <v>-1008284841.5824001</v>
      </c>
      <c r="AT5" s="26">
        <f>股权价值增加表!AT47</f>
        <v>-2178922193.6652002</v>
      </c>
      <c r="AU5" s="26">
        <f>股权价值增加表!AU47</f>
        <v>-1356038788.7764001</v>
      </c>
      <c r="AV5" s="26">
        <f>股权价值增加表!AV47</f>
        <v>-930838961.93919992</v>
      </c>
      <c r="AW5" s="26">
        <f>股权价值增加表!AW47</f>
        <v>-757045922.46720004</v>
      </c>
      <c r="AX5" s="26">
        <f>股权价值增加表!AX47</f>
        <v>-1365199750.0943999</v>
      </c>
      <c r="AY5" s="26">
        <f>股权价值增加表!AY47</f>
        <v>-991824619.22880006</v>
      </c>
      <c r="AZ5" s="26">
        <f>股权价值增加表!AZ47</f>
        <v>-735829295.1012001</v>
      </c>
      <c r="BA5" s="26">
        <f>股权价值增加表!BA47</f>
        <v>-648178523.34920001</v>
      </c>
      <c r="BB5" s="26">
        <f>股权价值增加表!BB47</f>
        <v>-1131423296.9016001</v>
      </c>
      <c r="BC5" s="26">
        <f>股权价值增加表!BC47</f>
        <v>-783138384.66240001</v>
      </c>
      <c r="BD5" s="26">
        <f>股权价值增加表!BD47</f>
        <v>-621310402.61000001</v>
      </c>
      <c r="BE5" s="26">
        <f>股权价值增加表!BE47</f>
        <v>-538060049.17919993</v>
      </c>
      <c r="BF5" s="26">
        <f>股权价值增加表!BF47</f>
        <v>-947528099.83840001</v>
      </c>
      <c r="BG5" s="26">
        <f>股权价值增加表!BG47</f>
        <v>-627509134.42040002</v>
      </c>
      <c r="BH5" s="26">
        <f>股权价值增加表!BH47</f>
        <v>-501073222.04439998</v>
      </c>
      <c r="BI5" s="26">
        <f>股权价值增加表!BI47</f>
        <v>-421315559.26319999</v>
      </c>
      <c r="BJ5" s="26">
        <f>股权价值增加表!BJ47</f>
        <v>-630132818.48440003</v>
      </c>
      <c r="BK5" s="26">
        <f>股权价值增加表!BK47</f>
        <v>-472753784.18720001</v>
      </c>
      <c r="BL5" s="26">
        <f>股权价值增加表!BL47</f>
        <v>-394361102.22319996</v>
      </c>
      <c r="BM5" s="26">
        <f>股权价值增加表!BM47</f>
        <v>-362145525.64480001</v>
      </c>
      <c r="BN5" s="26">
        <f>股权价值增加表!BN47</f>
        <v>-469301616.69519997</v>
      </c>
      <c r="BO5" s="26">
        <f>股权价值增加表!BO47</f>
        <v>-421590076.05760002</v>
      </c>
      <c r="BP5" s="26">
        <f>股权价值增加表!BP47</f>
        <v>-366344607.61240005</v>
      </c>
      <c r="BQ5" s="26">
        <f>股权价值增加表!BQ47</f>
        <v>-341661554.09799999</v>
      </c>
      <c r="BR5" s="26">
        <f>股权价值增加表!BR47</f>
        <v>-462180580.29479998</v>
      </c>
      <c r="BS5" s="26">
        <f>股权价值增加表!BS47</f>
        <v>-189184983.25920001</v>
      </c>
      <c r="BT5" s="26">
        <f>股权价值增加表!BT47</f>
        <v>-231743024.26319999</v>
      </c>
      <c r="BU5" s="26">
        <f>股权价值增加表!BU47</f>
        <v>-172008769.0684</v>
      </c>
      <c r="BV5" s="26">
        <f>股权价值增加表!BV47</f>
        <v>-132722398.11839999</v>
      </c>
      <c r="BW5" s="26">
        <f>股权价值增加表!BW47</f>
        <v>0</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c r="A6" s="156" t="s">
        <v>324</v>
      </c>
      <c r="B6" s="156">
        <f>股权价值增加表!B31/股权价值增加表!B4</f>
        <v>0.64385410227407192</v>
      </c>
      <c r="C6" s="156">
        <f>股权价值增加表!C31/股权价值增加表!C4</f>
        <v>0.61799908844956075</v>
      </c>
      <c r="D6" s="156">
        <f>股权价值增加表!D31/股权价值增加表!D4</f>
        <v>0.58557364457013705</v>
      </c>
      <c r="E6" s="156">
        <f>股权价值增加表!E31/股权价值增加表!E4</f>
        <v>0.65112841304892299</v>
      </c>
      <c r="F6" s="156">
        <f>股权价值增加表!F31/股权价值增加表!F4</f>
        <v>0.67063538623236385</v>
      </c>
      <c r="G6" s="156">
        <f>股权价值增加表!G31/股权价值增加表!G4</f>
        <v>0.67557875399274991</v>
      </c>
      <c r="H6" s="156">
        <f>股权价值增加表!H31/股权价值增加表!H4</f>
        <v>0.69095816034687563</v>
      </c>
      <c r="I6" s="156">
        <f>股权价值增加表!I31/股权价值增加表!I4</f>
        <v>0.65505820361124634</v>
      </c>
      <c r="J6" s="156">
        <f>股权价值增加表!J31/股权价值增加表!J4</f>
        <v>0.60050454046192714</v>
      </c>
      <c r="K6" s="156">
        <f>股权价值增加表!K31/股权价值增加表!K4</f>
        <v>0.61498493729380277</v>
      </c>
      <c r="L6" s="156">
        <f>股权价值增加表!L31/股权价值增加表!L4</f>
        <v>0.6409853702542313</v>
      </c>
      <c r="M6" s="156">
        <f>股权价值增加表!M31/股权价值增加表!M4</f>
        <v>0.63363770087953886</v>
      </c>
      <c r="N6" s="156">
        <f>股权价值增加表!N31/股权价值增加表!N4</f>
        <v>0.50285992934043011</v>
      </c>
      <c r="O6" s="156">
        <f>股权价值增加表!O31/股权价值增加表!O4</f>
        <v>0.48032705398643405</v>
      </c>
      <c r="P6" s="156">
        <f>股权价值增加表!P31/股权价值增加表!P4</f>
        <v>0.48663698262229338</v>
      </c>
      <c r="Q6" s="156">
        <f>股权价值增加表!Q31/股权价值增加表!Q4</f>
        <v>0.45523206254678222</v>
      </c>
      <c r="R6" s="156">
        <f>股权价值增加表!R31/股权价值增加表!R4</f>
        <v>0.34371396135326249</v>
      </c>
      <c r="S6" s="156">
        <f>股权价值增加表!S31/股权价值增加表!S4</f>
        <v>0.37145892473233327</v>
      </c>
      <c r="T6" s="156" t="e">
        <f>股权价值增加表!T31/股权价值增加表!T4</f>
        <v>#DIV/0!</v>
      </c>
      <c r="U6" s="156" t="e">
        <f>股权价值增加表!U31/股权价值增加表!U4</f>
        <v>#DIV/0!</v>
      </c>
      <c r="V6" s="156" t="e">
        <f>股权价值增加表!V31/股权价值增加表!V4</f>
        <v>#DIV/0!</v>
      </c>
      <c r="W6" s="156" t="e">
        <f>股权价值增加表!W31/股权价值增加表!W4</f>
        <v>#DIV/0!</v>
      </c>
      <c r="X6" s="156" t="e">
        <f>股权价值增加表!X31/股权价值增加表!X4</f>
        <v>#DIV/0!</v>
      </c>
      <c r="Y6" s="156" t="e">
        <f>股权价值增加表!Y31/股权价值增加表!Y4</f>
        <v>#DIV/0!</v>
      </c>
      <c r="Z6" s="156" t="e">
        <f>股权价值增加表!Z31/股权价值增加表!Z4</f>
        <v>#DIV/0!</v>
      </c>
      <c r="AA6" s="156" t="e">
        <f>股权价值增加表!AA31/股权价值增加表!AA4</f>
        <v>#DIV/0!</v>
      </c>
      <c r="AB6" s="156" t="e">
        <f>股权价值增加表!AB31/股权价值增加表!AB4</f>
        <v>#DIV/0!</v>
      </c>
      <c r="AC6" s="156" t="e">
        <f>股权价值增加表!AC31/股权价值增加表!AC4</f>
        <v>#DIV/0!</v>
      </c>
      <c r="AD6" s="156" t="e">
        <f>股权价值增加表!AD31/股权价值增加表!AD4</f>
        <v>#DIV/0!</v>
      </c>
      <c r="AE6" s="156" t="e">
        <f>股权价值增加表!AE31/股权价值增加表!AE4</f>
        <v>#DIV/0!</v>
      </c>
      <c r="AF6" s="156" t="e">
        <f>股权价值增加表!AF31/股权价值增加表!AF4</f>
        <v>#DIV/0!</v>
      </c>
      <c r="AG6" s="156" t="e">
        <f>股权价值增加表!AG31/股权价值增加表!AG4</f>
        <v>#DIV/0!</v>
      </c>
      <c r="AH6" s="156" t="e">
        <f>股权价值增加表!AH31/股权价值增加表!AH4</f>
        <v>#DIV/0!</v>
      </c>
      <c r="AI6" s="156" t="e">
        <f>股权价值增加表!AI31/股权价值增加表!AI4</f>
        <v>#DIV/0!</v>
      </c>
      <c r="AJ6" s="156" t="e">
        <f>股权价值增加表!AJ31/股权价值增加表!AJ4</f>
        <v>#DIV/0!</v>
      </c>
      <c r="AK6" s="156" t="e">
        <f>股权价值增加表!AK31/股权价值增加表!AK4</f>
        <v>#DIV/0!</v>
      </c>
      <c r="AL6" s="156" t="e">
        <f>股权价值增加表!AL31/股权价值增加表!AL4</f>
        <v>#DIV/0!</v>
      </c>
      <c r="AM6" s="156" t="e">
        <f>股权价值增加表!AM31/股权价值增加表!AM4</f>
        <v>#DIV/0!</v>
      </c>
      <c r="AN6" s="156" t="e">
        <f>股权价值增加表!AN31/股权价值增加表!AN4</f>
        <v>#DIV/0!</v>
      </c>
      <c r="AO6" s="156" t="e">
        <f>股权价值增加表!AO31/股权价值增加表!AO4</f>
        <v>#DIV/0!</v>
      </c>
      <c r="AP6" s="156" t="e">
        <f>股权价值增加表!AP31/股权价值增加表!AP4</f>
        <v>#DIV/0!</v>
      </c>
      <c r="AQ6" s="156" t="e">
        <f>股权价值增加表!AQ31/股权价值增加表!AQ4</f>
        <v>#DIV/0!</v>
      </c>
      <c r="AR6" s="156" t="e">
        <f>股权价值增加表!AR31/股权价值增加表!AR4</f>
        <v>#DIV/0!</v>
      </c>
      <c r="AS6" s="156" t="e">
        <f>股权价值增加表!AS31/股权价值增加表!AS4</f>
        <v>#DIV/0!</v>
      </c>
      <c r="AT6" s="156" t="e">
        <f>股权价值增加表!AT31/股权价值增加表!AT4</f>
        <v>#DIV/0!</v>
      </c>
      <c r="AU6" s="156" t="e">
        <f>股权价值增加表!AU31/股权价值增加表!AU4</f>
        <v>#DIV/0!</v>
      </c>
      <c r="AV6" s="156" t="e">
        <f>股权价值增加表!AV31/股权价值增加表!AV4</f>
        <v>#DIV/0!</v>
      </c>
      <c r="AW6" s="156" t="e">
        <f>股权价值增加表!AW31/股权价值增加表!AW4</f>
        <v>#DIV/0!</v>
      </c>
      <c r="AX6" s="156" t="e">
        <f>股权价值增加表!AX31/股权价值增加表!AX4</f>
        <v>#DIV/0!</v>
      </c>
      <c r="AY6" s="156" t="e">
        <f>股权价值增加表!AY31/股权价值增加表!AY4</f>
        <v>#DIV/0!</v>
      </c>
      <c r="AZ6" s="156" t="e">
        <f>股权价值增加表!AZ31/股权价值增加表!AZ4</f>
        <v>#DIV/0!</v>
      </c>
      <c r="BA6" s="156" t="e">
        <f>股权价值增加表!BA31/股权价值增加表!BA4</f>
        <v>#DIV/0!</v>
      </c>
      <c r="BB6" s="156" t="e">
        <f>股权价值增加表!BB31/股权价值增加表!BB4</f>
        <v>#DIV/0!</v>
      </c>
      <c r="BC6" s="156" t="e">
        <f>股权价值增加表!BC31/股权价值增加表!BC4</f>
        <v>#DIV/0!</v>
      </c>
      <c r="BD6" s="156" t="e">
        <f>股权价值增加表!BD31/股权价值增加表!BD4</f>
        <v>#DIV/0!</v>
      </c>
      <c r="BE6" s="156" t="e">
        <f>股权价值增加表!BE31/股权价值增加表!BE4</f>
        <v>#DIV/0!</v>
      </c>
      <c r="BF6" s="156" t="e">
        <f>股权价值增加表!BF31/股权价值增加表!BF4</f>
        <v>#DIV/0!</v>
      </c>
      <c r="BG6" s="156" t="e">
        <f>股权价值增加表!BG31/股权价值增加表!BG4</f>
        <v>#DIV/0!</v>
      </c>
      <c r="BH6" s="156" t="e">
        <f>股权价值增加表!BH31/股权价值增加表!BH4</f>
        <v>#DIV/0!</v>
      </c>
      <c r="BI6" s="156" t="e">
        <f>股权价值增加表!BI31/股权价值增加表!BI4</f>
        <v>#DIV/0!</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c r="A7" s="237" t="s">
        <v>318</v>
      </c>
      <c r="B7" s="61">
        <f>股权价值增加表!B4/资产资本表!B70</f>
        <v>0.57000745401573372</v>
      </c>
      <c r="C7" s="61">
        <f>股权价值增加表!C4/资产资本表!C70</f>
        <v>0.54678774453765155</v>
      </c>
      <c r="D7" s="61">
        <f>股权价值增加表!D4/资产资本表!D70</f>
        <v>0.45051860982015923</v>
      </c>
      <c r="E7" s="61">
        <f>股权价值增加表!E4/资产资本表!E70</f>
        <v>0.45228802702131382</v>
      </c>
      <c r="F7" s="61">
        <f>股权价值增加表!F4/资产资本表!F70</f>
        <v>0.57003487075908832</v>
      </c>
      <c r="G7" s="61">
        <f>股权价值增加表!G4/资产资本表!G70</f>
        <v>0.70027783021113266</v>
      </c>
      <c r="H7" s="61">
        <f>股权价值增加表!H4/资产资本表!H70</f>
        <v>0.74618683346988424</v>
      </c>
      <c r="I7" s="61">
        <f>股权价值增加表!I4/资产资本表!I70</f>
        <v>0.72440578729616978</v>
      </c>
      <c r="J7" s="61">
        <f>股权价值增加表!J4/资产资本表!J70</f>
        <v>0.61656242516768323</v>
      </c>
      <c r="K7" s="61">
        <f>股权价值增加表!K4/资产资本表!K70</f>
        <v>0.65387432941396284</v>
      </c>
      <c r="L7" s="61">
        <f>股权价值增加表!L4/资产资本表!L70</f>
        <v>0.71645534849512038</v>
      </c>
      <c r="M7" s="61">
        <f>股权价值增加表!M4/资产资本表!M70</f>
        <v>0.8605065951120322</v>
      </c>
      <c r="N7" s="61">
        <f>股权价值增加表!N4/资产资本表!N70</f>
        <v>0.81670784036628818</v>
      </c>
      <c r="O7" s="61">
        <f>股权价值增加表!O4/资产资本表!O70</f>
        <v>0.75592982267851172</v>
      </c>
      <c r="P7" s="61">
        <f>股权价值增加表!P4/资产资本表!P70</f>
        <v>0.71083795107321668</v>
      </c>
      <c r="Q7" s="61">
        <f>股权价值增加表!Q4/资产资本表!Q70</f>
        <v>0.6915898334380397</v>
      </c>
      <c r="R7" s="61">
        <f>股权价值增加表!R4/资产资本表!R70</f>
        <v>0.62714979928453207</v>
      </c>
      <c r="S7" s="61">
        <f>股权价值增加表!S4/资产资本表!S70</f>
        <v>0.59476990596969603</v>
      </c>
      <c r="T7" s="61" t="e">
        <f>股权价值增加表!T4/资产资本表!T70</f>
        <v>#DIV/0!</v>
      </c>
      <c r="U7" s="61" t="e">
        <f>股权价值增加表!U4/资产资本表!U70</f>
        <v>#DIV/0!</v>
      </c>
      <c r="V7" s="61" t="e">
        <f>股权价值增加表!V4/资产资本表!V70</f>
        <v>#DIV/0!</v>
      </c>
      <c r="W7" s="61" t="e">
        <f>股权价值增加表!W4/资产资本表!W70</f>
        <v>#DIV/0!</v>
      </c>
      <c r="X7" s="61" t="e">
        <f>股权价值增加表!X4/资产资本表!X70</f>
        <v>#DIV/0!</v>
      </c>
      <c r="Y7" s="61" t="e">
        <f>股权价值增加表!Y4/资产资本表!Y70</f>
        <v>#DIV/0!</v>
      </c>
      <c r="Z7" s="61" t="e">
        <f>股权价值增加表!Z4/资产资本表!Z70</f>
        <v>#DIV/0!</v>
      </c>
      <c r="AA7" s="61" t="e">
        <f>股权价值增加表!AA4/资产资本表!AA70</f>
        <v>#DIV/0!</v>
      </c>
      <c r="AB7" s="61" t="e">
        <f>股权价值增加表!AB4/资产资本表!AB70</f>
        <v>#DIV/0!</v>
      </c>
      <c r="AC7" s="61" t="e">
        <f>股权价值增加表!AC4/资产资本表!AC70</f>
        <v>#DIV/0!</v>
      </c>
      <c r="AD7" s="61" t="e">
        <f>股权价值增加表!AD4/资产资本表!AD70</f>
        <v>#DIV/0!</v>
      </c>
      <c r="AE7" s="61" t="e">
        <f>股权价值增加表!AE4/资产资本表!AE70</f>
        <v>#DIV/0!</v>
      </c>
      <c r="AF7" s="61" t="e">
        <f>股权价值增加表!AF4/资产资本表!AF70</f>
        <v>#DIV/0!</v>
      </c>
      <c r="AG7" s="61" t="e">
        <f>股权价值增加表!AG4/资产资本表!AG70</f>
        <v>#DIV/0!</v>
      </c>
      <c r="AH7" s="61" t="e">
        <f>股权价值增加表!AH4/资产资本表!AH70</f>
        <v>#DIV/0!</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325</v>
      </c>
      <c r="B8" s="63">
        <f>股权价值增加表!B31/资产资本表!B70</f>
        <v>0.36700163759482957</v>
      </c>
      <c r="C8" s="63">
        <f>股权价值增加表!C31/资产资本表!C70</f>
        <v>0.33791432769966001</v>
      </c>
      <c r="D8" s="63">
        <f>股权价值增加表!D31/资产资本表!D70</f>
        <v>0.26381182429906219</v>
      </c>
      <c r="E8" s="63">
        <f>股权价值增加表!E31/资产资本表!E70</f>
        <v>0.29449758527541647</v>
      </c>
      <c r="F8" s="63">
        <f>股权价值增加表!F31/资产资本表!F70</f>
        <v>0.38228555571743683</v>
      </c>
      <c r="G8" s="63">
        <f>股权价值增加表!G31/资产资本表!G70</f>
        <v>0.47309282398278346</v>
      </c>
      <c r="H8" s="63">
        <f>股权价值增加表!H31/资产资本表!H70</f>
        <v>0.51558388172941172</v>
      </c>
      <c r="I8" s="63">
        <f>股权价值增加表!I31/资产资本表!I70</f>
        <v>0.47452795371181955</v>
      </c>
      <c r="J8" s="63">
        <f>股权价值增加表!J31/资产资本表!J70</f>
        <v>0.37024853579141098</v>
      </c>
      <c r="K8" s="63">
        <f>股权价值增加表!K31/资产资本表!K70</f>
        <v>0.40212286347267329</v>
      </c>
      <c r="L8" s="63">
        <f>股权价值增加表!L31/资产资本表!L70</f>
        <v>0.45923739682576897</v>
      </c>
      <c r="M8" s="63">
        <f>股权价值增加表!M31/资产资本表!M70</f>
        <v>0.54524942051846836</v>
      </c>
      <c r="N8" s="63">
        <f>股权价值增加表!N31/资产资本表!N70</f>
        <v>0.41068964689836696</v>
      </c>
      <c r="O8" s="63">
        <f>股权价值增加表!O31/资产资本表!O70</f>
        <v>0.36309354474765698</v>
      </c>
      <c r="P8" s="63">
        <f>股权价值增加表!P31/资产资本表!P70</f>
        <v>0.34592003564368362</v>
      </c>
      <c r="Q8" s="63">
        <f>股权价值增加表!Q31/资产资本表!Q70</f>
        <v>0.31483386631238441</v>
      </c>
      <c r="R8" s="63">
        <f>股权价值增加表!R31/资产资本表!R70</f>
        <v>0.21556014187398995</v>
      </c>
      <c r="S8" s="63">
        <f>股权价值增加表!S31/资产资本表!S70</f>
        <v>0.22093258973465427</v>
      </c>
      <c r="T8" s="63" t="e">
        <f>股权价值增加表!T31/资产资本表!T70</f>
        <v>#DIV/0!</v>
      </c>
      <c r="U8" s="63" t="e">
        <f>股权价值增加表!U31/资产资本表!U70</f>
        <v>#DIV/0!</v>
      </c>
      <c r="V8" s="63" t="e">
        <f>股权价值增加表!V31/资产资本表!V70</f>
        <v>#DIV/0!</v>
      </c>
      <c r="W8" s="63" t="e">
        <f>股权价值增加表!W31/资产资本表!W70</f>
        <v>#DIV/0!</v>
      </c>
      <c r="X8" s="63" t="e">
        <f>股权价值增加表!X31/资产资本表!X70</f>
        <v>#DIV/0!</v>
      </c>
      <c r="Y8" s="63" t="e">
        <f>股权价值增加表!Y31/资产资本表!Y70</f>
        <v>#DIV/0!</v>
      </c>
      <c r="Z8" s="63" t="e">
        <f>股权价值增加表!Z31/资产资本表!Z70</f>
        <v>#DIV/0!</v>
      </c>
      <c r="AA8" s="63" t="e">
        <f>股权价值增加表!AA31/资产资本表!AA70</f>
        <v>#DIV/0!</v>
      </c>
      <c r="AB8" s="63" t="e">
        <f>股权价值增加表!AB31/资产资本表!AB70</f>
        <v>#DIV/0!</v>
      </c>
      <c r="AC8" s="63" t="e">
        <f>股权价值增加表!AC31/资产资本表!AC70</f>
        <v>#DIV/0!</v>
      </c>
      <c r="AD8" s="63" t="e">
        <f>股权价值增加表!AD31/资产资本表!AD70</f>
        <v>#DIV/0!</v>
      </c>
      <c r="AE8" s="63" t="e">
        <f>股权价值增加表!AE31/资产资本表!AE70</f>
        <v>#DIV/0!</v>
      </c>
      <c r="AF8" s="63" t="e">
        <f>股权价值增加表!AF31/资产资本表!AF70</f>
        <v>#DIV/0!</v>
      </c>
      <c r="AG8" s="63" t="e">
        <f>股权价值增加表!AG31/资产资本表!AG70</f>
        <v>#DIV/0!</v>
      </c>
      <c r="AH8" s="63" t="e">
        <f>股权价值增加表!AH31/资产资本表!AH70</f>
        <v>#DIV/0!</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c r="A9" s="156" t="s">
        <v>319</v>
      </c>
      <c r="B9" s="156">
        <f>股权价值增加表!B38/股权价值增加表!B31</f>
        <v>1.0000737265323811</v>
      </c>
      <c r="C9" s="156">
        <f>股权价值增加表!C38/股权价值增加表!C31</f>
        <v>1.0015479938369953</v>
      </c>
      <c r="D9" s="156">
        <f>股权价值增加表!D38/股权价值增加表!D31</f>
        <v>1.0014562704191343</v>
      </c>
      <c r="E9" s="156">
        <f>股权价值增加表!E38/股权价值增加表!E31</f>
        <v>1.0003093921320743</v>
      </c>
      <c r="F9" s="156">
        <f>股权价值增加表!F38/股权价值增加表!F31</f>
        <v>1.0058151944383653</v>
      </c>
      <c r="G9" s="156">
        <f>股权价值增加表!G38/股权价值增加表!G31</f>
        <v>1.0205384755995506</v>
      </c>
      <c r="H9" s="156">
        <f>股权价值增加表!H38/股权价值增加表!H31</f>
        <v>1.0230289900888609</v>
      </c>
      <c r="I9" s="156">
        <f>股权价值增加表!I38/股权价值增加表!I31</f>
        <v>1.0231662083533632</v>
      </c>
      <c r="J9" s="156">
        <f>股权价值增加表!J38/股权价值增加表!J31</f>
        <v>1.0252764209214125</v>
      </c>
      <c r="K9" s="156">
        <f>股权价值增加表!K38/股权价值增加表!K31</f>
        <v>1.0224715450214217</v>
      </c>
      <c r="L9" s="156">
        <f>股权价值增加表!L38/股权价值增加表!L31</f>
        <v>1.0194027348749612</v>
      </c>
      <c r="M9" s="156">
        <f>股权价值增加表!M38/股权价值增加表!M31</f>
        <v>0.98571335947317451</v>
      </c>
      <c r="N9" s="156">
        <f>股权价值增加表!N38/股权价值增加表!N31</f>
        <v>1.0102629490669031</v>
      </c>
      <c r="O9" s="156">
        <f>股权价值增加表!O38/股权价值增加表!O31</f>
        <v>1.0170899058849789</v>
      </c>
      <c r="P9" s="156">
        <f>股权价值增加表!P38/股权价值增加表!P31</f>
        <v>1.0177471199694148</v>
      </c>
      <c r="Q9" s="156">
        <f>股权价值增加表!Q38/股权价值增加表!Q31</f>
        <v>0.89182022640864111</v>
      </c>
      <c r="R9" s="156">
        <f>股权价值增加表!R38/股权价值增加表!R31</f>
        <v>1.0276381012843041</v>
      </c>
      <c r="S9" s="156">
        <f>股权价值增加表!S38/股权价值增加表!S31</f>
        <v>1.0095472431845871</v>
      </c>
      <c r="T9" s="156">
        <f>股权价值增加表!T38/股权价值增加表!T31</f>
        <v>18.903400578073089</v>
      </c>
      <c r="U9" s="156">
        <f>股权价值增加表!U38/股权价值增加表!U31</f>
        <v>5.520773574451706E-2</v>
      </c>
      <c r="V9" s="156">
        <f>股权价值增加表!V38/股权价值增加表!V31</f>
        <v>143.54962281727575</v>
      </c>
      <c r="W9" s="156">
        <f>股权价值增加表!W38/股权价值增加表!W31</f>
        <v>115.22818295016612</v>
      </c>
      <c r="X9" s="156">
        <f>股权价值增加表!X38/股权价值增加表!X31</f>
        <v>80.33240312624585</v>
      </c>
      <c r="Y9" s="156">
        <f>股权价值增加表!Y38/股权价值增加表!Y31</f>
        <v>0.27051489241189886</v>
      </c>
      <c r="Z9" s="156">
        <f>股权价值增加表!Z38/股权价值增加表!Z31</f>
        <v>136.65646418754531</v>
      </c>
      <c r="AA9" s="156">
        <f>股权价值增加表!AA38/股权价值增加表!AA31</f>
        <v>96.856017890920796</v>
      </c>
      <c r="AB9" s="156">
        <f>股权价值增加表!AB38/股权价值增加表!AB31</f>
        <v>61.324118459679376</v>
      </c>
      <c r="AC9" s="156">
        <f>股权价值增加表!AC38/股权价值增加表!AC31</f>
        <v>0.27346779007604011</v>
      </c>
      <c r="AD9" s="156">
        <f>股权价值增加表!AD38/股权价值增加表!AD31</f>
        <v>104.68060801655336</v>
      </c>
      <c r="AE9" s="156">
        <f>股权价值增加表!AE38/股权价值增加表!AE31</f>
        <v>67.209743998784106</v>
      </c>
      <c r="AF9" s="156">
        <f>股权价值增加表!AF38/股权价值增加表!AF31</f>
        <v>47.578615732832787</v>
      </c>
      <c r="AG9" s="156">
        <f>股权价值增加表!AG38/股权价值增加表!AG31</f>
        <v>0.30159435432555648</v>
      </c>
      <c r="AH9" s="156">
        <f>股权价值增加表!AH38/股权价值增加表!AH31</f>
        <v>377.45672083999574</v>
      </c>
      <c r="AI9" s="156">
        <f>股权价值增加表!AI38/股权价值增加表!AI31</f>
        <v>366.43532070250137</v>
      </c>
      <c r="AJ9" s="156">
        <f>股权价值增加表!AJ38/股权价值增加表!AJ31</f>
        <v>354.1225394089542</v>
      </c>
      <c r="AK9" s="156" t="e">
        <f>股权价值增加表!AK38/股权价值增加表!AK31</f>
        <v>#DIV/0!</v>
      </c>
      <c r="AL9" s="156">
        <f>股权价值增加表!AL38/股权价值增加表!AL31</f>
        <v>111.49354543992268</v>
      </c>
      <c r="AM9" s="156">
        <f>股权价值增加表!AM38/股权价值增加表!AM31</f>
        <v>94.022706516359378</v>
      </c>
      <c r="AN9" s="156">
        <f>股权价值增加表!AN38/股权价值增加表!AN31</f>
        <v>120.46795978798289</v>
      </c>
      <c r="AO9" s="156">
        <f>股权价值增加表!AO38/股权价值增加表!AO31</f>
        <v>271.05695285227932</v>
      </c>
      <c r="AP9" s="156">
        <f>股权价值增加表!AP38/股权价值增加表!AP31</f>
        <v>78.519958653809795</v>
      </c>
      <c r="AQ9" s="156">
        <f>股权价值增加表!AQ38/股权价值增加表!AQ31</f>
        <v>61.892623703087125</v>
      </c>
      <c r="AR9" s="156">
        <f>股权价值增加表!AR38/股权价值增加表!AR31</f>
        <v>65.050190404110538</v>
      </c>
      <c r="AS9" s="156">
        <f>股权价值增加表!AS38/股权价值增加表!AS31</f>
        <v>95.697137211383577</v>
      </c>
      <c r="AT9" s="156">
        <f>股权价值增加表!AT38/股权价值增加表!AT31</f>
        <v>25.652924295435138</v>
      </c>
      <c r="AU9" s="156">
        <f>股权价值增加表!AU38/股权价值增加表!AU31</f>
        <v>45.372367823710682</v>
      </c>
      <c r="AV9" s="156">
        <f>股权价值增加表!AV38/股权价值增加表!AV31</f>
        <v>39.334960311646029</v>
      </c>
      <c r="AW9" s="156" t="e">
        <f>股权价值增加表!AW38/股权价值增加表!AW31</f>
        <v>#DIV/0!</v>
      </c>
      <c r="AX9" s="156">
        <f>股权价值增加表!AX38/股权价值增加表!AX31</f>
        <v>9.3866458164791648</v>
      </c>
      <c r="AY9" s="156">
        <f>股权价值增加表!AY38/股权价值增加表!AY31</f>
        <v>101.1763897704828</v>
      </c>
      <c r="AZ9" s="156">
        <f>股权价值增加表!AZ38/股权价值增加表!AZ31</f>
        <v>47.375306780832624</v>
      </c>
      <c r="BA9" s="156" t="e">
        <f>股权价值增加表!BA38/股权价值增加表!BA31</f>
        <v>#DIV/0!</v>
      </c>
      <c r="BB9" s="156">
        <f>股权价值增加表!BB38/股权价值增加表!BB31</f>
        <v>76.392738722141843</v>
      </c>
      <c r="BC9" s="156">
        <f>股权价值增加表!BC38/股权价值增加表!BC31</f>
        <v>600.78775734951557</v>
      </c>
      <c r="BD9" s="156">
        <f>股权价值增加表!BD38/股权价值增加表!BD31</f>
        <v>342.84171626634873</v>
      </c>
      <c r="BE9" s="156">
        <f>股权价值增加表!BE38/股权价值增加表!BE31</f>
        <v>-18.96670560262093</v>
      </c>
      <c r="BF9" s="156">
        <f>股权价值增加表!BF38/股权价值增加表!BF31</f>
        <v>83.503299221608216</v>
      </c>
      <c r="BG9" s="156" t="e">
        <f>股权价值增加表!BG38/股权价值增加表!BG31</f>
        <v>#DIV/0!</v>
      </c>
      <c r="BH9" s="156" t="e">
        <f>股权价值增加表!BH38/股权价值增加表!BH31</f>
        <v>#DIV/0!</v>
      </c>
      <c r="BI9" s="156" t="e">
        <f>股权价值增加表!BI38/股权价值增加表!BI31</f>
        <v>#DIV/0!</v>
      </c>
      <c r="BJ9" s="156" t="e">
        <f>股权价值增加表!BJ38/股权价值增加表!BJ31</f>
        <v>#DIV/0!</v>
      </c>
      <c r="BK9" s="156" t="e">
        <f>股权价值增加表!BK38/股权价值增加表!BK31</f>
        <v>#DIV/0!</v>
      </c>
      <c r="BL9" s="156" t="e">
        <f>股权价值增加表!BL38/股权价值增加表!BL31</f>
        <v>#DIV/0!</v>
      </c>
      <c r="BM9" s="156" t="e">
        <f>股权价值增加表!BM38/股权价值增加表!BM31</f>
        <v>#DIV/0!</v>
      </c>
      <c r="BN9" s="156" t="e">
        <f>股权价值增加表!BN38/股权价值增加表!BN31</f>
        <v>#DIV/0!</v>
      </c>
      <c r="BO9" s="156" t="e">
        <f>股权价值增加表!BO38/股权价值增加表!BO31</f>
        <v>#DIV/0!</v>
      </c>
      <c r="BP9" s="156" t="e">
        <f>股权价值增加表!BP38/股权价值增加表!BP31</f>
        <v>#DIV/0!</v>
      </c>
      <c r="BQ9" s="156" t="e">
        <f>股权价值增加表!BQ38/股权价值增加表!BQ31</f>
        <v>#DIV/0!</v>
      </c>
      <c r="BR9" s="156" t="e">
        <f>股权价值增加表!BR38/股权价值增加表!BR31</f>
        <v>#DIV/0!</v>
      </c>
      <c r="BS9" s="156" t="e">
        <f>股权价值增加表!BS38/股权价值增加表!BS31</f>
        <v>#DIV/0!</v>
      </c>
      <c r="BT9" s="156" t="e">
        <f>股权价值增加表!BT38/股权价值增加表!BT31</f>
        <v>#DIV/0!</v>
      </c>
      <c r="BU9" s="156" t="e">
        <f>股权价值增加表!BU38/股权价值增加表!BU31</f>
        <v>#DIV/0!</v>
      </c>
      <c r="BV9" s="156" t="e">
        <f>股权价值增加表!BV38/股权价值增加表!BV31</f>
        <v>#DIV/0!</v>
      </c>
      <c r="BW9" s="156" t="e">
        <f>股权价值增加表!BW38/股权价值增加表!BW31</f>
        <v>#DIV/0!</v>
      </c>
      <c r="BX9" s="156" t="e">
        <f>股权价值增加表!BX38/股权价值增加表!BX31</f>
        <v>#DIV/0!</v>
      </c>
      <c r="BY9" s="156" t="e">
        <f>股权价值增加表!BY38/股权价值增加表!BY31</f>
        <v>#DIV/0!</v>
      </c>
      <c r="BZ9" s="156" t="e">
        <f>股权价值增加表!BZ38/股权价值增加表!BZ31</f>
        <v>#DIV/0!</v>
      </c>
      <c r="CA9" s="156" t="e">
        <f>股权价值增加表!CA38/股权价值增加表!CA31</f>
        <v>#DIV/0!</v>
      </c>
      <c r="CB9" s="156" t="e">
        <f>股权价值增加表!CB38/股权价值增加表!CB31</f>
        <v>#DIV/0!</v>
      </c>
      <c r="CC9" s="156" t="e">
        <f>股权价值增加表!CC38/股权价值增加表!CC31</f>
        <v>#DIV/0!</v>
      </c>
      <c r="CD9" s="156" t="e">
        <f>股权价值增加表!CD38/股权价值增加表!CD31</f>
        <v>#DIV/0!</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c r="A10" s="237" t="s">
        <v>320</v>
      </c>
      <c r="B10" s="61">
        <f>资产资本表!B70/资产资本表!B107</f>
        <v>1.1003405038109628</v>
      </c>
      <c r="C10" s="61">
        <f>资产资本表!C70/资产资本表!C107</f>
        <v>1.1088618923305325</v>
      </c>
      <c r="D10" s="61">
        <f>资产资本表!D70/资产资本表!D107</f>
        <v>1.1365305058657733</v>
      </c>
      <c r="E10" s="61">
        <f>资产资本表!E70/资产资本表!E107</f>
        <v>1.0902182620922396</v>
      </c>
      <c r="F10" s="61">
        <f>资产资本表!F70/资产资本表!F107</f>
        <v>1.0014087054281631</v>
      </c>
      <c r="G10" s="61">
        <f>资产资本表!G70/资产资本表!G107</f>
        <v>1.0006205404978745</v>
      </c>
      <c r="H10" s="61">
        <f>资产资本表!H70/资产资本表!H107</f>
        <v>1</v>
      </c>
      <c r="I10" s="61">
        <f>资产资本表!I70/资产资本表!I107</f>
        <v>1.0000000000000002</v>
      </c>
      <c r="J10" s="61">
        <f>资产资本表!J70/资产资本表!J107</f>
        <v>1.0171749152686358</v>
      </c>
      <c r="K10" s="61">
        <f>资产资本表!K70/资产资本表!K107</f>
        <v>1.0093647101131067</v>
      </c>
      <c r="L10" s="61">
        <f>资产资本表!L70/资产资本表!L107</f>
        <v>1</v>
      </c>
      <c r="M10" s="61">
        <f>资产资本表!M70/资产资本表!M107</f>
        <v>1.0049955405119619</v>
      </c>
      <c r="N10" s="61">
        <f>资产资本表!N70/资产资本表!N107</f>
        <v>0.99999999999999989</v>
      </c>
      <c r="O10" s="61">
        <f>资产资本表!O70/资产资本表!O107</f>
        <v>1.007202434027783</v>
      </c>
      <c r="P10" s="61">
        <f>资产资本表!P70/资产资本表!P107</f>
        <v>1.004136131960657</v>
      </c>
      <c r="Q10" s="61">
        <f>资产资本表!Q70/资产资本表!Q107</f>
        <v>1.0003494559692496</v>
      </c>
      <c r="R10" s="61">
        <f>资产资本表!R70/资产资本表!R107</f>
        <v>1.0273695192576691</v>
      </c>
      <c r="S10" s="61">
        <f>资产资本表!S70/资产资本表!S107</f>
        <v>1.0756586682966898</v>
      </c>
      <c r="T10" s="61">
        <f>资产资本表!T70/资产资本表!T107</f>
        <v>0</v>
      </c>
      <c r="U10" s="61">
        <f>资产资本表!U70/资产资本表!U107</f>
        <v>0</v>
      </c>
      <c r="V10" s="61">
        <f>资产资本表!V70/资产资本表!V107</f>
        <v>0</v>
      </c>
      <c r="W10" s="61">
        <f>资产资本表!W70/资产资本表!W107</f>
        <v>0</v>
      </c>
      <c r="X10" s="61">
        <f>资产资本表!X70/资产资本表!X107</f>
        <v>0</v>
      </c>
      <c r="Y10" s="61">
        <f>资产资本表!Y70/资产资本表!Y107</f>
        <v>0</v>
      </c>
      <c r="Z10" s="61">
        <f>资产资本表!Z70/资产资本表!Z107</f>
        <v>0</v>
      </c>
      <c r="AA10" s="61">
        <f>资产资本表!AA70/资产资本表!AA107</f>
        <v>0</v>
      </c>
      <c r="AB10" s="61">
        <f>资产资本表!AB70/资产资本表!AB107</f>
        <v>0</v>
      </c>
      <c r="AC10" s="61">
        <f>资产资本表!AC70/资产资本表!AC107</f>
        <v>0</v>
      </c>
      <c r="AD10" s="61">
        <f>资产资本表!AD70/资产资本表!AD107</f>
        <v>0</v>
      </c>
      <c r="AE10" s="61">
        <f>资产资本表!AE70/资产资本表!AE107</f>
        <v>0</v>
      </c>
      <c r="AF10" s="61">
        <f>资产资本表!AF70/资产资本表!AF107</f>
        <v>0</v>
      </c>
      <c r="AG10" s="61">
        <f>资产资本表!AG70/资产资本表!AG107</f>
        <v>0</v>
      </c>
      <c r="AH10" s="61">
        <f>资产资本表!AH70/资产资本表!AH107</f>
        <v>0</v>
      </c>
      <c r="AI10" s="61">
        <f>资产资本表!AI70/资产资本表!AI107</f>
        <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t="e">
        <f>资产资本表!BW70/资产资本表!BW107</f>
        <v>#DIV/0!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326</v>
      </c>
      <c r="B11" s="28">
        <f t="shared" ref="B11:D11" si="3">B9*B10</f>
        <v>1.1004216281007473</v>
      </c>
      <c r="C11" s="28">
        <f t="shared" si="3"/>
        <v>1.1105784037059392</v>
      </c>
      <c r="D11" s="28">
        <f t="shared" si="3"/>
        <v>1.1381856016219094</v>
      </c>
      <c r="E11" s="28">
        <f>E9*E10</f>
        <v>1.0905555670447746</v>
      </c>
      <c r="F11" s="28">
        <f t="shared" ref="F11:BQ11" si="4">F9*F10</f>
        <v>1.0072320917624995</v>
      </c>
      <c r="G11" s="28">
        <f t="shared" si="4"/>
        <v>1.0211717610532993</v>
      </c>
      <c r="H11" s="28">
        <f t="shared" si="4"/>
        <v>1.0230289900888609</v>
      </c>
      <c r="I11" s="28">
        <f t="shared" si="4"/>
        <v>1.0231662083533635</v>
      </c>
      <c r="J11" s="28">
        <f t="shared" si="4"/>
        <v>1.042885456577668</v>
      </c>
      <c r="K11" s="28">
        <f t="shared" si="4"/>
        <v>1.0320466946394475</v>
      </c>
      <c r="L11" s="28">
        <f t="shared" si="4"/>
        <v>1.0194027348749612</v>
      </c>
      <c r="M11" s="28">
        <f t="shared" si="4"/>
        <v>0.99063753049360481</v>
      </c>
      <c r="N11" s="28">
        <f t="shared" si="4"/>
        <v>1.0102629490669028</v>
      </c>
      <c r="O11" s="28">
        <f t="shared" si="4"/>
        <v>1.0244154288324394</v>
      </c>
      <c r="P11" s="28">
        <f t="shared" si="4"/>
        <v>1.021956656360187</v>
      </c>
      <c r="Q11" s="28">
        <f t="shared" si="4"/>
        <v>0.8921318783102572</v>
      </c>
      <c r="R11" s="28">
        <f t="shared" si="4"/>
        <v>1.0557640620873194</v>
      </c>
      <c r="S11" s="28">
        <f t="shared" si="4"/>
        <v>1.0859282431865274</v>
      </c>
      <c r="T11" s="28">
        <f t="shared" si="4"/>
        <v>0</v>
      </c>
      <c r="U11" s="28">
        <f t="shared" si="4"/>
        <v>0</v>
      </c>
      <c r="V11" s="28">
        <f t="shared" si="4"/>
        <v>0</v>
      </c>
      <c r="W11" s="28">
        <f t="shared" si="4"/>
        <v>0</v>
      </c>
      <c r="X11" s="28">
        <f t="shared" si="4"/>
        <v>0</v>
      </c>
      <c r="Y11" s="28">
        <f t="shared" si="4"/>
        <v>0</v>
      </c>
      <c r="Z11" s="28">
        <f t="shared" si="4"/>
        <v>0</v>
      </c>
      <c r="AA11" s="28">
        <f t="shared" si="4"/>
        <v>0</v>
      </c>
      <c r="AB11" s="28">
        <f t="shared" si="4"/>
        <v>0</v>
      </c>
      <c r="AC11" s="28">
        <f t="shared" si="4"/>
        <v>0</v>
      </c>
      <c r="AD11" s="28">
        <f t="shared" si="4"/>
        <v>0</v>
      </c>
      <c r="AE11" s="28">
        <f t="shared" si="4"/>
        <v>0</v>
      </c>
      <c r="AF11" s="28">
        <f t="shared" si="4"/>
        <v>0</v>
      </c>
      <c r="AG11" s="28">
        <f t="shared" si="4"/>
        <v>0</v>
      </c>
      <c r="AH11" s="28">
        <f t="shared" si="4"/>
        <v>0</v>
      </c>
      <c r="AI11" s="28">
        <f t="shared" si="4"/>
        <v>0</v>
      </c>
      <c r="AJ11" s="28">
        <f t="shared" si="4"/>
        <v>0</v>
      </c>
      <c r="AK11" s="28" t="e">
        <f t="shared" si="4"/>
        <v>#DIV/0!</v>
      </c>
      <c r="AL11" s="28">
        <f t="shared" si="4"/>
        <v>0</v>
      </c>
      <c r="AM11" s="28">
        <f t="shared" si="4"/>
        <v>0</v>
      </c>
      <c r="AN11" s="28">
        <f t="shared" si="4"/>
        <v>0</v>
      </c>
      <c r="AO11" s="28">
        <f t="shared" si="4"/>
        <v>0</v>
      </c>
      <c r="AP11" s="28">
        <f t="shared" si="4"/>
        <v>0</v>
      </c>
      <c r="AQ11" s="28">
        <f t="shared" si="4"/>
        <v>0</v>
      </c>
      <c r="AR11" s="28">
        <f t="shared" si="4"/>
        <v>0</v>
      </c>
      <c r="AS11" s="28">
        <f t="shared" si="4"/>
        <v>0</v>
      </c>
      <c r="AT11" s="28">
        <f t="shared" si="4"/>
        <v>0</v>
      </c>
      <c r="AU11" s="28">
        <f t="shared" si="4"/>
        <v>0</v>
      </c>
      <c r="AV11" s="28">
        <f t="shared" si="4"/>
        <v>0</v>
      </c>
      <c r="AW11" s="28" t="e">
        <f t="shared" si="4"/>
        <v>#DIV/0!</v>
      </c>
      <c r="AX11" s="28">
        <f t="shared" si="4"/>
        <v>0</v>
      </c>
      <c r="AY11" s="28">
        <f t="shared" si="4"/>
        <v>0</v>
      </c>
      <c r="AZ11" s="28">
        <f t="shared" si="4"/>
        <v>0</v>
      </c>
      <c r="BA11" s="28" t="e">
        <f t="shared" si="4"/>
        <v>#DIV/0!</v>
      </c>
      <c r="BB11" s="28">
        <f t="shared" si="4"/>
        <v>0</v>
      </c>
      <c r="BC11" s="28">
        <f t="shared" si="4"/>
        <v>0</v>
      </c>
      <c r="BD11" s="28">
        <f t="shared" si="4"/>
        <v>0</v>
      </c>
      <c r="BE11" s="28">
        <f t="shared" si="4"/>
        <v>0</v>
      </c>
      <c r="BF11" s="28">
        <f t="shared" si="4"/>
        <v>0</v>
      </c>
      <c r="BG11" s="28" t="e">
        <f t="shared" si="4"/>
        <v>#DIV/0!</v>
      </c>
      <c r="BH11" s="28" t="e">
        <f t="shared" si="4"/>
        <v>#DIV/0!</v>
      </c>
      <c r="BI11" s="28" t="e">
        <f t="shared" si="4"/>
        <v>#DIV/0!</v>
      </c>
      <c r="BJ11" s="28" t="e">
        <f t="shared" si="4"/>
        <v>#DIV/0!</v>
      </c>
      <c r="BK11" s="28" t="e">
        <f t="shared" si="4"/>
        <v>#DIV/0!</v>
      </c>
      <c r="BL11" s="28" t="e">
        <f t="shared" si="4"/>
        <v>#DIV/0!</v>
      </c>
      <c r="BM11" s="28" t="e">
        <f t="shared" si="4"/>
        <v>#DIV/0!</v>
      </c>
      <c r="BN11" s="28" t="e">
        <f t="shared" si="4"/>
        <v>#DIV/0!</v>
      </c>
      <c r="BO11" s="28" t="e">
        <f t="shared" si="4"/>
        <v>#DIV/0!</v>
      </c>
      <c r="BP11" s="28" t="e">
        <f t="shared" si="4"/>
        <v>#DIV/0!</v>
      </c>
      <c r="BQ11" s="28" t="e">
        <f t="shared" si="4"/>
        <v>#DIV/0!</v>
      </c>
      <c r="BR11" s="28" t="e">
        <f t="shared" ref="BR11:CJ11" si="5">BR9*BR10</f>
        <v>#DIV/0!</v>
      </c>
      <c r="BS11" s="28" t="e">
        <f t="shared" si="5"/>
        <v>#DIV/0!</v>
      </c>
      <c r="BT11" s="28" t="e">
        <f t="shared" si="5"/>
        <v>#DIV/0!</v>
      </c>
      <c r="BU11" s="28" t="e">
        <f t="shared" si="5"/>
        <v>#DIV/0!</v>
      </c>
      <c r="BV11" s="28" t="e">
        <f t="shared" si="5"/>
        <v>#DIV/0!</v>
      </c>
      <c r="BW11" s="28" t="e">
        <f t="shared" si="5"/>
        <v>#DIV/0!</v>
      </c>
      <c r="BX11" s="28" t="e">
        <f t="shared" si="5"/>
        <v>#DIV/0!</v>
      </c>
      <c r="BY11" s="28" t="e">
        <f t="shared" si="5"/>
        <v>#DIV/0!</v>
      </c>
      <c r="BZ11" s="28" t="e">
        <f t="shared" si="5"/>
        <v>#DIV/0!</v>
      </c>
      <c r="CA11" s="28" t="e">
        <f t="shared" si="5"/>
        <v>#DIV/0!</v>
      </c>
      <c r="CB11" s="28" t="e">
        <f t="shared" si="5"/>
        <v>#DIV/0!</v>
      </c>
      <c r="CC11" s="28" t="e">
        <f t="shared" si="5"/>
        <v>#DIV/0!</v>
      </c>
      <c r="CD11" s="28" t="e">
        <f t="shared" si="5"/>
        <v>#DIV/0!</v>
      </c>
      <c r="CE11" s="28">
        <f t="shared" si="5"/>
        <v>0</v>
      </c>
      <c r="CF11" s="28">
        <f t="shared" si="5"/>
        <v>0</v>
      </c>
      <c r="CG11" s="28" t="e">
        <f t="shared" si="5"/>
        <v>#DIV/0!</v>
      </c>
      <c r="CH11" s="28" t="e">
        <f t="shared" si="5"/>
        <v>#DIV/0!</v>
      </c>
      <c r="CI11" s="28" t="e">
        <f t="shared" si="5"/>
        <v>#DIV/0!</v>
      </c>
      <c r="CJ11" s="28" t="e">
        <f t="shared" si="5"/>
        <v>#DIV/0!</v>
      </c>
    </row>
    <row r="12" spans="1:89" s="156" customFormat="1">
      <c r="A12" s="156" t="s">
        <v>321</v>
      </c>
      <c r="B12" s="156">
        <f>B2/股权价值增加表!B38</f>
        <v>0.72587449805855564</v>
      </c>
      <c r="C12" s="156">
        <f>C2/股权价值增加表!C38</f>
        <v>0.72987807868995969</v>
      </c>
      <c r="D12" s="156">
        <f>D2/股权价值增加表!D38</f>
        <v>0.73552931058569671</v>
      </c>
      <c r="E12" s="156">
        <f>E2/股权价值增加表!E38</f>
        <v>0.73924990552740577</v>
      </c>
      <c r="F12" s="156">
        <f>F2/股权价值增加表!F38</f>
        <v>0.73645212804364746</v>
      </c>
      <c r="G12" s="156">
        <f>G2/股权价值增加表!G38</f>
        <v>0.74354243975524636</v>
      </c>
      <c r="H12" s="156">
        <f>H2/股权价值增加表!H38</f>
        <v>0.74909534115041554</v>
      </c>
      <c r="I12" s="156">
        <f>I2/股权价值增加表!I38</f>
        <v>0.74992959983723928</v>
      </c>
      <c r="J12" s="156">
        <f>J2/股权价值增加表!J38</f>
        <v>0.74552510657232174</v>
      </c>
      <c r="K12" s="156">
        <f>K2/股权价值增加表!K38</f>
        <v>0.74876393056824009</v>
      </c>
      <c r="L12" s="156">
        <f>L2/股权价值增加表!L38</f>
        <v>0.74290362078595906</v>
      </c>
      <c r="M12" s="156">
        <f>M2/股权价值增加表!M38</f>
        <v>0.65578812756167704</v>
      </c>
      <c r="N12" s="156">
        <f>N2/股权价值增加表!N38</f>
        <v>0.63259155209141427</v>
      </c>
      <c r="O12" s="156">
        <f>O2/股权价值增加表!O38</f>
        <v>0.60882967634143004</v>
      </c>
      <c r="P12" s="156">
        <f>P2/股权价值增加表!P38</f>
        <v>0.57301074729734525</v>
      </c>
      <c r="Q12" s="156">
        <f>Q2/股权价值增加表!Q38</f>
        <v>0.62192289079284713</v>
      </c>
      <c r="R12" s="156">
        <f>R2/股权价值增加表!R38</f>
        <v>0.60449220378615853</v>
      </c>
      <c r="S12" s="156">
        <f>S2/股权价值增加表!S38</f>
        <v>0.56372161444102342</v>
      </c>
      <c r="T12" s="156">
        <f>T2/股权价值增加表!T38</f>
        <v>-43.967931387719553</v>
      </c>
      <c r="U12" s="156">
        <f>U2/股权价值增加表!U38</f>
        <v>-56.38786647431651</v>
      </c>
      <c r="V12" s="156">
        <f>V2/股权价值增加表!V38</f>
        <v>-11.653687547729666</v>
      </c>
      <c r="W12" s="156">
        <f>W2/股权价值增加表!W38</f>
        <v>-10.547827379858932</v>
      </c>
      <c r="X12" s="156">
        <f>X2/股权价值增加表!X38</f>
        <v>-9.3576751443445048</v>
      </c>
      <c r="Y12" s="156">
        <f>Y2/股权价值增加表!Y38</f>
        <v>-10.802773065541022</v>
      </c>
      <c r="Z12" s="156">
        <f>Z2/股权价值增加表!Z38</f>
        <v>-10.064065559835152</v>
      </c>
      <c r="AA12" s="156">
        <f>AA2/股权价值增加表!AA38</f>
        <v>-11.134597073444574</v>
      </c>
      <c r="AB12" s="156">
        <f>AB2/股权价值增加表!AB38</f>
        <v>-11.880631687292942</v>
      </c>
      <c r="AC12" s="156">
        <f>AC2/股权价值增加表!AC38</f>
        <v>-9.8962533679387583</v>
      </c>
      <c r="AD12" s="156">
        <f>AD2/股权价值增加表!AD38</f>
        <v>-7.7095063965958675</v>
      </c>
      <c r="AE12" s="156">
        <f>AE2/股权价值增加表!AE38</f>
        <v>-9.6232716280027315</v>
      </c>
      <c r="AF12" s="156">
        <f>AF2/股权价值增加表!AF38</f>
        <v>-10.316304606543675</v>
      </c>
      <c r="AG12" s="156">
        <f>AG2/股权价值增加表!AG38</f>
        <v>-11.43957254285114</v>
      </c>
      <c r="AH12" s="156">
        <f>AH2/股权价值增加表!AH38</f>
        <v>-9.2948073563705531</v>
      </c>
      <c r="AI12" s="156">
        <f>AI2/股权价值增加表!AI38</f>
        <v>-9.7814883432726756</v>
      </c>
      <c r="AJ12" s="156">
        <f>AJ2/股权价值增加表!AJ38</f>
        <v>-10.023218191417721</v>
      </c>
      <c r="AK12" s="156">
        <f>AK2/股权价值增加表!AK38</f>
        <v>-8.6955060851490309</v>
      </c>
      <c r="AL12" s="156">
        <f>AL2/股权价值增加表!AL38</f>
        <v>-10.328892891988181</v>
      </c>
      <c r="AM12" s="156">
        <f>AM2/股权价值增加表!AM38</f>
        <v>-13.502719172613913</v>
      </c>
      <c r="AN12" s="156">
        <f>AN2/股权价值增加表!AN38</f>
        <v>-10.03662590558605</v>
      </c>
      <c r="AO12" s="156">
        <f>AO2/股权价值增加表!AO38</f>
        <v>-4.2225287601536969</v>
      </c>
      <c r="AP12" s="156">
        <f>AP2/股权价值增加表!AP38</f>
        <v>-12.335591252568181</v>
      </c>
      <c r="AQ12" s="156">
        <f>AQ2/股权价值增加表!AQ38</f>
        <v>-16.399311085926136</v>
      </c>
      <c r="AR12" s="156">
        <f>AR2/股权价值增加表!AR38</f>
        <v>-15.728028193198773</v>
      </c>
      <c r="AS12" s="156">
        <f>AS2/股权价值增加表!AS38</f>
        <v>-6.6187754770241618</v>
      </c>
      <c r="AT12" s="156">
        <f>AT2/股权价值增加表!AT38</f>
        <v>-32.419532808820172</v>
      </c>
      <c r="AU12" s="156">
        <f>AU2/股权价值增加表!AU38</f>
        <v>-20.498423925473077</v>
      </c>
      <c r="AV12" s="156">
        <f>AV2/股权价值增加表!AV38</f>
        <v>-12.809221919527088</v>
      </c>
      <c r="AW12" s="156">
        <f>AW2/股权价值增加表!AW38</f>
        <v>-10.689914755452177</v>
      </c>
      <c r="AX12" s="156">
        <f>AX2/股权价值增加表!AX38</f>
        <v>-31.313891419596544</v>
      </c>
      <c r="AY12" s="156">
        <f>AY2/股权价值增加表!AY38</f>
        <v>-38.226505768972416</v>
      </c>
      <c r="AZ12" s="156">
        <f>AZ2/股权价值增加表!AZ38</f>
        <v>-48.395052120221578</v>
      </c>
      <c r="BA12" s="156">
        <f>BA2/股权价值增加表!BA38</f>
        <v>-71.339108369181943</v>
      </c>
      <c r="BB12" s="156">
        <f>BB2/股权价值增加表!BB38</f>
        <v>-21.975396358489046</v>
      </c>
      <c r="BC12" s="156">
        <f>BC2/股权价值增加表!BC38</f>
        <v>-28.204124360431027</v>
      </c>
      <c r="BD12" s="156">
        <f>BD2/股权价值增加表!BD38</f>
        <v>-30.247854798215396</v>
      </c>
      <c r="BE12" s="156">
        <f>BE2/股权价值增加表!BE38</f>
        <v>-47.764944728398483</v>
      </c>
      <c r="BF12" s="156">
        <f>BF2/股权价值增加表!BF38</f>
        <v>-23.1933841867355</v>
      </c>
      <c r="BG12" s="156">
        <f>BG2/股权价值增加表!BG38</f>
        <v>-14.14222124058721</v>
      </c>
      <c r="BH12" s="156">
        <f>BH2/股权价值增加表!BH38</f>
        <v>-19.651000182503786</v>
      </c>
      <c r="BI12" s="156">
        <f>BI2/股权价值增加表!BI38</f>
        <v>-18.242818597110379</v>
      </c>
      <c r="BJ12" s="156">
        <f>BJ2/股权价值增加表!BJ38</f>
        <v>-21.961740067063065</v>
      </c>
      <c r="BK12" s="156">
        <f>BK2/股权价值增加表!BK38</f>
        <v>-17.495487267442197</v>
      </c>
      <c r="BL12" s="156">
        <f>BL2/股权价值增加表!BL38</f>
        <v>-33.03050985602669</v>
      </c>
      <c r="BM12" s="156">
        <f>BM2/股权价值增加表!BM38</f>
        <v>-51.605607440007212</v>
      </c>
      <c r="BN12" s="156">
        <f>BN2/股权价值增加表!BN38</f>
        <v>-13.70574539703096</v>
      </c>
      <c r="BO12" s="156">
        <f>BO2/股权价值增加表!BO38</f>
        <v>-12.645680282025793</v>
      </c>
      <c r="BP12" s="156">
        <f>BP2/股权价值增加表!BP38</f>
        <v>-12.058566911559192</v>
      </c>
      <c r="BQ12" s="156">
        <f>BQ2/股权价值增加表!BQ38</f>
        <v>-45.659797778568581</v>
      </c>
      <c r="BR12" s="156">
        <f>BR2/股权价值增加表!BR38</f>
        <v>-45.133070341512529</v>
      </c>
      <c r="BS12" s="156">
        <f>BS2/股权价值增加表!BS38</f>
        <v>107.96211333146738</v>
      </c>
      <c r="BT12" s="156">
        <f>BT2/股权价值增加表!BT38</f>
        <v>29.377054674972978</v>
      </c>
      <c r="BU12" s="156">
        <f>BU2/股权价值增加表!BU38</f>
        <v>13.228309660750529</v>
      </c>
      <c r="BV12" s="156">
        <f>BV2/股权价值增加表!BV38</f>
        <v>2.7192981204029008</v>
      </c>
      <c r="BW12" s="156" t="e">
        <f>BW2/股权价值增加表!BW38</f>
        <v>#DIV/0!</v>
      </c>
      <c r="BX12" s="156">
        <f>BX2/股权价值增加表!BX38</f>
        <v>-5.948062846312304</v>
      </c>
      <c r="BY12" s="156">
        <f>BY2/股权价值增加表!BY38</f>
        <v>-5.0894858138564683</v>
      </c>
      <c r="BZ12" s="156">
        <f>BZ2/股权价值增加表!BZ38</f>
        <v>-10.640426755835241</v>
      </c>
      <c r="CA12" s="156">
        <f>CA2/股权价值增加表!CA38</f>
        <v>15.20372750495731</v>
      </c>
      <c r="CB12" s="156">
        <f>CB2/股权价值增加表!CB38</f>
        <v>8.8774211764848925</v>
      </c>
      <c r="CC12" s="156">
        <f>CC2/股权价值增加表!CC38</f>
        <v>9.6111449985966146</v>
      </c>
      <c r="CD12" s="156" t="e">
        <f>CD2/股权价值增加表!CD38</f>
        <v>#DIV/0!</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c r="A13" s="17" t="s">
        <v>322</v>
      </c>
      <c r="B13" s="63">
        <f>1-B2/股权价值增加表!B38</f>
        <v>0.27412550194144436</v>
      </c>
      <c r="C13" s="63">
        <f>1-C2/股权价值增加表!C38</f>
        <v>0.27012192131004031</v>
      </c>
      <c r="D13" s="63">
        <f>1-D2/股权价值增加表!D38</f>
        <v>0.26447068941430329</v>
      </c>
      <c r="E13" s="63">
        <f>1-E2/股权价值增加表!E38</f>
        <v>0.26075009447259423</v>
      </c>
      <c r="F13" s="63">
        <f>1-F2/股权价值增加表!F38</f>
        <v>0.26354787195635254</v>
      </c>
      <c r="G13" s="63">
        <f>1-G2/股权价值增加表!G38</f>
        <v>0.25645756024475364</v>
      </c>
      <c r="H13" s="63">
        <f>1-H2/股权价值增加表!H38</f>
        <v>0.25090465884958446</v>
      </c>
      <c r="I13" s="63">
        <f>1-I2/股权价值增加表!I38</f>
        <v>0.25007040016276072</v>
      </c>
      <c r="J13" s="63">
        <f>1-J2/股权价值增加表!J38</f>
        <v>0.25447489342767826</v>
      </c>
      <c r="K13" s="63">
        <f>1-K2/股权价值增加表!K38</f>
        <v>0.25123606943175991</v>
      </c>
      <c r="L13" s="63">
        <f>1-L2/股权价值增加表!L38</f>
        <v>0.25709637921404094</v>
      </c>
      <c r="M13" s="63">
        <f>1-M2/股权价值增加表!M38</f>
        <v>0.34421187243832296</v>
      </c>
      <c r="N13" s="63">
        <f>1-N2/股权价值增加表!N38</f>
        <v>0.36740844790858573</v>
      </c>
      <c r="O13" s="63">
        <f>1-O2/股权价值增加表!O38</f>
        <v>0.39117032365856996</v>
      </c>
      <c r="P13" s="63">
        <f>1-P2/股权价值增加表!P38</f>
        <v>0.42698925270265475</v>
      </c>
      <c r="Q13" s="63">
        <f>1-Q2/股权价值增加表!Q38</f>
        <v>0.37807710920715287</v>
      </c>
      <c r="R13" s="63">
        <f>1-R2/股权价值增加表!R38</f>
        <v>0.39550779621384147</v>
      </c>
      <c r="S13" s="63">
        <f>1-S2/股权价值增加表!S38</f>
        <v>0.43627838555897658</v>
      </c>
      <c r="T13" s="63">
        <f>1-T2/股权价值增加表!T38</f>
        <v>44.967931387719553</v>
      </c>
      <c r="U13" s="63">
        <f>1-U2/股权价值增加表!U38</f>
        <v>57.38786647431651</v>
      </c>
      <c r="V13" s="63">
        <f>1-V2/股权价值增加表!V38</f>
        <v>12.653687547729666</v>
      </c>
      <c r="W13" s="63">
        <f>1-W2/股权价值增加表!W38</f>
        <v>11.547827379858932</v>
      </c>
      <c r="X13" s="63">
        <f>1-X2/股权价值增加表!X38</f>
        <v>10.357675144344505</v>
      </c>
      <c r="Y13" s="63">
        <f>1-Y2/股权价值增加表!Y38</f>
        <v>11.802773065541022</v>
      </c>
      <c r="Z13" s="63">
        <f>1-Z2/股权价值增加表!Z38</f>
        <v>11.064065559835152</v>
      </c>
      <c r="AA13" s="63">
        <f>1-AA2/股权价值增加表!AA38</f>
        <v>12.134597073444574</v>
      </c>
      <c r="AB13" s="63">
        <f>1-AB2/股权价值增加表!AB38</f>
        <v>12.880631687292942</v>
      </c>
      <c r="AC13" s="63">
        <f>1-AC2/股权价值增加表!AC38</f>
        <v>10.896253367938758</v>
      </c>
      <c r="AD13" s="63">
        <f>1-AD2/股权价值增加表!AD38</f>
        <v>8.7095063965958666</v>
      </c>
      <c r="AE13" s="63">
        <f>1-AE2/股权价值增加表!AE38</f>
        <v>10.623271628002732</v>
      </c>
      <c r="AF13" s="63">
        <f>1-AF2/股权价值增加表!AF38</f>
        <v>11.316304606543675</v>
      </c>
      <c r="AG13" s="63">
        <f>1-AG2/股权价值增加表!AG38</f>
        <v>12.43957254285114</v>
      </c>
      <c r="AH13" s="63">
        <f>1-AH2/股权价值增加表!AH38</f>
        <v>10.294807356370553</v>
      </c>
      <c r="AI13" s="63">
        <f>1-AI2/股权价值增加表!AI38</f>
        <v>10.781488343272676</v>
      </c>
      <c r="AJ13" s="63">
        <f>1-AJ2/股权价值增加表!AJ38</f>
        <v>11.023218191417721</v>
      </c>
      <c r="AK13" s="63">
        <f>1-AK2/股权价值增加表!AK38</f>
        <v>9.6955060851490309</v>
      </c>
      <c r="AL13" s="63">
        <f>1-AL2/股权价值增加表!AL38</f>
        <v>11.328892891988181</v>
      </c>
      <c r="AM13" s="63">
        <f>1-AM2/股权价值增加表!AM38</f>
        <v>14.502719172613913</v>
      </c>
      <c r="AN13" s="63">
        <f>1-AN2/股权价值增加表!AN38</f>
        <v>11.03662590558605</v>
      </c>
      <c r="AO13" s="63">
        <f>1-AO2/股权价值增加表!AO38</f>
        <v>5.2225287601536969</v>
      </c>
      <c r="AP13" s="63">
        <f>1-AP2/股权价值增加表!AP38</f>
        <v>13.335591252568181</v>
      </c>
      <c r="AQ13" s="63">
        <f>1-AQ2/股权价值增加表!AQ38</f>
        <v>17.399311085926136</v>
      </c>
      <c r="AR13" s="63">
        <f>1-AR2/股权价值增加表!AR38</f>
        <v>16.728028193198774</v>
      </c>
      <c r="AS13" s="63">
        <f>1-AS2/股权价值增加表!AS38</f>
        <v>7.6187754770241618</v>
      </c>
      <c r="AT13" s="63">
        <f>1-AT2/股权价值增加表!AT38</f>
        <v>33.419532808820172</v>
      </c>
      <c r="AU13" s="63">
        <f>1-AU2/股权价值增加表!AU38</f>
        <v>21.498423925473077</v>
      </c>
      <c r="AV13" s="63">
        <f>1-AV2/股权价值增加表!AV38</f>
        <v>13.809221919527088</v>
      </c>
      <c r="AW13" s="63">
        <f>1-AW2/股权价值增加表!AW38</f>
        <v>11.689914755452177</v>
      </c>
      <c r="AX13" s="63">
        <f>1-AX2/股权价值增加表!AX38</f>
        <v>32.313891419596544</v>
      </c>
      <c r="AY13" s="63">
        <f>1-AY2/股权价值增加表!AY38</f>
        <v>39.226505768972416</v>
      </c>
      <c r="AZ13" s="63">
        <f>1-AZ2/股权价值增加表!AZ38</f>
        <v>49.395052120221578</v>
      </c>
      <c r="BA13" s="63">
        <f>1-BA2/股权价值增加表!BA38</f>
        <v>72.339108369181943</v>
      </c>
      <c r="BB13" s="63">
        <f>1-BB2/股权价值增加表!BB38</f>
        <v>22.975396358489046</v>
      </c>
      <c r="BC13" s="63">
        <f>1-BC2/股权价值增加表!BC38</f>
        <v>29.204124360431027</v>
      </c>
      <c r="BD13" s="63">
        <f>1-BD2/股权价值增加表!BD38</f>
        <v>31.247854798215396</v>
      </c>
      <c r="BE13" s="63">
        <f>1-BE2/股权价值增加表!BE38</f>
        <v>48.764944728398483</v>
      </c>
      <c r="BF13" s="63">
        <f>1-BF2/股权价值增加表!BF38</f>
        <v>24.1933841867355</v>
      </c>
      <c r="BG13" s="63">
        <f>1-BG2/股权价值增加表!BG38</f>
        <v>15.14222124058721</v>
      </c>
      <c r="BH13" s="63">
        <f>1-BH2/股权价值增加表!BH38</f>
        <v>20.651000182503786</v>
      </c>
      <c r="BI13" s="63">
        <f>1-BI2/股权价值增加表!BI38</f>
        <v>19.242818597110379</v>
      </c>
      <c r="BJ13" s="63">
        <f>1-BJ2/股权价值增加表!BJ38</f>
        <v>22.961740067063065</v>
      </c>
      <c r="BK13" s="63">
        <f>1-BK2/股权价值增加表!BK38</f>
        <v>18.495487267442197</v>
      </c>
      <c r="BL13" s="63">
        <f>1-BL2/股权价值增加表!BL38</f>
        <v>34.03050985602669</v>
      </c>
      <c r="BM13" s="63">
        <f>1-BM2/股权价值增加表!BM38</f>
        <v>52.605607440007212</v>
      </c>
      <c r="BN13" s="63">
        <f>1-BN2/股权价值增加表!BN38</f>
        <v>14.70574539703096</v>
      </c>
      <c r="BO13" s="63">
        <f>1-BO2/股权价值增加表!BO38</f>
        <v>13.645680282025793</v>
      </c>
      <c r="BP13" s="63">
        <f>1-BP2/股权价值增加表!BP38</f>
        <v>13.058566911559192</v>
      </c>
      <c r="BQ13" s="63">
        <f>1-BQ2/股权价值增加表!BQ38</f>
        <v>46.659797778568581</v>
      </c>
      <c r="BR13" s="63">
        <f>1-BR2/股权价值增加表!BR38</f>
        <v>46.133070341512529</v>
      </c>
      <c r="BS13" s="63">
        <f>1-BS2/股权价值增加表!BS38</f>
        <v>-106.96211333146738</v>
      </c>
      <c r="BT13" s="63">
        <f>1-BT2/股权价值增加表!BT38</f>
        <v>-28.377054674972978</v>
      </c>
      <c r="BU13" s="63">
        <f>1-BU2/股权价值增加表!BU38</f>
        <v>-12.228309660750529</v>
      </c>
      <c r="BV13" s="63">
        <f>1-BV2/股权价值增加表!BV38</f>
        <v>-1.7192981204029008</v>
      </c>
      <c r="BW13" s="63" t="e">
        <f>1-BW2/股权价值增加表!BW38</f>
        <v>#DIV/0!</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44" t="s">
        <v>323</v>
      </c>
      <c r="B14" s="59">
        <f t="shared" ref="B14:D14" si="6">B6*B7*B9*B10*B12</f>
        <v>0.29314916293914178</v>
      </c>
      <c r="C14" s="59">
        <f t="shared" si="6"/>
        <v>0.27390890421914854</v>
      </c>
      <c r="D14" s="59">
        <f t="shared" si="6"/>
        <v>0.22085504707311474</v>
      </c>
      <c r="E14" s="59">
        <f>E6*E7*E9*E10*E12</f>
        <v>0.23742192118926708</v>
      </c>
      <c r="F14" s="59">
        <f t="shared" ref="F14:BQ14" si="7">F6*F7*F9*F10*F12</f>
        <v>0.2835710980625688</v>
      </c>
      <c r="G14" s="59">
        <f t="shared" si="7"/>
        <v>0.35921206847586423</v>
      </c>
      <c r="H14" s="59">
        <f t="shared" si="7"/>
        <v>0.395115774497726</v>
      </c>
      <c r="I14" s="59">
        <f t="shared" si="7"/>
        <v>0.36410654461264053</v>
      </c>
      <c r="J14" s="59">
        <f t="shared" si="7"/>
        <v>0.28786723363296018</v>
      </c>
      <c r="K14" s="59">
        <f t="shared" si="7"/>
        <v>0.31074419841849854</v>
      </c>
      <c r="L14" s="59">
        <f t="shared" si="7"/>
        <v>0.3477887389801817</v>
      </c>
      <c r="M14" s="59">
        <f t="shared" si="7"/>
        <v>0.35422037613561874</v>
      </c>
      <c r="N14" s="59">
        <f t="shared" si="7"/>
        <v>0.26246510302325332</v>
      </c>
      <c r="O14" s="59">
        <f t="shared" si="7"/>
        <v>0.22645945191893027</v>
      </c>
      <c r="P14" s="59">
        <f t="shared" si="7"/>
        <v>0.20256805648966253</v>
      </c>
      <c r="Q14" s="59">
        <f t="shared" si="7"/>
        <v>0.1746815524128939</v>
      </c>
      <c r="R14" s="59">
        <f t="shared" si="7"/>
        <v>0.13757072926752056</v>
      </c>
      <c r="S14" s="59">
        <f t="shared" si="7"/>
        <v>0.13524636420354574</v>
      </c>
      <c r="T14" s="59" t="e">
        <f t="shared" si="7"/>
        <v>#DIV/0!</v>
      </c>
      <c r="U14" s="59" t="e">
        <f t="shared" si="7"/>
        <v>#DIV/0!</v>
      </c>
      <c r="V14" s="59" t="e">
        <f t="shared" si="7"/>
        <v>#DIV/0!</v>
      </c>
      <c r="W14" s="59" t="e">
        <f t="shared" si="7"/>
        <v>#DIV/0!</v>
      </c>
      <c r="X14" s="59" t="e">
        <f t="shared" si="7"/>
        <v>#DIV/0!</v>
      </c>
      <c r="Y14" s="59" t="e">
        <f t="shared" si="7"/>
        <v>#DIV/0!</v>
      </c>
      <c r="Z14" s="59" t="e">
        <f t="shared" si="7"/>
        <v>#DIV/0!</v>
      </c>
      <c r="AA14" s="59" t="e">
        <f t="shared" si="7"/>
        <v>#DIV/0!</v>
      </c>
      <c r="AB14" s="59" t="e">
        <f t="shared" si="7"/>
        <v>#DIV/0!</v>
      </c>
      <c r="AC14" s="59" t="e">
        <f t="shared" si="7"/>
        <v>#DIV/0!</v>
      </c>
      <c r="AD14" s="59" t="e">
        <f t="shared" si="7"/>
        <v>#DIV/0!</v>
      </c>
      <c r="AE14" s="59" t="e">
        <f t="shared" si="7"/>
        <v>#DIV/0!</v>
      </c>
      <c r="AF14" s="59" t="e">
        <f t="shared" si="7"/>
        <v>#DIV/0!</v>
      </c>
      <c r="AG14" s="59" t="e">
        <f t="shared" si="7"/>
        <v>#DIV/0!</v>
      </c>
      <c r="AH14" s="59" t="e">
        <f t="shared" si="7"/>
        <v>#DIV/0!</v>
      </c>
      <c r="AI14" s="59" t="e">
        <f t="shared" si="7"/>
        <v>#DIV/0!</v>
      </c>
      <c r="AJ14" s="59" t="e">
        <f t="shared" si="7"/>
        <v>#DIV/0!</v>
      </c>
      <c r="AK14" s="59" t="e">
        <f t="shared" si="7"/>
        <v>#DIV/0!</v>
      </c>
      <c r="AL14" s="59" t="e">
        <f t="shared" si="7"/>
        <v>#DIV/0!</v>
      </c>
      <c r="AM14" s="59" t="e">
        <f t="shared" si="7"/>
        <v>#DIV/0!</v>
      </c>
      <c r="AN14" s="59" t="e">
        <f t="shared" si="7"/>
        <v>#DIV/0!</v>
      </c>
      <c r="AO14" s="59" t="e">
        <f t="shared" si="7"/>
        <v>#DIV/0!</v>
      </c>
      <c r="AP14" s="59" t="e">
        <f t="shared" si="7"/>
        <v>#DIV/0!</v>
      </c>
      <c r="AQ14" s="59" t="e">
        <f t="shared" si="7"/>
        <v>#DIV/0!</v>
      </c>
      <c r="AR14" s="59" t="e">
        <f t="shared" si="7"/>
        <v>#DIV/0!</v>
      </c>
      <c r="AS14" s="59" t="e">
        <f t="shared" si="7"/>
        <v>#DIV/0!</v>
      </c>
      <c r="AT14" s="59" t="e">
        <f t="shared" si="7"/>
        <v>#DIV/0!</v>
      </c>
      <c r="AU14" s="59" t="e">
        <f t="shared" si="7"/>
        <v>#DIV/0!</v>
      </c>
      <c r="AV14" s="59" t="e">
        <f t="shared" si="7"/>
        <v>#DIV/0!</v>
      </c>
      <c r="AW14" s="59" t="e">
        <f t="shared" si="7"/>
        <v>#DIV/0!</v>
      </c>
      <c r="AX14" s="59" t="e">
        <f t="shared" si="7"/>
        <v>#DIV/0!</v>
      </c>
      <c r="AY14" s="59" t="e">
        <f t="shared" si="7"/>
        <v>#DIV/0!</v>
      </c>
      <c r="AZ14" s="59" t="e">
        <f t="shared" si="7"/>
        <v>#DIV/0!</v>
      </c>
      <c r="BA14" s="59" t="e">
        <f t="shared" si="7"/>
        <v>#DIV/0!</v>
      </c>
      <c r="BB14" s="59" t="e">
        <f t="shared" si="7"/>
        <v>#DIV/0!</v>
      </c>
      <c r="BC14" s="59" t="e">
        <f t="shared" si="7"/>
        <v>#DIV/0!</v>
      </c>
      <c r="BD14" s="59" t="e">
        <f t="shared" si="7"/>
        <v>#DIV/0!</v>
      </c>
      <c r="BE14" s="59" t="e">
        <f t="shared" si="7"/>
        <v>#DIV/0!</v>
      </c>
      <c r="BF14" s="59" t="e">
        <f t="shared" si="7"/>
        <v>#DIV/0!</v>
      </c>
      <c r="BG14" s="59" t="e">
        <f t="shared" si="7"/>
        <v>#DIV/0!</v>
      </c>
      <c r="BH14" s="59" t="e">
        <f t="shared" si="7"/>
        <v>#DIV/0!</v>
      </c>
      <c r="BI14" s="59" t="e">
        <f t="shared" si="7"/>
        <v>#DIV/0!</v>
      </c>
      <c r="BJ14" s="59" t="e">
        <f t="shared" si="7"/>
        <v>#DIV/0!</v>
      </c>
      <c r="BK14" s="59" t="e">
        <f t="shared" si="7"/>
        <v>#DIV/0!</v>
      </c>
      <c r="BL14" s="59" t="e">
        <f t="shared" si="7"/>
        <v>#DIV/0!</v>
      </c>
      <c r="BM14" s="59" t="e">
        <f t="shared" si="7"/>
        <v>#DIV/0!</v>
      </c>
      <c r="BN14" s="59" t="e">
        <f t="shared" si="7"/>
        <v>#DIV/0!</v>
      </c>
      <c r="BO14" s="59" t="e">
        <f t="shared" si="7"/>
        <v>#DIV/0!</v>
      </c>
      <c r="BP14" s="59" t="e">
        <f t="shared" si="7"/>
        <v>#DIV/0!</v>
      </c>
      <c r="BQ14" s="59" t="e">
        <f t="shared" si="7"/>
        <v>#DIV/0!</v>
      </c>
      <c r="BR14" s="59" t="e">
        <f t="shared" ref="BR14:CJ14" si="8">BR6*BR7*BR9*BR10*BR12</f>
        <v>#DIV/0!</v>
      </c>
      <c r="BS14" s="59" t="e">
        <f t="shared" si="8"/>
        <v>#DIV/0!</v>
      </c>
      <c r="BT14" s="59" t="e">
        <f t="shared" si="8"/>
        <v>#DIV/0!</v>
      </c>
      <c r="BU14" s="59" t="e">
        <f t="shared" si="8"/>
        <v>#DIV/0!</v>
      </c>
      <c r="BV14" s="59" t="e">
        <f t="shared" si="8"/>
        <v>#DIV/0!</v>
      </c>
      <c r="BW14" s="59" t="e">
        <f t="shared" si="8"/>
        <v>#DIV/0!</v>
      </c>
      <c r="BX14" s="59" t="e">
        <f t="shared" si="8"/>
        <v>#DIV/0!</v>
      </c>
      <c r="BY14" s="59" t="e">
        <f t="shared" si="8"/>
        <v>#DIV/0!</v>
      </c>
      <c r="BZ14" s="59" t="e">
        <f t="shared" si="8"/>
        <v>#DIV/0!</v>
      </c>
      <c r="CA14" s="59" t="e">
        <f t="shared" si="8"/>
        <v>#DIV/0!</v>
      </c>
      <c r="CB14" s="59" t="e">
        <f t="shared" si="8"/>
        <v>#DIV/0!</v>
      </c>
      <c r="CC14" s="59" t="e">
        <f t="shared" si="8"/>
        <v>#DIV/0!</v>
      </c>
      <c r="CD14" s="59" t="e">
        <f t="shared" si="8"/>
        <v>#DIV/0!</v>
      </c>
      <c r="CE14" s="59" t="e">
        <f t="shared" si="8"/>
        <v>#DIV/0!</v>
      </c>
      <c r="CF14" s="59" t="e">
        <f t="shared" si="8"/>
        <v>#DIV/0!</v>
      </c>
      <c r="CG14" s="59" t="e">
        <f t="shared" si="8"/>
        <v>#DIV/0!</v>
      </c>
      <c r="CH14" s="59" t="e">
        <f t="shared" si="8"/>
        <v>#DIV/0!</v>
      </c>
      <c r="CI14" s="59" t="e">
        <f t="shared" si="8"/>
        <v>#DIV/0!</v>
      </c>
      <c r="CJ14" s="59" t="e">
        <f t="shared" si="8"/>
        <v>#DIV/0!</v>
      </c>
    </row>
    <row r="15" spans="1:89" s="16" customFormat="1" ht="195" customHeight="1">
      <c r="A15" s="276" t="s">
        <v>583</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4.25" thickBot="1"/>
    <row r="18" spans="1:89" s="244" customFormat="1">
      <c r="A18" s="243" t="s">
        <v>327</v>
      </c>
      <c r="B18" s="271" t="s">
        <v>638</v>
      </c>
      <c r="C18" s="271" t="s">
        <v>639</v>
      </c>
      <c r="D18" s="271" t="s">
        <v>640</v>
      </c>
      <c r="E18" s="271" t="s">
        <v>641</v>
      </c>
      <c r="F18" s="271" t="s">
        <v>642</v>
      </c>
      <c r="G18" s="271" t="s">
        <v>643</v>
      </c>
      <c r="H18" s="271" t="s">
        <v>644</v>
      </c>
      <c r="I18" s="271" t="s">
        <v>645</v>
      </c>
      <c r="J18" s="271" t="s">
        <v>646</v>
      </c>
      <c r="K18" s="271" t="s">
        <v>647</v>
      </c>
      <c r="L18" s="271" t="s">
        <v>648</v>
      </c>
      <c r="M18" s="271" t="s">
        <v>649</v>
      </c>
      <c r="N18" s="271" t="s">
        <v>650</v>
      </c>
      <c r="O18" s="271" t="s">
        <v>651</v>
      </c>
      <c r="P18" s="271" t="s">
        <v>652</v>
      </c>
      <c r="Q18" s="271" t="s">
        <v>653</v>
      </c>
      <c r="R18" s="271" t="s">
        <v>654</v>
      </c>
      <c r="S18" s="271" t="s">
        <v>655</v>
      </c>
      <c r="T18" s="315"/>
      <c r="U18" s="315"/>
      <c r="V18" s="315"/>
      <c r="W18" s="315"/>
      <c r="X18" s="315"/>
      <c r="Y18" s="315"/>
      <c r="Z18" s="315"/>
      <c r="AA18" s="315"/>
      <c r="AB18" s="315"/>
      <c r="AC18" s="315"/>
      <c r="AD18" s="315"/>
      <c r="AE18" s="315"/>
      <c r="AF18" s="315"/>
      <c r="AG18" s="315"/>
      <c r="AH18" s="315"/>
      <c r="AI18" s="315"/>
      <c r="AJ18" s="315"/>
      <c r="AK18" s="315"/>
      <c r="AL18" s="315"/>
      <c r="AM18" s="315"/>
      <c r="AN18" s="315"/>
      <c r="AO18" s="315"/>
      <c r="AP18" s="315"/>
      <c r="AQ18" s="315"/>
      <c r="AR18" s="315"/>
      <c r="AS18" s="315"/>
      <c r="AT18" s="315"/>
      <c r="AU18" s="315"/>
      <c r="AV18" s="315"/>
      <c r="AW18" s="315"/>
      <c r="AX18" s="315"/>
      <c r="AY18" s="315"/>
      <c r="AZ18" s="315"/>
      <c r="BA18" s="315"/>
      <c r="BB18" s="315"/>
      <c r="BC18" s="315"/>
      <c r="BD18" s="315"/>
      <c r="BE18" s="315"/>
      <c r="BF18" s="315"/>
      <c r="BG18" s="315"/>
      <c r="BH18" s="315"/>
      <c r="BI18" s="315"/>
      <c r="BJ18" s="315"/>
      <c r="BK18" s="315"/>
      <c r="BL18" s="315"/>
      <c r="BM18" s="315"/>
      <c r="BN18" s="315"/>
      <c r="BO18" s="315"/>
      <c r="BP18" s="315"/>
      <c r="BQ18" s="315"/>
      <c r="BR18" s="315"/>
      <c r="BS18" s="315"/>
      <c r="BT18" s="315"/>
      <c r="BU18" s="315"/>
      <c r="BV18" s="315"/>
      <c r="BW18" s="315"/>
      <c r="BX18" s="315"/>
      <c r="BY18" s="315"/>
      <c r="BZ18" s="315"/>
      <c r="CA18" s="315"/>
      <c r="CB18" s="315"/>
      <c r="CC18" s="315"/>
      <c r="CD18" s="315"/>
      <c r="CE18" s="315"/>
      <c r="CF18" s="315"/>
      <c r="CG18" s="315"/>
      <c r="CH18" s="315"/>
      <c r="CI18" s="315"/>
      <c r="CJ18" s="315"/>
      <c r="CK18" s="315"/>
    </row>
    <row r="19" spans="1:89" s="116" customFormat="1">
      <c r="A19" s="157" t="s">
        <v>333</v>
      </c>
      <c r="B19" s="194">
        <f>股权价值增加表!B4</f>
        <v>73638872388.029999</v>
      </c>
      <c r="C19" s="194">
        <f>股权价值增加表!C4</f>
        <v>58217861314.169998</v>
      </c>
      <c r="D19" s="194">
        <f>股权价值增加表!D4</f>
        <v>38862189993.839996</v>
      </c>
      <c r="E19" s="76">
        <f>股权价值增加表!E4</f>
        <v>32659583725.279999</v>
      </c>
      <c r="F19" s="76">
        <f>股权价值增加表!F4</f>
        <v>31573928530.939999</v>
      </c>
      <c r="G19" s="76">
        <f>股权价值增加表!G4</f>
        <v>30921801316.599998</v>
      </c>
      <c r="H19" s="76">
        <f>股权价值增加表!H4</f>
        <v>26455335152.990002</v>
      </c>
      <c r="I19" s="76">
        <f>股权价值增加表!I4</f>
        <v>18402355207.299999</v>
      </c>
      <c r="J19" s="76">
        <f>股权价值增加表!J4</f>
        <v>11633283740.18</v>
      </c>
      <c r="K19" s="76">
        <f>股权价值增加表!K4</f>
        <v>9669999065.3899994</v>
      </c>
      <c r="L19" s="76">
        <f>股权价值增加表!L4</f>
        <v>8241685564.1099997</v>
      </c>
      <c r="M19" s="76">
        <f>股权价值增加表!M4</f>
        <v>7237430747.1199999</v>
      </c>
      <c r="N19" s="76">
        <f>股权价值增加表!N4</f>
        <v>4896186901.21</v>
      </c>
      <c r="O19" s="76">
        <f>股权价值增加表!O4</f>
        <v>3930515237.6100001</v>
      </c>
      <c r="P19" s="76">
        <f>股权价值增加表!P4</f>
        <v>3009793519.9200001</v>
      </c>
      <c r="Q19" s="76">
        <f>股权价值增加表!Q4</f>
        <v>2401017934.9299998</v>
      </c>
      <c r="R19" s="76">
        <f>股权价值增加表!R4</f>
        <v>1838129976.3399999</v>
      </c>
      <c r="S19" s="76">
        <f>股权价值增加表!S4</f>
        <v>1619202408.97</v>
      </c>
      <c r="T19" s="76">
        <f>股权价值增加表!T4</f>
        <v>0</v>
      </c>
      <c r="U19" s="76">
        <f>股权价值增加表!U4</f>
        <v>0</v>
      </c>
      <c r="V19" s="76">
        <f>股权价值增加表!V4</f>
        <v>0</v>
      </c>
      <c r="W19" s="76">
        <f>股权价值增加表!W4</f>
        <v>0</v>
      </c>
      <c r="X19" s="76">
        <f>股权价值增加表!X4</f>
        <v>0</v>
      </c>
      <c r="Y19" s="76">
        <f>股权价值增加表!Y4</f>
        <v>0</v>
      </c>
      <c r="Z19" s="76">
        <f>股权价值增加表!Z4</f>
        <v>0</v>
      </c>
      <c r="AA19" s="76">
        <f>股权价值增加表!AA4</f>
        <v>0</v>
      </c>
      <c r="AB19" s="76">
        <f>股权价值增加表!AB4</f>
        <v>0</v>
      </c>
      <c r="AC19" s="76">
        <f>股权价值增加表!AC4</f>
        <v>0</v>
      </c>
      <c r="AD19" s="76">
        <f>股权价值增加表!AD4</f>
        <v>0</v>
      </c>
      <c r="AE19" s="76">
        <f>股权价值增加表!AE4</f>
        <v>0</v>
      </c>
      <c r="AF19" s="76">
        <f>股权价值增加表!AF4</f>
        <v>0</v>
      </c>
      <c r="AG19" s="76">
        <f>股权价值增加表!AG4</f>
        <v>0</v>
      </c>
      <c r="AH19" s="76">
        <f>股权价值增加表!AH4</f>
        <v>0</v>
      </c>
      <c r="AI19" s="76">
        <f>股权价值增加表!AI4</f>
        <v>0</v>
      </c>
      <c r="AJ19" s="76">
        <f>股权价值增加表!AJ4</f>
        <v>0</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7" t="s">
        <v>334</v>
      </c>
      <c r="B20" s="194">
        <f>股权价值增加表!B15</f>
        <v>47412331691.169998</v>
      </c>
      <c r="C20" s="194">
        <f>股权价值增加表!C15</f>
        <v>35974716816.480003</v>
      </c>
      <c r="D20" s="194">
        <f>股权价值增加表!D15</f>
        <v>22754845339.759998</v>
      </c>
      <c r="E20" s="76">
        <f>股权价值增加表!E15</f>
        <v>21213441279.529999</v>
      </c>
      <c r="F20" s="76">
        <f>股权价值增加表!F15</f>
        <v>21172085803.459999</v>
      </c>
      <c r="G20" s="76">
        <f>股权价值增加表!G15</f>
        <v>20887078318.68</v>
      </c>
      <c r="H20" s="76">
        <f>股权价值增加表!H15</f>
        <v>18276410652.670002</v>
      </c>
      <c r="I20" s="76">
        <f>股权价值增加表!I15</f>
        <v>11979738941.010002</v>
      </c>
      <c r="J20" s="76">
        <f>股权价值增加表!J15</f>
        <v>6985370656.46</v>
      </c>
      <c r="K20" s="76">
        <f>股权价值增加表!K15</f>
        <v>5945694321.5999994</v>
      </c>
      <c r="L20" s="76">
        <f>股权价值增加表!L15</f>
        <v>5281477622.8300009</v>
      </c>
      <c r="M20" s="76">
        <f>股权价值增加表!M15</f>
        <v>4473832970.8599997</v>
      </c>
      <c r="N20" s="76">
        <f>股权价值增加表!N15</f>
        <v>2459083270.2400002</v>
      </c>
      <c r="O20" s="76">
        <f>股权价值增加表!O15</f>
        <v>1887504851.1300004</v>
      </c>
      <c r="P20" s="76">
        <f>股权价值增加表!P15</f>
        <v>1464361773.1400003</v>
      </c>
      <c r="Q20" s="76">
        <f>股权价值增加表!Q15</f>
        <v>958727427.09999967</v>
      </c>
      <c r="R20" s="76">
        <f>股权价值增加表!R15</f>
        <v>631790935.64999998</v>
      </c>
      <c r="S20" s="76">
        <f>股权价值增加表!S15</f>
        <v>601467185.75999999</v>
      </c>
      <c r="T20" s="76">
        <f>股权价值增加表!T15</f>
        <v>0</v>
      </c>
      <c r="U20" s="76">
        <f>股权价值增加表!U15</f>
        <v>-434996.18</v>
      </c>
      <c r="V20" s="76">
        <f>股权价值增加表!V15</f>
        <v>0</v>
      </c>
      <c r="W20" s="76">
        <f>股权价值增加表!W15</f>
        <v>0</v>
      </c>
      <c r="X20" s="76">
        <f>股权价值增加表!X15</f>
        <v>0</v>
      </c>
      <c r="Y20" s="76">
        <f>股权价值增加表!Y15</f>
        <v>-603190.06999999995</v>
      </c>
      <c r="Z20" s="76">
        <f>股权价值增加表!Z15</f>
        <v>0</v>
      </c>
      <c r="AA20" s="76">
        <f>股权价值增加表!AA15</f>
        <v>0</v>
      </c>
      <c r="AB20" s="76">
        <f>股权价值增加表!AB15</f>
        <v>0</v>
      </c>
      <c r="AC20" s="76">
        <f>股权价值增加表!AC15</f>
        <v>-352310</v>
      </c>
      <c r="AD20" s="76">
        <f>股权价值增加表!AD15</f>
        <v>0</v>
      </c>
      <c r="AE20" s="76">
        <f>股权价值增加表!AE15</f>
        <v>0</v>
      </c>
      <c r="AF20" s="76">
        <f>股权价值增加表!AF15</f>
        <v>0</v>
      </c>
      <c r="AG20" s="76">
        <f>股权价值增加表!AG15</f>
        <v>-284184.78000000003</v>
      </c>
      <c r="AH20" s="76">
        <f>股权价值增加表!AH15</f>
        <v>0</v>
      </c>
      <c r="AI20" s="76">
        <f>股权价值增加表!AI15</f>
        <v>0</v>
      </c>
      <c r="AJ20" s="76">
        <f>股权价值增加表!AJ15</f>
        <v>0</v>
      </c>
      <c r="AK20" s="76">
        <f>股权价值增加表!AK15</f>
        <v>0</v>
      </c>
      <c r="AL20" s="76">
        <f>股权价值增加表!AL15</f>
        <v>0</v>
      </c>
      <c r="AM20" s="76">
        <f>股权价值增加表!AM15</f>
        <v>0</v>
      </c>
      <c r="AN20" s="76">
        <f>股权价值增加表!AN15</f>
        <v>0</v>
      </c>
      <c r="AO20" s="76">
        <f>股权价值增加表!AO15</f>
        <v>0</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38" customFormat="1">
      <c r="A21" s="229" t="s">
        <v>335</v>
      </c>
      <c r="B21" s="238">
        <f t="shared" ref="B21:E21" si="9">B20/B19</f>
        <v>0.64384923551432427</v>
      </c>
      <c r="C21" s="238">
        <f t="shared" si="9"/>
        <v>0.61793264136489157</v>
      </c>
      <c r="D21" s="238">
        <f t="shared" si="9"/>
        <v>0.5855265836373823</v>
      </c>
      <c r="E21" s="238">
        <f t="shared" si="9"/>
        <v>0.6495318941591357</v>
      </c>
      <c r="F21" s="238">
        <f t="shared" ref="F21:BQ21" si="10">F20/F19</f>
        <v>0.67055595513599131</v>
      </c>
      <c r="G21" s="238">
        <f t="shared" si="10"/>
        <v>0.67548064567205601</v>
      </c>
      <c r="H21" s="238">
        <f t="shared" si="10"/>
        <v>0.69084026140581278</v>
      </c>
      <c r="I21" s="238">
        <f t="shared" si="10"/>
        <v>0.6509894416263512</v>
      </c>
      <c r="J21" s="238">
        <f t="shared" si="10"/>
        <v>0.60046422080580286</v>
      </c>
      <c r="K21" s="238">
        <f t="shared" si="10"/>
        <v>0.61485986517623359</v>
      </c>
      <c r="L21" s="238">
        <f t="shared" si="10"/>
        <v>0.64082493583948508</v>
      </c>
      <c r="M21" s="238">
        <f t="shared" si="10"/>
        <v>0.61815209390988335</v>
      </c>
      <c r="N21" s="238">
        <f t="shared" si="10"/>
        <v>0.50224456701852704</v>
      </c>
      <c r="O21" s="238">
        <f t="shared" si="10"/>
        <v>0.48021817421517532</v>
      </c>
      <c r="P21" s="238">
        <f t="shared" si="10"/>
        <v>0.48653230311258128</v>
      </c>
      <c r="Q21" s="238">
        <f t="shared" si="10"/>
        <v>0.39930040219710011</v>
      </c>
      <c r="R21" s="238">
        <f t="shared" si="10"/>
        <v>0.34371396135326249</v>
      </c>
      <c r="S21" s="238">
        <f t="shared" si="10"/>
        <v>0.37145892473233327</v>
      </c>
      <c r="T21" s="238" t="e">
        <f t="shared" si="10"/>
        <v>#DIV/0!</v>
      </c>
      <c r="U21" s="238" t="e">
        <f t="shared" si="10"/>
        <v>#DIV/0!</v>
      </c>
      <c r="V21" s="238" t="e">
        <f t="shared" si="10"/>
        <v>#DIV/0!</v>
      </c>
      <c r="W21" s="238" t="e">
        <f t="shared" si="10"/>
        <v>#DIV/0!</v>
      </c>
      <c r="X21" s="238" t="e">
        <f t="shared" si="10"/>
        <v>#DIV/0!</v>
      </c>
      <c r="Y21" s="238" t="e">
        <f t="shared" si="10"/>
        <v>#DIV/0!</v>
      </c>
      <c r="Z21" s="238" t="e">
        <f t="shared" si="10"/>
        <v>#DIV/0!</v>
      </c>
      <c r="AA21" s="238" t="e">
        <f t="shared" si="10"/>
        <v>#DIV/0!</v>
      </c>
      <c r="AB21" s="238" t="e">
        <f t="shared" si="10"/>
        <v>#DIV/0!</v>
      </c>
      <c r="AC21" s="238" t="e">
        <f t="shared" si="10"/>
        <v>#DIV/0!</v>
      </c>
      <c r="AD21" s="238" t="e">
        <f t="shared" si="10"/>
        <v>#DIV/0!</v>
      </c>
      <c r="AE21" s="238" t="e">
        <f t="shared" si="10"/>
        <v>#DIV/0!</v>
      </c>
      <c r="AF21" s="238" t="e">
        <f t="shared" si="10"/>
        <v>#DIV/0!</v>
      </c>
      <c r="AG21" s="238" t="e">
        <f t="shared" si="10"/>
        <v>#DIV/0!</v>
      </c>
      <c r="AH21" s="238" t="e">
        <f t="shared" si="10"/>
        <v>#DIV/0!</v>
      </c>
      <c r="AI21" s="238" t="e">
        <f t="shared" si="10"/>
        <v>#DIV/0!</v>
      </c>
      <c r="AJ21" s="238" t="e">
        <f t="shared" si="10"/>
        <v>#DIV/0!</v>
      </c>
      <c r="AK21" s="238" t="e">
        <f t="shared" si="10"/>
        <v>#DIV/0!</v>
      </c>
      <c r="AL21" s="238" t="e">
        <f t="shared" si="10"/>
        <v>#DIV/0!</v>
      </c>
      <c r="AM21" s="238" t="e">
        <f t="shared" si="10"/>
        <v>#DIV/0!</v>
      </c>
      <c r="AN21" s="238" t="e">
        <f t="shared" si="10"/>
        <v>#DIV/0!</v>
      </c>
      <c r="AO21" s="238" t="e">
        <f t="shared" si="10"/>
        <v>#DIV/0!</v>
      </c>
      <c r="AP21" s="238" t="e">
        <f t="shared" si="10"/>
        <v>#DIV/0!</v>
      </c>
      <c r="AQ21" s="238" t="e">
        <f t="shared" si="10"/>
        <v>#DIV/0!</v>
      </c>
      <c r="AR21" s="238" t="e">
        <f t="shared" si="10"/>
        <v>#DIV/0!</v>
      </c>
      <c r="AS21" s="238" t="e">
        <f t="shared" si="10"/>
        <v>#DIV/0!</v>
      </c>
      <c r="AT21" s="238" t="e">
        <f t="shared" si="10"/>
        <v>#DIV/0!</v>
      </c>
      <c r="AU21" s="238" t="e">
        <f t="shared" si="10"/>
        <v>#DIV/0!</v>
      </c>
      <c r="AV21" s="238" t="e">
        <f t="shared" si="10"/>
        <v>#DIV/0!</v>
      </c>
      <c r="AW21" s="238" t="e">
        <f t="shared" si="10"/>
        <v>#DIV/0!</v>
      </c>
      <c r="AX21" s="238" t="e">
        <f t="shared" si="10"/>
        <v>#DIV/0!</v>
      </c>
      <c r="AY21" s="238" t="e">
        <f t="shared" si="10"/>
        <v>#DIV/0!</v>
      </c>
      <c r="AZ21" s="238" t="e">
        <f t="shared" si="10"/>
        <v>#DIV/0!</v>
      </c>
      <c r="BA21" s="238" t="e">
        <f t="shared" si="10"/>
        <v>#DIV/0!</v>
      </c>
      <c r="BB21" s="238" t="e">
        <f t="shared" si="10"/>
        <v>#DIV/0!</v>
      </c>
      <c r="BC21" s="238" t="e">
        <f t="shared" si="10"/>
        <v>#DIV/0!</v>
      </c>
      <c r="BD21" s="238" t="e">
        <f t="shared" si="10"/>
        <v>#DIV/0!</v>
      </c>
      <c r="BE21" s="238" t="e">
        <f t="shared" si="10"/>
        <v>#DIV/0!</v>
      </c>
      <c r="BF21" s="238" t="e">
        <f t="shared" si="10"/>
        <v>#DIV/0!</v>
      </c>
      <c r="BG21" s="238" t="e">
        <f t="shared" si="10"/>
        <v>#DIV/0!</v>
      </c>
      <c r="BH21" s="238" t="e">
        <f t="shared" si="10"/>
        <v>#DIV/0!</v>
      </c>
      <c r="BI21" s="238" t="e">
        <f t="shared" si="10"/>
        <v>#DIV/0!</v>
      </c>
      <c r="BJ21" s="238" t="e">
        <f t="shared" si="10"/>
        <v>#DIV/0!</v>
      </c>
      <c r="BK21" s="238" t="e">
        <f t="shared" si="10"/>
        <v>#DIV/0!</v>
      </c>
      <c r="BL21" s="238" t="e">
        <f t="shared" si="10"/>
        <v>#DIV/0!</v>
      </c>
      <c r="BM21" s="238" t="e">
        <f t="shared" si="10"/>
        <v>#DIV/0!</v>
      </c>
      <c r="BN21" s="238" t="e">
        <f t="shared" si="10"/>
        <v>#DIV/0!</v>
      </c>
      <c r="BO21" s="238" t="e">
        <f t="shared" si="10"/>
        <v>#DIV/0!</v>
      </c>
      <c r="BP21" s="238" t="e">
        <f t="shared" si="10"/>
        <v>#DIV/0!</v>
      </c>
      <c r="BQ21" s="238" t="e">
        <f t="shared" si="10"/>
        <v>#DIV/0!</v>
      </c>
      <c r="BR21" s="238" t="e">
        <f t="shared" ref="BR21:CK21" si="11">BR20/BR19</f>
        <v>#DIV/0!</v>
      </c>
      <c r="BS21" s="238" t="e">
        <f t="shared" si="11"/>
        <v>#DIV/0!</v>
      </c>
      <c r="BT21" s="238" t="e">
        <f t="shared" si="11"/>
        <v>#DIV/0!</v>
      </c>
      <c r="BU21" s="238" t="e">
        <f t="shared" si="11"/>
        <v>#DIV/0!</v>
      </c>
      <c r="BV21" s="238" t="e">
        <f t="shared" si="11"/>
        <v>#DIV/0!</v>
      </c>
      <c r="BW21" s="238" t="e">
        <f t="shared" si="11"/>
        <v>#DIV/0!</v>
      </c>
      <c r="BX21" s="238" t="e">
        <f t="shared" si="11"/>
        <v>#DIV/0!</v>
      </c>
      <c r="BY21" s="238" t="e">
        <f t="shared" si="11"/>
        <v>#DIV/0!</v>
      </c>
      <c r="BZ21" s="238" t="e">
        <f t="shared" si="11"/>
        <v>#DIV/0!</v>
      </c>
      <c r="CA21" s="238" t="e">
        <f t="shared" si="11"/>
        <v>#DIV/0!</v>
      </c>
      <c r="CB21" s="238" t="e">
        <f t="shared" si="11"/>
        <v>#DIV/0!</v>
      </c>
      <c r="CC21" s="238" t="e">
        <f t="shared" si="11"/>
        <v>#DIV/0!</v>
      </c>
      <c r="CD21" s="238" t="e">
        <f t="shared" si="11"/>
        <v>#DIV/0!</v>
      </c>
      <c r="CE21" s="238" t="e">
        <f t="shared" si="11"/>
        <v>#DIV/0!</v>
      </c>
      <c r="CF21" s="238" t="e">
        <f t="shared" si="11"/>
        <v>#DIV/0!</v>
      </c>
      <c r="CG21" s="238" t="e">
        <f t="shared" si="11"/>
        <v>#DIV/0!</v>
      </c>
      <c r="CH21" s="238" t="e">
        <f t="shared" si="11"/>
        <v>#DIV/0!</v>
      </c>
      <c r="CI21" s="238" t="e">
        <f t="shared" si="11"/>
        <v>#DIV/0!</v>
      </c>
      <c r="CJ21" s="238" t="e">
        <f t="shared" si="11"/>
        <v>#DIV/0!</v>
      </c>
      <c r="CK21" s="238" t="e">
        <f t="shared" si="11"/>
        <v>#DIV/0!</v>
      </c>
    </row>
    <row r="22" spans="1:89" s="26" customFormat="1">
      <c r="A22" s="26" t="s">
        <v>570</v>
      </c>
      <c r="B22" s="190">
        <f>资产资本表!B69</f>
        <v>16741633387.830002</v>
      </c>
      <c r="C22" s="190">
        <f>资产资本表!C69</f>
        <v>18333177293.660004</v>
      </c>
      <c r="D22" s="190">
        <f>资产资本表!D69</f>
        <v>19236142330.050003</v>
      </c>
      <c r="E22" s="26">
        <f>资产资本表!E69</f>
        <v>35294605221.290001</v>
      </c>
      <c r="F22" s="190">
        <f>资产资本表!F69</f>
        <v>27534147920.489998</v>
      </c>
      <c r="G22" s="190">
        <f>资产资本表!G69</f>
        <v>18728867683.239998</v>
      </c>
      <c r="H22" s="190">
        <f>资产资本表!H69</f>
        <v>13073423733.859999</v>
      </c>
      <c r="I22" s="190">
        <f>资产资本表!I69</f>
        <v>6859506689.1999989</v>
      </c>
      <c r="J22" s="190">
        <f>资产资本表!J69</f>
        <v>5872851576.2800007</v>
      </c>
      <c r="K22" s="190">
        <f>资产资本表!K69</f>
        <v>5029708301.5900011</v>
      </c>
      <c r="L22" s="190">
        <f>资产资本表!L69</f>
        <v>3360912854.7899995</v>
      </c>
      <c r="M22" s="190">
        <f>资产资本表!M69</f>
        <v>3622372028.46</v>
      </c>
      <c r="N22" s="190">
        <f>资产资本表!N69</f>
        <v>1477674664.499999</v>
      </c>
      <c r="O22" s="190">
        <f>资产资本表!O69</f>
        <v>1297344440.6599996</v>
      </c>
      <c r="P22" s="190">
        <f>资产资本表!P69</f>
        <v>1326006123.8299997</v>
      </c>
      <c r="Q22" s="190">
        <f>资产资本表!Q69</f>
        <v>1127689499.4400001</v>
      </c>
      <c r="R22" s="190">
        <f>资产资本表!R69</f>
        <v>1146618825.54</v>
      </c>
      <c r="S22" s="190">
        <f>资产资本表!S69</f>
        <v>765964803.46999991</v>
      </c>
      <c r="T22" s="190">
        <f>资产资本表!T69</f>
        <v>0</v>
      </c>
      <c r="U22" s="190">
        <f>资产资本表!U69</f>
        <v>0</v>
      </c>
      <c r="V22" s="190">
        <f>资产资本表!V69</f>
        <v>0</v>
      </c>
      <c r="W22" s="190">
        <f>资产资本表!W69</f>
        <v>0</v>
      </c>
      <c r="X22" s="190">
        <f>资产资本表!X69</f>
        <v>0</v>
      </c>
      <c r="Y22" s="190">
        <f>资产资本表!Y69</f>
        <v>0</v>
      </c>
      <c r="Z22" s="190">
        <f>资产资本表!Z69</f>
        <v>0</v>
      </c>
      <c r="AA22" s="190">
        <f>资产资本表!AA69</f>
        <v>0</v>
      </c>
      <c r="AB22" s="190">
        <f>资产资本表!AB69</f>
        <v>0</v>
      </c>
      <c r="AC22" s="190">
        <f>资产资本表!AC69</f>
        <v>0</v>
      </c>
      <c r="AD22" s="190">
        <f>资产资本表!AD69</f>
        <v>0</v>
      </c>
      <c r="AE22" s="190">
        <f>资产资本表!AE69</f>
        <v>0</v>
      </c>
      <c r="AF22" s="190">
        <f>资产资本表!AF69</f>
        <v>0</v>
      </c>
      <c r="AG22" s="190">
        <f>资产资本表!AG69</f>
        <v>0</v>
      </c>
      <c r="AH22" s="190">
        <f>资产资本表!AH69</f>
        <v>0</v>
      </c>
      <c r="AI22" s="190">
        <f>资产资本表!AI69</f>
        <v>0</v>
      </c>
      <c r="AJ22" s="190">
        <f>资产资本表!AJ69</f>
        <v>0</v>
      </c>
      <c r="AK22" s="190">
        <f>资产资本表!AK69</f>
        <v>0</v>
      </c>
      <c r="AL22" s="190">
        <f>资产资本表!AL69</f>
        <v>0</v>
      </c>
      <c r="AM22" s="190">
        <f>资产资本表!AM69</f>
        <v>0</v>
      </c>
      <c r="AN22" s="190">
        <f>资产资本表!AN69</f>
        <v>0</v>
      </c>
      <c r="AO22" s="190">
        <f>资产资本表!AO69</f>
        <v>0</v>
      </c>
      <c r="AP22" s="190">
        <f>资产资本表!AP69</f>
        <v>0</v>
      </c>
      <c r="AQ22" s="190">
        <f>资产资本表!AQ69</f>
        <v>0</v>
      </c>
      <c r="AR22" s="190">
        <f>资产资本表!AR69</f>
        <v>0</v>
      </c>
      <c r="AS22" s="190">
        <f>资产资本表!AS69</f>
        <v>0</v>
      </c>
      <c r="AT22" s="190">
        <f>资产资本表!AT69</f>
        <v>0</v>
      </c>
      <c r="AU22" s="190">
        <f>资产资本表!AU69</f>
        <v>0</v>
      </c>
      <c r="AV22" s="190">
        <f>资产资本表!AV69</f>
        <v>0</v>
      </c>
      <c r="AW22" s="190">
        <f>资产资本表!AW69</f>
        <v>0</v>
      </c>
      <c r="AX22" s="190">
        <f>资产资本表!AX69</f>
        <v>0</v>
      </c>
      <c r="AY22" s="190">
        <f>资产资本表!AY69</f>
        <v>0</v>
      </c>
      <c r="AZ22" s="190">
        <f>资产资本表!AZ69</f>
        <v>0</v>
      </c>
      <c r="BA22" s="190">
        <f>资产资本表!BA69</f>
        <v>0</v>
      </c>
      <c r="BB22" s="190">
        <f>资产资本表!BB69</f>
        <v>0</v>
      </c>
      <c r="BC22" s="190">
        <f>资产资本表!BC69</f>
        <v>0</v>
      </c>
      <c r="BD22" s="190">
        <f>资产资本表!BD69</f>
        <v>0</v>
      </c>
      <c r="BE22" s="190">
        <f>资产资本表!BE69</f>
        <v>0</v>
      </c>
      <c r="BF22" s="190">
        <f>资产资本表!BF69</f>
        <v>0</v>
      </c>
      <c r="BG22" s="190">
        <f>资产资本表!BG69</f>
        <v>0</v>
      </c>
      <c r="BH22" s="190">
        <f>资产资本表!BH69</f>
        <v>0</v>
      </c>
      <c r="BI22" s="190">
        <f>资产资本表!BI69</f>
        <v>0</v>
      </c>
      <c r="BJ22" s="190">
        <f>资产资本表!BJ69</f>
        <v>0</v>
      </c>
      <c r="BK22" s="190">
        <f>资产资本表!BK69</f>
        <v>0</v>
      </c>
      <c r="BL22" s="190">
        <f>资产资本表!BL69</f>
        <v>0</v>
      </c>
      <c r="BM22" s="190">
        <f>资产资本表!BM69</f>
        <v>0</v>
      </c>
      <c r="BN22" s="190">
        <f>资产资本表!BN69</f>
        <v>0</v>
      </c>
      <c r="BO22" s="190">
        <f>资产资本表!BO69</f>
        <v>0</v>
      </c>
      <c r="BP22" s="190">
        <f>资产资本表!BP69</f>
        <v>0</v>
      </c>
      <c r="BQ22" s="190">
        <f>资产资本表!BQ69</f>
        <v>0</v>
      </c>
      <c r="BR22" s="190">
        <f>资产资本表!BR69</f>
        <v>0</v>
      </c>
      <c r="BS22" s="190">
        <f>资产资本表!BS69</f>
        <v>0</v>
      </c>
      <c r="BT22" s="190">
        <f>资产资本表!BT69</f>
        <v>0</v>
      </c>
      <c r="BU22" s="190">
        <f>资产资本表!BU69</f>
        <v>0</v>
      </c>
      <c r="BV22" s="190">
        <f>资产资本表!BV69</f>
        <v>0</v>
      </c>
      <c r="BW22" s="190">
        <f>资产资本表!BW69</f>
        <v>0</v>
      </c>
      <c r="BX22" s="190">
        <f>资产资本表!BX69</f>
        <v>0</v>
      </c>
      <c r="BY22" s="190">
        <f>资产资本表!BY69</f>
        <v>0</v>
      </c>
      <c r="BZ22" s="190">
        <f>资产资本表!BZ69</f>
        <v>0</v>
      </c>
      <c r="CA22" s="190">
        <f>资产资本表!CA69</f>
        <v>0</v>
      </c>
      <c r="CB22" s="190">
        <f>资产资本表!CB69</f>
        <v>0</v>
      </c>
      <c r="CC22" s="190">
        <f>资产资本表!CC69</f>
        <v>0</v>
      </c>
      <c r="CD22" s="190">
        <f>资产资本表!CD69</f>
        <v>0</v>
      </c>
      <c r="CE22" s="190">
        <f>资产资本表!CE69</f>
        <v>0</v>
      </c>
      <c r="CF22" s="190">
        <f>资产资本表!CF69</f>
        <v>0</v>
      </c>
      <c r="CG22" s="190">
        <f>资产资本表!CG69</f>
        <v>0</v>
      </c>
      <c r="CH22" s="190">
        <f>资产资本表!CH69</f>
        <v>0</v>
      </c>
      <c r="CI22" s="190">
        <f>资产资本表!CI69</f>
        <v>0</v>
      </c>
      <c r="CJ22" s="190">
        <f>资产资本表!CJ69</f>
        <v>0</v>
      </c>
      <c r="CK22" s="190">
        <f>资产资本表!CK69</f>
        <v>0</v>
      </c>
    </row>
    <row r="23" spans="1:89" s="240" customFormat="1">
      <c r="A23" s="239" t="s">
        <v>571</v>
      </c>
      <c r="B23" s="240">
        <f t="shared" ref="B23:D23" si="12">B19/B22</f>
        <v>4.3985476615179211</v>
      </c>
      <c r="C23" s="240">
        <f t="shared" si="12"/>
        <v>3.1755467359333811</v>
      </c>
      <c r="D23" s="240">
        <f t="shared" si="12"/>
        <v>2.0202694140566266</v>
      </c>
      <c r="E23" s="240">
        <f>E19/E22</f>
        <v>0.92534208898246761</v>
      </c>
      <c r="F23" s="240">
        <f t="shared" ref="F23:BQ23" si="13">F19/F22</f>
        <v>1.1467189259720556</v>
      </c>
      <c r="G23" s="240">
        <f t="shared" si="13"/>
        <v>1.6510235343416493</v>
      </c>
      <c r="H23" s="240">
        <f t="shared" si="13"/>
        <v>2.0235965491175065</v>
      </c>
      <c r="I23" s="240">
        <f t="shared" si="13"/>
        <v>2.6827519880217805</v>
      </c>
      <c r="J23" s="240">
        <f t="shared" si="13"/>
        <v>1.9808577807697278</v>
      </c>
      <c r="K23" s="240">
        <f t="shared" si="13"/>
        <v>1.9225765164817015</v>
      </c>
      <c r="L23" s="240">
        <f t="shared" si="13"/>
        <v>2.4522163829281931</v>
      </c>
      <c r="M23" s="240">
        <f t="shared" si="13"/>
        <v>1.9979810715899577</v>
      </c>
      <c r="N23" s="240">
        <f t="shared" si="13"/>
        <v>3.3134403795619813</v>
      </c>
      <c r="O23" s="240">
        <f t="shared" si="13"/>
        <v>3.0296620653882975</v>
      </c>
      <c r="P23" s="240">
        <f t="shared" si="13"/>
        <v>2.2698187179004838</v>
      </c>
      <c r="Q23" s="240">
        <f t="shared" si="13"/>
        <v>2.1291480820938058</v>
      </c>
      <c r="R23" s="240">
        <f t="shared" si="13"/>
        <v>1.6030872120683461</v>
      </c>
      <c r="S23" s="240">
        <f t="shared" si="13"/>
        <v>2.113938397214381</v>
      </c>
      <c r="T23" s="240" t="e">
        <f t="shared" si="13"/>
        <v>#DIV/0!</v>
      </c>
      <c r="U23" s="240" t="e">
        <f t="shared" si="13"/>
        <v>#DIV/0!</v>
      </c>
      <c r="V23" s="240" t="e">
        <f t="shared" si="13"/>
        <v>#DIV/0!</v>
      </c>
      <c r="W23" s="240" t="e">
        <f t="shared" si="13"/>
        <v>#DIV/0!</v>
      </c>
      <c r="X23" s="240" t="e">
        <f t="shared" si="13"/>
        <v>#DIV/0!</v>
      </c>
      <c r="Y23" s="240" t="e">
        <f t="shared" si="13"/>
        <v>#DIV/0!</v>
      </c>
      <c r="Z23" s="240" t="e">
        <f t="shared" si="13"/>
        <v>#DIV/0!</v>
      </c>
      <c r="AA23" s="240" t="e">
        <f t="shared" si="13"/>
        <v>#DIV/0!</v>
      </c>
      <c r="AB23" s="240" t="e">
        <f t="shared" si="13"/>
        <v>#DIV/0!</v>
      </c>
      <c r="AC23" s="240" t="e">
        <f t="shared" si="13"/>
        <v>#DIV/0!</v>
      </c>
      <c r="AD23" s="240" t="e">
        <f t="shared" si="13"/>
        <v>#DIV/0!</v>
      </c>
      <c r="AE23" s="240" t="e">
        <f t="shared" si="13"/>
        <v>#DIV/0!</v>
      </c>
      <c r="AF23" s="240" t="e">
        <f t="shared" si="13"/>
        <v>#DIV/0!</v>
      </c>
      <c r="AG23" s="240" t="e">
        <f t="shared" si="13"/>
        <v>#DIV/0!</v>
      </c>
      <c r="AH23" s="240" t="e">
        <f t="shared" si="13"/>
        <v>#DIV/0!</v>
      </c>
      <c r="AI23" s="240" t="e">
        <f t="shared" si="13"/>
        <v>#DIV/0!</v>
      </c>
      <c r="AJ23" s="240" t="e">
        <f t="shared" si="13"/>
        <v>#DIV/0!</v>
      </c>
      <c r="AK23" s="240" t="e">
        <f t="shared" si="13"/>
        <v>#DIV/0!</v>
      </c>
      <c r="AL23" s="240" t="e">
        <f t="shared" si="13"/>
        <v>#DIV/0!</v>
      </c>
      <c r="AM23" s="240" t="e">
        <f t="shared" si="13"/>
        <v>#DIV/0!</v>
      </c>
      <c r="AN23" s="240" t="e">
        <f t="shared" si="13"/>
        <v>#DIV/0!</v>
      </c>
      <c r="AO23" s="240" t="e">
        <f t="shared" si="13"/>
        <v>#DIV/0!</v>
      </c>
      <c r="AP23" s="240" t="e">
        <f t="shared" si="13"/>
        <v>#DIV/0!</v>
      </c>
      <c r="AQ23" s="240" t="e">
        <f t="shared" si="13"/>
        <v>#DIV/0!</v>
      </c>
      <c r="AR23" s="240" t="e">
        <f t="shared" si="13"/>
        <v>#DIV/0!</v>
      </c>
      <c r="AS23" s="240" t="e">
        <f t="shared" si="13"/>
        <v>#DIV/0!</v>
      </c>
      <c r="AT23" s="240" t="e">
        <f t="shared" si="13"/>
        <v>#DIV/0!</v>
      </c>
      <c r="AU23" s="240" t="e">
        <f t="shared" si="13"/>
        <v>#DIV/0!</v>
      </c>
      <c r="AV23" s="240" t="e">
        <f t="shared" si="13"/>
        <v>#DIV/0!</v>
      </c>
      <c r="AW23" s="240" t="e">
        <f t="shared" si="13"/>
        <v>#DIV/0!</v>
      </c>
      <c r="AX23" s="240" t="e">
        <f t="shared" si="13"/>
        <v>#DIV/0!</v>
      </c>
      <c r="AY23" s="240" t="e">
        <f t="shared" si="13"/>
        <v>#DIV/0!</v>
      </c>
      <c r="AZ23" s="240" t="e">
        <f t="shared" si="13"/>
        <v>#DIV/0!</v>
      </c>
      <c r="BA23" s="240" t="e">
        <f t="shared" si="13"/>
        <v>#DIV/0!</v>
      </c>
      <c r="BB23" s="240" t="e">
        <f t="shared" si="13"/>
        <v>#DIV/0!</v>
      </c>
      <c r="BC23" s="240" t="e">
        <f t="shared" si="13"/>
        <v>#DIV/0!</v>
      </c>
      <c r="BD23" s="240" t="e">
        <f t="shared" si="13"/>
        <v>#DIV/0!</v>
      </c>
      <c r="BE23" s="240" t="e">
        <f t="shared" si="13"/>
        <v>#DIV/0!</v>
      </c>
      <c r="BF23" s="240" t="e">
        <f t="shared" si="13"/>
        <v>#DIV/0!</v>
      </c>
      <c r="BG23" s="240" t="e">
        <f t="shared" si="13"/>
        <v>#DIV/0!</v>
      </c>
      <c r="BH23" s="240" t="e">
        <f t="shared" si="13"/>
        <v>#DIV/0!</v>
      </c>
      <c r="BI23" s="240" t="e">
        <f t="shared" si="13"/>
        <v>#DIV/0!</v>
      </c>
      <c r="BJ23" s="240" t="e">
        <f t="shared" si="13"/>
        <v>#DIV/0!</v>
      </c>
      <c r="BK23" s="240" t="e">
        <f t="shared" si="13"/>
        <v>#DIV/0!</v>
      </c>
      <c r="BL23" s="240" t="e">
        <f t="shared" si="13"/>
        <v>#DIV/0!</v>
      </c>
      <c r="BM23" s="240" t="e">
        <f t="shared" si="13"/>
        <v>#DIV/0!</v>
      </c>
      <c r="BN23" s="240" t="e">
        <f t="shared" si="13"/>
        <v>#DIV/0!</v>
      </c>
      <c r="BO23" s="240" t="e">
        <f t="shared" si="13"/>
        <v>#DIV/0!</v>
      </c>
      <c r="BP23" s="240" t="e">
        <f t="shared" si="13"/>
        <v>#DIV/0!</v>
      </c>
      <c r="BQ23" s="240" t="e">
        <f t="shared" si="13"/>
        <v>#DIV/0!</v>
      </c>
      <c r="BR23" s="240" t="e">
        <f t="shared" ref="BR23:CK23" si="14">BR19/BR22</f>
        <v>#DIV/0!</v>
      </c>
      <c r="BS23" s="240" t="e">
        <f t="shared" si="14"/>
        <v>#DIV/0!</v>
      </c>
      <c r="BT23" s="240" t="e">
        <f t="shared" si="14"/>
        <v>#DIV/0!</v>
      </c>
      <c r="BU23" s="240" t="e">
        <f t="shared" si="14"/>
        <v>#DIV/0!</v>
      </c>
      <c r="BV23" s="240" t="e">
        <f t="shared" si="14"/>
        <v>#DIV/0!</v>
      </c>
      <c r="BW23" s="240" t="e">
        <f t="shared" si="14"/>
        <v>#DIV/0!</v>
      </c>
      <c r="BX23" s="240" t="e">
        <f t="shared" si="14"/>
        <v>#DIV/0!</v>
      </c>
      <c r="BY23" s="240" t="e">
        <f t="shared" si="14"/>
        <v>#DIV/0!</v>
      </c>
      <c r="BZ23" s="240" t="e">
        <f t="shared" si="14"/>
        <v>#DIV/0!</v>
      </c>
      <c r="CA23" s="240" t="e">
        <f t="shared" si="14"/>
        <v>#DIV/0!</v>
      </c>
      <c r="CB23" s="240" t="e">
        <f t="shared" si="14"/>
        <v>#DIV/0!</v>
      </c>
      <c r="CC23" s="240" t="e">
        <f t="shared" si="14"/>
        <v>#DIV/0!</v>
      </c>
      <c r="CD23" s="240" t="e">
        <f t="shared" si="14"/>
        <v>#DIV/0!</v>
      </c>
      <c r="CE23" s="240" t="e">
        <f t="shared" si="14"/>
        <v>#DIV/0!</v>
      </c>
      <c r="CF23" s="240" t="e">
        <f t="shared" si="14"/>
        <v>#DIV/0!</v>
      </c>
      <c r="CG23" s="240" t="e">
        <f t="shared" si="14"/>
        <v>#DIV/0!</v>
      </c>
      <c r="CH23" s="240" t="e">
        <f t="shared" si="14"/>
        <v>#DIV/0!</v>
      </c>
      <c r="CI23" s="240" t="e">
        <f t="shared" si="14"/>
        <v>#DIV/0!</v>
      </c>
      <c r="CJ23" s="240" t="e">
        <f t="shared" si="14"/>
        <v>#DIV/0!</v>
      </c>
      <c r="CK23" s="240" t="e">
        <f t="shared" si="14"/>
        <v>#DIV/0!</v>
      </c>
    </row>
    <row r="24" spans="1:89" s="159" customFormat="1" ht="14.25" thickBot="1">
      <c r="A24" s="158" t="s">
        <v>578</v>
      </c>
      <c r="B24" s="159">
        <f t="shared" ref="B24:D24" si="15">B21*B23</f>
        <v>2.8320015492416322</v>
      </c>
      <c r="C24" s="159">
        <f t="shared" si="15"/>
        <v>1.962273982312974</v>
      </c>
      <c r="D24" s="159">
        <f t="shared" si="15"/>
        <v>1.1829214480396728</v>
      </c>
      <c r="E24" s="159">
        <f>E21*E23</f>
        <v>0.60103919980195364</v>
      </c>
      <c r="F24" s="159">
        <f t="shared" ref="F24:BQ24" si="16">F21*F23</f>
        <v>0.76893920467770982</v>
      </c>
      <c r="G24" s="159">
        <f t="shared" si="16"/>
        <v>1.1152344429968573</v>
      </c>
      <c r="H24" s="159">
        <f t="shared" si="16"/>
        <v>1.3979819689722388</v>
      </c>
      <c r="I24" s="159">
        <f t="shared" si="16"/>
        <v>1.7464432187042824</v>
      </c>
      <c r="J24" s="159">
        <f t="shared" si="16"/>
        <v>1.1894342238570066</v>
      </c>
      <c r="K24" s="159">
        <f t="shared" si="16"/>
        <v>1.1821151377149317</v>
      </c>
      <c r="L24" s="159">
        <f t="shared" si="16"/>
        <v>1.5714414062544935</v>
      </c>
      <c r="M24" s="159">
        <f t="shared" si="16"/>
        <v>1.235056182995645</v>
      </c>
      <c r="N24" s="159">
        <f t="shared" si="16"/>
        <v>1.6641574287748113</v>
      </c>
      <c r="O24" s="159">
        <f t="shared" si="16"/>
        <v>1.4548987855297453</v>
      </c>
      <c r="P24" s="159">
        <f t="shared" si="16"/>
        <v>1.1043401284681689</v>
      </c>
      <c r="Q24" s="159">
        <f t="shared" si="16"/>
        <v>0.85016968551724104</v>
      </c>
      <c r="R24" s="159">
        <f t="shared" si="16"/>
        <v>0.55100345605476886</v>
      </c>
      <c r="S24" s="159">
        <f t="shared" si="16"/>
        <v>0.78524128397964599</v>
      </c>
      <c r="T24" s="159" t="e">
        <f t="shared" si="16"/>
        <v>#DIV/0!</v>
      </c>
      <c r="U24" s="159" t="e">
        <f t="shared" si="16"/>
        <v>#DIV/0!</v>
      </c>
      <c r="V24" s="159" t="e">
        <f t="shared" si="16"/>
        <v>#DIV/0!</v>
      </c>
      <c r="W24" s="159" t="e">
        <f t="shared" si="16"/>
        <v>#DIV/0!</v>
      </c>
      <c r="X24" s="159" t="e">
        <f t="shared" si="16"/>
        <v>#DIV/0!</v>
      </c>
      <c r="Y24" s="159" t="e">
        <f t="shared" si="16"/>
        <v>#DIV/0!</v>
      </c>
      <c r="Z24" s="159" t="e">
        <f t="shared" si="16"/>
        <v>#DIV/0!</v>
      </c>
      <c r="AA24" s="159" t="e">
        <f t="shared" si="16"/>
        <v>#DIV/0!</v>
      </c>
      <c r="AB24" s="159" t="e">
        <f t="shared" si="16"/>
        <v>#DIV/0!</v>
      </c>
      <c r="AC24" s="159" t="e">
        <f t="shared" si="16"/>
        <v>#DIV/0!</v>
      </c>
      <c r="AD24" s="159" t="e">
        <f t="shared" si="16"/>
        <v>#DIV/0!</v>
      </c>
      <c r="AE24" s="159" t="e">
        <f t="shared" si="16"/>
        <v>#DIV/0!</v>
      </c>
      <c r="AF24" s="159" t="e">
        <f t="shared" si="16"/>
        <v>#DIV/0!</v>
      </c>
      <c r="AG24" s="159" t="e">
        <f t="shared" si="16"/>
        <v>#DIV/0!</v>
      </c>
      <c r="AH24" s="159" t="e">
        <f t="shared" si="16"/>
        <v>#DIV/0!</v>
      </c>
      <c r="AI24" s="159" t="e">
        <f t="shared" si="16"/>
        <v>#DIV/0!</v>
      </c>
      <c r="AJ24" s="159" t="e">
        <f t="shared" si="16"/>
        <v>#DIV/0!</v>
      </c>
      <c r="AK24" s="159" t="e">
        <f t="shared" si="16"/>
        <v>#DIV/0!</v>
      </c>
      <c r="AL24" s="159" t="e">
        <f t="shared" si="16"/>
        <v>#DIV/0!</v>
      </c>
      <c r="AM24" s="159" t="e">
        <f t="shared" si="16"/>
        <v>#DIV/0!</v>
      </c>
      <c r="AN24" s="159" t="e">
        <f t="shared" si="16"/>
        <v>#DIV/0!</v>
      </c>
      <c r="AO24" s="159" t="e">
        <f t="shared" si="16"/>
        <v>#DIV/0!</v>
      </c>
      <c r="AP24" s="159" t="e">
        <f t="shared" si="16"/>
        <v>#DIV/0!</v>
      </c>
      <c r="AQ24" s="159" t="e">
        <f t="shared" si="16"/>
        <v>#DIV/0!</v>
      </c>
      <c r="AR24" s="159" t="e">
        <f t="shared" si="16"/>
        <v>#DIV/0!</v>
      </c>
      <c r="AS24" s="159" t="e">
        <f t="shared" si="16"/>
        <v>#DIV/0!</v>
      </c>
      <c r="AT24" s="159" t="e">
        <f t="shared" si="16"/>
        <v>#DIV/0!</v>
      </c>
      <c r="AU24" s="159" t="e">
        <f t="shared" si="16"/>
        <v>#DIV/0!</v>
      </c>
      <c r="AV24" s="159" t="e">
        <f t="shared" si="16"/>
        <v>#DIV/0!</v>
      </c>
      <c r="AW24" s="159" t="e">
        <f t="shared" si="16"/>
        <v>#DIV/0!</v>
      </c>
      <c r="AX24" s="159" t="e">
        <f t="shared" si="16"/>
        <v>#DIV/0!</v>
      </c>
      <c r="AY24" s="159" t="e">
        <f t="shared" si="16"/>
        <v>#DIV/0!</v>
      </c>
      <c r="AZ24" s="159" t="e">
        <f t="shared" si="16"/>
        <v>#DIV/0!</v>
      </c>
      <c r="BA24" s="159" t="e">
        <f t="shared" si="16"/>
        <v>#DIV/0!</v>
      </c>
      <c r="BB24" s="159" t="e">
        <f t="shared" si="16"/>
        <v>#DIV/0!</v>
      </c>
      <c r="BC24" s="159" t="e">
        <f t="shared" si="16"/>
        <v>#DIV/0!</v>
      </c>
      <c r="BD24" s="159" t="e">
        <f t="shared" si="16"/>
        <v>#DIV/0!</v>
      </c>
      <c r="BE24" s="159" t="e">
        <f t="shared" si="16"/>
        <v>#DIV/0!</v>
      </c>
      <c r="BF24" s="159" t="e">
        <f t="shared" si="16"/>
        <v>#DIV/0!</v>
      </c>
      <c r="BG24" s="159" t="e">
        <f t="shared" si="16"/>
        <v>#DIV/0!</v>
      </c>
      <c r="BH24" s="159" t="e">
        <f t="shared" si="16"/>
        <v>#DIV/0!</v>
      </c>
      <c r="BI24" s="159" t="e">
        <f t="shared" si="16"/>
        <v>#DIV/0!</v>
      </c>
      <c r="BJ24" s="159" t="e">
        <f t="shared" si="16"/>
        <v>#DIV/0!</v>
      </c>
      <c r="BK24" s="159" t="e">
        <f t="shared" si="16"/>
        <v>#DIV/0!</v>
      </c>
      <c r="BL24" s="159" t="e">
        <f t="shared" si="16"/>
        <v>#DIV/0!</v>
      </c>
      <c r="BM24" s="159" t="e">
        <f t="shared" si="16"/>
        <v>#DIV/0!</v>
      </c>
      <c r="BN24" s="159" t="e">
        <f t="shared" si="16"/>
        <v>#DIV/0!</v>
      </c>
      <c r="BO24" s="159" t="e">
        <f t="shared" si="16"/>
        <v>#DIV/0!</v>
      </c>
      <c r="BP24" s="159" t="e">
        <f t="shared" si="16"/>
        <v>#DIV/0!</v>
      </c>
      <c r="BQ24" s="159" t="e">
        <f t="shared" si="16"/>
        <v>#DIV/0!</v>
      </c>
      <c r="BR24" s="159" t="e">
        <f t="shared" ref="BR24:CK24" si="17">BR21*BR23</f>
        <v>#DIV/0!</v>
      </c>
      <c r="BS24" s="159" t="e">
        <f t="shared" si="17"/>
        <v>#DIV/0!</v>
      </c>
      <c r="BT24" s="159" t="e">
        <f t="shared" si="17"/>
        <v>#DIV/0!</v>
      </c>
      <c r="BU24" s="159" t="e">
        <f t="shared" si="17"/>
        <v>#DIV/0!</v>
      </c>
      <c r="BV24" s="159" t="e">
        <f t="shared" si="17"/>
        <v>#DIV/0!</v>
      </c>
      <c r="BW24" s="159" t="e">
        <f t="shared" si="17"/>
        <v>#DIV/0!</v>
      </c>
      <c r="BX24" s="159" t="e">
        <f t="shared" si="17"/>
        <v>#DIV/0!</v>
      </c>
      <c r="BY24" s="159" t="e">
        <f t="shared" si="17"/>
        <v>#DIV/0!</v>
      </c>
      <c r="BZ24" s="159" t="e">
        <f t="shared" si="17"/>
        <v>#DIV/0!</v>
      </c>
      <c r="CA24" s="159" t="e">
        <f t="shared" si="17"/>
        <v>#DIV/0!</v>
      </c>
      <c r="CB24" s="159" t="e">
        <f t="shared" si="17"/>
        <v>#DIV/0!</v>
      </c>
      <c r="CC24" s="159" t="e">
        <f t="shared" si="17"/>
        <v>#DIV/0!</v>
      </c>
      <c r="CD24" s="159" t="e">
        <f t="shared" si="17"/>
        <v>#DIV/0!</v>
      </c>
      <c r="CE24" s="159" t="e">
        <f t="shared" si="17"/>
        <v>#DIV/0!</v>
      </c>
      <c r="CF24" s="159" t="e">
        <f t="shared" si="17"/>
        <v>#DIV/0!</v>
      </c>
      <c r="CG24" s="159" t="e">
        <f t="shared" si="17"/>
        <v>#DIV/0!</v>
      </c>
      <c r="CH24" s="159" t="e">
        <f t="shared" si="17"/>
        <v>#DIV/0!</v>
      </c>
      <c r="CI24" s="159" t="e">
        <f t="shared" si="17"/>
        <v>#DIV/0!</v>
      </c>
      <c r="CJ24" s="159" t="e">
        <f t="shared" si="17"/>
        <v>#DIV/0!</v>
      </c>
      <c r="CK24" s="159" t="e">
        <f t="shared" si="17"/>
        <v>#DIV/0!</v>
      </c>
    </row>
    <row r="25" spans="1:89" s="242" customFormat="1">
      <c r="A25" s="241" t="s">
        <v>328</v>
      </c>
      <c r="B25" s="271" t="s">
        <v>638</v>
      </c>
      <c r="C25" s="271" t="s">
        <v>639</v>
      </c>
      <c r="D25" s="271" t="s">
        <v>640</v>
      </c>
      <c r="E25" s="271" t="s">
        <v>641</v>
      </c>
      <c r="F25" s="271" t="s">
        <v>642</v>
      </c>
      <c r="G25" s="271" t="s">
        <v>643</v>
      </c>
      <c r="H25" s="271" t="s">
        <v>644</v>
      </c>
      <c r="I25" s="271" t="s">
        <v>645</v>
      </c>
      <c r="J25" s="271" t="s">
        <v>646</v>
      </c>
      <c r="K25" s="271" t="s">
        <v>647</v>
      </c>
      <c r="L25" s="271" t="s">
        <v>648</v>
      </c>
      <c r="M25" s="271" t="s">
        <v>649</v>
      </c>
      <c r="N25" s="271" t="s">
        <v>650</v>
      </c>
      <c r="O25" s="271" t="s">
        <v>651</v>
      </c>
      <c r="P25" s="271" t="s">
        <v>652</v>
      </c>
      <c r="Q25" s="271" t="s">
        <v>653</v>
      </c>
      <c r="R25" s="271" t="s">
        <v>654</v>
      </c>
      <c r="S25" s="271" t="s">
        <v>655</v>
      </c>
      <c r="T25" s="315"/>
      <c r="U25" s="315"/>
      <c r="V25" s="315"/>
      <c r="W25" s="315"/>
      <c r="X25" s="315"/>
      <c r="Y25" s="315"/>
      <c r="Z25" s="315"/>
      <c r="AA25" s="315"/>
      <c r="AB25" s="315"/>
      <c r="AC25" s="315"/>
      <c r="AD25" s="315"/>
      <c r="AE25" s="315"/>
      <c r="AF25" s="315"/>
      <c r="AG25" s="315"/>
      <c r="AH25" s="315"/>
      <c r="AI25" s="315"/>
      <c r="AJ25" s="315"/>
      <c r="AK25" s="315"/>
      <c r="AL25" s="315"/>
      <c r="AM25" s="315"/>
      <c r="AN25" s="315"/>
      <c r="AO25" s="315"/>
      <c r="AP25" s="315"/>
      <c r="AQ25" s="315"/>
      <c r="AR25" s="315"/>
      <c r="AS25" s="315"/>
      <c r="AT25" s="315"/>
      <c r="AU25" s="315"/>
      <c r="AV25" s="315"/>
      <c r="AW25" s="315"/>
      <c r="AX25" s="315"/>
      <c r="AY25" s="315"/>
      <c r="AZ25" s="315"/>
      <c r="BA25" s="315"/>
      <c r="BB25" s="315"/>
      <c r="BC25" s="315"/>
      <c r="BD25" s="315"/>
      <c r="BE25" s="315"/>
      <c r="BF25" s="315"/>
      <c r="BG25" s="315"/>
      <c r="BH25" s="315"/>
      <c r="BI25" s="315"/>
      <c r="BJ25" s="315"/>
      <c r="BK25" s="315"/>
      <c r="BL25" s="315"/>
      <c r="BM25" s="315"/>
      <c r="BN25" s="315"/>
      <c r="BO25" s="315"/>
      <c r="BP25" s="315"/>
      <c r="BQ25" s="315"/>
      <c r="BR25" s="315"/>
      <c r="BS25" s="315"/>
      <c r="BT25" s="315"/>
      <c r="BU25" s="315"/>
      <c r="BV25" s="315"/>
      <c r="BW25" s="315"/>
      <c r="BX25" s="315"/>
      <c r="BY25" s="315"/>
      <c r="BZ25" s="315"/>
      <c r="CA25" s="315"/>
      <c r="CB25" s="315"/>
      <c r="CC25" s="315"/>
      <c r="CD25" s="315"/>
      <c r="CE25" s="315"/>
      <c r="CF25" s="315"/>
      <c r="CG25" s="315"/>
      <c r="CH25" s="315"/>
      <c r="CI25" s="315"/>
      <c r="CJ25" s="315"/>
      <c r="CK25" s="315"/>
    </row>
    <row r="26" spans="1:89" s="76" customFormat="1">
      <c r="A26" s="145" t="s">
        <v>329</v>
      </c>
      <c r="B26" s="194">
        <f>利润表!B14</f>
        <v>0</v>
      </c>
      <c r="C26" s="194">
        <f>利润表!C14</f>
        <v>0</v>
      </c>
      <c r="D26" s="194">
        <f>利润表!D14</f>
        <v>0</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5" t="s">
        <v>330</v>
      </c>
      <c r="B27" s="194">
        <f>资产资本表!B19</f>
        <v>0</v>
      </c>
      <c r="C27" s="194">
        <f>资产资本表!C19</f>
        <v>0</v>
      </c>
      <c r="D27" s="194">
        <f>资产资本表!D19</f>
        <v>0</v>
      </c>
      <c r="E27" s="76">
        <f>资产资本表!E19</f>
        <v>0</v>
      </c>
      <c r="F27" s="76">
        <f>资产资本表!F19</f>
        <v>0</v>
      </c>
      <c r="G27" s="76">
        <f>资产资本表!G19</f>
        <v>4000000</v>
      </c>
      <c r="H27" s="76">
        <f>资产资本表!H19</f>
        <v>4000000</v>
      </c>
      <c r="I27" s="76">
        <f>资产资本表!I19</f>
        <v>4000000</v>
      </c>
      <c r="J27" s="76">
        <f>资产资本表!J19</f>
        <v>4000000</v>
      </c>
      <c r="K27" s="76">
        <f>资产资本表!K19</f>
        <v>4000000</v>
      </c>
      <c r="L27" s="76">
        <f>资产资本表!L19</f>
        <v>4000000</v>
      </c>
      <c r="M27" s="76">
        <f>资产资本表!M19</f>
        <v>4000000</v>
      </c>
      <c r="N27" s="76">
        <f>资产资本表!N19</f>
        <v>11486496.289999999</v>
      </c>
      <c r="O27" s="76">
        <f>资产资本表!O19</f>
        <v>10243017.33</v>
      </c>
      <c r="P27" s="76">
        <f>资产资本表!P19</f>
        <v>9815063.7300000004</v>
      </c>
      <c r="Q27" s="76">
        <f>资产资本表!Q19</f>
        <v>4000000</v>
      </c>
      <c r="R27" s="76">
        <f>资产资本表!R19</f>
        <v>4000000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c r="A28" s="143" t="s">
        <v>331</v>
      </c>
      <c r="E28" s="110" t="e">
        <f>E26/E27</f>
        <v>#DIV/0!</v>
      </c>
      <c r="F28" s="110" t="e">
        <f t="shared" ref="F28:BQ28" si="18">F26/F27</f>
        <v>#DIV/0!</v>
      </c>
      <c r="G28" s="110">
        <f t="shared" si="18"/>
        <v>0</v>
      </c>
      <c r="H28" s="110">
        <f t="shared" si="18"/>
        <v>0</v>
      </c>
      <c r="I28" s="110">
        <f t="shared" si="18"/>
        <v>0</v>
      </c>
      <c r="J28" s="110">
        <f t="shared" si="18"/>
        <v>0</v>
      </c>
      <c r="K28" s="110">
        <f t="shared" si="18"/>
        <v>0</v>
      </c>
      <c r="L28" s="110">
        <f t="shared" si="18"/>
        <v>0</v>
      </c>
      <c r="M28" s="110">
        <f t="shared" si="18"/>
        <v>0</v>
      </c>
      <c r="N28" s="110">
        <f t="shared" si="18"/>
        <v>0</v>
      </c>
      <c r="O28" s="110">
        <f t="shared" si="18"/>
        <v>0</v>
      </c>
      <c r="P28" s="110">
        <f t="shared" si="18"/>
        <v>0</v>
      </c>
      <c r="Q28" s="110">
        <f t="shared" si="18"/>
        <v>0</v>
      </c>
      <c r="R28" s="110">
        <f t="shared" si="18"/>
        <v>0</v>
      </c>
      <c r="S28" s="110" t="e">
        <f t="shared" si="18"/>
        <v>#DIV/0!</v>
      </c>
      <c r="T28" s="110" t="e">
        <f t="shared" si="18"/>
        <v>#DIV/0!</v>
      </c>
      <c r="U28" s="110" t="e">
        <f t="shared" si="18"/>
        <v>#DIV/0!</v>
      </c>
      <c r="V28" s="110" t="e">
        <f t="shared" si="18"/>
        <v>#DIV/0!</v>
      </c>
      <c r="W28" s="110" t="e">
        <f t="shared" si="18"/>
        <v>#DIV/0!</v>
      </c>
      <c r="X28" s="110" t="e">
        <f t="shared" si="18"/>
        <v>#DIV/0!</v>
      </c>
      <c r="Y28" s="110" t="e">
        <f t="shared" si="18"/>
        <v>#DIV/0!</v>
      </c>
      <c r="Z28" s="110" t="e">
        <f t="shared" si="18"/>
        <v>#DIV/0!</v>
      </c>
      <c r="AA28" s="110" t="e">
        <f t="shared" si="18"/>
        <v>#DIV/0!</v>
      </c>
      <c r="AB28" s="110" t="e">
        <f t="shared" si="18"/>
        <v>#DIV/0!</v>
      </c>
      <c r="AC28" s="110" t="e">
        <f t="shared" si="18"/>
        <v>#DIV/0!</v>
      </c>
      <c r="AD28" s="110" t="e">
        <f t="shared" si="18"/>
        <v>#DIV/0!</v>
      </c>
      <c r="AE28" s="110" t="e">
        <f t="shared" si="18"/>
        <v>#DIV/0!</v>
      </c>
      <c r="AF28" s="110" t="e">
        <f t="shared" si="18"/>
        <v>#DIV/0!</v>
      </c>
      <c r="AG28" s="110" t="e">
        <f t="shared" si="18"/>
        <v>#DIV/0!</v>
      </c>
      <c r="AH28" s="110" t="e">
        <f t="shared" si="18"/>
        <v>#DIV/0!</v>
      </c>
      <c r="AI28" s="110" t="e">
        <f t="shared" si="18"/>
        <v>#DIV/0!</v>
      </c>
      <c r="AJ28" s="110" t="e">
        <f t="shared" si="18"/>
        <v>#DIV/0!</v>
      </c>
      <c r="AK28" s="110" t="e">
        <f t="shared" si="18"/>
        <v>#DIV/0!</v>
      </c>
      <c r="AL28" s="110" t="e">
        <f t="shared" si="18"/>
        <v>#DIV/0!</v>
      </c>
      <c r="AM28" s="110" t="e">
        <f t="shared" si="18"/>
        <v>#DIV/0!</v>
      </c>
      <c r="AN28" s="110" t="e">
        <f t="shared" si="18"/>
        <v>#DIV/0!</v>
      </c>
      <c r="AO28" s="110" t="e">
        <f t="shared" si="18"/>
        <v>#DIV/0!</v>
      </c>
      <c r="AP28" s="110" t="e">
        <f t="shared" si="18"/>
        <v>#DIV/0!</v>
      </c>
      <c r="AQ28" s="110" t="e">
        <f t="shared" si="18"/>
        <v>#DIV/0!</v>
      </c>
      <c r="AR28" s="110" t="e">
        <f t="shared" si="18"/>
        <v>#DIV/0!</v>
      </c>
      <c r="AS28" s="110" t="e">
        <f t="shared" si="18"/>
        <v>#DIV/0!</v>
      </c>
      <c r="AT28" s="110" t="e">
        <f t="shared" si="18"/>
        <v>#DIV/0!</v>
      </c>
      <c r="AU28" s="110" t="e">
        <f t="shared" si="18"/>
        <v>#DIV/0!</v>
      </c>
      <c r="AV28" s="110" t="e">
        <f t="shared" si="18"/>
        <v>#DIV/0!</v>
      </c>
      <c r="AW28" s="110" t="e">
        <f t="shared" si="18"/>
        <v>#DIV/0!</v>
      </c>
      <c r="AX28" s="110" t="e">
        <f t="shared" si="18"/>
        <v>#DIV/0!</v>
      </c>
      <c r="AY28" s="110" t="e">
        <f t="shared" si="18"/>
        <v>#DIV/0!</v>
      </c>
      <c r="AZ28" s="110" t="e">
        <f t="shared" si="18"/>
        <v>#DIV/0!</v>
      </c>
      <c r="BA28" s="110" t="e">
        <f t="shared" si="18"/>
        <v>#DIV/0!</v>
      </c>
      <c r="BB28" s="110" t="e">
        <f t="shared" si="18"/>
        <v>#DIV/0!</v>
      </c>
      <c r="BC28" s="110" t="e">
        <f t="shared" si="18"/>
        <v>#DIV/0!</v>
      </c>
      <c r="BD28" s="110" t="e">
        <f t="shared" si="18"/>
        <v>#DIV/0!</v>
      </c>
      <c r="BE28" s="110" t="e">
        <f t="shared" si="18"/>
        <v>#DIV/0!</v>
      </c>
      <c r="BF28" s="110" t="e">
        <f t="shared" si="18"/>
        <v>#DIV/0!</v>
      </c>
      <c r="BG28" s="110" t="e">
        <f t="shared" si="18"/>
        <v>#DIV/0!</v>
      </c>
      <c r="BH28" s="110" t="e">
        <f t="shared" si="18"/>
        <v>#DIV/0!</v>
      </c>
      <c r="BI28" s="110" t="e">
        <f t="shared" si="18"/>
        <v>#DIV/0!</v>
      </c>
      <c r="BJ28" s="110" t="e">
        <f t="shared" si="18"/>
        <v>#DIV/0!</v>
      </c>
      <c r="BK28" s="110" t="e">
        <f t="shared" si="18"/>
        <v>#DIV/0!</v>
      </c>
      <c r="BL28" s="110" t="e">
        <f t="shared" si="18"/>
        <v>#DIV/0!</v>
      </c>
      <c r="BM28" s="110" t="e">
        <f t="shared" si="18"/>
        <v>#DIV/0!</v>
      </c>
      <c r="BN28" s="110" t="e">
        <f t="shared" si="18"/>
        <v>#DIV/0!</v>
      </c>
      <c r="BO28" s="110" t="e">
        <f t="shared" si="18"/>
        <v>#DIV/0!</v>
      </c>
      <c r="BP28" s="110" t="e">
        <f t="shared" si="18"/>
        <v>#DIV/0!</v>
      </c>
      <c r="BQ28" s="110" t="e">
        <f t="shared" si="18"/>
        <v>#DIV/0!</v>
      </c>
      <c r="BR28" s="110" t="e">
        <f t="shared" ref="BR28:CJ28" si="19">BR26/BR27</f>
        <v>#DIV/0!</v>
      </c>
      <c r="BS28" s="110" t="e">
        <f t="shared" si="19"/>
        <v>#DIV/0!</v>
      </c>
      <c r="BT28" s="110" t="e">
        <f t="shared" si="19"/>
        <v>#DIV/0!</v>
      </c>
      <c r="BU28" s="110" t="e">
        <f t="shared" si="19"/>
        <v>#DIV/0!</v>
      </c>
      <c r="BV28" s="110" t="e">
        <f t="shared" si="19"/>
        <v>#DIV/0!</v>
      </c>
      <c r="BW28" s="110" t="e">
        <f t="shared" si="19"/>
        <v>#DIV/0!</v>
      </c>
      <c r="BX28" s="110" t="e">
        <f t="shared" si="19"/>
        <v>#DIV/0!</v>
      </c>
      <c r="BY28" s="110" t="e">
        <f t="shared" si="19"/>
        <v>#DIV/0!</v>
      </c>
      <c r="BZ28" s="110" t="e">
        <f t="shared" si="19"/>
        <v>#DIV/0!</v>
      </c>
      <c r="CA28" s="110" t="e">
        <f t="shared" si="19"/>
        <v>#DIV/0!</v>
      </c>
      <c r="CB28" s="110" t="e">
        <f t="shared" si="19"/>
        <v>#DIV/0!</v>
      </c>
      <c r="CC28" s="110" t="e">
        <f t="shared" si="19"/>
        <v>#DIV/0!</v>
      </c>
      <c r="CD28" s="110" t="e">
        <f t="shared" si="19"/>
        <v>#DIV/0!</v>
      </c>
      <c r="CE28" s="110" t="e">
        <f t="shared" si="19"/>
        <v>#DIV/0!</v>
      </c>
      <c r="CF28" s="110" t="e">
        <f t="shared" si="19"/>
        <v>#DIV/0!</v>
      </c>
      <c r="CG28" s="110" t="e">
        <f t="shared" si="19"/>
        <v>#DIV/0!</v>
      </c>
      <c r="CH28" s="110" t="e">
        <f t="shared" si="19"/>
        <v>#DIV/0!</v>
      </c>
      <c r="CI28" s="110" t="e">
        <f t="shared" si="19"/>
        <v>#DIV/0!</v>
      </c>
      <c r="CJ28" s="110" t="e">
        <f t="shared" si="19"/>
        <v>#DIV/0!</v>
      </c>
    </row>
    <row r="29" spans="1:89" s="26" customFormat="1" ht="159.6" customHeight="1">
      <c r="A29" s="287" t="s">
        <v>580</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c r="A30" s="17"/>
    </row>
    <row r="31" spans="1:89" s="116" customFormat="1">
      <c r="A31" s="118" t="s">
        <v>332</v>
      </c>
      <c r="B31" s="271" t="s">
        <v>638</v>
      </c>
      <c r="C31" s="271" t="s">
        <v>639</v>
      </c>
      <c r="D31" s="271" t="s">
        <v>640</v>
      </c>
      <c r="E31" s="271" t="s">
        <v>641</v>
      </c>
      <c r="F31" s="271" t="s">
        <v>642</v>
      </c>
      <c r="G31" s="271" t="s">
        <v>643</v>
      </c>
      <c r="H31" s="271" t="s">
        <v>644</v>
      </c>
      <c r="I31" s="271" t="s">
        <v>645</v>
      </c>
      <c r="J31" s="271" t="s">
        <v>646</v>
      </c>
      <c r="K31" s="271" t="s">
        <v>647</v>
      </c>
      <c r="L31" s="271" t="s">
        <v>648</v>
      </c>
      <c r="M31" s="271" t="s">
        <v>649</v>
      </c>
      <c r="N31" s="271" t="s">
        <v>650</v>
      </c>
      <c r="O31" s="271" t="s">
        <v>651</v>
      </c>
      <c r="P31" s="271" t="s">
        <v>652</v>
      </c>
      <c r="Q31" s="271" t="s">
        <v>653</v>
      </c>
      <c r="R31" s="271" t="s">
        <v>654</v>
      </c>
      <c r="S31" s="271" t="s">
        <v>655</v>
      </c>
      <c r="T31" s="315"/>
      <c r="U31" s="315"/>
      <c r="V31" s="315"/>
      <c r="W31" s="315"/>
      <c r="X31" s="315"/>
      <c r="Y31" s="315"/>
      <c r="Z31" s="315"/>
      <c r="AA31" s="315"/>
      <c r="AB31" s="315"/>
      <c r="AC31" s="315"/>
      <c r="AD31" s="315"/>
      <c r="AE31" s="315"/>
      <c r="AF31" s="315"/>
      <c r="AG31" s="315"/>
      <c r="AH31" s="315"/>
      <c r="AI31" s="315"/>
      <c r="AJ31" s="315"/>
      <c r="AK31" s="315"/>
      <c r="AL31" s="315"/>
      <c r="AM31" s="315"/>
      <c r="AN31" s="315"/>
      <c r="AO31" s="315"/>
      <c r="AP31" s="315"/>
      <c r="AQ31" s="315"/>
      <c r="AR31" s="315"/>
      <c r="AS31" s="315"/>
      <c r="AT31" s="315"/>
      <c r="AU31" s="315"/>
      <c r="AV31" s="315"/>
      <c r="AW31" s="315"/>
      <c r="AX31" s="315"/>
      <c r="AY31" s="315"/>
      <c r="AZ31" s="315"/>
      <c r="BA31" s="315"/>
      <c r="BB31" s="315"/>
      <c r="BC31" s="315"/>
      <c r="BD31" s="315"/>
      <c r="BE31" s="315"/>
      <c r="BF31" s="315"/>
      <c r="BG31" s="315"/>
      <c r="BH31" s="315"/>
      <c r="BI31" s="315"/>
      <c r="BJ31" s="315"/>
      <c r="BK31" s="315"/>
      <c r="BL31" s="315"/>
      <c r="BM31" s="315"/>
      <c r="BN31" s="315"/>
      <c r="BO31" s="315"/>
      <c r="BP31" s="315"/>
      <c r="BQ31" s="315"/>
      <c r="BR31" s="315"/>
      <c r="BS31" s="315"/>
      <c r="BT31" s="315"/>
      <c r="BU31" s="315"/>
      <c r="BV31" s="315"/>
      <c r="BW31" s="315"/>
      <c r="BX31" s="315"/>
      <c r="BY31" s="315"/>
      <c r="BZ31" s="315"/>
      <c r="CA31" s="315"/>
      <c r="CB31" s="315"/>
      <c r="CC31" s="315"/>
      <c r="CD31" s="315"/>
      <c r="CE31" s="315"/>
      <c r="CF31" s="315"/>
      <c r="CG31" s="315"/>
      <c r="CH31" s="315"/>
      <c r="CI31" s="315"/>
      <c r="CJ31" s="315"/>
      <c r="CK31" s="315"/>
    </row>
    <row r="32" spans="1:89" s="76" customFormat="1">
      <c r="A32" s="145" t="s">
        <v>336</v>
      </c>
      <c r="B32" s="194">
        <f>股权价值增加表!B29</f>
        <v>352206.1041902554</v>
      </c>
      <c r="C32" s="194">
        <f>股权价值增加表!C29</f>
        <v>3860535.266969183</v>
      </c>
      <c r="D32" s="194">
        <f>股权价值增加表!D29</f>
        <v>1819460.6786275541</v>
      </c>
      <c r="E32" s="76">
        <f>股权价值增加表!E29</f>
        <v>35308483.549991041</v>
      </c>
      <c r="F32" s="76">
        <f>股权价值增加表!F29</f>
        <v>1683838.6844709408</v>
      </c>
      <c r="G32" s="76">
        <f>股权价值增加表!G29</f>
        <v>2255674.2898913343</v>
      </c>
      <c r="H32" s="76">
        <f>股权价值增加表!H29</f>
        <v>2336470.3183872504</v>
      </c>
      <c r="I32" s="76">
        <f>股权价值增加表!I29</f>
        <v>56150831.276661009</v>
      </c>
      <c r="J32" s="76">
        <f>股权价值增加表!J29</f>
        <v>349688.55123774754</v>
      </c>
      <c r="K32" s="76">
        <f>股权价值增加表!K29</f>
        <v>905590.48421258829</v>
      </c>
      <c r="L32" s="76">
        <f>股权价值增加表!L29</f>
        <v>982304.3125842344</v>
      </c>
      <c r="M32" s="76">
        <f>股权价值增加表!M29</f>
        <v>73498115.444023296</v>
      </c>
      <c r="N32" s="76">
        <f>股权价值增加表!N29</f>
        <v>1905953.3944957396</v>
      </c>
      <c r="O32" s="76">
        <f>股权价值增加表!O29</f>
        <v>260550.85177714977</v>
      </c>
      <c r="P32" s="76">
        <f>股权价值增加表!P29</f>
        <v>180534.89191337407</v>
      </c>
      <c r="Q32" s="76">
        <f>股权价值增加表!Q29</f>
        <v>83519840.789301068</v>
      </c>
      <c r="R32" s="76">
        <f>股权价值增加表!R29</f>
        <v>0</v>
      </c>
      <c r="S32" s="76">
        <f>股权价值增加表!S29</f>
        <v>0</v>
      </c>
      <c r="T32" s="76">
        <f>股权价值增加表!T29</f>
        <v>-132343473.47703582</v>
      </c>
      <c r="U32" s="76">
        <f>股权价值增加表!U29</f>
        <v>-24219116489.642704</v>
      </c>
      <c r="V32" s="76">
        <f>股权价值增加表!V29</f>
        <v>-35077599.518666297</v>
      </c>
      <c r="W32" s="76">
        <f>股权价值增加表!W29</f>
        <v>-31748960.413375378</v>
      </c>
      <c r="X32" s="76">
        <f>股权价值增加表!X29</f>
        <v>-28166602.18447696</v>
      </c>
      <c r="Y32" s="76">
        <f>股权价值增加表!Y29</f>
        <v>-4555651848.7947369</v>
      </c>
      <c r="Z32" s="76">
        <f>股权价值增加表!Z29</f>
        <v>-31231311.448558435</v>
      </c>
      <c r="AA32" s="76">
        <f>股权价值增加表!AA29</f>
        <v>-34553438.368166879</v>
      </c>
      <c r="AB32" s="76">
        <f>股权价值增加表!AB29</f>
        <v>-36868570.283591829</v>
      </c>
      <c r="AC32" s="76">
        <f>股权价值增加表!AC29</f>
        <v>-3475535057.3547292</v>
      </c>
      <c r="AD32" s="76">
        <f>股权价值增加表!AD29</f>
        <v>-26081260.139683824</v>
      </c>
      <c r="AE32" s="76">
        <f>股权价值增加表!AE29</f>
        <v>-31658157.83822199</v>
      </c>
      <c r="AF32" s="76">
        <f>股权价值增加表!AF29</f>
        <v>-32976067.674816862</v>
      </c>
      <c r="AG32" s="76">
        <f>股权价值增加表!AG29</f>
        <v>-2024283378.4047828</v>
      </c>
      <c r="AH32" s="76">
        <f>股权价值增加表!AH29</f>
        <v>-4359729.3905056082</v>
      </c>
      <c r="AI32" s="76">
        <f>股权价值增加表!AI29</f>
        <v>-3675883.3194018714</v>
      </c>
      <c r="AJ32" s="76">
        <f>股权价值增加表!AJ29</f>
        <v>-2832060.2999850768</v>
      </c>
      <c r="AK32" s="76">
        <f>股权价值增加表!AK29</f>
        <v>0</v>
      </c>
      <c r="AL32" s="76">
        <f>股权价值增加表!AL29</f>
        <v>-12492251.207048582</v>
      </c>
      <c r="AM32" s="76">
        <f>股权价值增加表!AM29</f>
        <v>-13126293.878226768</v>
      </c>
      <c r="AN32" s="76">
        <f>股权价值增加表!AN29</f>
        <v>-7374885.2150696479</v>
      </c>
      <c r="AO32" s="76">
        <f>股权价值增加表!AO29</f>
        <v>-1271297.8464632742</v>
      </c>
      <c r="AP32" s="76">
        <f>股权价值增加表!AP29</f>
        <v>-16310735.533708274</v>
      </c>
      <c r="AQ32" s="76">
        <f>股权价值增加表!AQ29</f>
        <v>-16746566.498170622</v>
      </c>
      <c r="AR32" s="76">
        <f>股权价值增加表!AR29</f>
        <v>-11325753.101922436</v>
      </c>
      <c r="AS32" s="76">
        <f>股权价值增加表!AS29</f>
        <v>-2773432.3942600493</v>
      </c>
      <c r="AT32" s="76">
        <f>股权价值增加表!AT29</f>
        <v>-58839831.071368173</v>
      </c>
      <c r="AU32" s="76">
        <f>股权价值增加表!AU29</f>
        <v>-17627619.654710572</v>
      </c>
      <c r="AV32" s="76">
        <f>股权价值增加表!AV29</f>
        <v>-11015290.389697319</v>
      </c>
      <c r="AW32" s="76">
        <f>股权价值增加表!AW29</f>
        <v>0</v>
      </c>
      <c r="AX32" s="76">
        <f>股权价值增加表!AX29</f>
        <v>-94346529.682120115</v>
      </c>
      <c r="AY32" s="76">
        <f>股权价值增加表!AY29</f>
        <v>-5521259.1222836068</v>
      </c>
      <c r="AZ32" s="76">
        <f>股权价值增加表!AZ29</f>
        <v>-6989956.7752029663</v>
      </c>
      <c r="BA32" s="76">
        <f>股权价值增加表!BA29</f>
        <v>0</v>
      </c>
      <c r="BB32" s="76">
        <f>股权价值增加表!BB29</f>
        <v>-9404449.9830422755</v>
      </c>
      <c r="BC32" s="76">
        <f>股权价值增加表!BC29</f>
        <v>-668951.90852930595</v>
      </c>
      <c r="BD32" s="76">
        <f>股权价值增加表!BD29</f>
        <v>-717425.57711067633</v>
      </c>
      <c r="BE32" s="76">
        <f>股权价值增加表!BE29</f>
        <v>8963502.6568086389</v>
      </c>
      <c r="BF32" s="76">
        <f>股权价值增加表!BF29</f>
        <v>-7307393.6693282202</v>
      </c>
      <c r="BG32" s="76">
        <f>股权价值增加表!BG29</f>
        <v>0</v>
      </c>
      <c r="BH32" s="76">
        <f>股权价值增加表!BH29</f>
        <v>0</v>
      </c>
      <c r="BI32" s="76">
        <f>股权价值增加表!BI29</f>
        <v>0</v>
      </c>
      <c r="BJ32" s="76">
        <f>股权价值增加表!BJ29</f>
        <v>0</v>
      </c>
      <c r="BK32" s="76">
        <f>股权价值增加表!BK29</f>
        <v>0</v>
      </c>
      <c r="BL32" s="76">
        <f>股权价值增加表!BL29</f>
        <v>0</v>
      </c>
      <c r="BM32" s="76">
        <f>股权价值增加表!BM29</f>
        <v>0</v>
      </c>
      <c r="BN32" s="76">
        <f>股权价值增加表!BN29</f>
        <v>0</v>
      </c>
      <c r="BO32" s="76">
        <f>股权价值增加表!BO29</f>
        <v>0</v>
      </c>
      <c r="BP32" s="76">
        <f>股权价值增加表!BP29</f>
        <v>0</v>
      </c>
      <c r="BQ32" s="76">
        <f>股权价值增加表!BQ29</f>
        <v>0</v>
      </c>
      <c r="BR32" s="76">
        <f>股权价值增加表!BR29</f>
        <v>0</v>
      </c>
      <c r="BS32" s="76">
        <f>股权价值增加表!BS29</f>
        <v>0</v>
      </c>
      <c r="BT32" s="76">
        <f>股权价值增加表!BT29</f>
        <v>0</v>
      </c>
      <c r="BU32" s="76">
        <f>股权价值增加表!BU29</f>
        <v>0</v>
      </c>
      <c r="BV32" s="76">
        <f>股权价值增加表!BV29</f>
        <v>0</v>
      </c>
      <c r="BW32" s="76" t="e">
        <f>股权价值增加表!BW29</f>
        <v>#DIV/0!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46" t="s">
        <v>337</v>
      </c>
    </row>
    <row r="34" spans="1:89" s="76" customFormat="1">
      <c r="A34" s="145" t="s">
        <v>338</v>
      </c>
      <c r="B34" s="194">
        <f>资产资本表!B4</f>
        <v>112074791420.06</v>
      </c>
      <c r="C34" s="194">
        <f>资产资本表!C4</f>
        <v>87868869913.339996</v>
      </c>
      <c r="D34" s="194">
        <f>资产资本表!D4</f>
        <v>66854962118.220001</v>
      </c>
      <c r="E34" s="76">
        <f>资产资本表!E4</f>
        <v>36800749895.059998</v>
      </c>
      <c r="F34" s="76">
        <f>资产资本表!F4</f>
        <v>27710717680.209999</v>
      </c>
      <c r="G34" s="76">
        <f>资产资本表!G4</f>
        <v>25185009331.68</v>
      </c>
      <c r="H34" s="76">
        <f>资产资本表!H4</f>
        <v>22061999850.169998</v>
      </c>
      <c r="I34" s="76">
        <f>资产资本表!I4</f>
        <v>18254690162.040001</v>
      </c>
      <c r="J34" s="76">
        <f>资产资本表!J4</f>
        <v>12888393889.290001</v>
      </c>
      <c r="K34" s="76">
        <f>资产资本表!K4</f>
        <v>9743152155.2399998</v>
      </c>
      <c r="L34" s="76">
        <f>资产资本表!L4</f>
        <v>8093721891.1599998</v>
      </c>
      <c r="M34" s="76">
        <f>资产资本表!M4</f>
        <v>4722706300.0200005</v>
      </c>
      <c r="N34" s="76">
        <f>资产资本表!N4</f>
        <v>4463098038.6400003</v>
      </c>
      <c r="O34" s="76">
        <f>资产资本表!O4</f>
        <v>3891989433.5300002</v>
      </c>
      <c r="P34" s="76">
        <f>资产资本表!P4</f>
        <v>2898327418.8499999</v>
      </c>
      <c r="Q34" s="76">
        <f>资产资本表!Q4</f>
        <v>2340047386.8499999</v>
      </c>
      <c r="R34" s="76">
        <f>资产资本表!R4</f>
        <v>1780307690.6400001</v>
      </c>
      <c r="S34" s="76">
        <f>资产资本表!S4</f>
        <v>1956436570.0999999</v>
      </c>
      <c r="T34" s="76">
        <f>资产资本表!T4</f>
        <v>0</v>
      </c>
      <c r="U34" s="76">
        <f>资产资本表!U4</f>
        <v>0</v>
      </c>
      <c r="V34" s="76">
        <f>资产资本表!V4</f>
        <v>0</v>
      </c>
      <c r="W34" s="76">
        <f>资产资本表!W4</f>
        <v>0</v>
      </c>
      <c r="X34" s="76">
        <f>资产资本表!X4</f>
        <v>0</v>
      </c>
      <c r="Y34" s="76">
        <f>资产资本表!Y4</f>
        <v>0</v>
      </c>
      <c r="Z34" s="76">
        <f>资产资本表!Z4</f>
        <v>0</v>
      </c>
      <c r="AA34" s="76">
        <f>资产资本表!AA4</f>
        <v>0</v>
      </c>
      <c r="AB34" s="76">
        <f>资产资本表!AB4</f>
        <v>0</v>
      </c>
      <c r="AC34" s="76">
        <f>资产资本表!AC4</f>
        <v>0</v>
      </c>
      <c r="AD34" s="76">
        <f>资产资本表!AD4</f>
        <v>0</v>
      </c>
      <c r="AE34" s="76">
        <f>资产资本表!AE4</f>
        <v>0</v>
      </c>
      <c r="AF34" s="76">
        <f>资产资本表!AF4</f>
        <v>0</v>
      </c>
      <c r="AG34" s="76">
        <f>资产资本表!AG4</f>
        <v>0</v>
      </c>
      <c r="AH34" s="76">
        <f>资产资本表!AH4</f>
        <v>0</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5" t="s">
        <v>339</v>
      </c>
      <c r="B35" s="194">
        <f>利润表!B12</f>
        <v>0</v>
      </c>
      <c r="C35" s="194">
        <f>利润表!C12</f>
        <v>0</v>
      </c>
      <c r="D35" s="194">
        <f>利润表!D12</f>
        <v>0</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5" t="s">
        <v>340</v>
      </c>
      <c r="B36" s="194">
        <f>资产资本表!B13</f>
        <v>343889944.47000003</v>
      </c>
      <c r="C36" s="194">
        <f>资产资本表!C13</f>
        <v>241458615.88999999</v>
      </c>
      <c r="D36" s="194">
        <f>资产资本表!D13</f>
        <v>140904856.88</v>
      </c>
      <c r="E36" s="76">
        <f>资产资本表!E13</f>
        <v>85347051.469999999</v>
      </c>
      <c r="F36" s="76">
        <f>资产资本表!F13</f>
        <v>80602922.329999998</v>
      </c>
      <c r="G36" s="76">
        <f>资产资本表!G13</f>
        <v>188599147.22999999</v>
      </c>
      <c r="H36" s="76">
        <f>资产资本表!H13</f>
        <v>264612813.22</v>
      </c>
      <c r="I36" s="76">
        <f>资产资本表!I13</f>
        <v>225182760.05000001</v>
      </c>
      <c r="J36" s="76">
        <f>资产资本表!J13</f>
        <v>42728425.340000004</v>
      </c>
      <c r="K36" s="76">
        <f>资产资本表!K13</f>
        <v>1912600</v>
      </c>
      <c r="L36" s="76">
        <f>资产资本表!L13</f>
        <v>2783550</v>
      </c>
      <c r="M36" s="76">
        <f>资产资本表!M13</f>
        <v>3584400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5" t="s">
        <v>341</v>
      </c>
      <c r="B37" s="194">
        <f>资产资本表!B11</f>
        <v>0</v>
      </c>
      <c r="C37" s="194">
        <f>资产资本表!C11</f>
        <v>0</v>
      </c>
      <c r="D37" s="194">
        <f>资产资本表!D11</f>
        <v>0</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5" t="s">
        <v>342</v>
      </c>
      <c r="B38" s="194">
        <f>资产资本表!B8</f>
        <v>29000000</v>
      </c>
      <c r="C38" s="194">
        <f>资产资本表!C8</f>
        <v>29000000</v>
      </c>
      <c r="D38" s="194">
        <f>资产资本表!D8</f>
        <v>29000000</v>
      </c>
      <c r="E38" s="76">
        <f>资产资本表!E8</f>
        <v>29000000</v>
      </c>
      <c r="F38" s="76">
        <f>资产资本表!F8</f>
        <v>4000000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5" t="s">
        <v>343</v>
      </c>
      <c r="B39" s="194">
        <f>资产资本表!B9</f>
        <v>0</v>
      </c>
      <c r="C39" s="194">
        <f>资产资本表!C9</f>
        <v>0</v>
      </c>
      <c r="D39" s="194">
        <f>资产资本表!D9</f>
        <v>0</v>
      </c>
      <c r="E39" s="76">
        <f>资产资本表!E9</f>
        <v>0</v>
      </c>
      <c r="F39" s="76">
        <f>资产资本表!F9</f>
        <v>60000000</v>
      </c>
      <c r="G39" s="76">
        <f>资产资本表!G9</f>
        <v>50000000</v>
      </c>
      <c r="H39" s="76">
        <f>资产资本表!H9</f>
        <v>50000000</v>
      </c>
      <c r="I39" s="76">
        <f>资产资本表!I9</f>
        <v>60000000</v>
      </c>
      <c r="J39" s="76">
        <f>资产资本表!J9</f>
        <v>60000000</v>
      </c>
      <c r="K39" s="76">
        <f>资产资本表!K9</f>
        <v>10000000</v>
      </c>
      <c r="L39" s="76">
        <f>资产资本表!L9</f>
        <v>42000000</v>
      </c>
      <c r="M39" s="76">
        <f>资产资本表!M9</f>
        <v>58000000</v>
      </c>
      <c r="N39" s="76">
        <f>资产资本表!N9</f>
        <v>42769450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5" t="s">
        <v>344</v>
      </c>
      <c r="B40" s="194">
        <f>资产资本表!B10</f>
        <v>0</v>
      </c>
      <c r="C40" s="194">
        <f>资产资本表!C10</f>
        <v>0</v>
      </c>
      <c r="D40" s="194">
        <f>资产资本表!D10</f>
        <v>0</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5" t="s">
        <v>345</v>
      </c>
      <c r="B41" s="194">
        <f>资产资本表!B12</f>
        <v>0</v>
      </c>
      <c r="C41" s="194">
        <f>资产资本表!C12</f>
        <v>0</v>
      </c>
      <c r="D41" s="194">
        <f>资产资本表!D12</f>
        <v>0</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5" t="s">
        <v>346</v>
      </c>
      <c r="B42" s="194">
        <f>资产资本表!B6</f>
        <v>0</v>
      </c>
      <c r="C42" s="194">
        <f>资产资本表!C6</f>
        <v>0</v>
      </c>
      <c r="D42" s="194">
        <f>资产资本表!D6</f>
        <v>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6" t="s">
        <v>347</v>
      </c>
      <c r="B43" s="194">
        <f t="shared" ref="B43:D43" si="20">SUM(B34:B42)</f>
        <v>112447681364.53</v>
      </c>
      <c r="C43" s="194">
        <f t="shared" si="20"/>
        <v>88139328529.229996</v>
      </c>
      <c r="D43" s="194">
        <f t="shared" si="20"/>
        <v>67024866975.099998</v>
      </c>
      <c r="E43" s="76">
        <f>SUM(E34:E42)</f>
        <v>36915096946.529999</v>
      </c>
      <c r="F43" s="76">
        <f t="shared" ref="F43:BQ43" si="21">SUM(F34:F42)</f>
        <v>27855320602.540001</v>
      </c>
      <c r="G43" s="76">
        <f t="shared" si="21"/>
        <v>25423608478.91</v>
      </c>
      <c r="H43" s="76">
        <f t="shared" si="21"/>
        <v>22376612663.389999</v>
      </c>
      <c r="I43" s="76">
        <f t="shared" si="21"/>
        <v>18539872922.09</v>
      </c>
      <c r="J43" s="76">
        <f t="shared" si="21"/>
        <v>12991122314.630001</v>
      </c>
      <c r="K43" s="76">
        <f t="shared" si="21"/>
        <v>9755064755.2399998</v>
      </c>
      <c r="L43" s="76">
        <f t="shared" si="21"/>
        <v>8138505441.1599998</v>
      </c>
      <c r="M43" s="76">
        <f t="shared" si="21"/>
        <v>4784290700.0200005</v>
      </c>
      <c r="N43" s="76">
        <f t="shared" si="21"/>
        <v>4505867488.6400003</v>
      </c>
      <c r="O43" s="76">
        <f t="shared" si="21"/>
        <v>3891989433.5300002</v>
      </c>
      <c r="P43" s="76">
        <f t="shared" si="21"/>
        <v>2898327418.8499999</v>
      </c>
      <c r="Q43" s="76">
        <f t="shared" si="21"/>
        <v>2340047386.8499999</v>
      </c>
      <c r="R43" s="76">
        <f t="shared" si="21"/>
        <v>1780307690.6400001</v>
      </c>
      <c r="S43" s="76">
        <f t="shared" si="21"/>
        <v>1956436570.0999999</v>
      </c>
      <c r="T43" s="76">
        <f t="shared" si="21"/>
        <v>0</v>
      </c>
      <c r="U43" s="76">
        <f t="shared" si="21"/>
        <v>0</v>
      </c>
      <c r="V43" s="76">
        <f t="shared" si="21"/>
        <v>0</v>
      </c>
      <c r="W43" s="76">
        <f t="shared" si="21"/>
        <v>0</v>
      </c>
      <c r="X43" s="76">
        <f t="shared" si="21"/>
        <v>0</v>
      </c>
      <c r="Y43" s="76">
        <f t="shared" si="21"/>
        <v>0</v>
      </c>
      <c r="Z43" s="76">
        <f t="shared" si="21"/>
        <v>0</v>
      </c>
      <c r="AA43" s="76">
        <f t="shared" si="21"/>
        <v>0</v>
      </c>
      <c r="AB43" s="76">
        <f t="shared" si="21"/>
        <v>0</v>
      </c>
      <c r="AC43" s="76">
        <f t="shared" si="21"/>
        <v>0</v>
      </c>
      <c r="AD43" s="76">
        <f t="shared" si="21"/>
        <v>0</v>
      </c>
      <c r="AE43" s="76">
        <f t="shared" si="21"/>
        <v>0</v>
      </c>
      <c r="AF43" s="76">
        <f t="shared" si="21"/>
        <v>0</v>
      </c>
      <c r="AG43" s="76">
        <f t="shared" si="21"/>
        <v>0</v>
      </c>
      <c r="AH43" s="76">
        <f t="shared" si="21"/>
        <v>0</v>
      </c>
      <c r="AI43" s="76">
        <f t="shared" si="21"/>
        <v>0</v>
      </c>
      <c r="AJ43" s="76">
        <f t="shared" si="21"/>
        <v>0</v>
      </c>
      <c r="AK43" s="76">
        <f t="shared" si="21"/>
        <v>0</v>
      </c>
      <c r="AL43" s="76">
        <f t="shared" si="21"/>
        <v>0</v>
      </c>
      <c r="AM43" s="76">
        <f t="shared" si="21"/>
        <v>0</v>
      </c>
      <c r="AN43" s="76">
        <f t="shared" si="21"/>
        <v>0</v>
      </c>
      <c r="AO43" s="76">
        <f t="shared" si="21"/>
        <v>0</v>
      </c>
      <c r="AP43" s="76">
        <f t="shared" si="21"/>
        <v>0</v>
      </c>
      <c r="AQ43" s="76">
        <f t="shared" si="21"/>
        <v>0</v>
      </c>
      <c r="AR43" s="76">
        <f t="shared" si="21"/>
        <v>0</v>
      </c>
      <c r="AS43" s="76">
        <f t="shared" si="21"/>
        <v>0</v>
      </c>
      <c r="AT43" s="76">
        <f t="shared" si="21"/>
        <v>0</v>
      </c>
      <c r="AU43" s="76">
        <f t="shared" si="21"/>
        <v>0</v>
      </c>
      <c r="AV43" s="76">
        <f t="shared" si="21"/>
        <v>0</v>
      </c>
      <c r="AW43" s="76">
        <f t="shared" si="21"/>
        <v>0</v>
      </c>
      <c r="AX43" s="76">
        <f t="shared" si="21"/>
        <v>0</v>
      </c>
      <c r="AY43" s="76">
        <f t="shared" si="21"/>
        <v>0</v>
      </c>
      <c r="AZ43" s="76">
        <f t="shared" si="21"/>
        <v>0</v>
      </c>
      <c r="BA43" s="76">
        <f t="shared" si="21"/>
        <v>0</v>
      </c>
      <c r="BB43" s="76">
        <f t="shared" si="21"/>
        <v>0</v>
      </c>
      <c r="BC43" s="76">
        <f t="shared" si="21"/>
        <v>0</v>
      </c>
      <c r="BD43" s="76">
        <f t="shared" si="21"/>
        <v>0</v>
      </c>
      <c r="BE43" s="76">
        <f t="shared" si="21"/>
        <v>0</v>
      </c>
      <c r="BF43" s="76">
        <f t="shared" si="21"/>
        <v>0</v>
      </c>
      <c r="BG43" s="76">
        <f t="shared" si="21"/>
        <v>0</v>
      </c>
      <c r="BH43" s="76">
        <f t="shared" si="21"/>
        <v>0</v>
      </c>
      <c r="BI43" s="76">
        <f t="shared" si="21"/>
        <v>0</v>
      </c>
      <c r="BJ43" s="76">
        <f t="shared" si="21"/>
        <v>0</v>
      </c>
      <c r="BK43" s="76">
        <f t="shared" si="21"/>
        <v>0</v>
      </c>
      <c r="BL43" s="76">
        <f t="shared" si="21"/>
        <v>0</v>
      </c>
      <c r="BM43" s="76">
        <f t="shared" si="21"/>
        <v>0</v>
      </c>
      <c r="BN43" s="76">
        <f t="shared" si="21"/>
        <v>0</v>
      </c>
      <c r="BO43" s="76">
        <f t="shared" si="21"/>
        <v>0</v>
      </c>
      <c r="BP43" s="76">
        <f t="shared" si="21"/>
        <v>0</v>
      </c>
      <c r="BQ43" s="76">
        <f t="shared" si="21"/>
        <v>0</v>
      </c>
      <c r="BR43" s="76">
        <f t="shared" ref="BR43:CJ43" si="22">SUM(BR34:BR42)</f>
        <v>0</v>
      </c>
      <c r="BS43" s="76">
        <f t="shared" si="22"/>
        <v>0</v>
      </c>
      <c r="BT43" s="76">
        <f t="shared" si="22"/>
        <v>0</v>
      </c>
      <c r="BU43" s="76">
        <f t="shared" si="22"/>
        <v>0</v>
      </c>
      <c r="BV43" s="76">
        <f t="shared" si="22"/>
        <v>0</v>
      </c>
      <c r="BW43" s="76">
        <f t="shared" si="22"/>
        <v>0</v>
      </c>
      <c r="BX43" s="76">
        <f t="shared" si="22"/>
        <v>0</v>
      </c>
      <c r="BY43" s="76">
        <f t="shared" si="22"/>
        <v>0</v>
      </c>
      <c r="BZ43" s="76">
        <f t="shared" si="22"/>
        <v>0</v>
      </c>
      <c r="CA43" s="76">
        <f t="shared" si="22"/>
        <v>0</v>
      </c>
      <c r="CB43" s="76">
        <f t="shared" si="22"/>
        <v>0</v>
      </c>
      <c r="CC43" s="76">
        <f t="shared" si="22"/>
        <v>0</v>
      </c>
      <c r="CD43" s="76">
        <f t="shared" si="22"/>
        <v>0</v>
      </c>
      <c r="CE43" s="76">
        <f t="shared" si="22"/>
        <v>0</v>
      </c>
      <c r="CF43" s="76">
        <f t="shared" si="22"/>
        <v>0</v>
      </c>
      <c r="CG43" s="76">
        <f t="shared" si="22"/>
        <v>0</v>
      </c>
      <c r="CH43" s="76">
        <f t="shared" si="22"/>
        <v>0</v>
      </c>
      <c r="CI43" s="76">
        <f t="shared" si="22"/>
        <v>0</v>
      </c>
      <c r="CJ43" s="76">
        <f t="shared" si="22"/>
        <v>0</v>
      </c>
    </row>
    <row r="44" spans="1:89" s="110" customFormat="1">
      <c r="A44" s="143" t="s">
        <v>348</v>
      </c>
      <c r="E44" s="110">
        <f>E32/E43</f>
        <v>9.5647814771105517E-4</v>
      </c>
      <c r="F44" s="110">
        <f t="shared" ref="F44:BQ44" si="23">F32/F43</f>
        <v>6.0449445493633957E-5</v>
      </c>
      <c r="G44" s="110">
        <f t="shared" si="23"/>
        <v>8.8723608679016407E-5</v>
      </c>
      <c r="H44" s="110">
        <f t="shared" si="23"/>
        <v>1.0441572875817395E-4</v>
      </c>
      <c r="I44" s="110">
        <f t="shared" si="23"/>
        <v>3.0286524353550491E-3</v>
      </c>
      <c r="J44" s="110">
        <f t="shared" si="23"/>
        <v>2.6917501257296643E-5</v>
      </c>
      <c r="K44" s="110">
        <f t="shared" si="23"/>
        <v>9.2832852157761857E-5</v>
      </c>
      <c r="L44" s="110">
        <f t="shared" si="23"/>
        <v>1.2069836651042704E-4</v>
      </c>
      <c r="M44" s="110">
        <f t="shared" si="23"/>
        <v>1.5362384949500674E-2</v>
      </c>
      <c r="N44" s="110">
        <f t="shared" si="23"/>
        <v>4.2299366310725902E-4</v>
      </c>
      <c r="O44" s="110">
        <f t="shared" si="23"/>
        <v>6.6945416021037976E-5</v>
      </c>
      <c r="P44" s="110">
        <f t="shared" si="23"/>
        <v>6.2289336511541139E-5</v>
      </c>
      <c r="Q44" s="110">
        <f t="shared" si="23"/>
        <v>3.5691516872113152E-2</v>
      </c>
      <c r="R44" s="110">
        <f t="shared" si="23"/>
        <v>0</v>
      </c>
      <c r="S44" s="110">
        <f t="shared" si="23"/>
        <v>0</v>
      </c>
      <c r="T44" s="110" t="e">
        <f t="shared" si="23"/>
        <v>#DIV/0!</v>
      </c>
      <c r="U44" s="110" t="e">
        <f t="shared" si="23"/>
        <v>#DIV/0!</v>
      </c>
      <c r="V44" s="110" t="e">
        <f t="shared" si="23"/>
        <v>#DIV/0!</v>
      </c>
      <c r="W44" s="110" t="e">
        <f t="shared" si="23"/>
        <v>#DIV/0!</v>
      </c>
      <c r="X44" s="110" t="e">
        <f t="shared" si="23"/>
        <v>#DIV/0!</v>
      </c>
      <c r="Y44" s="110" t="e">
        <f t="shared" si="23"/>
        <v>#DIV/0!</v>
      </c>
      <c r="Z44" s="110" t="e">
        <f t="shared" si="23"/>
        <v>#DIV/0!</v>
      </c>
      <c r="AA44" s="110" t="e">
        <f t="shared" si="23"/>
        <v>#DIV/0!</v>
      </c>
      <c r="AB44" s="110" t="e">
        <f t="shared" si="23"/>
        <v>#DIV/0!</v>
      </c>
      <c r="AC44" s="110" t="e">
        <f t="shared" si="23"/>
        <v>#DIV/0!</v>
      </c>
      <c r="AD44" s="110" t="e">
        <f t="shared" si="23"/>
        <v>#DIV/0!</v>
      </c>
      <c r="AE44" s="110" t="e">
        <f t="shared" si="23"/>
        <v>#DIV/0!</v>
      </c>
      <c r="AF44" s="110" t="e">
        <f t="shared" si="23"/>
        <v>#DIV/0!</v>
      </c>
      <c r="AG44" s="110" t="e">
        <f t="shared" si="23"/>
        <v>#DIV/0!</v>
      </c>
      <c r="AH44" s="110" t="e">
        <f t="shared" si="23"/>
        <v>#DIV/0!</v>
      </c>
      <c r="AI44" s="110" t="e">
        <f t="shared" si="23"/>
        <v>#DIV/0!</v>
      </c>
      <c r="AJ44" s="110" t="e">
        <f t="shared" si="23"/>
        <v>#DIV/0!</v>
      </c>
      <c r="AK44" s="110" t="e">
        <f t="shared" si="23"/>
        <v>#DIV/0!</v>
      </c>
      <c r="AL44" s="110" t="e">
        <f t="shared" si="23"/>
        <v>#DIV/0!</v>
      </c>
      <c r="AM44" s="110" t="e">
        <f t="shared" si="23"/>
        <v>#DIV/0!</v>
      </c>
      <c r="AN44" s="110" t="e">
        <f t="shared" si="23"/>
        <v>#DIV/0!</v>
      </c>
      <c r="AO44" s="110" t="e">
        <f t="shared" si="23"/>
        <v>#DIV/0!</v>
      </c>
      <c r="AP44" s="110" t="e">
        <f t="shared" si="23"/>
        <v>#DIV/0!</v>
      </c>
      <c r="AQ44" s="110" t="e">
        <f t="shared" si="23"/>
        <v>#DIV/0!</v>
      </c>
      <c r="AR44" s="110" t="e">
        <f t="shared" si="23"/>
        <v>#DIV/0!</v>
      </c>
      <c r="AS44" s="110" t="e">
        <f t="shared" si="23"/>
        <v>#DIV/0!</v>
      </c>
      <c r="AT44" s="110" t="e">
        <f t="shared" si="23"/>
        <v>#DIV/0!</v>
      </c>
      <c r="AU44" s="110" t="e">
        <f t="shared" si="23"/>
        <v>#DIV/0!</v>
      </c>
      <c r="AV44" s="110" t="e">
        <f t="shared" si="23"/>
        <v>#DIV/0!</v>
      </c>
      <c r="AW44" s="110" t="e">
        <f t="shared" si="23"/>
        <v>#DIV/0!</v>
      </c>
      <c r="AX44" s="110" t="e">
        <f t="shared" si="23"/>
        <v>#DIV/0!</v>
      </c>
      <c r="AY44" s="110" t="e">
        <f t="shared" si="23"/>
        <v>#DIV/0!</v>
      </c>
      <c r="AZ44" s="110" t="e">
        <f t="shared" si="23"/>
        <v>#DIV/0!</v>
      </c>
      <c r="BA44" s="110" t="e">
        <f t="shared" si="23"/>
        <v>#DIV/0!</v>
      </c>
      <c r="BB44" s="110" t="e">
        <f t="shared" si="23"/>
        <v>#DIV/0!</v>
      </c>
      <c r="BC44" s="110" t="e">
        <f t="shared" si="23"/>
        <v>#DIV/0!</v>
      </c>
      <c r="BD44" s="110" t="e">
        <f t="shared" si="23"/>
        <v>#DIV/0!</v>
      </c>
      <c r="BE44" s="110" t="e">
        <f t="shared" si="23"/>
        <v>#DIV/0!</v>
      </c>
      <c r="BF44" s="110" t="e">
        <f t="shared" si="23"/>
        <v>#DIV/0!</v>
      </c>
      <c r="BG44" s="110" t="e">
        <f t="shared" si="23"/>
        <v>#DIV/0!</v>
      </c>
      <c r="BH44" s="110" t="e">
        <f t="shared" si="23"/>
        <v>#DIV/0!</v>
      </c>
      <c r="BI44" s="110" t="e">
        <f t="shared" si="23"/>
        <v>#DIV/0!</v>
      </c>
      <c r="BJ44" s="110" t="e">
        <f t="shared" si="23"/>
        <v>#DIV/0!</v>
      </c>
      <c r="BK44" s="110" t="e">
        <f t="shared" si="23"/>
        <v>#DIV/0!</v>
      </c>
      <c r="BL44" s="110" t="e">
        <f t="shared" si="23"/>
        <v>#DIV/0!</v>
      </c>
      <c r="BM44" s="110" t="e">
        <f t="shared" si="23"/>
        <v>#DIV/0!</v>
      </c>
      <c r="BN44" s="110" t="e">
        <f t="shared" si="23"/>
        <v>#DIV/0!</v>
      </c>
      <c r="BO44" s="110" t="e">
        <f t="shared" si="23"/>
        <v>#DIV/0!</v>
      </c>
      <c r="BP44" s="110" t="e">
        <f t="shared" si="23"/>
        <v>#DIV/0!</v>
      </c>
      <c r="BQ44" s="110" t="e">
        <f t="shared" si="23"/>
        <v>#DIV/0!</v>
      </c>
      <c r="BR44" s="110" t="e">
        <f t="shared" ref="BR44:CK44" si="24">BR32/BR43</f>
        <v>#DIV/0!</v>
      </c>
      <c r="BS44" s="110" t="e">
        <f t="shared" si="24"/>
        <v>#DIV/0!</v>
      </c>
      <c r="BT44" s="110" t="e">
        <f t="shared" si="24"/>
        <v>#DIV/0!</v>
      </c>
      <c r="BU44" s="110" t="e">
        <f t="shared" si="24"/>
        <v>#DIV/0!</v>
      </c>
      <c r="BV44" s="110" t="e">
        <f t="shared" si="24"/>
        <v>#DIV/0!</v>
      </c>
      <c r="BW44" s="110" t="e">
        <f t="shared" si="24"/>
        <v>#DIV/0!</v>
      </c>
      <c r="BX44" s="110" t="e">
        <f t="shared" si="24"/>
        <v>#DIV/0!</v>
      </c>
      <c r="BY44" s="110" t="e">
        <f t="shared" si="24"/>
        <v>#DIV/0!</v>
      </c>
      <c r="BZ44" s="110" t="e">
        <f t="shared" si="24"/>
        <v>#DIV/0!</v>
      </c>
      <c r="CA44" s="110" t="e">
        <f t="shared" si="24"/>
        <v>#DIV/0!</v>
      </c>
      <c r="CB44" s="110" t="e">
        <f t="shared" si="24"/>
        <v>#DIV/0!</v>
      </c>
      <c r="CC44" s="110" t="e">
        <f t="shared" si="24"/>
        <v>#DIV/0!</v>
      </c>
      <c r="CD44" s="110" t="e">
        <f t="shared" si="24"/>
        <v>#DIV/0!</v>
      </c>
      <c r="CE44" s="110" t="e">
        <f t="shared" si="24"/>
        <v>#DIV/0!</v>
      </c>
      <c r="CF44" s="110" t="e">
        <f t="shared" si="24"/>
        <v>#DIV/0!</v>
      </c>
      <c r="CG44" s="110" t="e">
        <f t="shared" si="24"/>
        <v>#DIV/0!</v>
      </c>
      <c r="CH44" s="110" t="e">
        <f t="shared" si="24"/>
        <v>#DIV/0!</v>
      </c>
      <c r="CI44" s="110" t="e">
        <f t="shared" si="24"/>
        <v>#DIV/0!</v>
      </c>
      <c r="CJ44" s="110" t="e">
        <f t="shared" si="24"/>
        <v>#DIV/0!</v>
      </c>
      <c r="CK44" s="110" t="e">
        <f t="shared" si="24"/>
        <v>#DIV/0!</v>
      </c>
    </row>
    <row r="45" spans="1:89" s="16" customFormat="1" ht="81.599999999999994" customHeight="1">
      <c r="A45" s="276" t="s">
        <v>581</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c r="A46" s="57" t="s">
        <v>582</v>
      </c>
      <c r="B46" s="57">
        <f>B43/资产资本表!B70</f>
        <v>0.87041007671631632</v>
      </c>
      <c r="C46" s="57">
        <f>C43/资产资本表!C70</f>
        <v>0.82781303819263885</v>
      </c>
      <c r="D46" s="57">
        <f>D43/资产资本表!D70</f>
        <v>0.77700072738539649</v>
      </c>
      <c r="E46" s="57">
        <f>E43/资产资本表!E70</f>
        <v>0.51122073403289947</v>
      </c>
      <c r="F46" s="57">
        <f>F43/资产资本表!F70</f>
        <v>0.50289922155433275</v>
      </c>
      <c r="G46" s="57">
        <f>G43/资产资本表!G70</f>
        <v>0.57576171580246216</v>
      </c>
      <c r="H46" s="57">
        <f>H43/资产资本表!H70</f>
        <v>0.63114429095372748</v>
      </c>
      <c r="I46" s="57">
        <f>I43/资产资本表!I70</f>
        <v>0.7298191502775615</v>
      </c>
      <c r="J46" s="57">
        <f>J43/资产资本表!J70</f>
        <v>0.68852768133671816</v>
      </c>
      <c r="K46" s="57">
        <f>K43/资产资本表!K70</f>
        <v>0.65962637453110085</v>
      </c>
      <c r="L46" s="57">
        <f>L43/资产资本表!L70</f>
        <v>0.70748583001848397</v>
      </c>
      <c r="M46" s="57">
        <f>M43/资产资本表!M70</f>
        <v>0.56883635148268885</v>
      </c>
      <c r="N46" s="57">
        <f>N43/资产资本表!N70</f>
        <v>0.75160065983478053</v>
      </c>
      <c r="O46" s="57">
        <f>O43/资产资本表!O70</f>
        <v>0.74852041131990055</v>
      </c>
      <c r="P46" s="57">
        <f>P43/资产资本表!P70</f>
        <v>0.68451244589343774</v>
      </c>
      <c r="Q46" s="57">
        <f>Q43/资产资本表!Q70</f>
        <v>0.67402786083557253</v>
      </c>
      <c r="R46" s="57">
        <f>R43/资产资本表!R70</f>
        <v>0.60742146922207718</v>
      </c>
      <c r="S46" s="57">
        <f>S43/资产资本表!S70</f>
        <v>0.71864369049095878</v>
      </c>
      <c r="T46" s="57" t="e">
        <f>T43/资产资本表!T70</f>
        <v>#DIV/0!</v>
      </c>
      <c r="U46" s="57" t="e">
        <f>U43/资产资本表!U70</f>
        <v>#DIV/0!</v>
      </c>
      <c r="V46" s="57" t="e">
        <f>V43/资产资本表!V70</f>
        <v>#DIV/0!</v>
      </c>
      <c r="W46" s="57" t="e">
        <f>W43/资产资本表!W70</f>
        <v>#DIV/0!</v>
      </c>
      <c r="X46" s="57" t="e">
        <f>X43/资产资本表!X70</f>
        <v>#DIV/0!</v>
      </c>
      <c r="Y46" s="57" t="e">
        <f>Y43/资产资本表!Y70</f>
        <v>#DIV/0!</v>
      </c>
      <c r="Z46" s="57" t="e">
        <f>Z43/资产资本表!Z70</f>
        <v>#DIV/0!</v>
      </c>
      <c r="AA46" s="57" t="e">
        <f>AA43/资产资本表!AA70</f>
        <v>#DIV/0!</v>
      </c>
      <c r="AB46" s="57" t="e">
        <f>AB43/资产资本表!AB70</f>
        <v>#DIV/0!</v>
      </c>
      <c r="AC46" s="57" t="e">
        <f>AC43/资产资本表!AC70</f>
        <v>#DIV/0!</v>
      </c>
      <c r="AD46" s="57" t="e">
        <f>AD43/资产资本表!AD70</f>
        <v>#DIV/0!</v>
      </c>
      <c r="AE46" s="57" t="e">
        <f>AE43/资产资本表!AE70</f>
        <v>#DIV/0!</v>
      </c>
      <c r="AF46" s="57" t="e">
        <f>AF43/资产资本表!AF70</f>
        <v>#DIV/0!</v>
      </c>
      <c r="AG46" s="57" t="e">
        <f>AG43/资产资本表!AG70</f>
        <v>#DIV/0!</v>
      </c>
      <c r="AH46" s="57" t="e">
        <f>AH43/资产资本表!AH70</f>
        <v>#DIV/0!</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c r="A48" s="118" t="s">
        <v>349</v>
      </c>
      <c r="B48" s="271" t="s">
        <v>638</v>
      </c>
      <c r="C48" s="271" t="s">
        <v>639</v>
      </c>
      <c r="D48" s="271" t="s">
        <v>640</v>
      </c>
      <c r="E48" s="271" t="s">
        <v>641</v>
      </c>
      <c r="F48" s="271" t="s">
        <v>642</v>
      </c>
      <c r="G48" s="271" t="s">
        <v>643</v>
      </c>
      <c r="H48" s="271" t="s">
        <v>644</v>
      </c>
      <c r="I48" s="271" t="s">
        <v>645</v>
      </c>
      <c r="J48" s="271" t="s">
        <v>646</v>
      </c>
      <c r="K48" s="271" t="s">
        <v>647</v>
      </c>
      <c r="L48" s="271" t="s">
        <v>648</v>
      </c>
      <c r="M48" s="271" t="s">
        <v>649</v>
      </c>
      <c r="N48" s="271" t="s">
        <v>650</v>
      </c>
      <c r="O48" s="271" t="s">
        <v>651</v>
      </c>
      <c r="P48" s="271" t="s">
        <v>652</v>
      </c>
      <c r="Q48" s="271" t="s">
        <v>653</v>
      </c>
      <c r="R48" s="271" t="s">
        <v>654</v>
      </c>
      <c r="S48" s="271" t="s">
        <v>655</v>
      </c>
      <c r="T48" s="315"/>
      <c r="U48" s="315"/>
      <c r="V48" s="315"/>
      <c r="W48" s="315"/>
      <c r="X48" s="315"/>
      <c r="Y48" s="315"/>
      <c r="Z48" s="315"/>
      <c r="AA48" s="315"/>
      <c r="AB48" s="315"/>
      <c r="AC48" s="315"/>
      <c r="AD48" s="315"/>
      <c r="AE48" s="315"/>
      <c r="AF48" s="315"/>
      <c r="AG48" s="315"/>
      <c r="AH48" s="315"/>
      <c r="AI48" s="315"/>
      <c r="AJ48" s="315"/>
      <c r="AK48" s="315"/>
      <c r="AL48" s="315"/>
      <c r="AM48" s="315"/>
      <c r="AN48" s="315"/>
      <c r="AO48" s="315"/>
      <c r="AP48" s="315"/>
      <c r="AQ48" s="315"/>
      <c r="AR48" s="315"/>
      <c r="AS48" s="315"/>
      <c r="AT48" s="315"/>
      <c r="AU48" s="315"/>
      <c r="AV48" s="315"/>
      <c r="AW48" s="315"/>
      <c r="AX48" s="315"/>
      <c r="AY48" s="315"/>
      <c r="AZ48" s="315"/>
      <c r="BA48" s="315"/>
      <c r="BB48" s="315"/>
      <c r="BC48" s="315"/>
      <c r="BD48" s="315"/>
      <c r="BE48" s="315"/>
      <c r="BF48" s="315"/>
      <c r="BG48" s="315"/>
      <c r="BH48" s="315"/>
      <c r="BI48" s="315"/>
      <c r="BJ48" s="315"/>
      <c r="BK48" s="315"/>
      <c r="BL48" s="315"/>
      <c r="BM48" s="315"/>
      <c r="BN48" s="315"/>
      <c r="BO48" s="315"/>
      <c r="BP48" s="315"/>
      <c r="BQ48" s="315"/>
      <c r="BR48" s="315"/>
      <c r="BS48" s="315"/>
      <c r="BT48" s="315"/>
      <c r="BU48" s="315"/>
      <c r="BV48" s="315"/>
      <c r="BW48" s="315"/>
      <c r="BX48" s="315"/>
      <c r="BY48" s="315"/>
      <c r="BZ48" s="315"/>
      <c r="CA48" s="315"/>
      <c r="CB48" s="315"/>
      <c r="CC48" s="315"/>
      <c r="CD48" s="315"/>
      <c r="CE48" s="315"/>
      <c r="CF48" s="315"/>
      <c r="CG48" s="315"/>
      <c r="CH48" s="315"/>
      <c r="CI48" s="315"/>
      <c r="CJ48" s="315"/>
      <c r="CK48" s="315"/>
    </row>
    <row r="49" spans="1:89" s="76" customFormat="1">
      <c r="A49" s="145" t="s">
        <v>350</v>
      </c>
      <c r="B49" s="194">
        <f>利润表!B4</f>
        <v>73638872388.029999</v>
      </c>
      <c r="C49" s="194">
        <f>利润表!C4</f>
        <v>58217861314.169998</v>
      </c>
      <c r="D49" s="194">
        <f>利润表!D4</f>
        <v>38862189993.839996</v>
      </c>
      <c r="E49" s="76">
        <f>利润表!E4</f>
        <v>32659583725.279999</v>
      </c>
      <c r="F49" s="76">
        <f>利润表!F4</f>
        <v>31573928530.939999</v>
      </c>
      <c r="G49" s="76">
        <f>利润表!G4</f>
        <v>30921801316.599998</v>
      </c>
      <c r="H49" s="76">
        <f>利润表!H4</f>
        <v>26455335152.990002</v>
      </c>
      <c r="I49" s="76">
        <f>利润表!I4</f>
        <v>18402355207.299999</v>
      </c>
      <c r="J49" s="76">
        <f>利润表!J4</f>
        <v>11633283740.18</v>
      </c>
      <c r="K49" s="76">
        <f>利润表!K4</f>
        <v>9669999065.3899994</v>
      </c>
      <c r="L49" s="76">
        <f>利润表!L4</f>
        <v>8241685564.1099997</v>
      </c>
      <c r="M49" s="76">
        <f>利润表!M4</f>
        <v>7237430747.1199999</v>
      </c>
      <c r="N49" s="76">
        <f>利润表!N4</f>
        <v>4896186901.21</v>
      </c>
      <c r="O49" s="76">
        <f>利润表!O4</f>
        <v>3930515237.6100001</v>
      </c>
      <c r="P49" s="76">
        <f>利润表!P4</f>
        <v>3009793519.9200001</v>
      </c>
      <c r="Q49" s="76">
        <f>利润表!Q4</f>
        <v>2401017934.9299998</v>
      </c>
      <c r="R49" s="76">
        <f>利润表!R4</f>
        <v>1838129976.3399999</v>
      </c>
      <c r="S49" s="76">
        <f>利润表!S4</f>
        <v>1619202408.97</v>
      </c>
      <c r="T49" s="76">
        <f>利润表!T4</f>
        <v>0</v>
      </c>
      <c r="U49" s="76">
        <f>利润表!U4</f>
        <v>0</v>
      </c>
      <c r="V49" s="76">
        <f>利润表!V4</f>
        <v>0</v>
      </c>
      <c r="W49" s="76">
        <f>利润表!W4</f>
        <v>0</v>
      </c>
      <c r="X49" s="76">
        <f>利润表!X4</f>
        <v>0</v>
      </c>
      <c r="Y49" s="76">
        <f>利润表!Y4</f>
        <v>0</v>
      </c>
      <c r="Z49" s="76">
        <f>利润表!Z4</f>
        <v>0</v>
      </c>
      <c r="AA49" s="76">
        <f>利润表!AA4</f>
        <v>0</v>
      </c>
      <c r="AB49" s="76">
        <f>利润表!AB4</f>
        <v>0</v>
      </c>
      <c r="AC49" s="76">
        <f>利润表!AC4</f>
        <v>0</v>
      </c>
      <c r="AD49" s="76">
        <f>利润表!AD4</f>
        <v>0</v>
      </c>
      <c r="AE49" s="76">
        <f>利润表!AE4</f>
        <v>0</v>
      </c>
      <c r="AF49" s="76">
        <f>利润表!AF4</f>
        <v>0</v>
      </c>
      <c r="AG49" s="76">
        <f>利润表!AG4</f>
        <v>0</v>
      </c>
      <c r="AH49" s="76">
        <f>利润表!AH4</f>
        <v>0</v>
      </c>
      <c r="AI49" s="76">
        <f>利润表!AI4</f>
        <v>0</v>
      </c>
      <c r="AJ49" s="76">
        <f>利润表!AJ4</f>
        <v>0</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45" t="s">
        <v>351</v>
      </c>
      <c r="B50" s="194">
        <f>资产资本表!B50</f>
        <v>-5178131040.6100006</v>
      </c>
      <c r="C50" s="194">
        <f>资产资本表!C50</f>
        <v>-3965603619.8199997</v>
      </c>
      <c r="D50" s="194">
        <f>资产资本表!D50</f>
        <v>-3428013627.7599945</v>
      </c>
      <c r="E50" s="76">
        <f>资产资本表!E50</f>
        <v>14046155822.110003</v>
      </c>
      <c r="F50" s="76">
        <f>资产资本表!F50</f>
        <v>9295911770.1799984</v>
      </c>
      <c r="G50" s="76">
        <f>资产资本表!G50</f>
        <v>5260300440.4200001</v>
      </c>
      <c r="H50" s="76">
        <f>资产资本表!H50</f>
        <v>4354291394.2799988</v>
      </c>
      <c r="I50" s="76">
        <f>资产资本表!I50</f>
        <v>-147730105.78000069</v>
      </c>
      <c r="J50" s="76">
        <f>资产资本表!J50</f>
        <v>649556463.90000057</v>
      </c>
      <c r="K50" s="76">
        <f>资产资本表!K50</f>
        <v>929670517.26000118</v>
      </c>
      <c r="L50" s="76">
        <f>资产资本表!L50</f>
        <v>-106524098.72000027</v>
      </c>
      <c r="M50" s="76">
        <f>资产资本表!M50</f>
        <v>474403091.43000007</v>
      </c>
      <c r="N50" s="76">
        <f>资产资本表!N50</f>
        <v>-1106410152.9100003</v>
      </c>
      <c r="O50" s="76">
        <f>资产资本表!O50</f>
        <v>-730488718.99000025</v>
      </c>
      <c r="P50" s="76">
        <f>资产资本表!P50</f>
        <v>-265193288.21000028</v>
      </c>
      <c r="Q50" s="76">
        <f>资产资本表!Q50</f>
        <v>-68647277.49000001</v>
      </c>
      <c r="R50" s="76">
        <f>资产资本表!R50</f>
        <v>210970118.28999996</v>
      </c>
      <c r="S50" s="76">
        <f>资产资本表!S50</f>
        <v>172501359.18999982</v>
      </c>
      <c r="T50" s="76">
        <f>资产资本表!T50</f>
        <v>0</v>
      </c>
      <c r="U50" s="76">
        <f>资产资本表!U50</f>
        <v>0</v>
      </c>
      <c r="V50" s="76">
        <f>资产资本表!V50</f>
        <v>0</v>
      </c>
      <c r="W50" s="76">
        <f>资产资本表!W50</f>
        <v>0</v>
      </c>
      <c r="X50" s="76">
        <f>资产资本表!X50</f>
        <v>0</v>
      </c>
      <c r="Y50" s="76">
        <f>资产资本表!Y50</f>
        <v>0</v>
      </c>
      <c r="Z50" s="76">
        <f>资产资本表!Z50</f>
        <v>0</v>
      </c>
      <c r="AA50" s="76">
        <f>资产资本表!AA50</f>
        <v>0</v>
      </c>
      <c r="AB50" s="76">
        <f>资产资本表!AB50</f>
        <v>0</v>
      </c>
      <c r="AC50" s="76">
        <f>资产资本表!AC50</f>
        <v>0</v>
      </c>
      <c r="AD50" s="76">
        <f>资产资本表!AD50</f>
        <v>0</v>
      </c>
      <c r="AE50" s="76">
        <f>资产资本表!AE50</f>
        <v>0</v>
      </c>
      <c r="AF50" s="76">
        <f>资产资本表!AF50</f>
        <v>0</v>
      </c>
      <c r="AG50" s="76">
        <f>资产资本表!AG50</f>
        <v>0</v>
      </c>
      <c r="AH50" s="76">
        <f>资产资本表!AH50</f>
        <v>0</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1" t="s">
        <v>352</v>
      </c>
      <c r="B51" s="44">
        <f t="shared" ref="B51:D51" si="25">B49/B50</f>
        <v>-14.221129556303215</v>
      </c>
      <c r="C51" s="44">
        <f t="shared" si="25"/>
        <v>-14.68070611575963</v>
      </c>
      <c r="D51" s="44">
        <f t="shared" si="25"/>
        <v>-11.336649796002753</v>
      </c>
      <c r="E51" s="44">
        <f>E49/E50</f>
        <v>2.325161712492942</v>
      </c>
      <c r="F51" s="44">
        <f t="shared" ref="F51:BQ51" si="26">F49/F50</f>
        <v>3.3965391788920374</v>
      </c>
      <c r="G51" s="44">
        <f t="shared" si="26"/>
        <v>5.878333693451756</v>
      </c>
      <c r="H51" s="44">
        <f t="shared" si="26"/>
        <v>6.0756924049095495</v>
      </c>
      <c r="I51" s="44">
        <f t="shared" si="26"/>
        <v>-124.56740019332784</v>
      </c>
      <c r="J51" s="44">
        <f t="shared" si="26"/>
        <v>17.909580439447289</v>
      </c>
      <c r="K51" s="44">
        <f t="shared" si="26"/>
        <v>10.401533538882344</v>
      </c>
      <c r="L51" s="44">
        <f t="shared" si="26"/>
        <v>-77.369211879213907</v>
      </c>
      <c r="M51" s="44">
        <f t="shared" si="26"/>
        <v>15.255867589952055</v>
      </c>
      <c r="N51" s="44">
        <f t="shared" si="26"/>
        <v>-4.4252910083411665</v>
      </c>
      <c r="O51" s="44">
        <f t="shared" si="26"/>
        <v>-5.380665211427865</v>
      </c>
      <c r="P51" s="44">
        <f t="shared" si="26"/>
        <v>-11.349433238810388</v>
      </c>
      <c r="Q51" s="44">
        <f t="shared" si="26"/>
        <v>-34.976156705992615</v>
      </c>
      <c r="R51" s="44">
        <f t="shared" si="26"/>
        <v>8.7127503707103333</v>
      </c>
      <c r="S51" s="44">
        <f t="shared" si="26"/>
        <v>9.3866066712352474</v>
      </c>
      <c r="T51" s="44" t="e">
        <f t="shared" si="26"/>
        <v>#DIV/0!</v>
      </c>
      <c r="U51" s="44" t="e">
        <f t="shared" si="26"/>
        <v>#DIV/0!</v>
      </c>
      <c r="V51" s="44" t="e">
        <f t="shared" si="26"/>
        <v>#DIV/0!</v>
      </c>
      <c r="W51" s="44" t="e">
        <f t="shared" si="26"/>
        <v>#DIV/0!</v>
      </c>
      <c r="X51" s="44" t="e">
        <f t="shared" si="26"/>
        <v>#DIV/0!</v>
      </c>
      <c r="Y51" s="44" t="e">
        <f t="shared" si="26"/>
        <v>#DIV/0!</v>
      </c>
      <c r="Z51" s="44" t="e">
        <f t="shared" si="26"/>
        <v>#DIV/0!</v>
      </c>
      <c r="AA51" s="44" t="e">
        <f t="shared" si="26"/>
        <v>#DIV/0!</v>
      </c>
      <c r="AB51" s="44" t="e">
        <f t="shared" si="26"/>
        <v>#DIV/0!</v>
      </c>
      <c r="AC51" s="44" t="e">
        <f t="shared" si="26"/>
        <v>#DIV/0!</v>
      </c>
      <c r="AD51" s="44" t="e">
        <f t="shared" si="26"/>
        <v>#DIV/0!</v>
      </c>
      <c r="AE51" s="44" t="e">
        <f t="shared" si="26"/>
        <v>#DIV/0!</v>
      </c>
      <c r="AF51" s="44" t="e">
        <f t="shared" si="26"/>
        <v>#DIV/0!</v>
      </c>
      <c r="AG51" s="44" t="e">
        <f t="shared" si="26"/>
        <v>#DIV/0!</v>
      </c>
      <c r="AH51" s="44" t="e">
        <f t="shared" si="26"/>
        <v>#DIV/0!</v>
      </c>
      <c r="AI51" s="44" t="e">
        <f t="shared" si="26"/>
        <v>#DIV/0!</v>
      </c>
      <c r="AJ51" s="44" t="e">
        <f t="shared" si="26"/>
        <v>#DIV/0!</v>
      </c>
      <c r="AK51" s="44" t="e">
        <f t="shared" si="26"/>
        <v>#DIV/0!</v>
      </c>
      <c r="AL51" s="44" t="e">
        <f t="shared" si="26"/>
        <v>#DIV/0!</v>
      </c>
      <c r="AM51" s="44" t="e">
        <f t="shared" si="26"/>
        <v>#DIV/0!</v>
      </c>
      <c r="AN51" s="44" t="e">
        <f t="shared" si="26"/>
        <v>#DIV/0!</v>
      </c>
      <c r="AO51" s="44" t="e">
        <f t="shared" si="26"/>
        <v>#DIV/0!</v>
      </c>
      <c r="AP51" s="44" t="e">
        <f t="shared" si="26"/>
        <v>#DIV/0!</v>
      </c>
      <c r="AQ51" s="44" t="e">
        <f t="shared" si="26"/>
        <v>#DIV/0!</v>
      </c>
      <c r="AR51" s="44" t="e">
        <f t="shared" si="26"/>
        <v>#DIV/0!</v>
      </c>
      <c r="AS51" s="44" t="e">
        <f t="shared" si="26"/>
        <v>#DIV/0!</v>
      </c>
      <c r="AT51" s="44" t="e">
        <f t="shared" si="26"/>
        <v>#DIV/0!</v>
      </c>
      <c r="AU51" s="44" t="e">
        <f t="shared" si="26"/>
        <v>#DIV/0!</v>
      </c>
      <c r="AV51" s="44" t="e">
        <f t="shared" si="26"/>
        <v>#DIV/0!</v>
      </c>
      <c r="AW51" s="44" t="e">
        <f t="shared" si="26"/>
        <v>#DIV/0!</v>
      </c>
      <c r="AX51" s="44" t="e">
        <f t="shared" si="26"/>
        <v>#DIV/0!</v>
      </c>
      <c r="AY51" s="44" t="e">
        <f t="shared" si="26"/>
        <v>#DIV/0!</v>
      </c>
      <c r="AZ51" s="44" t="e">
        <f t="shared" si="26"/>
        <v>#DIV/0!</v>
      </c>
      <c r="BA51" s="44" t="e">
        <f t="shared" si="26"/>
        <v>#DIV/0!</v>
      </c>
      <c r="BB51" s="44" t="e">
        <f t="shared" si="26"/>
        <v>#DIV/0!</v>
      </c>
      <c r="BC51" s="44" t="e">
        <f t="shared" si="26"/>
        <v>#DIV/0!</v>
      </c>
      <c r="BD51" s="44" t="e">
        <f t="shared" si="26"/>
        <v>#DIV/0!</v>
      </c>
      <c r="BE51" s="44" t="e">
        <f t="shared" si="26"/>
        <v>#DIV/0!</v>
      </c>
      <c r="BF51" s="44" t="e">
        <f t="shared" si="26"/>
        <v>#DIV/0!</v>
      </c>
      <c r="BG51" s="44" t="e">
        <f t="shared" si="26"/>
        <v>#DIV/0!</v>
      </c>
      <c r="BH51" s="44" t="e">
        <f t="shared" si="26"/>
        <v>#DIV/0!</v>
      </c>
      <c r="BI51" s="44" t="e">
        <f t="shared" si="26"/>
        <v>#DIV/0!</v>
      </c>
      <c r="BJ51" s="44" t="e">
        <f t="shared" si="26"/>
        <v>#DIV/0!</v>
      </c>
      <c r="BK51" s="44" t="e">
        <f t="shared" si="26"/>
        <v>#DIV/0!</v>
      </c>
      <c r="BL51" s="44" t="e">
        <f t="shared" si="26"/>
        <v>#DIV/0!</v>
      </c>
      <c r="BM51" s="44" t="e">
        <f t="shared" si="26"/>
        <v>#DIV/0!</v>
      </c>
      <c r="BN51" s="44" t="e">
        <f t="shared" si="26"/>
        <v>#DIV/0!</v>
      </c>
      <c r="BO51" s="44" t="e">
        <f t="shared" si="26"/>
        <v>#DIV/0!</v>
      </c>
      <c r="BP51" s="44" t="e">
        <f t="shared" si="26"/>
        <v>#DIV/0!</v>
      </c>
      <c r="BQ51" s="44" t="e">
        <f t="shared" si="26"/>
        <v>#DIV/0!</v>
      </c>
      <c r="BR51" s="44" t="e">
        <f t="shared" ref="BR51:CJ51" si="27">BR49/BR50</f>
        <v>#DIV/0!</v>
      </c>
      <c r="BS51" s="44" t="e">
        <f t="shared" si="27"/>
        <v>#DIV/0!</v>
      </c>
      <c r="BT51" s="44" t="e">
        <f t="shared" si="27"/>
        <v>#DIV/0!</v>
      </c>
      <c r="BU51" s="44" t="e">
        <f t="shared" si="27"/>
        <v>#DIV/0!</v>
      </c>
      <c r="BV51" s="44" t="e">
        <f t="shared" si="27"/>
        <v>#DIV/0!</v>
      </c>
      <c r="BW51" s="44" t="e">
        <f t="shared" si="27"/>
        <v>#DIV/0!</v>
      </c>
      <c r="BX51" s="44" t="e">
        <f t="shared" si="27"/>
        <v>#DIV/0!</v>
      </c>
      <c r="BY51" s="44" t="e">
        <f t="shared" si="27"/>
        <v>#DIV/0!</v>
      </c>
      <c r="BZ51" s="44" t="e">
        <f t="shared" si="27"/>
        <v>#DIV/0!</v>
      </c>
      <c r="CA51" s="44" t="e">
        <f t="shared" si="27"/>
        <v>#DIV/0!</v>
      </c>
      <c r="CB51" s="44" t="e">
        <f t="shared" si="27"/>
        <v>#DIV/0!</v>
      </c>
      <c r="CC51" s="44" t="e">
        <f t="shared" si="27"/>
        <v>#DIV/0!</v>
      </c>
      <c r="CD51" s="44" t="e">
        <f t="shared" si="27"/>
        <v>#DIV/0!</v>
      </c>
      <c r="CE51" s="44" t="e">
        <f t="shared" si="27"/>
        <v>#DIV/0!</v>
      </c>
      <c r="CF51" s="44" t="e">
        <f t="shared" si="27"/>
        <v>#DIV/0!</v>
      </c>
      <c r="CG51" s="44" t="e">
        <f t="shared" si="27"/>
        <v>#DIV/0!</v>
      </c>
      <c r="CH51" s="44" t="e">
        <f t="shared" si="27"/>
        <v>#DIV/0!</v>
      </c>
      <c r="CI51" s="44" t="e">
        <f t="shared" si="27"/>
        <v>#DIV/0!</v>
      </c>
      <c r="CJ51" s="44" t="e">
        <f t="shared" si="27"/>
        <v>#DIV/0!</v>
      </c>
    </row>
    <row r="52" spans="1:89" s="76" customFormat="1">
      <c r="A52" s="145" t="s">
        <v>353</v>
      </c>
      <c r="B52" s="194">
        <f>资产资本表!B68</f>
        <v>21919764428.440002</v>
      </c>
      <c r="C52" s="194">
        <f>资产资本表!C68</f>
        <v>22298780913.480003</v>
      </c>
      <c r="D52" s="194">
        <f>资产资本表!D68</f>
        <v>22664155957.809998</v>
      </c>
      <c r="E52" s="76">
        <f>资产资本表!E68</f>
        <v>21248449399.18</v>
      </c>
      <c r="F52" s="76">
        <f>资产资本表!F68</f>
        <v>18238236150.310001</v>
      </c>
      <c r="G52" s="76">
        <f>资产资本表!G68</f>
        <v>13468567242.819998</v>
      </c>
      <c r="H52" s="76">
        <f>资产资本表!H68</f>
        <v>8719132339.5799999</v>
      </c>
      <c r="I52" s="76">
        <f>资产资本表!I68</f>
        <v>7007236794.9799995</v>
      </c>
      <c r="J52" s="76">
        <f>资产资本表!J68</f>
        <v>5223295112.3800001</v>
      </c>
      <c r="K52" s="76">
        <f>资产资本表!K68</f>
        <v>4100037784.3299999</v>
      </c>
      <c r="L52" s="76">
        <f>资产资本表!L68</f>
        <v>3467436953.5099998</v>
      </c>
      <c r="M52" s="76">
        <f>资产资本表!M68</f>
        <v>3147968937.0299997</v>
      </c>
      <c r="N52" s="76">
        <f>资产资本表!N68</f>
        <v>2584084817.4099994</v>
      </c>
      <c r="O52" s="76">
        <f>资产资本表!O68</f>
        <v>2027833159.6499999</v>
      </c>
      <c r="P52" s="76">
        <f>资产资本表!P68</f>
        <v>1591199412.04</v>
      </c>
      <c r="Q52" s="76">
        <f>资产资本表!Q68</f>
        <v>1196336776.9300001</v>
      </c>
      <c r="R52" s="76">
        <f>资产资本表!R68</f>
        <v>935648707.24999988</v>
      </c>
      <c r="S52" s="76">
        <f>资产资本表!S68</f>
        <v>593463444.28000009</v>
      </c>
      <c r="T52" s="76">
        <f>资产资本表!T68</f>
        <v>0</v>
      </c>
      <c r="U52" s="76">
        <f>资产资本表!U68</f>
        <v>0</v>
      </c>
      <c r="V52" s="76">
        <f>资产资本表!V68</f>
        <v>0</v>
      </c>
      <c r="W52" s="76">
        <f>资产资本表!W68</f>
        <v>0</v>
      </c>
      <c r="X52" s="76">
        <f>资产资本表!X68</f>
        <v>0</v>
      </c>
      <c r="Y52" s="76">
        <f>资产资本表!Y68</f>
        <v>0</v>
      </c>
      <c r="Z52" s="76">
        <f>资产资本表!Z68</f>
        <v>0</v>
      </c>
      <c r="AA52" s="76">
        <f>资产资本表!AA68</f>
        <v>0</v>
      </c>
      <c r="AB52" s="76">
        <f>资产资本表!AB68</f>
        <v>0</v>
      </c>
      <c r="AC52" s="76">
        <f>资产资本表!AC68</f>
        <v>0</v>
      </c>
      <c r="AD52" s="76">
        <f>资产资本表!AD68</f>
        <v>0</v>
      </c>
      <c r="AE52" s="76">
        <f>资产资本表!AE68</f>
        <v>0</v>
      </c>
      <c r="AF52" s="76">
        <f>资产资本表!AF68</f>
        <v>0</v>
      </c>
      <c r="AG52" s="76">
        <f>资产资本表!AG68</f>
        <v>0</v>
      </c>
      <c r="AH52" s="76">
        <f>资产资本表!AH68</f>
        <v>0</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1" t="s">
        <v>354</v>
      </c>
      <c r="B53" s="44">
        <f t="shared" ref="B53:D53" si="28">B49/B52</f>
        <v>3.3594737127962269</v>
      </c>
      <c r="C53" s="44">
        <f t="shared" si="28"/>
        <v>2.6108091532024642</v>
      </c>
      <c r="D53" s="44">
        <f t="shared" si="28"/>
        <v>1.7146983133271374</v>
      </c>
      <c r="E53" s="44">
        <f>E49/E52</f>
        <v>1.5370337435794428</v>
      </c>
      <c r="F53" s="44">
        <f t="shared" ref="F53:BQ53" si="29">F49/F52</f>
        <v>1.73119419392995</v>
      </c>
      <c r="G53" s="44">
        <f t="shared" si="29"/>
        <v>2.2958493475305772</v>
      </c>
      <c r="H53" s="44">
        <f t="shared" si="29"/>
        <v>3.0341706172869438</v>
      </c>
      <c r="I53" s="44">
        <f t="shared" si="29"/>
        <v>2.6261928554324707</v>
      </c>
      <c r="J53" s="44">
        <f t="shared" si="29"/>
        <v>2.2271925077729873</v>
      </c>
      <c r="K53" s="44">
        <f t="shared" si="29"/>
        <v>2.3585146220720024</v>
      </c>
      <c r="L53" s="44">
        <f t="shared" si="29"/>
        <v>2.3768811587957344</v>
      </c>
      <c r="M53" s="44">
        <f t="shared" si="29"/>
        <v>2.2990794673940673</v>
      </c>
      <c r="N53" s="44">
        <f t="shared" si="29"/>
        <v>1.8947469789778015</v>
      </c>
      <c r="O53" s="44">
        <f t="shared" si="29"/>
        <v>1.9382833439257889</v>
      </c>
      <c r="P53" s="44">
        <f t="shared" si="29"/>
        <v>1.891525032718111</v>
      </c>
      <c r="Q53" s="44">
        <f t="shared" si="29"/>
        <v>2.0069749432023753</v>
      </c>
      <c r="R53" s="44">
        <f t="shared" si="29"/>
        <v>1.9645513985077974</v>
      </c>
      <c r="S53" s="44">
        <f t="shared" si="29"/>
        <v>2.728394519622761</v>
      </c>
      <c r="T53" s="44" t="e">
        <f t="shared" si="29"/>
        <v>#DIV/0!</v>
      </c>
      <c r="U53" s="44" t="e">
        <f t="shared" si="29"/>
        <v>#DIV/0!</v>
      </c>
      <c r="V53" s="44" t="e">
        <f t="shared" si="29"/>
        <v>#DIV/0!</v>
      </c>
      <c r="W53" s="44" t="e">
        <f t="shared" si="29"/>
        <v>#DIV/0!</v>
      </c>
      <c r="X53" s="44" t="e">
        <f t="shared" si="29"/>
        <v>#DIV/0!</v>
      </c>
      <c r="Y53" s="44" t="e">
        <f t="shared" si="29"/>
        <v>#DIV/0!</v>
      </c>
      <c r="Z53" s="44" t="e">
        <f t="shared" si="29"/>
        <v>#DIV/0!</v>
      </c>
      <c r="AA53" s="44" t="e">
        <f t="shared" si="29"/>
        <v>#DIV/0!</v>
      </c>
      <c r="AB53" s="44" t="e">
        <f t="shared" si="29"/>
        <v>#DIV/0!</v>
      </c>
      <c r="AC53" s="44" t="e">
        <f t="shared" si="29"/>
        <v>#DIV/0!</v>
      </c>
      <c r="AD53" s="44" t="e">
        <f t="shared" si="29"/>
        <v>#DIV/0!</v>
      </c>
      <c r="AE53" s="44" t="e">
        <f t="shared" si="29"/>
        <v>#DIV/0!</v>
      </c>
      <c r="AF53" s="44" t="e">
        <f t="shared" si="29"/>
        <v>#DIV/0!</v>
      </c>
      <c r="AG53" s="44" t="e">
        <f t="shared" si="29"/>
        <v>#DIV/0!</v>
      </c>
      <c r="AH53" s="44" t="e">
        <f t="shared" si="29"/>
        <v>#DIV/0!</v>
      </c>
      <c r="AI53" s="44" t="e">
        <f t="shared" si="29"/>
        <v>#DIV/0!</v>
      </c>
      <c r="AJ53" s="44" t="e">
        <f t="shared" si="29"/>
        <v>#DIV/0!</v>
      </c>
      <c r="AK53" s="44" t="e">
        <f t="shared" si="29"/>
        <v>#DIV/0!</v>
      </c>
      <c r="AL53" s="44" t="e">
        <f t="shared" si="29"/>
        <v>#DIV/0!</v>
      </c>
      <c r="AM53" s="44" t="e">
        <f t="shared" si="29"/>
        <v>#DIV/0!</v>
      </c>
      <c r="AN53" s="44" t="e">
        <f t="shared" si="29"/>
        <v>#DIV/0!</v>
      </c>
      <c r="AO53" s="44" t="e">
        <f t="shared" si="29"/>
        <v>#DIV/0!</v>
      </c>
      <c r="AP53" s="44" t="e">
        <f t="shared" si="29"/>
        <v>#DIV/0!</v>
      </c>
      <c r="AQ53" s="44" t="e">
        <f t="shared" si="29"/>
        <v>#DIV/0!</v>
      </c>
      <c r="AR53" s="44" t="e">
        <f t="shared" si="29"/>
        <v>#DIV/0!</v>
      </c>
      <c r="AS53" s="44" t="e">
        <f t="shared" si="29"/>
        <v>#DIV/0!</v>
      </c>
      <c r="AT53" s="44" t="e">
        <f t="shared" si="29"/>
        <v>#DIV/0!</v>
      </c>
      <c r="AU53" s="44" t="e">
        <f t="shared" si="29"/>
        <v>#DIV/0!</v>
      </c>
      <c r="AV53" s="44" t="e">
        <f t="shared" si="29"/>
        <v>#DIV/0!</v>
      </c>
      <c r="AW53" s="44" t="e">
        <f t="shared" si="29"/>
        <v>#DIV/0!</v>
      </c>
      <c r="AX53" s="44" t="e">
        <f t="shared" si="29"/>
        <v>#DIV/0!</v>
      </c>
      <c r="AY53" s="44" t="e">
        <f t="shared" si="29"/>
        <v>#DIV/0!</v>
      </c>
      <c r="AZ53" s="44" t="e">
        <f t="shared" si="29"/>
        <v>#DIV/0!</v>
      </c>
      <c r="BA53" s="44" t="e">
        <f t="shared" si="29"/>
        <v>#DIV/0!</v>
      </c>
      <c r="BB53" s="44" t="e">
        <f t="shared" si="29"/>
        <v>#DIV/0!</v>
      </c>
      <c r="BC53" s="44" t="e">
        <f t="shared" si="29"/>
        <v>#DIV/0!</v>
      </c>
      <c r="BD53" s="44" t="e">
        <f t="shared" si="29"/>
        <v>#DIV/0!</v>
      </c>
      <c r="BE53" s="44" t="e">
        <f t="shared" si="29"/>
        <v>#DIV/0!</v>
      </c>
      <c r="BF53" s="44" t="e">
        <f t="shared" si="29"/>
        <v>#DIV/0!</v>
      </c>
      <c r="BG53" s="44" t="e">
        <f t="shared" si="29"/>
        <v>#DIV/0!</v>
      </c>
      <c r="BH53" s="44" t="e">
        <f t="shared" si="29"/>
        <v>#DIV/0!</v>
      </c>
      <c r="BI53" s="44" t="e">
        <f t="shared" si="29"/>
        <v>#DIV/0!</v>
      </c>
      <c r="BJ53" s="44" t="e">
        <f t="shared" si="29"/>
        <v>#DIV/0!</v>
      </c>
      <c r="BK53" s="44" t="e">
        <f t="shared" si="29"/>
        <v>#DIV/0!</v>
      </c>
      <c r="BL53" s="44" t="e">
        <f t="shared" si="29"/>
        <v>#DIV/0!</v>
      </c>
      <c r="BM53" s="44" t="e">
        <f t="shared" si="29"/>
        <v>#DIV/0!</v>
      </c>
      <c r="BN53" s="44" t="e">
        <f t="shared" si="29"/>
        <v>#DIV/0!</v>
      </c>
      <c r="BO53" s="44" t="e">
        <f t="shared" si="29"/>
        <v>#DIV/0!</v>
      </c>
      <c r="BP53" s="44" t="e">
        <f t="shared" si="29"/>
        <v>#DIV/0!</v>
      </c>
      <c r="BQ53" s="44" t="e">
        <f t="shared" si="29"/>
        <v>#DIV/0!</v>
      </c>
      <c r="BR53" s="44" t="e">
        <f t="shared" ref="BR53:CK53" si="30">BR49/BR52</f>
        <v>#DIV/0!</v>
      </c>
      <c r="BS53" s="44" t="e">
        <f t="shared" si="30"/>
        <v>#DIV/0!</v>
      </c>
      <c r="BT53" s="44" t="e">
        <f t="shared" si="30"/>
        <v>#DIV/0!</v>
      </c>
      <c r="BU53" s="44" t="e">
        <f t="shared" si="30"/>
        <v>#DIV/0!</v>
      </c>
      <c r="BV53" s="44" t="e">
        <f t="shared" si="30"/>
        <v>#DIV/0!</v>
      </c>
      <c r="BW53" s="44" t="e">
        <f t="shared" si="30"/>
        <v>#DIV/0!</v>
      </c>
      <c r="BX53" s="44" t="e">
        <f t="shared" si="30"/>
        <v>#DIV/0!</v>
      </c>
      <c r="BY53" s="44" t="e">
        <f t="shared" si="30"/>
        <v>#DIV/0!</v>
      </c>
      <c r="BZ53" s="44" t="e">
        <f t="shared" si="30"/>
        <v>#DIV/0!</v>
      </c>
      <c r="CA53" s="44" t="e">
        <f t="shared" si="30"/>
        <v>#DIV/0!</v>
      </c>
      <c r="CB53" s="44" t="e">
        <f t="shared" si="30"/>
        <v>#DIV/0!</v>
      </c>
      <c r="CC53" s="44" t="e">
        <f t="shared" si="30"/>
        <v>#DIV/0!</v>
      </c>
      <c r="CD53" s="44" t="e">
        <f t="shared" si="30"/>
        <v>#DIV/0!</v>
      </c>
      <c r="CE53" s="44" t="e">
        <f t="shared" si="30"/>
        <v>#DIV/0!</v>
      </c>
      <c r="CF53" s="44" t="e">
        <f t="shared" si="30"/>
        <v>#DIV/0!</v>
      </c>
      <c r="CG53" s="44" t="e">
        <f t="shared" si="30"/>
        <v>#DIV/0!</v>
      </c>
      <c r="CH53" s="44" t="e">
        <f t="shared" si="30"/>
        <v>#DIV/0!</v>
      </c>
      <c r="CI53" s="44" t="e">
        <f t="shared" si="30"/>
        <v>#DIV/0!</v>
      </c>
      <c r="CJ53" s="44" t="e">
        <f t="shared" si="30"/>
        <v>#DIV/0!</v>
      </c>
      <c r="CK53" s="44" t="e">
        <f t="shared" si="30"/>
        <v>#DIV/0!</v>
      </c>
    </row>
    <row r="54" spans="1:89" s="76" customFormat="1">
      <c r="A54" s="145" t="s">
        <v>355</v>
      </c>
      <c r="B54" s="194">
        <f>资产资本表!B17</f>
        <v>112447681364.53</v>
      </c>
      <c r="C54" s="194">
        <f>资产资本表!C17</f>
        <v>88139328529.229996</v>
      </c>
      <c r="D54" s="194">
        <f>资产资本表!D17</f>
        <v>67024866975.099998</v>
      </c>
      <c r="E54" s="76">
        <f>资产资本表!E17</f>
        <v>36915096946.529999</v>
      </c>
      <c r="F54" s="76">
        <f>资产资本表!F17</f>
        <v>27855320602.540001</v>
      </c>
      <c r="G54" s="76">
        <f>资产资本表!G17</f>
        <v>25423608478.91</v>
      </c>
      <c r="H54" s="76">
        <f>资产资本表!H17</f>
        <v>22376612663.389999</v>
      </c>
      <c r="I54" s="76">
        <f>资产资本表!I17</f>
        <v>18539872922.09</v>
      </c>
      <c r="J54" s="76">
        <f>资产资本表!J17</f>
        <v>12991122314.630001</v>
      </c>
      <c r="K54" s="76">
        <f>资产资本表!K17</f>
        <v>9755064755.2399998</v>
      </c>
      <c r="L54" s="76">
        <f>资产资本表!L17</f>
        <v>8138505441.1599998</v>
      </c>
      <c r="M54" s="76">
        <f>资产资本表!M17</f>
        <v>4784290700.0200005</v>
      </c>
      <c r="N54" s="76">
        <f>资产资本表!N17</f>
        <v>4505867488.6400003</v>
      </c>
      <c r="O54" s="76">
        <f>资产资本表!O17</f>
        <v>3891989433.5300002</v>
      </c>
      <c r="P54" s="76">
        <f>资产资本表!P17</f>
        <v>2898327418.8499999</v>
      </c>
      <c r="Q54" s="76">
        <f>资产资本表!Q17</f>
        <v>2340047386.8499999</v>
      </c>
      <c r="R54" s="76">
        <f>资产资本表!R17</f>
        <v>1780307690.6400001</v>
      </c>
      <c r="S54" s="76">
        <f>资产资本表!S17</f>
        <v>1956436570.0999999</v>
      </c>
      <c r="T54" s="76">
        <f>资产资本表!T17</f>
        <v>0</v>
      </c>
      <c r="U54" s="76">
        <f>资产资本表!U17</f>
        <v>0</v>
      </c>
      <c r="V54" s="76">
        <f>资产资本表!V17</f>
        <v>0</v>
      </c>
      <c r="W54" s="76">
        <f>资产资本表!W17</f>
        <v>0</v>
      </c>
      <c r="X54" s="76">
        <f>资产资本表!X17</f>
        <v>0</v>
      </c>
      <c r="Y54" s="76">
        <f>资产资本表!Y17</f>
        <v>0</v>
      </c>
      <c r="Z54" s="76">
        <f>资产资本表!Z17</f>
        <v>0</v>
      </c>
      <c r="AA54" s="76">
        <f>资产资本表!AA17</f>
        <v>0</v>
      </c>
      <c r="AB54" s="76">
        <f>资产资本表!AB17</f>
        <v>0</v>
      </c>
      <c r="AC54" s="76">
        <f>资产资本表!AC17</f>
        <v>0</v>
      </c>
      <c r="AD54" s="76">
        <f>资产资本表!AD17</f>
        <v>0</v>
      </c>
      <c r="AE54" s="76">
        <f>资产资本表!AE17</f>
        <v>0</v>
      </c>
      <c r="AF54" s="76">
        <f>资产资本表!AF17</f>
        <v>0</v>
      </c>
      <c r="AG54" s="76">
        <f>资产资本表!AG17</f>
        <v>0</v>
      </c>
      <c r="AH54" s="76">
        <f>资产资本表!AH17</f>
        <v>0</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1" t="s">
        <v>356</v>
      </c>
      <c r="B55" s="44">
        <f t="shared" ref="B55:D55" si="31">B49/B54</f>
        <v>0.65487230589761469</v>
      </c>
      <c r="C55" s="44">
        <f t="shared" si="31"/>
        <v>0.6605208172746968</v>
      </c>
      <c r="D55" s="44">
        <f t="shared" si="31"/>
        <v>0.57981748786278764</v>
      </c>
      <c r="E55" s="44">
        <f>E49/E54</f>
        <v>0.88472160245403297</v>
      </c>
      <c r="F55" s="44">
        <f t="shared" ref="F55:BQ55" si="32">F49/F54</f>
        <v>1.1334972223604891</v>
      </c>
      <c r="G55" s="44">
        <f t="shared" si="32"/>
        <v>1.2162632752251117</v>
      </c>
      <c r="H55" s="44">
        <f t="shared" si="32"/>
        <v>1.1822761358457587</v>
      </c>
      <c r="I55" s="44">
        <f t="shared" si="32"/>
        <v>0.99258259668942228</v>
      </c>
      <c r="J55" s="44">
        <f t="shared" si="32"/>
        <v>0.89547950195797432</v>
      </c>
      <c r="K55" s="44">
        <f t="shared" si="32"/>
        <v>0.99127984365205712</v>
      </c>
      <c r="L55" s="44">
        <f t="shared" si="32"/>
        <v>1.0126780185497171</v>
      </c>
      <c r="M55" s="44">
        <f t="shared" si="32"/>
        <v>1.5127489529617721</v>
      </c>
      <c r="N55" s="44">
        <f t="shared" si="32"/>
        <v>1.0866246984746126</v>
      </c>
      <c r="O55" s="44">
        <f t="shared" si="32"/>
        <v>1.0098987432360671</v>
      </c>
      <c r="P55" s="44">
        <f t="shared" si="32"/>
        <v>1.0384587677517221</v>
      </c>
      <c r="Q55" s="44">
        <f t="shared" si="32"/>
        <v>1.0260552621381203</v>
      </c>
      <c r="R55" s="44">
        <f t="shared" si="32"/>
        <v>1.0324788158833451</v>
      </c>
      <c r="S55" s="44">
        <f t="shared" si="32"/>
        <v>0.82762836971874698</v>
      </c>
      <c r="T55" s="44" t="e">
        <f t="shared" si="32"/>
        <v>#DIV/0!</v>
      </c>
      <c r="U55" s="44" t="e">
        <f t="shared" si="32"/>
        <v>#DIV/0!</v>
      </c>
      <c r="V55" s="44" t="e">
        <f t="shared" si="32"/>
        <v>#DIV/0!</v>
      </c>
      <c r="W55" s="44" t="e">
        <f t="shared" si="32"/>
        <v>#DIV/0!</v>
      </c>
      <c r="X55" s="44" t="e">
        <f t="shared" si="32"/>
        <v>#DIV/0!</v>
      </c>
      <c r="Y55" s="44" t="e">
        <f t="shared" si="32"/>
        <v>#DIV/0!</v>
      </c>
      <c r="Z55" s="44" t="e">
        <f t="shared" si="32"/>
        <v>#DIV/0!</v>
      </c>
      <c r="AA55" s="44" t="e">
        <f t="shared" si="32"/>
        <v>#DIV/0!</v>
      </c>
      <c r="AB55" s="44" t="e">
        <f t="shared" si="32"/>
        <v>#DIV/0!</v>
      </c>
      <c r="AC55" s="44" t="e">
        <f t="shared" si="32"/>
        <v>#DIV/0!</v>
      </c>
      <c r="AD55" s="44" t="e">
        <f t="shared" si="32"/>
        <v>#DIV/0!</v>
      </c>
      <c r="AE55" s="44" t="e">
        <f t="shared" si="32"/>
        <v>#DIV/0!</v>
      </c>
      <c r="AF55" s="44" t="e">
        <f t="shared" si="32"/>
        <v>#DIV/0!</v>
      </c>
      <c r="AG55" s="44" t="e">
        <f t="shared" si="32"/>
        <v>#DIV/0!</v>
      </c>
      <c r="AH55" s="44" t="e">
        <f t="shared" si="32"/>
        <v>#DIV/0!</v>
      </c>
      <c r="AI55" s="44" t="e">
        <f t="shared" si="32"/>
        <v>#DIV/0!</v>
      </c>
      <c r="AJ55" s="44" t="e">
        <f t="shared" si="32"/>
        <v>#DIV/0!</v>
      </c>
      <c r="AK55" s="44" t="e">
        <f t="shared" si="32"/>
        <v>#DIV/0!</v>
      </c>
      <c r="AL55" s="44" t="e">
        <f t="shared" si="32"/>
        <v>#DIV/0!</v>
      </c>
      <c r="AM55" s="44" t="e">
        <f t="shared" si="32"/>
        <v>#DIV/0!</v>
      </c>
      <c r="AN55" s="44" t="e">
        <f t="shared" si="32"/>
        <v>#DIV/0!</v>
      </c>
      <c r="AO55" s="44" t="e">
        <f t="shared" si="32"/>
        <v>#DIV/0!</v>
      </c>
      <c r="AP55" s="44" t="e">
        <f t="shared" si="32"/>
        <v>#DIV/0!</v>
      </c>
      <c r="AQ55" s="44" t="e">
        <f t="shared" si="32"/>
        <v>#DIV/0!</v>
      </c>
      <c r="AR55" s="44" t="e">
        <f t="shared" si="32"/>
        <v>#DIV/0!</v>
      </c>
      <c r="AS55" s="44" t="e">
        <f t="shared" si="32"/>
        <v>#DIV/0!</v>
      </c>
      <c r="AT55" s="44" t="e">
        <f t="shared" si="32"/>
        <v>#DIV/0!</v>
      </c>
      <c r="AU55" s="44" t="e">
        <f t="shared" si="32"/>
        <v>#DIV/0!</v>
      </c>
      <c r="AV55" s="44" t="e">
        <f t="shared" si="32"/>
        <v>#DIV/0!</v>
      </c>
      <c r="AW55" s="44" t="e">
        <f t="shared" si="32"/>
        <v>#DIV/0!</v>
      </c>
      <c r="AX55" s="44" t="e">
        <f t="shared" si="32"/>
        <v>#DIV/0!</v>
      </c>
      <c r="AY55" s="44" t="e">
        <f t="shared" si="32"/>
        <v>#DIV/0!</v>
      </c>
      <c r="AZ55" s="44" t="e">
        <f t="shared" si="32"/>
        <v>#DIV/0!</v>
      </c>
      <c r="BA55" s="44" t="e">
        <f t="shared" si="32"/>
        <v>#DIV/0!</v>
      </c>
      <c r="BB55" s="44" t="e">
        <f t="shared" si="32"/>
        <v>#DIV/0!</v>
      </c>
      <c r="BC55" s="44" t="e">
        <f t="shared" si="32"/>
        <v>#DIV/0!</v>
      </c>
      <c r="BD55" s="44" t="e">
        <f t="shared" si="32"/>
        <v>#DIV/0!</v>
      </c>
      <c r="BE55" s="44" t="e">
        <f t="shared" si="32"/>
        <v>#DIV/0!</v>
      </c>
      <c r="BF55" s="44" t="e">
        <f t="shared" si="32"/>
        <v>#DIV/0!</v>
      </c>
      <c r="BG55" s="44" t="e">
        <f t="shared" si="32"/>
        <v>#DIV/0!</v>
      </c>
      <c r="BH55" s="44" t="e">
        <f t="shared" si="32"/>
        <v>#DIV/0!</v>
      </c>
      <c r="BI55" s="44" t="e">
        <f t="shared" si="32"/>
        <v>#DIV/0!</v>
      </c>
      <c r="BJ55" s="44" t="e">
        <f t="shared" si="32"/>
        <v>#DIV/0!</v>
      </c>
      <c r="BK55" s="44" t="e">
        <f t="shared" si="32"/>
        <v>#DIV/0!</v>
      </c>
      <c r="BL55" s="44" t="e">
        <f t="shared" si="32"/>
        <v>#DIV/0!</v>
      </c>
      <c r="BM55" s="44" t="e">
        <f t="shared" si="32"/>
        <v>#DIV/0!</v>
      </c>
      <c r="BN55" s="44" t="e">
        <f t="shared" si="32"/>
        <v>#DIV/0!</v>
      </c>
      <c r="BO55" s="44" t="e">
        <f t="shared" si="32"/>
        <v>#DIV/0!</v>
      </c>
      <c r="BP55" s="44" t="e">
        <f t="shared" si="32"/>
        <v>#DIV/0!</v>
      </c>
      <c r="BQ55" s="44" t="e">
        <f t="shared" si="32"/>
        <v>#DIV/0!</v>
      </c>
      <c r="BR55" s="44" t="e">
        <f t="shared" ref="BR55:CK55" si="33">BR49/BR54</f>
        <v>#DIV/0!</v>
      </c>
      <c r="BS55" s="44" t="e">
        <f t="shared" si="33"/>
        <v>#DIV/0!</v>
      </c>
      <c r="BT55" s="44" t="e">
        <f t="shared" si="33"/>
        <v>#DIV/0!</v>
      </c>
      <c r="BU55" s="44" t="e">
        <f t="shared" si="33"/>
        <v>#DIV/0!</v>
      </c>
      <c r="BV55" s="44" t="e">
        <f t="shared" si="33"/>
        <v>#DIV/0!</v>
      </c>
      <c r="BW55" s="44" t="e">
        <f t="shared" si="33"/>
        <v>#DIV/0!</v>
      </c>
      <c r="BX55" s="44" t="e">
        <f t="shared" si="33"/>
        <v>#DIV/0!</v>
      </c>
      <c r="BY55" s="44" t="e">
        <f t="shared" si="33"/>
        <v>#DIV/0!</v>
      </c>
      <c r="BZ55" s="44" t="e">
        <f t="shared" si="33"/>
        <v>#DIV/0!</v>
      </c>
      <c r="CA55" s="44" t="e">
        <f t="shared" si="33"/>
        <v>#DIV/0!</v>
      </c>
      <c r="CB55" s="44" t="e">
        <f t="shared" si="33"/>
        <v>#DIV/0!</v>
      </c>
      <c r="CC55" s="44" t="e">
        <f t="shared" si="33"/>
        <v>#DIV/0!</v>
      </c>
      <c r="CD55" s="44" t="e">
        <f t="shared" si="33"/>
        <v>#DIV/0!</v>
      </c>
      <c r="CE55" s="44" t="e">
        <f t="shared" si="33"/>
        <v>#DIV/0!</v>
      </c>
      <c r="CF55" s="44" t="e">
        <f t="shared" si="33"/>
        <v>#DIV/0!</v>
      </c>
      <c r="CG55" s="44" t="e">
        <f t="shared" si="33"/>
        <v>#DIV/0!</v>
      </c>
      <c r="CH55" s="44" t="e">
        <f t="shared" si="33"/>
        <v>#DIV/0!</v>
      </c>
      <c r="CI55" s="44" t="e">
        <f t="shared" si="33"/>
        <v>#DIV/0!</v>
      </c>
      <c r="CJ55" s="44" t="e">
        <f t="shared" si="33"/>
        <v>#DIV/0!</v>
      </c>
      <c r="CK55" s="44" t="e">
        <f t="shared" si="33"/>
        <v>#DIV/0!</v>
      </c>
    </row>
    <row r="56" spans="1:89" s="76" customFormat="1">
      <c r="A56" s="145" t="s">
        <v>330</v>
      </c>
      <c r="B56" s="194">
        <f>资产资本表!B19</f>
        <v>0</v>
      </c>
      <c r="C56" s="194">
        <f>资产资本表!C19</f>
        <v>0</v>
      </c>
      <c r="D56" s="194">
        <f>资产资本表!D19</f>
        <v>0</v>
      </c>
      <c r="E56" s="76">
        <f>资产资本表!E19</f>
        <v>0</v>
      </c>
      <c r="F56" s="76">
        <f>资产资本表!F19</f>
        <v>0</v>
      </c>
      <c r="G56" s="76">
        <f>资产资本表!G19</f>
        <v>4000000</v>
      </c>
      <c r="H56" s="76">
        <f>资产资本表!H19</f>
        <v>4000000</v>
      </c>
      <c r="I56" s="76">
        <f>资产资本表!I19</f>
        <v>4000000</v>
      </c>
      <c r="J56" s="76">
        <f>资产资本表!J19</f>
        <v>4000000</v>
      </c>
      <c r="K56" s="76">
        <f>资产资本表!K19</f>
        <v>4000000</v>
      </c>
      <c r="L56" s="76">
        <f>资产资本表!L19</f>
        <v>4000000</v>
      </c>
      <c r="M56" s="76">
        <f>资产资本表!M19</f>
        <v>4000000</v>
      </c>
      <c r="N56" s="76">
        <f>资产资本表!N19</f>
        <v>11486496.289999999</v>
      </c>
      <c r="O56" s="76">
        <f>资产资本表!O19</f>
        <v>10243017.33</v>
      </c>
      <c r="P56" s="76">
        <f>资产资本表!P19</f>
        <v>9815063.7300000004</v>
      </c>
      <c r="Q56" s="76">
        <f>资产资本表!Q19</f>
        <v>4000000</v>
      </c>
      <c r="R56" s="76">
        <f>资产资本表!R19</f>
        <v>4000000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c r="A57" s="143" t="s">
        <v>357</v>
      </c>
      <c r="B57" s="117" t="e">
        <f t="shared" ref="B57:D57" si="34">B49/B56</f>
        <v>#DIV/0!</v>
      </c>
      <c r="C57" s="117" t="e">
        <f t="shared" si="34"/>
        <v>#DIV/0!</v>
      </c>
      <c r="D57" s="117" t="e">
        <f t="shared" si="34"/>
        <v>#DIV/0!</v>
      </c>
      <c r="E57" s="117" t="e">
        <f>E49/E56</f>
        <v>#DIV/0!</v>
      </c>
      <c r="F57" s="117" t="e">
        <f t="shared" ref="F57:BQ57" si="35">F49/F56</f>
        <v>#DIV/0!</v>
      </c>
      <c r="G57" s="117">
        <f t="shared" si="35"/>
        <v>7730.4503291499996</v>
      </c>
      <c r="H57" s="117">
        <f t="shared" si="35"/>
        <v>6613.8337882475007</v>
      </c>
      <c r="I57" s="117">
        <f t="shared" si="35"/>
        <v>4600.5888018249998</v>
      </c>
      <c r="J57" s="117">
        <f t="shared" si="35"/>
        <v>2908.3209350450002</v>
      </c>
      <c r="K57" s="117">
        <f t="shared" si="35"/>
        <v>2417.4997663474996</v>
      </c>
      <c r="L57" s="117">
        <f t="shared" si="35"/>
        <v>2060.4213910274998</v>
      </c>
      <c r="M57" s="117">
        <f t="shared" si="35"/>
        <v>1809.35768678</v>
      </c>
      <c r="N57" s="117">
        <f t="shared" si="35"/>
        <v>426.25590759756386</v>
      </c>
      <c r="O57" s="117">
        <f t="shared" si="35"/>
        <v>383.72630944382092</v>
      </c>
      <c r="P57" s="117">
        <f t="shared" si="35"/>
        <v>306.65043067631717</v>
      </c>
      <c r="Q57" s="117">
        <f t="shared" si="35"/>
        <v>600.25448373249992</v>
      </c>
      <c r="R57" s="117">
        <f t="shared" si="35"/>
        <v>459.532494085</v>
      </c>
      <c r="S57" s="117" t="e">
        <f t="shared" si="35"/>
        <v>#DIV/0!</v>
      </c>
      <c r="T57" s="117" t="e">
        <f t="shared" si="35"/>
        <v>#DIV/0!</v>
      </c>
      <c r="U57" s="117" t="e">
        <f t="shared" si="35"/>
        <v>#DIV/0!</v>
      </c>
      <c r="V57" s="117" t="e">
        <f t="shared" si="35"/>
        <v>#DIV/0!</v>
      </c>
      <c r="W57" s="117" t="e">
        <f t="shared" si="35"/>
        <v>#DIV/0!</v>
      </c>
      <c r="X57" s="117" t="e">
        <f t="shared" si="35"/>
        <v>#DIV/0!</v>
      </c>
      <c r="Y57" s="117" t="e">
        <f t="shared" si="35"/>
        <v>#DIV/0!</v>
      </c>
      <c r="Z57" s="117" t="e">
        <f t="shared" si="35"/>
        <v>#DIV/0!</v>
      </c>
      <c r="AA57" s="117" t="e">
        <f t="shared" si="35"/>
        <v>#DIV/0!</v>
      </c>
      <c r="AB57" s="117" t="e">
        <f t="shared" si="35"/>
        <v>#DIV/0!</v>
      </c>
      <c r="AC57" s="117" t="e">
        <f t="shared" si="35"/>
        <v>#DIV/0!</v>
      </c>
      <c r="AD57" s="117" t="e">
        <f t="shared" si="35"/>
        <v>#DIV/0!</v>
      </c>
      <c r="AE57" s="117" t="e">
        <f t="shared" si="35"/>
        <v>#DIV/0!</v>
      </c>
      <c r="AF57" s="117" t="e">
        <f t="shared" si="35"/>
        <v>#DIV/0!</v>
      </c>
      <c r="AG57" s="117" t="e">
        <f t="shared" si="35"/>
        <v>#DIV/0!</v>
      </c>
      <c r="AH57" s="117" t="e">
        <f t="shared" si="35"/>
        <v>#DIV/0!</v>
      </c>
      <c r="AI57" s="117" t="e">
        <f t="shared" si="35"/>
        <v>#DIV/0!</v>
      </c>
      <c r="AJ57" s="117" t="e">
        <f t="shared" si="35"/>
        <v>#DIV/0!</v>
      </c>
      <c r="AK57" s="117" t="e">
        <f t="shared" si="35"/>
        <v>#DIV/0!</v>
      </c>
      <c r="AL57" s="117" t="e">
        <f t="shared" si="35"/>
        <v>#DIV/0!</v>
      </c>
      <c r="AM57" s="117" t="e">
        <f t="shared" si="35"/>
        <v>#DIV/0!</v>
      </c>
      <c r="AN57" s="117" t="e">
        <f t="shared" si="35"/>
        <v>#DIV/0!</v>
      </c>
      <c r="AO57" s="117" t="e">
        <f t="shared" si="35"/>
        <v>#DIV/0!</v>
      </c>
      <c r="AP57" s="117" t="e">
        <f t="shared" si="35"/>
        <v>#DIV/0!</v>
      </c>
      <c r="AQ57" s="117" t="e">
        <f t="shared" si="35"/>
        <v>#DIV/0!</v>
      </c>
      <c r="AR57" s="117" t="e">
        <f t="shared" si="35"/>
        <v>#DIV/0!</v>
      </c>
      <c r="AS57" s="117" t="e">
        <f t="shared" si="35"/>
        <v>#DIV/0!</v>
      </c>
      <c r="AT57" s="117" t="e">
        <f t="shared" si="35"/>
        <v>#DIV/0!</v>
      </c>
      <c r="AU57" s="117" t="e">
        <f t="shared" si="35"/>
        <v>#DIV/0!</v>
      </c>
      <c r="AV57" s="117" t="e">
        <f t="shared" si="35"/>
        <v>#DIV/0!</v>
      </c>
      <c r="AW57" s="117" t="e">
        <f t="shared" si="35"/>
        <v>#DIV/0!</v>
      </c>
      <c r="AX57" s="117" t="e">
        <f t="shared" si="35"/>
        <v>#DIV/0!</v>
      </c>
      <c r="AY57" s="117" t="e">
        <f t="shared" si="35"/>
        <v>#DIV/0!</v>
      </c>
      <c r="AZ57" s="117" t="e">
        <f t="shared" si="35"/>
        <v>#DIV/0!</v>
      </c>
      <c r="BA57" s="117" t="e">
        <f t="shared" si="35"/>
        <v>#DIV/0!</v>
      </c>
      <c r="BB57" s="117" t="e">
        <f t="shared" si="35"/>
        <v>#DIV/0!</v>
      </c>
      <c r="BC57" s="117" t="e">
        <f t="shared" si="35"/>
        <v>#DIV/0!</v>
      </c>
      <c r="BD57" s="117" t="e">
        <f t="shared" si="35"/>
        <v>#DIV/0!</v>
      </c>
      <c r="BE57" s="117" t="e">
        <f t="shared" si="35"/>
        <v>#DIV/0!</v>
      </c>
      <c r="BF57" s="117" t="e">
        <f t="shared" si="35"/>
        <v>#DIV/0!</v>
      </c>
      <c r="BG57" s="117" t="e">
        <f t="shared" si="35"/>
        <v>#DIV/0!</v>
      </c>
      <c r="BH57" s="117" t="e">
        <f t="shared" si="35"/>
        <v>#DIV/0!</v>
      </c>
      <c r="BI57" s="117" t="e">
        <f t="shared" si="35"/>
        <v>#DIV/0!</v>
      </c>
      <c r="BJ57" s="117" t="e">
        <f t="shared" si="35"/>
        <v>#DIV/0!</v>
      </c>
      <c r="BK57" s="117" t="e">
        <f t="shared" si="35"/>
        <v>#DIV/0!</v>
      </c>
      <c r="BL57" s="117" t="e">
        <f t="shared" si="35"/>
        <v>#DIV/0!</v>
      </c>
      <c r="BM57" s="117" t="e">
        <f t="shared" si="35"/>
        <v>#DIV/0!</v>
      </c>
      <c r="BN57" s="117" t="e">
        <f t="shared" si="35"/>
        <v>#DIV/0!</v>
      </c>
      <c r="BO57" s="117" t="e">
        <f t="shared" si="35"/>
        <v>#DIV/0!</v>
      </c>
      <c r="BP57" s="117" t="e">
        <f t="shared" si="35"/>
        <v>#DIV/0!</v>
      </c>
      <c r="BQ57" s="117" t="e">
        <f t="shared" si="35"/>
        <v>#DIV/0!</v>
      </c>
      <c r="BR57" s="117" t="e">
        <f t="shared" ref="BR57:CK57" si="36">BR49/BR56</f>
        <v>#DIV/0!</v>
      </c>
      <c r="BS57" s="117" t="e">
        <f t="shared" si="36"/>
        <v>#DIV/0!</v>
      </c>
      <c r="BT57" s="117" t="e">
        <f t="shared" si="36"/>
        <v>#DIV/0!</v>
      </c>
      <c r="BU57" s="117" t="e">
        <f t="shared" si="36"/>
        <v>#DIV/0!</v>
      </c>
      <c r="BV57" s="117" t="e">
        <f t="shared" si="36"/>
        <v>#DIV/0!</v>
      </c>
      <c r="BW57" s="117" t="e">
        <f t="shared" si="36"/>
        <v>#DIV/0!</v>
      </c>
      <c r="BX57" s="117" t="e">
        <f t="shared" si="36"/>
        <v>#DIV/0!</v>
      </c>
      <c r="BY57" s="117" t="e">
        <f t="shared" si="36"/>
        <v>#DIV/0!</v>
      </c>
      <c r="BZ57" s="117" t="e">
        <f t="shared" si="36"/>
        <v>#DIV/0!</v>
      </c>
      <c r="CA57" s="117" t="e">
        <f t="shared" si="36"/>
        <v>#DIV/0!</v>
      </c>
      <c r="CB57" s="117" t="e">
        <f t="shared" si="36"/>
        <v>#DIV/0!</v>
      </c>
      <c r="CC57" s="117" t="e">
        <f t="shared" si="36"/>
        <v>#DIV/0!</v>
      </c>
      <c r="CD57" s="117" t="e">
        <f t="shared" si="36"/>
        <v>#DIV/0!</v>
      </c>
      <c r="CE57" s="117" t="e">
        <f t="shared" si="36"/>
        <v>#DIV/0!</v>
      </c>
      <c r="CF57" s="117" t="e">
        <f t="shared" si="36"/>
        <v>#DIV/0!</v>
      </c>
      <c r="CG57" s="117" t="e">
        <f t="shared" si="36"/>
        <v>#DIV/0!</v>
      </c>
      <c r="CH57" s="117" t="e">
        <f t="shared" si="36"/>
        <v>#DIV/0!</v>
      </c>
      <c r="CI57" s="117" t="e">
        <f t="shared" si="36"/>
        <v>#DIV/0!</v>
      </c>
      <c r="CJ57" s="117" t="e">
        <f t="shared" si="36"/>
        <v>#DIV/0!</v>
      </c>
      <c r="CK57" s="117" t="e">
        <f t="shared" si="36"/>
        <v>#DIV/0!</v>
      </c>
    </row>
    <row r="58" spans="1:89" s="16" customFormat="1" ht="44.45" customHeight="1">
      <c r="A58" s="276" t="s">
        <v>579</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19" customFormat="1">
      <c r="A61" s="118" t="s">
        <v>358</v>
      </c>
      <c r="B61" s="271" t="s">
        <v>638</v>
      </c>
      <c r="C61" s="271" t="s">
        <v>639</v>
      </c>
      <c r="D61" s="271" t="s">
        <v>640</v>
      </c>
      <c r="E61" s="271" t="s">
        <v>641</v>
      </c>
      <c r="F61" s="271" t="s">
        <v>642</v>
      </c>
      <c r="G61" s="271" t="s">
        <v>643</v>
      </c>
      <c r="H61" s="271" t="s">
        <v>644</v>
      </c>
      <c r="I61" s="271" t="s">
        <v>645</v>
      </c>
      <c r="J61" s="271" t="s">
        <v>646</v>
      </c>
      <c r="K61" s="271" t="s">
        <v>647</v>
      </c>
      <c r="L61" s="271" t="s">
        <v>648</v>
      </c>
      <c r="M61" s="271" t="s">
        <v>649</v>
      </c>
      <c r="N61" s="271" t="s">
        <v>650</v>
      </c>
      <c r="O61" s="271" t="s">
        <v>651</v>
      </c>
      <c r="P61" s="271" t="s">
        <v>652</v>
      </c>
      <c r="Q61" s="271" t="s">
        <v>653</v>
      </c>
      <c r="R61" s="271" t="s">
        <v>654</v>
      </c>
      <c r="S61" s="271" t="s">
        <v>655</v>
      </c>
      <c r="T61" s="315"/>
      <c r="U61" s="315"/>
      <c r="V61" s="315"/>
      <c r="W61" s="315"/>
      <c r="X61" s="315"/>
      <c r="Y61" s="315"/>
      <c r="Z61" s="315"/>
      <c r="AA61" s="315"/>
      <c r="AB61" s="315"/>
      <c r="AC61" s="315"/>
      <c r="AD61" s="315"/>
      <c r="AE61" s="315"/>
      <c r="AF61" s="315"/>
      <c r="AG61" s="315"/>
      <c r="AH61" s="315"/>
      <c r="AI61" s="315"/>
      <c r="AJ61" s="315"/>
      <c r="AK61" s="315"/>
      <c r="AL61" s="315"/>
      <c r="AM61" s="315"/>
      <c r="AN61" s="315"/>
      <c r="AO61" s="315"/>
      <c r="AP61" s="315"/>
      <c r="AQ61" s="315"/>
      <c r="AR61" s="315"/>
      <c r="AS61" s="315"/>
      <c r="AT61" s="315"/>
      <c r="AU61" s="315"/>
      <c r="AV61" s="315"/>
      <c r="AW61" s="315"/>
      <c r="AX61" s="315"/>
      <c r="AY61" s="315"/>
      <c r="AZ61" s="315"/>
      <c r="BA61" s="315"/>
      <c r="BB61" s="315"/>
      <c r="BC61" s="315"/>
      <c r="BD61" s="315"/>
      <c r="BE61" s="315"/>
      <c r="BF61" s="315"/>
      <c r="BG61" s="315"/>
      <c r="BH61" s="315"/>
      <c r="BI61" s="315"/>
      <c r="BJ61" s="315"/>
      <c r="BK61" s="315"/>
      <c r="BL61" s="315"/>
      <c r="BM61" s="315"/>
      <c r="BN61" s="315"/>
      <c r="BO61" s="315"/>
      <c r="BP61" s="315"/>
      <c r="BQ61" s="315"/>
      <c r="BR61" s="315"/>
      <c r="BS61" s="315"/>
      <c r="BT61" s="315"/>
      <c r="BU61" s="315"/>
      <c r="BV61" s="315"/>
      <c r="BW61" s="315"/>
      <c r="BX61" s="315"/>
      <c r="BY61" s="315"/>
      <c r="BZ61" s="315"/>
      <c r="CA61" s="315"/>
      <c r="CB61" s="315"/>
      <c r="CC61" s="315"/>
      <c r="CD61" s="315"/>
      <c r="CE61" s="315"/>
      <c r="CF61" s="315"/>
      <c r="CG61" s="315"/>
      <c r="CH61" s="315"/>
      <c r="CI61" s="315"/>
      <c r="CJ61" s="315"/>
      <c r="CK61" s="315"/>
    </row>
    <row r="62" spans="1:89" s="76" customFormat="1">
      <c r="A62" s="145" t="s">
        <v>359</v>
      </c>
      <c r="B62" s="194">
        <v>365</v>
      </c>
      <c r="C62" s="194">
        <v>365</v>
      </c>
      <c r="D62" s="194">
        <v>365</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5" t="s">
        <v>350</v>
      </c>
      <c r="B63" s="194">
        <f t="shared" ref="B63:D63" si="37">B49</f>
        <v>73638872388.029999</v>
      </c>
      <c r="C63" s="194">
        <f t="shared" si="37"/>
        <v>58217861314.169998</v>
      </c>
      <c r="D63" s="194">
        <f t="shared" si="37"/>
        <v>38862189993.839996</v>
      </c>
      <c r="E63" s="76">
        <f>E49</f>
        <v>32659583725.279999</v>
      </c>
      <c r="F63" s="76">
        <f t="shared" ref="F63:BQ63" si="38">F49</f>
        <v>31573928530.939999</v>
      </c>
      <c r="G63" s="76">
        <f t="shared" si="38"/>
        <v>30921801316.599998</v>
      </c>
      <c r="H63" s="76">
        <f t="shared" si="38"/>
        <v>26455335152.990002</v>
      </c>
      <c r="I63" s="76">
        <f t="shared" si="38"/>
        <v>18402355207.299999</v>
      </c>
      <c r="J63" s="76">
        <f t="shared" si="38"/>
        <v>11633283740.18</v>
      </c>
      <c r="K63" s="76">
        <f t="shared" si="38"/>
        <v>9669999065.3899994</v>
      </c>
      <c r="L63" s="76">
        <f t="shared" si="38"/>
        <v>8241685564.1099997</v>
      </c>
      <c r="M63" s="76">
        <f t="shared" si="38"/>
        <v>7237430747.1199999</v>
      </c>
      <c r="N63" s="76">
        <f t="shared" si="38"/>
        <v>4896186901.21</v>
      </c>
      <c r="O63" s="76">
        <f t="shared" si="38"/>
        <v>3930515237.6100001</v>
      </c>
      <c r="P63" s="76">
        <f t="shared" si="38"/>
        <v>3009793519.9200001</v>
      </c>
      <c r="Q63" s="76">
        <f t="shared" si="38"/>
        <v>2401017934.9299998</v>
      </c>
      <c r="R63" s="76">
        <f t="shared" si="38"/>
        <v>1838129976.3399999</v>
      </c>
      <c r="S63" s="76">
        <f t="shared" si="38"/>
        <v>1619202408.97</v>
      </c>
      <c r="T63" s="76">
        <f t="shared" si="38"/>
        <v>0</v>
      </c>
      <c r="U63" s="76">
        <f t="shared" si="38"/>
        <v>0</v>
      </c>
      <c r="V63" s="76">
        <f t="shared" si="38"/>
        <v>0</v>
      </c>
      <c r="W63" s="76">
        <f t="shared" si="38"/>
        <v>0</v>
      </c>
      <c r="X63" s="76">
        <f t="shared" si="38"/>
        <v>0</v>
      </c>
      <c r="Y63" s="76">
        <f t="shared" si="38"/>
        <v>0</v>
      </c>
      <c r="Z63" s="76">
        <f t="shared" si="38"/>
        <v>0</v>
      </c>
      <c r="AA63" s="76">
        <f t="shared" si="38"/>
        <v>0</v>
      </c>
      <c r="AB63" s="76">
        <f t="shared" si="38"/>
        <v>0</v>
      </c>
      <c r="AC63" s="76">
        <f t="shared" si="38"/>
        <v>0</v>
      </c>
      <c r="AD63" s="76">
        <f t="shared" si="38"/>
        <v>0</v>
      </c>
      <c r="AE63" s="76">
        <f t="shared" si="38"/>
        <v>0</v>
      </c>
      <c r="AF63" s="76">
        <f t="shared" si="38"/>
        <v>0</v>
      </c>
      <c r="AG63" s="76">
        <f t="shared" si="38"/>
        <v>0</v>
      </c>
      <c r="AH63" s="76">
        <f t="shared" si="38"/>
        <v>0</v>
      </c>
      <c r="AI63" s="76">
        <f t="shared" si="38"/>
        <v>0</v>
      </c>
      <c r="AJ63" s="76">
        <f t="shared" si="38"/>
        <v>0</v>
      </c>
      <c r="AK63" s="76">
        <f t="shared" si="38"/>
        <v>0</v>
      </c>
      <c r="AL63" s="76">
        <f t="shared" si="38"/>
        <v>0</v>
      </c>
      <c r="AM63" s="76">
        <f t="shared" si="38"/>
        <v>0</v>
      </c>
      <c r="AN63" s="76">
        <f t="shared" si="38"/>
        <v>0</v>
      </c>
      <c r="AO63" s="76">
        <f t="shared" si="38"/>
        <v>0</v>
      </c>
      <c r="AP63" s="76">
        <f t="shared" si="38"/>
        <v>0</v>
      </c>
      <c r="AQ63" s="76">
        <f t="shared" si="38"/>
        <v>0</v>
      </c>
      <c r="AR63" s="76">
        <f t="shared" si="38"/>
        <v>0</v>
      </c>
      <c r="AS63" s="76">
        <f t="shared" si="38"/>
        <v>0</v>
      </c>
      <c r="AT63" s="76">
        <f t="shared" si="38"/>
        <v>0</v>
      </c>
      <c r="AU63" s="76">
        <f t="shared" si="38"/>
        <v>0</v>
      </c>
      <c r="AV63" s="76">
        <f t="shared" si="38"/>
        <v>0</v>
      </c>
      <c r="AW63" s="76">
        <f t="shared" si="38"/>
        <v>0</v>
      </c>
      <c r="AX63" s="76">
        <f t="shared" si="38"/>
        <v>0</v>
      </c>
      <c r="AY63" s="76">
        <f t="shared" si="38"/>
        <v>0</v>
      </c>
      <c r="AZ63" s="76">
        <f t="shared" si="38"/>
        <v>0</v>
      </c>
      <c r="BA63" s="76">
        <f t="shared" si="38"/>
        <v>0</v>
      </c>
      <c r="BB63" s="76">
        <f t="shared" si="38"/>
        <v>0</v>
      </c>
      <c r="BC63" s="76">
        <f t="shared" si="38"/>
        <v>0</v>
      </c>
      <c r="BD63" s="76">
        <f t="shared" si="38"/>
        <v>0</v>
      </c>
      <c r="BE63" s="76">
        <f t="shared" si="38"/>
        <v>0</v>
      </c>
      <c r="BF63" s="76">
        <f t="shared" si="38"/>
        <v>0</v>
      </c>
      <c r="BG63" s="76">
        <f t="shared" si="38"/>
        <v>0</v>
      </c>
      <c r="BH63" s="76">
        <f t="shared" si="38"/>
        <v>0</v>
      </c>
      <c r="BI63" s="76">
        <f t="shared" si="38"/>
        <v>0</v>
      </c>
      <c r="BJ63" s="76">
        <f t="shared" si="38"/>
        <v>0</v>
      </c>
      <c r="BK63" s="76">
        <f t="shared" si="38"/>
        <v>0</v>
      </c>
      <c r="BL63" s="76">
        <f t="shared" si="38"/>
        <v>0</v>
      </c>
      <c r="BM63" s="76">
        <f t="shared" si="38"/>
        <v>0</v>
      </c>
      <c r="BN63" s="76">
        <f t="shared" si="38"/>
        <v>0</v>
      </c>
      <c r="BO63" s="76">
        <f t="shared" si="38"/>
        <v>0</v>
      </c>
      <c r="BP63" s="76">
        <f t="shared" si="38"/>
        <v>0</v>
      </c>
      <c r="BQ63" s="76">
        <f t="shared" si="38"/>
        <v>0</v>
      </c>
      <c r="BR63" s="76">
        <f t="shared" ref="BR63:CJ63" si="39">BR49</f>
        <v>0</v>
      </c>
      <c r="BS63" s="76">
        <f t="shared" si="39"/>
        <v>0</v>
      </c>
      <c r="BT63" s="76">
        <f t="shared" si="39"/>
        <v>0</v>
      </c>
      <c r="BU63" s="76">
        <f t="shared" si="39"/>
        <v>0</v>
      </c>
      <c r="BV63" s="76">
        <f t="shared" si="39"/>
        <v>0</v>
      </c>
      <c r="BW63" s="76">
        <f t="shared" si="39"/>
        <v>0</v>
      </c>
      <c r="BX63" s="76">
        <f t="shared" si="39"/>
        <v>0</v>
      </c>
      <c r="BY63" s="76">
        <f t="shared" si="39"/>
        <v>0</v>
      </c>
      <c r="BZ63" s="76">
        <f t="shared" si="39"/>
        <v>0</v>
      </c>
      <c r="CA63" s="76">
        <f t="shared" si="39"/>
        <v>0</v>
      </c>
      <c r="CB63" s="76">
        <f t="shared" si="39"/>
        <v>0</v>
      </c>
      <c r="CC63" s="76">
        <f t="shared" si="39"/>
        <v>0</v>
      </c>
      <c r="CD63" s="76">
        <f t="shared" si="39"/>
        <v>0</v>
      </c>
      <c r="CE63" s="76">
        <f t="shared" si="39"/>
        <v>0</v>
      </c>
      <c r="CF63" s="76">
        <f t="shared" si="39"/>
        <v>0</v>
      </c>
      <c r="CG63" s="76">
        <f t="shared" si="39"/>
        <v>0</v>
      </c>
      <c r="CH63" s="76">
        <f t="shared" si="39"/>
        <v>0</v>
      </c>
      <c r="CI63" s="76">
        <f t="shared" si="39"/>
        <v>0</v>
      </c>
      <c r="CJ63" s="76">
        <f t="shared" si="39"/>
        <v>0</v>
      </c>
    </row>
    <row r="64" spans="1:89" s="76" customFormat="1">
      <c r="A64" s="145" t="s">
        <v>360</v>
      </c>
      <c r="B64" s="194">
        <f>资产资本表!B22+资产资本表!B23-资产资本表!B37</f>
        <v>-13012777103.440001</v>
      </c>
      <c r="C64" s="194">
        <f>资产资本表!C22+资产资本表!C23-资产资本表!C37</f>
        <v>-13207400863.379999</v>
      </c>
      <c r="D64" s="194">
        <f>资产资本表!D22+资产资本表!D23-资产资本表!D37</f>
        <v>-16723455065.009998</v>
      </c>
      <c r="E64" s="76">
        <f>资产资本表!E22+资产资本表!E23-资产资本表!E37</f>
        <v>317584102.67000008</v>
      </c>
      <c r="F64" s="76">
        <f>资产资本表!F22+资产资本表!F23-资产资本表!F37</f>
        <v>375911682.98000002</v>
      </c>
      <c r="G64" s="76">
        <f>资产资本表!G22+资产资本表!G23-资产资本表!G37</f>
        <v>-2748102358.3099999</v>
      </c>
      <c r="H64" s="76">
        <f>资产资本表!H22+资产资本表!H23-资产资本表!H37</f>
        <v>-4869489004.4800005</v>
      </c>
      <c r="I64" s="76">
        <f>资产资本表!I22+资产资本表!I23-资产资本表!I37</f>
        <v>-6772321984.2399998</v>
      </c>
      <c r="J64" s="76">
        <f>资产资本表!J22+资产资本表!J23-资产资本表!J37</f>
        <v>-4532505049.0500002</v>
      </c>
      <c r="K64" s="76">
        <f>资产资本表!K22+资产资本表!K23-资产资本表!K37</f>
        <v>-3114277282.7199998</v>
      </c>
      <c r="L64" s="76">
        <f>资产资本表!L22+资产资本表!L23-资产资本表!L37</f>
        <v>-2730828671.2599998</v>
      </c>
      <c r="M64" s="76">
        <f>资产资本表!M22+资产资本表!M23-资产资本表!M37</f>
        <v>-977834818.91999996</v>
      </c>
      <c r="N64" s="76">
        <f>资产资本表!N22+资产资本表!N23-资产资本表!N37</f>
        <v>-1883046859.3599999</v>
      </c>
      <c r="O64" s="76">
        <f>资产资本表!O22+资产资本表!O23-资产资本表!O37</f>
        <v>-1339847096.5599999</v>
      </c>
      <c r="P64" s="76">
        <f>资产资本表!P22+资产资本表!P23-资产资本表!P37</f>
        <v>-890241455.54999995</v>
      </c>
      <c r="Q64" s="76">
        <f>资产资本表!Q22+资产资本表!Q23-资产资本表!Q37</f>
        <v>-671341953.63</v>
      </c>
      <c r="R64" s="76">
        <f>资产资本表!R22+资产资本表!R23-资产资本表!R37</f>
        <v>-376312821.44</v>
      </c>
      <c r="S64" s="76">
        <f>资产资本表!S22+资产资本表!S23-资产资本表!S37</f>
        <v>-247940116.63</v>
      </c>
      <c r="T64" s="76">
        <f>资产资本表!T22+资产资本表!T23-资产资本表!T37</f>
        <v>0</v>
      </c>
      <c r="U64" s="76">
        <f>资产资本表!U22+资产资本表!U23-资产资本表!U37</f>
        <v>0</v>
      </c>
      <c r="V64" s="76">
        <f>资产资本表!V22+资产资本表!V23-资产资本表!V37</f>
        <v>0</v>
      </c>
      <c r="W64" s="76">
        <f>资产资本表!W22+资产资本表!W23-资产资本表!W37</f>
        <v>0</v>
      </c>
      <c r="X64" s="76">
        <f>资产资本表!X22+资产资本表!X23-资产资本表!X37</f>
        <v>0</v>
      </c>
      <c r="Y64" s="76">
        <f>资产资本表!Y22+资产资本表!Y23-资产资本表!Y37</f>
        <v>0</v>
      </c>
      <c r="Z64" s="76">
        <f>资产资本表!Z22+资产资本表!Z23-资产资本表!Z37</f>
        <v>0</v>
      </c>
      <c r="AA64" s="76">
        <f>资产资本表!AA22+资产资本表!AA23-资产资本表!AA37</f>
        <v>0</v>
      </c>
      <c r="AB64" s="76">
        <f>资产资本表!AB22+资产资本表!AB23-资产资本表!AB37</f>
        <v>0</v>
      </c>
      <c r="AC64" s="76">
        <f>资产资本表!AC22+资产资本表!AC23-资产资本表!AC37</f>
        <v>0</v>
      </c>
      <c r="AD64" s="76">
        <f>资产资本表!AD22+资产资本表!AD23-资产资本表!AD37</f>
        <v>0</v>
      </c>
      <c r="AE64" s="76">
        <f>资产资本表!AE22+资产资本表!AE23-资产资本表!AE37</f>
        <v>0</v>
      </c>
      <c r="AF64" s="76">
        <f>资产资本表!AF22+资产资本表!AF23-资产资本表!AF37</f>
        <v>0</v>
      </c>
      <c r="AG64" s="76">
        <f>资产资本表!AG22+资产资本表!AG23-资产资本表!AG37</f>
        <v>0</v>
      </c>
      <c r="AH64" s="76">
        <f>资产资本表!AH22+资产资本表!AH23-资产资本表!AH37</f>
        <v>0</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c r="A65" s="152" t="s">
        <v>577</v>
      </c>
      <c r="B65" s="153">
        <f t="shared" ref="B65:D65" si="40">B63/(B64+F64)*2</f>
        <v>-11.654610528462751</v>
      </c>
      <c r="C65" s="153">
        <f t="shared" si="40"/>
        <v>-7.2975274430741006</v>
      </c>
      <c r="D65" s="153">
        <f t="shared" si="40"/>
        <v>-3.5995267591834113</v>
      </c>
      <c r="E65" s="153">
        <f>E63/(E64+I64)*2</f>
        <v>-10.119569322414108</v>
      </c>
      <c r="F65" s="153">
        <f t="shared" ref="F65:BQ65" si="41">F63/(F64+J64)*2</f>
        <v>-15.192214272714725</v>
      </c>
      <c r="G65" s="153">
        <f t="shared" si="41"/>
        <v>-10.549231953585027</v>
      </c>
      <c r="H65" s="153">
        <f t="shared" si="41"/>
        <v>-6.9616393107974126</v>
      </c>
      <c r="I65" s="153">
        <f t="shared" si="41"/>
        <v>-4.7488988093238937</v>
      </c>
      <c r="J65" s="153">
        <f t="shared" si="41"/>
        <v>-3.6265886103829028</v>
      </c>
      <c r="K65" s="153">
        <f t="shared" si="41"/>
        <v>-4.3420426741442437</v>
      </c>
      <c r="L65" s="153">
        <f t="shared" si="41"/>
        <v>-4.5520717773950183</v>
      </c>
      <c r="M65" s="153">
        <f t="shared" si="41"/>
        <v>-8.7770224121326859</v>
      </c>
      <c r="N65" s="153">
        <f t="shared" si="41"/>
        <v>-4.3341367404381987</v>
      </c>
      <c r="O65" s="153">
        <f t="shared" si="41"/>
        <v>-4.950934489153946</v>
      </c>
      <c r="P65" s="153">
        <f t="shared" si="41"/>
        <v>-6.7617464928332724</v>
      </c>
      <c r="Q65" s="153">
        <f t="shared" si="41"/>
        <v>-7.15289107718504</v>
      </c>
      <c r="R65" s="153">
        <f t="shared" si="41"/>
        <v>-9.7691594419037067</v>
      </c>
      <c r="S65" s="153">
        <f t="shared" si="41"/>
        <v>-13.061237777719763</v>
      </c>
      <c r="T65" s="153" t="e">
        <f t="shared" si="41"/>
        <v>#DIV/0!</v>
      </c>
      <c r="U65" s="153" t="e">
        <f t="shared" si="41"/>
        <v>#DIV/0!</v>
      </c>
      <c r="V65" s="153" t="e">
        <f t="shared" si="41"/>
        <v>#DIV/0!</v>
      </c>
      <c r="W65" s="153" t="e">
        <f t="shared" si="41"/>
        <v>#DIV/0!</v>
      </c>
      <c r="X65" s="153" t="e">
        <f t="shared" si="41"/>
        <v>#DIV/0!</v>
      </c>
      <c r="Y65" s="153" t="e">
        <f t="shared" si="41"/>
        <v>#DIV/0!</v>
      </c>
      <c r="Z65" s="153" t="e">
        <f t="shared" si="41"/>
        <v>#DIV/0!</v>
      </c>
      <c r="AA65" s="153" t="e">
        <f t="shared" si="41"/>
        <v>#DIV/0!</v>
      </c>
      <c r="AB65" s="153" t="e">
        <f t="shared" si="41"/>
        <v>#DIV/0!</v>
      </c>
      <c r="AC65" s="153" t="e">
        <f t="shared" si="41"/>
        <v>#DIV/0!</v>
      </c>
      <c r="AD65" s="153" t="e">
        <f t="shared" si="41"/>
        <v>#DIV/0!</v>
      </c>
      <c r="AE65" s="153" t="e">
        <f t="shared" si="41"/>
        <v>#DIV/0!</v>
      </c>
      <c r="AF65" s="153" t="e">
        <f t="shared" si="41"/>
        <v>#DIV/0!</v>
      </c>
      <c r="AG65" s="153" t="e">
        <f t="shared" si="41"/>
        <v>#DIV/0!</v>
      </c>
      <c r="AH65" s="153" t="e">
        <f t="shared" si="41"/>
        <v>#DIV/0!</v>
      </c>
      <c r="AI65" s="153" t="e">
        <f t="shared" si="41"/>
        <v>#DIV/0!</v>
      </c>
      <c r="AJ65" s="153" t="e">
        <f t="shared" si="41"/>
        <v>#DIV/0!</v>
      </c>
      <c r="AK65" s="153" t="e">
        <f t="shared" si="41"/>
        <v>#DIV/0!</v>
      </c>
      <c r="AL65" s="153" t="e">
        <f t="shared" si="41"/>
        <v>#DIV/0!</v>
      </c>
      <c r="AM65" s="153" t="e">
        <f t="shared" si="41"/>
        <v>#DIV/0!</v>
      </c>
      <c r="AN65" s="153" t="e">
        <f t="shared" si="41"/>
        <v>#DIV/0!</v>
      </c>
      <c r="AO65" s="153" t="e">
        <f t="shared" si="41"/>
        <v>#DIV/0!</v>
      </c>
      <c r="AP65" s="153" t="e">
        <f t="shared" si="41"/>
        <v>#DIV/0!</v>
      </c>
      <c r="AQ65" s="153" t="e">
        <f t="shared" si="41"/>
        <v>#DIV/0!</v>
      </c>
      <c r="AR65" s="153" t="e">
        <f t="shared" si="41"/>
        <v>#DIV/0!</v>
      </c>
      <c r="AS65" s="153" t="e">
        <f t="shared" si="41"/>
        <v>#DIV/0!</v>
      </c>
      <c r="AT65" s="153" t="e">
        <f t="shared" si="41"/>
        <v>#DIV/0!</v>
      </c>
      <c r="AU65" s="153" t="e">
        <f t="shared" si="41"/>
        <v>#DIV/0!</v>
      </c>
      <c r="AV65" s="153" t="e">
        <f t="shared" si="41"/>
        <v>#DIV/0!</v>
      </c>
      <c r="AW65" s="153" t="e">
        <f t="shared" si="41"/>
        <v>#DIV/0!</v>
      </c>
      <c r="AX65" s="153" t="e">
        <f t="shared" si="41"/>
        <v>#DIV/0!</v>
      </c>
      <c r="AY65" s="153" t="e">
        <f t="shared" si="41"/>
        <v>#DIV/0!</v>
      </c>
      <c r="AZ65" s="153" t="e">
        <f t="shared" si="41"/>
        <v>#DIV/0!</v>
      </c>
      <c r="BA65" s="153" t="e">
        <f t="shared" si="41"/>
        <v>#DIV/0!</v>
      </c>
      <c r="BB65" s="153" t="e">
        <f t="shared" si="41"/>
        <v>#DIV/0!</v>
      </c>
      <c r="BC65" s="153" t="e">
        <f t="shared" si="41"/>
        <v>#DIV/0!</v>
      </c>
      <c r="BD65" s="153" t="e">
        <f t="shared" si="41"/>
        <v>#DIV/0!</v>
      </c>
      <c r="BE65" s="153" t="e">
        <f t="shared" si="41"/>
        <v>#DIV/0!</v>
      </c>
      <c r="BF65" s="153" t="e">
        <f t="shared" si="41"/>
        <v>#DIV/0!</v>
      </c>
      <c r="BG65" s="153" t="e">
        <f t="shared" si="41"/>
        <v>#DIV/0!</v>
      </c>
      <c r="BH65" s="153" t="e">
        <f t="shared" si="41"/>
        <v>#DIV/0!</v>
      </c>
      <c r="BI65" s="153" t="e">
        <f t="shared" si="41"/>
        <v>#DIV/0!</v>
      </c>
      <c r="BJ65" s="153" t="e">
        <f t="shared" si="41"/>
        <v>#DIV/0!</v>
      </c>
      <c r="BK65" s="153" t="e">
        <f t="shared" si="41"/>
        <v>#DIV/0!</v>
      </c>
      <c r="BL65" s="153" t="e">
        <f t="shared" si="41"/>
        <v>#DIV/0!</v>
      </c>
      <c r="BM65" s="153" t="e">
        <f t="shared" si="41"/>
        <v>#DIV/0!</v>
      </c>
      <c r="BN65" s="153" t="e">
        <f t="shared" si="41"/>
        <v>#DIV/0!</v>
      </c>
      <c r="BO65" s="153" t="e">
        <f t="shared" si="41"/>
        <v>#DIV/0!</v>
      </c>
      <c r="BP65" s="153" t="e">
        <f t="shared" si="41"/>
        <v>#DIV/0!</v>
      </c>
      <c r="BQ65" s="153" t="e">
        <f t="shared" si="41"/>
        <v>#DIV/0!</v>
      </c>
      <c r="BR65" s="153" t="e">
        <f t="shared" ref="BR65:CK65" si="42">BR63/(BR64+BV64)*2</f>
        <v>#DIV/0!</v>
      </c>
      <c r="BS65" s="153" t="e">
        <f t="shared" si="42"/>
        <v>#DIV/0!</v>
      </c>
      <c r="BT65" s="153" t="e">
        <f t="shared" si="42"/>
        <v>#DIV/0!</v>
      </c>
      <c r="BU65" s="153" t="e">
        <f t="shared" si="42"/>
        <v>#DIV/0!</v>
      </c>
      <c r="BV65" s="153" t="e">
        <f t="shared" si="42"/>
        <v>#DIV/0!</v>
      </c>
      <c r="BW65" s="153" t="e">
        <f t="shared" si="42"/>
        <v>#DIV/0!</v>
      </c>
      <c r="BX65" s="153" t="e">
        <f t="shared" si="42"/>
        <v>#DIV/0!</v>
      </c>
      <c r="BY65" s="153" t="e">
        <f t="shared" si="42"/>
        <v>#DIV/0!</v>
      </c>
      <c r="BZ65" s="153" t="e">
        <f t="shared" si="42"/>
        <v>#DIV/0!</v>
      </c>
      <c r="CA65" s="153" t="e">
        <f t="shared" si="42"/>
        <v>#DIV/0!</v>
      </c>
      <c r="CB65" s="153" t="e">
        <f t="shared" si="42"/>
        <v>#DIV/0!</v>
      </c>
      <c r="CC65" s="153" t="e">
        <f t="shared" si="42"/>
        <v>#DIV/0!</v>
      </c>
      <c r="CD65" s="153" t="e">
        <f t="shared" si="42"/>
        <v>#DIV/0!</v>
      </c>
      <c r="CE65" s="153" t="e">
        <f t="shared" si="42"/>
        <v>#DIV/0!</v>
      </c>
      <c r="CF65" s="153" t="e">
        <f t="shared" si="42"/>
        <v>#DIV/0!</v>
      </c>
      <c r="CG65" s="153" t="e">
        <f t="shared" si="42"/>
        <v>#DIV/0!</v>
      </c>
      <c r="CH65" s="153" t="e">
        <f t="shared" si="42"/>
        <v>#DIV/0!</v>
      </c>
      <c r="CI65" s="153" t="e">
        <f t="shared" si="42"/>
        <v>#DIV/0!</v>
      </c>
      <c r="CJ65" s="153" t="e">
        <f t="shared" si="42"/>
        <v>#DIV/0!</v>
      </c>
      <c r="CK65" s="153" t="e">
        <f t="shared" si="42"/>
        <v>#DIV/0!</v>
      </c>
    </row>
    <row r="66" spans="1:89" s="83" customFormat="1">
      <c r="A66" s="146" t="s">
        <v>361</v>
      </c>
      <c r="B66" s="83">
        <f t="shared" ref="B66:D66" si="43">B62/B65</f>
        <v>-31.318077863571791</v>
      </c>
      <c r="C66" s="83">
        <f t="shared" si="43"/>
        <v>-50.016941059456009</v>
      </c>
      <c r="D66" s="83">
        <f t="shared" si="43"/>
        <v>-101.40221879689649</v>
      </c>
      <c r="E66" s="83">
        <f>E62/E65</f>
        <v>-36.068728655433155</v>
      </c>
      <c r="F66" s="83">
        <f t="shared" ref="F66:BQ66" si="44">F62/F65</f>
        <v>-24.025464191585382</v>
      </c>
      <c r="G66" s="83">
        <f t="shared" si="44"/>
        <v>-34.599675275502804</v>
      </c>
      <c r="H66" s="83">
        <f t="shared" si="44"/>
        <v>-52.430179689701781</v>
      </c>
      <c r="I66" s="83">
        <f t="shared" si="44"/>
        <v>-76.859923669749762</v>
      </c>
      <c r="J66" s="83">
        <f t="shared" si="44"/>
        <v>-100.64554853423601</v>
      </c>
      <c r="K66" s="83">
        <f t="shared" si="44"/>
        <v>-84.061817764593115</v>
      </c>
      <c r="L66" s="83">
        <f t="shared" si="44"/>
        <v>-80.183269915149694</v>
      </c>
      <c r="M66" s="83">
        <f t="shared" si="44"/>
        <v>-41.585857123419423</v>
      </c>
      <c r="N66" s="83">
        <f t="shared" si="44"/>
        <v>-84.215155602842614</v>
      </c>
      <c r="O66" s="83">
        <f t="shared" si="44"/>
        <v>-73.723455804072657</v>
      </c>
      <c r="P66" s="83">
        <f t="shared" si="44"/>
        <v>-53.980136697946442</v>
      </c>
      <c r="Q66" s="83">
        <f t="shared" si="44"/>
        <v>-51.028317929264858</v>
      </c>
      <c r="R66" s="83">
        <f t="shared" si="44"/>
        <v>-37.362477516169271</v>
      </c>
      <c r="S66" s="83">
        <f t="shared" si="44"/>
        <v>-27.945284069678877</v>
      </c>
      <c r="T66" s="83" t="e">
        <f t="shared" si="44"/>
        <v>#DIV/0!</v>
      </c>
      <c r="U66" s="83" t="e">
        <f t="shared" si="44"/>
        <v>#DIV/0!</v>
      </c>
      <c r="V66" s="83" t="e">
        <f t="shared" si="44"/>
        <v>#DIV/0!</v>
      </c>
      <c r="W66" s="83" t="e">
        <f t="shared" si="44"/>
        <v>#DIV/0!</v>
      </c>
      <c r="X66" s="83" t="e">
        <f t="shared" si="44"/>
        <v>#DIV/0!</v>
      </c>
      <c r="Y66" s="83" t="e">
        <f t="shared" si="44"/>
        <v>#DIV/0!</v>
      </c>
      <c r="Z66" s="83" t="e">
        <f t="shared" si="44"/>
        <v>#DIV/0!</v>
      </c>
      <c r="AA66" s="83" t="e">
        <f t="shared" si="44"/>
        <v>#DIV/0!</v>
      </c>
      <c r="AB66" s="83" t="e">
        <f t="shared" si="44"/>
        <v>#DIV/0!</v>
      </c>
      <c r="AC66" s="83" t="e">
        <f t="shared" si="44"/>
        <v>#DIV/0!</v>
      </c>
      <c r="AD66" s="83" t="e">
        <f t="shared" si="44"/>
        <v>#DIV/0!</v>
      </c>
      <c r="AE66" s="83" t="e">
        <f t="shared" si="44"/>
        <v>#DIV/0!</v>
      </c>
      <c r="AF66" s="83" t="e">
        <f t="shared" si="44"/>
        <v>#DIV/0!</v>
      </c>
      <c r="AG66" s="83" t="e">
        <f t="shared" si="44"/>
        <v>#DIV/0!</v>
      </c>
      <c r="AH66" s="83" t="e">
        <f t="shared" si="44"/>
        <v>#DIV/0!</v>
      </c>
      <c r="AI66" s="83" t="e">
        <f t="shared" si="44"/>
        <v>#DIV/0!</v>
      </c>
      <c r="AJ66" s="83" t="e">
        <f t="shared" si="44"/>
        <v>#DIV/0!</v>
      </c>
      <c r="AK66" s="83" t="e">
        <f t="shared" si="44"/>
        <v>#DIV/0!</v>
      </c>
      <c r="AL66" s="83" t="e">
        <f t="shared" si="44"/>
        <v>#DIV/0!</v>
      </c>
      <c r="AM66" s="83" t="e">
        <f t="shared" si="44"/>
        <v>#DIV/0!</v>
      </c>
      <c r="AN66" s="83" t="e">
        <f t="shared" si="44"/>
        <v>#DIV/0!</v>
      </c>
      <c r="AO66" s="83" t="e">
        <f t="shared" si="44"/>
        <v>#DIV/0!</v>
      </c>
      <c r="AP66" s="83" t="e">
        <f t="shared" si="44"/>
        <v>#DIV/0!</v>
      </c>
      <c r="AQ66" s="83" t="e">
        <f t="shared" si="44"/>
        <v>#DIV/0!</v>
      </c>
      <c r="AR66" s="83" t="e">
        <f t="shared" si="44"/>
        <v>#DIV/0!</v>
      </c>
      <c r="AS66" s="83" t="e">
        <f t="shared" si="44"/>
        <v>#DIV/0!</v>
      </c>
      <c r="AT66" s="83" t="e">
        <f t="shared" si="44"/>
        <v>#DIV/0!</v>
      </c>
      <c r="AU66" s="83" t="e">
        <f t="shared" si="44"/>
        <v>#DIV/0!</v>
      </c>
      <c r="AV66" s="83" t="e">
        <f t="shared" si="44"/>
        <v>#DIV/0!</v>
      </c>
      <c r="AW66" s="83" t="e">
        <f t="shared" si="44"/>
        <v>#DIV/0!</v>
      </c>
      <c r="AX66" s="83" t="e">
        <f t="shared" si="44"/>
        <v>#DIV/0!</v>
      </c>
      <c r="AY66" s="83" t="e">
        <f t="shared" si="44"/>
        <v>#DIV/0!</v>
      </c>
      <c r="AZ66" s="83" t="e">
        <f t="shared" si="44"/>
        <v>#DIV/0!</v>
      </c>
      <c r="BA66" s="83" t="e">
        <f t="shared" si="44"/>
        <v>#DIV/0!</v>
      </c>
      <c r="BB66" s="83" t="e">
        <f t="shared" si="44"/>
        <v>#DIV/0!</v>
      </c>
      <c r="BC66" s="83" t="e">
        <f t="shared" si="44"/>
        <v>#DIV/0!</v>
      </c>
      <c r="BD66" s="83" t="e">
        <f t="shared" si="44"/>
        <v>#DIV/0!</v>
      </c>
      <c r="BE66" s="83" t="e">
        <f t="shared" si="44"/>
        <v>#DIV/0!</v>
      </c>
      <c r="BF66" s="83" t="e">
        <f t="shared" si="44"/>
        <v>#DIV/0!</v>
      </c>
      <c r="BG66" s="83" t="e">
        <f t="shared" si="44"/>
        <v>#DIV/0!</v>
      </c>
      <c r="BH66" s="83" t="e">
        <f t="shared" si="44"/>
        <v>#DIV/0!</v>
      </c>
      <c r="BI66" s="83" t="e">
        <f t="shared" si="44"/>
        <v>#DIV/0!</v>
      </c>
      <c r="BJ66" s="83" t="e">
        <f t="shared" si="44"/>
        <v>#DIV/0!</v>
      </c>
      <c r="BK66" s="83" t="e">
        <f t="shared" si="44"/>
        <v>#DIV/0!</v>
      </c>
      <c r="BL66" s="83" t="e">
        <f t="shared" si="44"/>
        <v>#DIV/0!</v>
      </c>
      <c r="BM66" s="83" t="e">
        <f t="shared" si="44"/>
        <v>#DIV/0!</v>
      </c>
      <c r="BN66" s="83" t="e">
        <f t="shared" si="44"/>
        <v>#DIV/0!</v>
      </c>
      <c r="BO66" s="83" t="e">
        <f t="shared" si="44"/>
        <v>#DIV/0!</v>
      </c>
      <c r="BP66" s="83" t="e">
        <f t="shared" si="44"/>
        <v>#DIV/0!</v>
      </c>
      <c r="BQ66" s="83" t="e">
        <f t="shared" si="44"/>
        <v>#DIV/0!</v>
      </c>
      <c r="BR66" s="83" t="e">
        <f t="shared" ref="BR66:CJ66" si="45">BR62/BR65</f>
        <v>#DIV/0!</v>
      </c>
      <c r="BS66" s="83" t="e">
        <f t="shared" si="45"/>
        <v>#DIV/0!</v>
      </c>
      <c r="BT66" s="83" t="e">
        <f t="shared" si="45"/>
        <v>#DIV/0!</v>
      </c>
      <c r="BU66" s="83" t="e">
        <f t="shared" si="45"/>
        <v>#DIV/0!</v>
      </c>
      <c r="BV66" s="83" t="e">
        <f t="shared" si="45"/>
        <v>#DIV/0!</v>
      </c>
      <c r="BW66" s="83" t="e">
        <f t="shared" si="45"/>
        <v>#DIV/0!</v>
      </c>
      <c r="BX66" s="83" t="e">
        <f t="shared" si="45"/>
        <v>#DIV/0!</v>
      </c>
      <c r="BY66" s="83" t="e">
        <f t="shared" si="45"/>
        <v>#DIV/0!</v>
      </c>
      <c r="BZ66" s="83" t="e">
        <f t="shared" si="45"/>
        <v>#DIV/0!</v>
      </c>
      <c r="CA66" s="83" t="e">
        <f t="shared" si="45"/>
        <v>#DIV/0!</v>
      </c>
      <c r="CB66" s="83" t="e">
        <f t="shared" si="45"/>
        <v>#DIV/0!</v>
      </c>
      <c r="CC66" s="83" t="e">
        <f t="shared" si="45"/>
        <v>#DIV/0!</v>
      </c>
      <c r="CD66" s="83" t="e">
        <f t="shared" si="45"/>
        <v>#DIV/0!</v>
      </c>
      <c r="CE66" s="83" t="e">
        <f t="shared" si="45"/>
        <v>#DIV/0!</v>
      </c>
      <c r="CF66" s="83" t="e">
        <f t="shared" si="45"/>
        <v>#DIV/0!</v>
      </c>
      <c r="CG66" s="83" t="e">
        <f t="shared" si="45"/>
        <v>#DIV/0!</v>
      </c>
      <c r="CH66" s="83" t="e">
        <f t="shared" si="45"/>
        <v>#DIV/0!</v>
      </c>
      <c r="CI66" s="83" t="e">
        <f t="shared" si="45"/>
        <v>#DIV/0!</v>
      </c>
      <c r="CJ66" s="83" t="e">
        <f t="shared" si="45"/>
        <v>#DIV/0!</v>
      </c>
    </row>
    <row r="67" spans="1:89" s="76" customFormat="1">
      <c r="A67" s="145" t="s">
        <v>362</v>
      </c>
      <c r="B67" s="194">
        <f>股权价值增加表!B5</f>
        <v>6522921833.7700005</v>
      </c>
      <c r="C67" s="194">
        <f>股权价值增加表!C5</f>
        <v>5940436371.9700003</v>
      </c>
      <c r="D67" s="194">
        <f>股权价值增加表!D5</f>
        <v>3410104085.9699998</v>
      </c>
      <c r="E67" s="76">
        <f>股权价值增加表!E5</f>
        <v>2538337449.0599999</v>
      </c>
      <c r="F67" s="76">
        <f>股权价值增加表!F5</f>
        <v>2338550532.3299999</v>
      </c>
      <c r="G67" s="76">
        <f>股权价值增加表!G5</f>
        <v>2193920307.9899998</v>
      </c>
      <c r="H67" s="76">
        <f>股权价值增加表!H5</f>
        <v>2044306468.76</v>
      </c>
      <c r="I67" s="76">
        <f>股权价值增加表!I5</f>
        <v>1551233976.0599999</v>
      </c>
      <c r="J67" s="76">
        <f>股权价值增加表!J5</f>
        <v>1052931591.61</v>
      </c>
      <c r="K67" s="76">
        <f>股权价值增加表!K5</f>
        <v>950672855.26999998</v>
      </c>
      <c r="L67" s="76">
        <f>股权价值增加表!L5</f>
        <v>799713319.24000001</v>
      </c>
      <c r="M67" s="76">
        <f>股权价值增加表!M5</f>
        <v>871643568.33000004</v>
      </c>
      <c r="N67" s="76">
        <f>股权价值增加表!N5</f>
        <v>791179840.49000001</v>
      </c>
      <c r="O67" s="76">
        <f>股权价值增加表!O5</f>
        <v>687106816.67999995</v>
      </c>
      <c r="P67" s="76">
        <f>股权价值增加表!P5</f>
        <v>535056248.94999999</v>
      </c>
      <c r="Q67" s="76">
        <f>股权价值增加表!Q5</f>
        <v>477388129.86000001</v>
      </c>
      <c r="R67" s="76">
        <f>股权价值增加表!R5</f>
        <v>340556444.79000002</v>
      </c>
      <c r="S67" s="76">
        <f>股权价值增加表!S5</f>
        <v>287538468.11000001</v>
      </c>
      <c r="T67" s="76">
        <f>股权价值增加表!T5</f>
        <v>0</v>
      </c>
      <c r="U67" s="76">
        <f>股权价值增加表!U5</f>
        <v>0</v>
      </c>
      <c r="V67" s="76">
        <f>股权价值增加表!V5</f>
        <v>0</v>
      </c>
      <c r="W67" s="76">
        <f>股权价值增加表!W5</f>
        <v>0</v>
      </c>
      <c r="X67" s="76">
        <f>股权价值增加表!X5</f>
        <v>0</v>
      </c>
      <c r="Y67" s="76">
        <f>股权价值增加表!Y5</f>
        <v>0</v>
      </c>
      <c r="Z67" s="76">
        <f>股权价值增加表!Z5</f>
        <v>0</v>
      </c>
      <c r="AA67" s="76">
        <f>股权价值增加表!AA5</f>
        <v>0</v>
      </c>
      <c r="AB67" s="76">
        <f>股权价值增加表!AB5</f>
        <v>0</v>
      </c>
      <c r="AC67" s="76">
        <f>股权价值增加表!AC5</f>
        <v>0</v>
      </c>
      <c r="AD67" s="76">
        <f>股权价值增加表!AD5</f>
        <v>0</v>
      </c>
      <c r="AE67" s="76">
        <f>股权价值增加表!AE5</f>
        <v>0</v>
      </c>
      <c r="AF67" s="76">
        <f>股权价值增加表!AF5</f>
        <v>0</v>
      </c>
      <c r="AG67" s="76">
        <f>股权价值增加表!AG5</f>
        <v>0</v>
      </c>
      <c r="AH67" s="76">
        <f>股权价值增加表!AH5</f>
        <v>0</v>
      </c>
      <c r="AI67" s="76">
        <f>股权价值增加表!AI5</f>
        <v>0</v>
      </c>
      <c r="AJ67" s="76">
        <f>股权价值增加表!AJ5</f>
        <v>0</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5" t="s">
        <v>363</v>
      </c>
      <c r="B68" s="194">
        <f>资产资本表!B26</f>
        <v>23506950842.220001</v>
      </c>
      <c r="C68" s="194">
        <f>资产资本表!C26</f>
        <v>22057481376.459999</v>
      </c>
      <c r="D68" s="194">
        <f>资产资本表!D26</f>
        <v>20622251825.549999</v>
      </c>
      <c r="E68" s="76">
        <f>资产资本表!E26</f>
        <v>18013297022.700001</v>
      </c>
      <c r="F68" s="76">
        <f>资产资本表!F26</f>
        <v>14982364367.85</v>
      </c>
      <c r="G68" s="76">
        <f>资产资本表!G26</f>
        <v>11836810239.030001</v>
      </c>
      <c r="H68" s="76">
        <f>资产资本表!H26</f>
        <v>9665727593.4200001</v>
      </c>
      <c r="I68" s="76">
        <f>资产资本表!I26</f>
        <v>7187117552.8599997</v>
      </c>
      <c r="J68" s="76">
        <f>资产资本表!J26</f>
        <v>5574126083.4200001</v>
      </c>
      <c r="K68" s="76">
        <f>资产资本表!K26</f>
        <v>4192246440.3600001</v>
      </c>
      <c r="L68" s="76">
        <f>资产资本表!L26</f>
        <v>3114567813.3299999</v>
      </c>
      <c r="M68" s="76">
        <f>资产资本表!M26</f>
        <v>2304818947.9200001</v>
      </c>
      <c r="N68" s="76">
        <f>资产资本表!N26</f>
        <v>1974710283.3499999</v>
      </c>
      <c r="O68" s="76">
        <f>资产资本表!O26</f>
        <v>1860549625.24</v>
      </c>
      <c r="P68" s="76">
        <f>资产资本表!P26</f>
        <v>1693741195.1099999</v>
      </c>
      <c r="Q68" s="76">
        <f>资产资本表!Q26</f>
        <v>1215006621.05</v>
      </c>
      <c r="R68" s="76">
        <f>资产资本表!R26</f>
        <v>1076612588.52</v>
      </c>
      <c r="S68" s="76">
        <f>资产资本表!S26</f>
        <v>786368826.80999994</v>
      </c>
      <c r="T68" s="76">
        <f>资产资本表!T26</f>
        <v>0</v>
      </c>
      <c r="U68" s="76">
        <f>资产资本表!U26</f>
        <v>0</v>
      </c>
      <c r="V68" s="76">
        <f>资产资本表!V26</f>
        <v>0</v>
      </c>
      <c r="W68" s="76">
        <f>资产资本表!W26</f>
        <v>0</v>
      </c>
      <c r="X68" s="76">
        <f>资产资本表!X26</f>
        <v>0</v>
      </c>
      <c r="Y68" s="76">
        <f>资产资本表!Y26</f>
        <v>0</v>
      </c>
      <c r="Z68" s="76">
        <f>资产资本表!Z26</f>
        <v>0</v>
      </c>
      <c r="AA68" s="76">
        <f>资产资本表!AA26</f>
        <v>0</v>
      </c>
      <c r="AB68" s="76">
        <f>资产资本表!AB26</f>
        <v>0</v>
      </c>
      <c r="AC68" s="76">
        <f>资产资本表!AC26</f>
        <v>0</v>
      </c>
      <c r="AD68" s="76">
        <f>资产资本表!AD26</f>
        <v>0</v>
      </c>
      <c r="AE68" s="76">
        <f>资产资本表!AE26</f>
        <v>0</v>
      </c>
      <c r="AF68" s="76">
        <f>资产资本表!AF26</f>
        <v>0</v>
      </c>
      <c r="AG68" s="76">
        <f>资产资本表!AG26</f>
        <v>0</v>
      </c>
      <c r="AH68" s="76">
        <f>资产资本表!AH26</f>
        <v>0</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c r="A69" s="152" t="s">
        <v>364</v>
      </c>
      <c r="B69" s="153">
        <f t="shared" ref="B69:D69" si="46">B67/(B68+F68)*2</f>
        <v>0.33894714926304542</v>
      </c>
      <c r="C69" s="153">
        <f t="shared" si="46"/>
        <v>0.35052724744099195</v>
      </c>
      <c r="D69" s="153">
        <f t="shared" si="46"/>
        <v>0.22517871125032393</v>
      </c>
      <c r="E69" s="153">
        <f>E67/(E68+I68)*2</f>
        <v>0.20145203892968838</v>
      </c>
      <c r="F69" s="153">
        <f t="shared" ref="F69:BQ69" si="47">F67/(F68+J68)*2</f>
        <v>0.22752429826225731</v>
      </c>
      <c r="G69" s="153">
        <f t="shared" si="47"/>
        <v>0.2737429097510049</v>
      </c>
      <c r="H69" s="153">
        <f t="shared" si="47"/>
        <v>0.31991537029422429</v>
      </c>
      <c r="I69" s="153">
        <f t="shared" si="47"/>
        <v>0.32685300326914901</v>
      </c>
      <c r="J69" s="153">
        <f t="shared" si="47"/>
        <v>0.27896527105687652</v>
      </c>
      <c r="K69" s="153">
        <f t="shared" si="47"/>
        <v>0.31412684153460302</v>
      </c>
      <c r="L69" s="153">
        <f t="shared" si="47"/>
        <v>0.33263807206910678</v>
      </c>
      <c r="M69" s="153">
        <f t="shared" si="47"/>
        <v>0.49527657052907165</v>
      </c>
      <c r="N69" s="153">
        <f t="shared" si="47"/>
        <v>0.5185815292008914</v>
      </c>
      <c r="O69" s="153">
        <f t="shared" si="47"/>
        <v>0.51917490404575606</v>
      </c>
      <c r="P69" s="153">
        <f t="shared" si="47"/>
        <v>0.63180402117485346</v>
      </c>
      <c r="Q69" s="153">
        <f t="shared" si="47"/>
        <v>0.78581979980890082</v>
      </c>
      <c r="R69" s="153">
        <f t="shared" si="47"/>
        <v>0.63264436701071247</v>
      </c>
      <c r="S69" s="153">
        <f t="shared" si="47"/>
        <v>0.73130688375945552</v>
      </c>
      <c r="T69" s="153" t="e">
        <f t="shared" si="47"/>
        <v>#DIV/0!</v>
      </c>
      <c r="U69" s="153" t="e">
        <f t="shared" si="47"/>
        <v>#DIV/0!</v>
      </c>
      <c r="V69" s="153" t="e">
        <f t="shared" si="47"/>
        <v>#DIV/0!</v>
      </c>
      <c r="W69" s="153" t="e">
        <f t="shared" si="47"/>
        <v>#DIV/0!</v>
      </c>
      <c r="X69" s="153" t="e">
        <f t="shared" si="47"/>
        <v>#DIV/0!</v>
      </c>
      <c r="Y69" s="153" t="e">
        <f t="shared" si="47"/>
        <v>#DIV/0!</v>
      </c>
      <c r="Z69" s="153" t="e">
        <f t="shared" si="47"/>
        <v>#DIV/0!</v>
      </c>
      <c r="AA69" s="153" t="e">
        <f t="shared" si="47"/>
        <v>#DIV/0!</v>
      </c>
      <c r="AB69" s="153" t="e">
        <f t="shared" si="47"/>
        <v>#DIV/0!</v>
      </c>
      <c r="AC69" s="153" t="e">
        <f t="shared" si="47"/>
        <v>#DIV/0!</v>
      </c>
      <c r="AD69" s="153" t="e">
        <f t="shared" si="47"/>
        <v>#DIV/0!</v>
      </c>
      <c r="AE69" s="153" t="e">
        <f t="shared" si="47"/>
        <v>#DIV/0!</v>
      </c>
      <c r="AF69" s="153" t="e">
        <f t="shared" si="47"/>
        <v>#DIV/0!</v>
      </c>
      <c r="AG69" s="153" t="e">
        <f t="shared" si="47"/>
        <v>#DIV/0!</v>
      </c>
      <c r="AH69" s="153" t="e">
        <f t="shared" si="47"/>
        <v>#DIV/0!</v>
      </c>
      <c r="AI69" s="153" t="e">
        <f t="shared" si="47"/>
        <v>#DIV/0!</v>
      </c>
      <c r="AJ69" s="153" t="e">
        <f t="shared" si="47"/>
        <v>#DIV/0!</v>
      </c>
      <c r="AK69" s="153" t="e">
        <f t="shared" si="47"/>
        <v>#DIV/0!</v>
      </c>
      <c r="AL69" s="153" t="e">
        <f t="shared" si="47"/>
        <v>#DIV/0!</v>
      </c>
      <c r="AM69" s="153" t="e">
        <f t="shared" si="47"/>
        <v>#DIV/0!</v>
      </c>
      <c r="AN69" s="153" t="e">
        <f t="shared" si="47"/>
        <v>#DIV/0!</v>
      </c>
      <c r="AO69" s="153" t="e">
        <f t="shared" si="47"/>
        <v>#DIV/0!</v>
      </c>
      <c r="AP69" s="153" t="e">
        <f t="shared" si="47"/>
        <v>#DIV/0!</v>
      </c>
      <c r="AQ69" s="153" t="e">
        <f t="shared" si="47"/>
        <v>#DIV/0!</v>
      </c>
      <c r="AR69" s="153" t="e">
        <f t="shared" si="47"/>
        <v>#DIV/0!</v>
      </c>
      <c r="AS69" s="153" t="e">
        <f t="shared" si="47"/>
        <v>#DIV/0!</v>
      </c>
      <c r="AT69" s="153" t="e">
        <f t="shared" si="47"/>
        <v>#DIV/0!</v>
      </c>
      <c r="AU69" s="153" t="e">
        <f t="shared" si="47"/>
        <v>#DIV/0!</v>
      </c>
      <c r="AV69" s="153" t="e">
        <f t="shared" si="47"/>
        <v>#DIV/0!</v>
      </c>
      <c r="AW69" s="153" t="e">
        <f t="shared" si="47"/>
        <v>#DIV/0!</v>
      </c>
      <c r="AX69" s="153" t="e">
        <f t="shared" si="47"/>
        <v>#DIV/0!</v>
      </c>
      <c r="AY69" s="153" t="e">
        <f t="shared" si="47"/>
        <v>#DIV/0!</v>
      </c>
      <c r="AZ69" s="153" t="e">
        <f t="shared" si="47"/>
        <v>#DIV/0!</v>
      </c>
      <c r="BA69" s="153" t="e">
        <f t="shared" si="47"/>
        <v>#DIV/0!</v>
      </c>
      <c r="BB69" s="153" t="e">
        <f t="shared" si="47"/>
        <v>#DIV/0!</v>
      </c>
      <c r="BC69" s="153" t="e">
        <f t="shared" si="47"/>
        <v>#DIV/0!</v>
      </c>
      <c r="BD69" s="153" t="e">
        <f t="shared" si="47"/>
        <v>#DIV/0!</v>
      </c>
      <c r="BE69" s="153" t="e">
        <f t="shared" si="47"/>
        <v>#DIV/0!</v>
      </c>
      <c r="BF69" s="153" t="e">
        <f t="shared" si="47"/>
        <v>#DIV/0!</v>
      </c>
      <c r="BG69" s="153" t="e">
        <f t="shared" si="47"/>
        <v>#DIV/0!</v>
      </c>
      <c r="BH69" s="153" t="e">
        <f t="shared" si="47"/>
        <v>#DIV/0!</v>
      </c>
      <c r="BI69" s="153" t="e">
        <f t="shared" si="47"/>
        <v>#DIV/0!</v>
      </c>
      <c r="BJ69" s="153" t="e">
        <f t="shared" si="47"/>
        <v>#DIV/0!</v>
      </c>
      <c r="BK69" s="153" t="e">
        <f t="shared" si="47"/>
        <v>#DIV/0!</v>
      </c>
      <c r="BL69" s="153" t="e">
        <f t="shared" si="47"/>
        <v>#DIV/0!</v>
      </c>
      <c r="BM69" s="153" t="e">
        <f t="shared" si="47"/>
        <v>#DIV/0!</v>
      </c>
      <c r="BN69" s="153" t="e">
        <f t="shared" si="47"/>
        <v>#DIV/0!</v>
      </c>
      <c r="BO69" s="153" t="e">
        <f t="shared" si="47"/>
        <v>#DIV/0!</v>
      </c>
      <c r="BP69" s="153" t="e">
        <f t="shared" si="47"/>
        <v>#DIV/0!</v>
      </c>
      <c r="BQ69" s="153" t="e">
        <f t="shared" si="47"/>
        <v>#DIV/0!</v>
      </c>
      <c r="BR69" s="153" t="e">
        <f t="shared" ref="BR69:CJ69" si="48">BR67/(BR68+BV68)*2</f>
        <v>#DIV/0!</v>
      </c>
      <c r="BS69" s="153" t="e">
        <f t="shared" si="48"/>
        <v>#DIV/0!</v>
      </c>
      <c r="BT69" s="153" t="e">
        <f t="shared" si="48"/>
        <v>#DIV/0!</v>
      </c>
      <c r="BU69" s="153" t="e">
        <f t="shared" si="48"/>
        <v>#DIV/0!</v>
      </c>
      <c r="BV69" s="153" t="e">
        <f t="shared" si="48"/>
        <v>#DIV/0!</v>
      </c>
      <c r="BW69" s="153" t="e">
        <f t="shared" si="48"/>
        <v>#DIV/0!</v>
      </c>
      <c r="BX69" s="153" t="e">
        <f t="shared" si="48"/>
        <v>#DIV/0!</v>
      </c>
      <c r="BY69" s="153" t="e">
        <f t="shared" si="48"/>
        <v>#DIV/0!</v>
      </c>
      <c r="BZ69" s="153" t="e">
        <f t="shared" si="48"/>
        <v>#DIV/0!</v>
      </c>
      <c r="CA69" s="153" t="e">
        <f t="shared" si="48"/>
        <v>#DIV/0!</v>
      </c>
      <c r="CB69" s="153" t="e">
        <f t="shared" si="48"/>
        <v>#DIV/0!</v>
      </c>
      <c r="CC69" s="153" t="e">
        <f t="shared" si="48"/>
        <v>#DIV/0!</v>
      </c>
      <c r="CD69" s="153" t="e">
        <f t="shared" si="48"/>
        <v>#DIV/0!</v>
      </c>
      <c r="CE69" s="153" t="e">
        <f t="shared" si="48"/>
        <v>#DIV/0!</v>
      </c>
      <c r="CF69" s="153" t="e">
        <f t="shared" si="48"/>
        <v>#DIV/0!</v>
      </c>
      <c r="CG69" s="153" t="e">
        <f t="shared" si="48"/>
        <v>#DIV/0!</v>
      </c>
      <c r="CH69" s="153" t="e">
        <f t="shared" si="48"/>
        <v>#DIV/0!</v>
      </c>
      <c r="CI69" s="153" t="e">
        <f t="shared" si="48"/>
        <v>#DIV/0!</v>
      </c>
      <c r="CJ69" s="153" t="e">
        <f t="shared" si="48"/>
        <v>#DIV/0!</v>
      </c>
    </row>
    <row r="70" spans="1:89" s="83" customFormat="1">
      <c r="A70" s="146" t="s">
        <v>365</v>
      </c>
      <c r="B70" s="83">
        <f t="shared" ref="B70:D70" si="49">B62/B69</f>
        <v>1076.864050320529</v>
      </c>
      <c r="C70" s="83">
        <f t="shared" si="49"/>
        <v>1041.2885236872903</v>
      </c>
      <c r="D70" s="83">
        <f t="shared" si="49"/>
        <v>1620.9347587669654</v>
      </c>
      <c r="E70" s="83">
        <f>E62/E69</f>
        <v>1811.8456479231456</v>
      </c>
      <c r="F70" s="83">
        <f t="shared" ref="F70:BQ70" si="50">F62/F69</f>
        <v>1604.2242643433206</v>
      </c>
      <c r="G70" s="83">
        <f t="shared" si="50"/>
        <v>1333.3678681650679</v>
      </c>
      <c r="H70" s="83">
        <f t="shared" si="50"/>
        <v>1140.9267384193251</v>
      </c>
      <c r="I70" s="83">
        <f t="shared" si="50"/>
        <v>1116.7099471300824</v>
      </c>
      <c r="J70" s="83">
        <f t="shared" si="50"/>
        <v>1308.4065934701327</v>
      </c>
      <c r="K70" s="83">
        <f t="shared" si="50"/>
        <v>1161.9510074875056</v>
      </c>
      <c r="L70" s="83">
        <f t="shared" si="50"/>
        <v>1097.2887070009531</v>
      </c>
      <c r="M70" s="83">
        <f t="shared" si="50"/>
        <v>736.96197583118931</v>
      </c>
      <c r="N70" s="83">
        <f t="shared" si="50"/>
        <v>703.84303999883491</v>
      </c>
      <c r="O70" s="83">
        <f t="shared" si="50"/>
        <v>703.03860443884582</v>
      </c>
      <c r="P70" s="83">
        <f t="shared" si="50"/>
        <v>577.71078968645134</v>
      </c>
      <c r="Q70" s="83">
        <f t="shared" si="50"/>
        <v>464.4830788035149</v>
      </c>
      <c r="R70" s="83">
        <f t="shared" si="50"/>
        <v>576.94341249673926</v>
      </c>
      <c r="S70" s="83">
        <f t="shared" si="50"/>
        <v>499.10647377422652</v>
      </c>
      <c r="T70" s="83" t="e">
        <f t="shared" si="50"/>
        <v>#DIV/0!</v>
      </c>
      <c r="U70" s="83" t="e">
        <f t="shared" si="50"/>
        <v>#DIV/0!</v>
      </c>
      <c r="V70" s="83" t="e">
        <f t="shared" si="50"/>
        <v>#DIV/0!</v>
      </c>
      <c r="W70" s="83" t="e">
        <f t="shared" si="50"/>
        <v>#DIV/0!</v>
      </c>
      <c r="X70" s="83" t="e">
        <f t="shared" si="50"/>
        <v>#DIV/0!</v>
      </c>
      <c r="Y70" s="83" t="e">
        <f t="shared" si="50"/>
        <v>#DIV/0!</v>
      </c>
      <c r="Z70" s="83" t="e">
        <f t="shared" si="50"/>
        <v>#DIV/0!</v>
      </c>
      <c r="AA70" s="83" t="e">
        <f t="shared" si="50"/>
        <v>#DIV/0!</v>
      </c>
      <c r="AB70" s="83" t="e">
        <f t="shared" si="50"/>
        <v>#DIV/0!</v>
      </c>
      <c r="AC70" s="83" t="e">
        <f t="shared" si="50"/>
        <v>#DIV/0!</v>
      </c>
      <c r="AD70" s="83" t="e">
        <f t="shared" si="50"/>
        <v>#DIV/0!</v>
      </c>
      <c r="AE70" s="83" t="e">
        <f t="shared" si="50"/>
        <v>#DIV/0!</v>
      </c>
      <c r="AF70" s="83" t="e">
        <f t="shared" si="50"/>
        <v>#DIV/0!</v>
      </c>
      <c r="AG70" s="83" t="e">
        <f t="shared" si="50"/>
        <v>#DIV/0!</v>
      </c>
      <c r="AH70" s="83" t="e">
        <f t="shared" si="50"/>
        <v>#DIV/0!</v>
      </c>
      <c r="AI70" s="83" t="e">
        <f t="shared" si="50"/>
        <v>#DIV/0!</v>
      </c>
      <c r="AJ70" s="83" t="e">
        <f t="shared" si="50"/>
        <v>#DIV/0!</v>
      </c>
      <c r="AK70" s="83" t="e">
        <f t="shared" si="50"/>
        <v>#DIV/0!</v>
      </c>
      <c r="AL70" s="83" t="e">
        <f t="shared" si="50"/>
        <v>#DIV/0!</v>
      </c>
      <c r="AM70" s="83" t="e">
        <f t="shared" si="50"/>
        <v>#DIV/0!</v>
      </c>
      <c r="AN70" s="83" t="e">
        <f t="shared" si="50"/>
        <v>#DIV/0!</v>
      </c>
      <c r="AO70" s="83" t="e">
        <f t="shared" si="50"/>
        <v>#DIV/0!</v>
      </c>
      <c r="AP70" s="83" t="e">
        <f t="shared" si="50"/>
        <v>#DIV/0!</v>
      </c>
      <c r="AQ70" s="83" t="e">
        <f t="shared" si="50"/>
        <v>#DIV/0!</v>
      </c>
      <c r="AR70" s="83" t="e">
        <f t="shared" si="50"/>
        <v>#DIV/0!</v>
      </c>
      <c r="AS70" s="83" t="e">
        <f t="shared" si="50"/>
        <v>#DIV/0!</v>
      </c>
      <c r="AT70" s="83" t="e">
        <f t="shared" si="50"/>
        <v>#DIV/0!</v>
      </c>
      <c r="AU70" s="83" t="e">
        <f t="shared" si="50"/>
        <v>#DIV/0!</v>
      </c>
      <c r="AV70" s="83" t="e">
        <f t="shared" si="50"/>
        <v>#DIV/0!</v>
      </c>
      <c r="AW70" s="83" t="e">
        <f t="shared" si="50"/>
        <v>#DIV/0!</v>
      </c>
      <c r="AX70" s="83" t="e">
        <f t="shared" si="50"/>
        <v>#DIV/0!</v>
      </c>
      <c r="AY70" s="83" t="e">
        <f t="shared" si="50"/>
        <v>#DIV/0!</v>
      </c>
      <c r="AZ70" s="83" t="e">
        <f t="shared" si="50"/>
        <v>#DIV/0!</v>
      </c>
      <c r="BA70" s="83" t="e">
        <f t="shared" si="50"/>
        <v>#DIV/0!</v>
      </c>
      <c r="BB70" s="83" t="e">
        <f t="shared" si="50"/>
        <v>#DIV/0!</v>
      </c>
      <c r="BC70" s="83" t="e">
        <f t="shared" si="50"/>
        <v>#DIV/0!</v>
      </c>
      <c r="BD70" s="83" t="e">
        <f t="shared" si="50"/>
        <v>#DIV/0!</v>
      </c>
      <c r="BE70" s="83" t="e">
        <f t="shared" si="50"/>
        <v>#DIV/0!</v>
      </c>
      <c r="BF70" s="83" t="e">
        <f t="shared" si="50"/>
        <v>#DIV/0!</v>
      </c>
      <c r="BG70" s="83" t="e">
        <f t="shared" si="50"/>
        <v>#DIV/0!</v>
      </c>
      <c r="BH70" s="83" t="e">
        <f t="shared" si="50"/>
        <v>#DIV/0!</v>
      </c>
      <c r="BI70" s="83" t="e">
        <f t="shared" si="50"/>
        <v>#DIV/0!</v>
      </c>
      <c r="BJ70" s="83" t="e">
        <f t="shared" si="50"/>
        <v>#DIV/0!</v>
      </c>
      <c r="BK70" s="83" t="e">
        <f t="shared" si="50"/>
        <v>#DIV/0!</v>
      </c>
      <c r="BL70" s="83" t="e">
        <f t="shared" si="50"/>
        <v>#DIV/0!</v>
      </c>
      <c r="BM70" s="83" t="e">
        <f t="shared" si="50"/>
        <v>#DIV/0!</v>
      </c>
      <c r="BN70" s="83" t="e">
        <f t="shared" si="50"/>
        <v>#DIV/0!</v>
      </c>
      <c r="BO70" s="83" t="e">
        <f t="shared" si="50"/>
        <v>#DIV/0!</v>
      </c>
      <c r="BP70" s="83" t="e">
        <f t="shared" si="50"/>
        <v>#DIV/0!</v>
      </c>
      <c r="BQ70" s="83" t="e">
        <f t="shared" si="50"/>
        <v>#DIV/0!</v>
      </c>
      <c r="BR70" s="83" t="e">
        <f t="shared" ref="BR70:CJ70" si="51">BR62/BR69</f>
        <v>#DIV/0!</v>
      </c>
      <c r="BS70" s="83" t="e">
        <f t="shared" si="51"/>
        <v>#DIV/0!</v>
      </c>
      <c r="BT70" s="83" t="e">
        <f t="shared" si="51"/>
        <v>#DIV/0!</v>
      </c>
      <c r="BU70" s="83" t="e">
        <f t="shared" si="51"/>
        <v>#DIV/0!</v>
      </c>
      <c r="BV70" s="83" t="e">
        <f t="shared" si="51"/>
        <v>#DIV/0!</v>
      </c>
      <c r="BW70" s="83" t="e">
        <f t="shared" si="51"/>
        <v>#DIV/0!</v>
      </c>
      <c r="BX70" s="83" t="e">
        <f t="shared" si="51"/>
        <v>#DIV/0!</v>
      </c>
      <c r="BY70" s="83" t="e">
        <f t="shared" si="51"/>
        <v>#DIV/0!</v>
      </c>
      <c r="BZ70" s="83" t="e">
        <f t="shared" si="51"/>
        <v>#DIV/0!</v>
      </c>
      <c r="CA70" s="83" t="e">
        <f t="shared" si="51"/>
        <v>#DIV/0!</v>
      </c>
      <c r="CB70" s="83" t="e">
        <f t="shared" si="51"/>
        <v>#DIV/0!</v>
      </c>
      <c r="CC70" s="83" t="e">
        <f t="shared" si="51"/>
        <v>#DIV/0!</v>
      </c>
      <c r="CD70" s="83" t="e">
        <f t="shared" si="51"/>
        <v>#DIV/0!</v>
      </c>
      <c r="CE70" s="83" t="e">
        <f t="shared" si="51"/>
        <v>#DIV/0!</v>
      </c>
      <c r="CF70" s="83" t="e">
        <f t="shared" si="51"/>
        <v>#DIV/0!</v>
      </c>
      <c r="CG70" s="83" t="e">
        <f t="shared" si="51"/>
        <v>#DIV/0!</v>
      </c>
      <c r="CH70" s="83" t="e">
        <f t="shared" si="51"/>
        <v>#DIV/0!</v>
      </c>
      <c r="CI70" s="83" t="e">
        <f t="shared" si="51"/>
        <v>#DIV/0!</v>
      </c>
      <c r="CJ70" s="83" t="e">
        <f t="shared" si="51"/>
        <v>#DIV/0!</v>
      </c>
    </row>
    <row r="71" spans="1:89" s="76" customFormat="1">
      <c r="A71" s="145" t="s">
        <v>366</v>
      </c>
      <c r="B71" s="194">
        <f>资产资本表!B35+资产资本表!B36-资产资本表!B24</f>
        <v>-4082091.4700000286</v>
      </c>
      <c r="C71" s="194">
        <f>资产资本表!C35+资产资本表!C36-资产资本表!C24</f>
        <v>201248588.39999998</v>
      </c>
      <c r="D71" s="194">
        <f>资产资本表!D35+资产资本表!D36-资产资本表!D24</f>
        <v>-5492493.7400000095</v>
      </c>
      <c r="E71" s="76">
        <f>资产资本表!E35+资产资本表!E36-资产资本表!E24</f>
        <v>-596758787.81000006</v>
      </c>
      <c r="F71" s="76">
        <f>资产资本表!F35+资产资本表!F36-资产资本表!F24</f>
        <v>-2156675756.7400002</v>
      </c>
      <c r="G71" s="76">
        <f>资产资本表!G35+资产资本表!G36-资产资本表!G24</f>
        <v>-4019831010.7900004</v>
      </c>
      <c r="H71" s="76">
        <f>资产资本表!H35+资产资本表!H36-资产资本表!H24</f>
        <v>-3527589430.21</v>
      </c>
      <c r="I71" s="76">
        <f>资产资本表!I35+资产资本表!I36-资产资本表!I24</f>
        <v>-1688683838.97</v>
      </c>
      <c r="J71" s="76">
        <f>资产资本表!J35+资产资本表!J36-资产资本表!J24</f>
        <v>-1297855733.24</v>
      </c>
      <c r="K71" s="76">
        <f>资产资本表!K35+资产资本表!K36-资产资本表!K24</f>
        <v>-1064004734.71</v>
      </c>
      <c r="L71" s="76">
        <f>资产资本表!L35+资产资本表!L36-资产资本表!L24</f>
        <v>-620349462.76999998</v>
      </c>
      <c r="M71" s="76">
        <f>资产资本表!M35+资产资本表!M36-资产资本表!M24</f>
        <v>52856339.880000003</v>
      </c>
      <c r="N71" s="76">
        <f>资产资本表!N35+资产资本表!N36-资产资本表!N24</f>
        <v>36571539.700000003</v>
      </c>
      <c r="O71" s="76">
        <f>资产资本表!O35+资产资本表!O36-资产资本表!O24</f>
        <v>17943262.609999999</v>
      </c>
      <c r="P71" s="76">
        <f>资产资本表!P35+资产资本表!P36-资产资本表!P24</f>
        <v>31038185.399999999</v>
      </c>
      <c r="Q71" s="76">
        <f>资产资本表!Q35+资产资本表!Q36-资产资本表!Q24</f>
        <v>33827915.219999999</v>
      </c>
      <c r="R71" s="76">
        <f>资产资本表!R35+资产资本表!R36-资产资本表!R24</f>
        <v>18088627.149999999</v>
      </c>
      <c r="S71" s="76">
        <f>资产资本表!S35+资产资本表!S36-资产资本表!S24</f>
        <v>-16277466.16</v>
      </c>
      <c r="T71" s="76">
        <f>资产资本表!T35+资产资本表!T36-资产资本表!T24</f>
        <v>0</v>
      </c>
      <c r="U71" s="76">
        <f>资产资本表!U35+资产资本表!U36-资产资本表!U24</f>
        <v>0</v>
      </c>
      <c r="V71" s="76">
        <f>资产资本表!V35+资产资本表!V36-资产资本表!V24</f>
        <v>0</v>
      </c>
      <c r="W71" s="76">
        <f>资产资本表!W35+资产资本表!W36-资产资本表!W24</f>
        <v>0</v>
      </c>
      <c r="X71" s="76">
        <f>资产资本表!X35+资产资本表!X36-资产资本表!X24</f>
        <v>0</v>
      </c>
      <c r="Y71" s="76">
        <f>资产资本表!Y35+资产资本表!Y36-资产资本表!Y24</f>
        <v>0</v>
      </c>
      <c r="Z71" s="76">
        <f>资产资本表!Z35+资产资本表!Z36-资产资本表!Z24</f>
        <v>0</v>
      </c>
      <c r="AA71" s="76">
        <f>资产资本表!AA35+资产资本表!AA36-资产资本表!AA24</f>
        <v>0</v>
      </c>
      <c r="AB71" s="76">
        <f>资产资本表!AB35+资产资本表!AB36-资产资本表!AB24</f>
        <v>0</v>
      </c>
      <c r="AC71" s="76">
        <f>资产资本表!AC35+资产资本表!AC36-资产资本表!AC24</f>
        <v>0</v>
      </c>
      <c r="AD71" s="76">
        <f>资产资本表!AD35+资产资本表!AD36-资产资本表!AD24</f>
        <v>0</v>
      </c>
      <c r="AE71" s="76">
        <f>资产资本表!AE35+资产资本表!AE36-资产资本表!AE24</f>
        <v>0</v>
      </c>
      <c r="AF71" s="76">
        <f>资产资本表!AF35+资产资本表!AF36-资产资本表!AF24</f>
        <v>0</v>
      </c>
      <c r="AG71" s="76">
        <f>资产资本表!AG35+资产资本表!AG36-资产资本表!AG24</f>
        <v>0</v>
      </c>
      <c r="AH71" s="76">
        <f>资产资本表!AH35+资产资本表!AH36-资产资本表!AH24</f>
        <v>0</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c r="A72" s="152" t="s">
        <v>367</v>
      </c>
      <c r="B72" s="153">
        <f t="shared" ref="B72:D72" si="52">B67/(B71+F71)*2</f>
        <v>-6.0376241041296446</v>
      </c>
      <c r="C72" s="153">
        <f t="shared" si="52"/>
        <v>-3.1113307059387547</v>
      </c>
      <c r="D72" s="153">
        <f t="shared" si="52"/>
        <v>-1.930384949668809</v>
      </c>
      <c r="E72" s="153">
        <f>E67/(E71+I71)*2</f>
        <v>-2.221309272275461</v>
      </c>
      <c r="F72" s="153">
        <f t="shared" ref="F72:BQ72" si="53">F67/(F71+J71)*2</f>
        <v>-1.3539031495952805</v>
      </c>
      <c r="G72" s="153">
        <f t="shared" si="53"/>
        <v>-0.86309645622676412</v>
      </c>
      <c r="H72" s="153">
        <f t="shared" si="53"/>
        <v>-0.9856974856692311</v>
      </c>
      <c r="I72" s="153">
        <f t="shared" si="53"/>
        <v>-1.8965740298692144</v>
      </c>
      <c r="J72" s="153">
        <f t="shared" si="53"/>
        <v>-1.6696183096606889</v>
      </c>
      <c r="K72" s="153">
        <f t="shared" si="53"/>
        <v>-1.8176233053713287</v>
      </c>
      <c r="L72" s="153">
        <f t="shared" si="53"/>
        <v>-2.714060802667785</v>
      </c>
      <c r="M72" s="153">
        <f t="shared" si="53"/>
        <v>20.110770227521979</v>
      </c>
      <c r="N72" s="153">
        <f t="shared" si="53"/>
        <v>28.949045935449792</v>
      </c>
      <c r="O72" s="153">
        <f t="shared" si="53"/>
        <v>824.9589158147146</v>
      </c>
      <c r="P72" s="153">
        <f t="shared" si="53"/>
        <v>34.47728931666218</v>
      </c>
      <c r="Q72" s="153">
        <f t="shared" si="53"/>
        <v>28.224507880861363</v>
      </c>
      <c r="R72" s="153">
        <f t="shared" si="53"/>
        <v>37.654205812960221</v>
      </c>
      <c r="S72" s="153">
        <f t="shared" si="53"/>
        <v>-35.329634880961109</v>
      </c>
      <c r="T72" s="153" t="e">
        <f t="shared" si="53"/>
        <v>#DIV/0!</v>
      </c>
      <c r="U72" s="153" t="e">
        <f t="shared" si="53"/>
        <v>#DIV/0!</v>
      </c>
      <c r="V72" s="153" t="e">
        <f t="shared" si="53"/>
        <v>#DIV/0!</v>
      </c>
      <c r="W72" s="153" t="e">
        <f t="shared" si="53"/>
        <v>#DIV/0!</v>
      </c>
      <c r="X72" s="153" t="e">
        <f t="shared" si="53"/>
        <v>#DIV/0!</v>
      </c>
      <c r="Y72" s="153" t="e">
        <f t="shared" si="53"/>
        <v>#DIV/0!</v>
      </c>
      <c r="Z72" s="153" t="e">
        <f t="shared" si="53"/>
        <v>#DIV/0!</v>
      </c>
      <c r="AA72" s="153" t="e">
        <f t="shared" si="53"/>
        <v>#DIV/0!</v>
      </c>
      <c r="AB72" s="153" t="e">
        <f t="shared" si="53"/>
        <v>#DIV/0!</v>
      </c>
      <c r="AC72" s="153" t="e">
        <f t="shared" si="53"/>
        <v>#DIV/0!</v>
      </c>
      <c r="AD72" s="153" t="e">
        <f t="shared" si="53"/>
        <v>#DIV/0!</v>
      </c>
      <c r="AE72" s="153" t="e">
        <f t="shared" si="53"/>
        <v>#DIV/0!</v>
      </c>
      <c r="AF72" s="153" t="e">
        <f t="shared" si="53"/>
        <v>#DIV/0!</v>
      </c>
      <c r="AG72" s="153" t="e">
        <f t="shared" si="53"/>
        <v>#DIV/0!</v>
      </c>
      <c r="AH72" s="153" t="e">
        <f t="shared" si="53"/>
        <v>#DIV/0!</v>
      </c>
      <c r="AI72" s="153" t="e">
        <f t="shared" si="53"/>
        <v>#DIV/0!</v>
      </c>
      <c r="AJ72" s="153" t="e">
        <f t="shared" si="53"/>
        <v>#DIV/0!</v>
      </c>
      <c r="AK72" s="153" t="e">
        <f t="shared" si="53"/>
        <v>#DIV/0!</v>
      </c>
      <c r="AL72" s="153" t="e">
        <f t="shared" si="53"/>
        <v>#DIV/0!</v>
      </c>
      <c r="AM72" s="153" t="e">
        <f t="shared" si="53"/>
        <v>#DIV/0!</v>
      </c>
      <c r="AN72" s="153" t="e">
        <f t="shared" si="53"/>
        <v>#DIV/0!</v>
      </c>
      <c r="AO72" s="153" t="e">
        <f t="shared" si="53"/>
        <v>#DIV/0!</v>
      </c>
      <c r="AP72" s="153" t="e">
        <f t="shared" si="53"/>
        <v>#DIV/0!</v>
      </c>
      <c r="AQ72" s="153" t="e">
        <f t="shared" si="53"/>
        <v>#DIV/0!</v>
      </c>
      <c r="AR72" s="153" t="e">
        <f t="shared" si="53"/>
        <v>#DIV/0!</v>
      </c>
      <c r="AS72" s="153" t="e">
        <f t="shared" si="53"/>
        <v>#DIV/0!</v>
      </c>
      <c r="AT72" s="153" t="e">
        <f t="shared" si="53"/>
        <v>#DIV/0!</v>
      </c>
      <c r="AU72" s="153" t="e">
        <f t="shared" si="53"/>
        <v>#DIV/0!</v>
      </c>
      <c r="AV72" s="153" t="e">
        <f t="shared" si="53"/>
        <v>#DIV/0!</v>
      </c>
      <c r="AW72" s="153" t="e">
        <f t="shared" si="53"/>
        <v>#DIV/0!</v>
      </c>
      <c r="AX72" s="153" t="e">
        <f t="shared" si="53"/>
        <v>#DIV/0!</v>
      </c>
      <c r="AY72" s="153" t="e">
        <f t="shared" si="53"/>
        <v>#DIV/0!</v>
      </c>
      <c r="AZ72" s="153" t="e">
        <f t="shared" si="53"/>
        <v>#DIV/0!</v>
      </c>
      <c r="BA72" s="153" t="e">
        <f t="shared" si="53"/>
        <v>#DIV/0!</v>
      </c>
      <c r="BB72" s="153" t="e">
        <f t="shared" si="53"/>
        <v>#DIV/0!</v>
      </c>
      <c r="BC72" s="153" t="e">
        <f t="shared" si="53"/>
        <v>#DIV/0!</v>
      </c>
      <c r="BD72" s="153" t="e">
        <f t="shared" si="53"/>
        <v>#DIV/0!</v>
      </c>
      <c r="BE72" s="153" t="e">
        <f t="shared" si="53"/>
        <v>#DIV/0!</v>
      </c>
      <c r="BF72" s="153" t="e">
        <f t="shared" si="53"/>
        <v>#DIV/0!</v>
      </c>
      <c r="BG72" s="153" t="e">
        <f t="shared" si="53"/>
        <v>#DIV/0!</v>
      </c>
      <c r="BH72" s="153" t="e">
        <f t="shared" si="53"/>
        <v>#DIV/0!</v>
      </c>
      <c r="BI72" s="153" t="e">
        <f t="shared" si="53"/>
        <v>#DIV/0!</v>
      </c>
      <c r="BJ72" s="153" t="e">
        <f t="shared" si="53"/>
        <v>#DIV/0!</v>
      </c>
      <c r="BK72" s="153" t="e">
        <f t="shared" si="53"/>
        <v>#DIV/0!</v>
      </c>
      <c r="BL72" s="153" t="e">
        <f t="shared" si="53"/>
        <v>#DIV/0!</v>
      </c>
      <c r="BM72" s="153" t="e">
        <f t="shared" si="53"/>
        <v>#DIV/0!</v>
      </c>
      <c r="BN72" s="153" t="e">
        <f t="shared" si="53"/>
        <v>#DIV/0!</v>
      </c>
      <c r="BO72" s="153" t="e">
        <f t="shared" si="53"/>
        <v>#DIV/0!</v>
      </c>
      <c r="BP72" s="153" t="e">
        <f t="shared" si="53"/>
        <v>#DIV/0!</v>
      </c>
      <c r="BQ72" s="153" t="e">
        <f t="shared" si="53"/>
        <v>#DIV/0!</v>
      </c>
      <c r="BR72" s="153" t="e">
        <f t="shared" ref="BR72:CJ72" si="54">BR67/(BR71+BV71)*2</f>
        <v>#DIV/0!</v>
      </c>
      <c r="BS72" s="153" t="e">
        <f t="shared" si="54"/>
        <v>#DIV/0!</v>
      </c>
      <c r="BT72" s="153" t="e">
        <f t="shared" si="54"/>
        <v>#DIV/0!</v>
      </c>
      <c r="BU72" s="153" t="e">
        <f t="shared" si="54"/>
        <v>#DIV/0!</v>
      </c>
      <c r="BV72" s="153" t="e">
        <f t="shared" si="54"/>
        <v>#DIV/0!</v>
      </c>
      <c r="BW72" s="153" t="e">
        <f t="shared" si="54"/>
        <v>#DIV/0!</v>
      </c>
      <c r="BX72" s="153" t="e">
        <f t="shared" si="54"/>
        <v>#DIV/0!</v>
      </c>
      <c r="BY72" s="153" t="e">
        <f t="shared" si="54"/>
        <v>#DIV/0!</v>
      </c>
      <c r="BZ72" s="153" t="e">
        <f t="shared" si="54"/>
        <v>#DIV/0!</v>
      </c>
      <c r="CA72" s="153" t="e">
        <f t="shared" si="54"/>
        <v>#DIV/0!</v>
      </c>
      <c r="CB72" s="153" t="e">
        <f t="shared" si="54"/>
        <v>#DIV/0!</v>
      </c>
      <c r="CC72" s="153" t="e">
        <f t="shared" si="54"/>
        <v>#DIV/0!</v>
      </c>
      <c r="CD72" s="153" t="e">
        <f t="shared" si="54"/>
        <v>#DIV/0!</v>
      </c>
      <c r="CE72" s="153" t="e">
        <f t="shared" si="54"/>
        <v>#DIV/0!</v>
      </c>
      <c r="CF72" s="153" t="e">
        <f t="shared" si="54"/>
        <v>#DIV/0!</v>
      </c>
      <c r="CG72" s="153" t="e">
        <f t="shared" si="54"/>
        <v>#DIV/0!</v>
      </c>
      <c r="CH72" s="153" t="e">
        <f t="shared" si="54"/>
        <v>#DIV/0!</v>
      </c>
      <c r="CI72" s="153" t="e">
        <f t="shared" si="54"/>
        <v>#DIV/0!</v>
      </c>
      <c r="CJ72" s="153" t="e">
        <f t="shared" si="54"/>
        <v>#DIV/0!</v>
      </c>
    </row>
    <row r="73" spans="1:89" s="83" customFormat="1">
      <c r="A73" s="146" t="s">
        <v>368</v>
      </c>
      <c r="B73" s="83">
        <f t="shared" ref="B73:D73" si="55">B62/B72</f>
        <v>-60.454243872245286</v>
      </c>
      <c r="C73" s="83">
        <f t="shared" si="55"/>
        <v>-117.31314813411059</v>
      </c>
      <c r="D73" s="83">
        <f t="shared" si="55"/>
        <v>-189.08145759353442</v>
      </c>
      <c r="E73" s="83">
        <f>E62/E72</f>
        <v>-164.31750614631969</v>
      </c>
      <c r="F73" s="83">
        <f t="shared" ref="F73:BQ73" si="56">F62/F72</f>
        <v>-269.59092318317505</v>
      </c>
      <c r="G73" s="83">
        <f t="shared" si="56"/>
        <v>-422.89595486892182</v>
      </c>
      <c r="H73" s="83">
        <f t="shared" si="56"/>
        <v>-370.29616622404825</v>
      </c>
      <c r="I73" s="83">
        <f t="shared" si="56"/>
        <v>-192.45228198404149</v>
      </c>
      <c r="J73" s="83">
        <f t="shared" si="56"/>
        <v>-218.61283976586108</v>
      </c>
      <c r="K73" s="83">
        <f t="shared" si="56"/>
        <v>-200.81168574444135</v>
      </c>
      <c r="L73" s="83">
        <f t="shared" si="56"/>
        <v>-134.48482791587548</v>
      </c>
      <c r="M73" s="83">
        <f t="shared" si="56"/>
        <v>18.149478904616515</v>
      </c>
      <c r="N73" s="83">
        <f t="shared" si="56"/>
        <v>12.608360248343669</v>
      </c>
      <c r="O73" s="83">
        <f t="shared" si="56"/>
        <v>0.44244627581184764</v>
      </c>
      <c r="P73" s="83">
        <f t="shared" si="56"/>
        <v>10.586679151240665</v>
      </c>
      <c r="Q73" s="83">
        <f t="shared" si="56"/>
        <v>12.93202352865473</v>
      </c>
      <c r="R73" s="83">
        <f t="shared" si="56"/>
        <v>9.6934722727406584</v>
      </c>
      <c r="S73" s="83">
        <f t="shared" si="56"/>
        <v>-10.331270086142213</v>
      </c>
      <c r="T73" s="83" t="e">
        <f t="shared" si="56"/>
        <v>#DIV/0!</v>
      </c>
      <c r="U73" s="83" t="e">
        <f t="shared" si="56"/>
        <v>#DIV/0!</v>
      </c>
      <c r="V73" s="83" t="e">
        <f t="shared" si="56"/>
        <v>#DIV/0!</v>
      </c>
      <c r="W73" s="83" t="e">
        <f t="shared" si="56"/>
        <v>#DIV/0!</v>
      </c>
      <c r="X73" s="83" t="e">
        <f t="shared" si="56"/>
        <v>#DIV/0!</v>
      </c>
      <c r="Y73" s="83" t="e">
        <f t="shared" si="56"/>
        <v>#DIV/0!</v>
      </c>
      <c r="Z73" s="83" t="e">
        <f t="shared" si="56"/>
        <v>#DIV/0!</v>
      </c>
      <c r="AA73" s="83" t="e">
        <f t="shared" si="56"/>
        <v>#DIV/0!</v>
      </c>
      <c r="AB73" s="83" t="e">
        <f t="shared" si="56"/>
        <v>#DIV/0!</v>
      </c>
      <c r="AC73" s="83" t="e">
        <f t="shared" si="56"/>
        <v>#DIV/0!</v>
      </c>
      <c r="AD73" s="83" t="e">
        <f t="shared" si="56"/>
        <v>#DIV/0!</v>
      </c>
      <c r="AE73" s="83" t="e">
        <f t="shared" si="56"/>
        <v>#DIV/0!</v>
      </c>
      <c r="AF73" s="83" t="e">
        <f t="shared" si="56"/>
        <v>#DIV/0!</v>
      </c>
      <c r="AG73" s="83" t="e">
        <f t="shared" si="56"/>
        <v>#DIV/0!</v>
      </c>
      <c r="AH73" s="83" t="e">
        <f t="shared" si="56"/>
        <v>#DIV/0!</v>
      </c>
      <c r="AI73" s="83" t="e">
        <f t="shared" si="56"/>
        <v>#DIV/0!</v>
      </c>
      <c r="AJ73" s="83" t="e">
        <f t="shared" si="56"/>
        <v>#DIV/0!</v>
      </c>
      <c r="AK73" s="83" t="e">
        <f t="shared" si="56"/>
        <v>#DIV/0!</v>
      </c>
      <c r="AL73" s="83" t="e">
        <f t="shared" si="56"/>
        <v>#DIV/0!</v>
      </c>
      <c r="AM73" s="83" t="e">
        <f t="shared" si="56"/>
        <v>#DIV/0!</v>
      </c>
      <c r="AN73" s="83" t="e">
        <f t="shared" si="56"/>
        <v>#DIV/0!</v>
      </c>
      <c r="AO73" s="83" t="e">
        <f t="shared" si="56"/>
        <v>#DIV/0!</v>
      </c>
      <c r="AP73" s="83" t="e">
        <f t="shared" si="56"/>
        <v>#DIV/0!</v>
      </c>
      <c r="AQ73" s="83" t="e">
        <f t="shared" si="56"/>
        <v>#DIV/0!</v>
      </c>
      <c r="AR73" s="83" t="e">
        <f t="shared" si="56"/>
        <v>#DIV/0!</v>
      </c>
      <c r="AS73" s="83" t="e">
        <f t="shared" si="56"/>
        <v>#DIV/0!</v>
      </c>
      <c r="AT73" s="83" t="e">
        <f t="shared" si="56"/>
        <v>#DIV/0!</v>
      </c>
      <c r="AU73" s="83" t="e">
        <f t="shared" si="56"/>
        <v>#DIV/0!</v>
      </c>
      <c r="AV73" s="83" t="e">
        <f t="shared" si="56"/>
        <v>#DIV/0!</v>
      </c>
      <c r="AW73" s="83" t="e">
        <f t="shared" si="56"/>
        <v>#DIV/0!</v>
      </c>
      <c r="AX73" s="83" t="e">
        <f t="shared" si="56"/>
        <v>#DIV/0!</v>
      </c>
      <c r="AY73" s="83" t="e">
        <f t="shared" si="56"/>
        <v>#DIV/0!</v>
      </c>
      <c r="AZ73" s="83" t="e">
        <f t="shared" si="56"/>
        <v>#DIV/0!</v>
      </c>
      <c r="BA73" s="83" t="e">
        <f t="shared" si="56"/>
        <v>#DIV/0!</v>
      </c>
      <c r="BB73" s="83" t="e">
        <f t="shared" si="56"/>
        <v>#DIV/0!</v>
      </c>
      <c r="BC73" s="83" t="e">
        <f t="shared" si="56"/>
        <v>#DIV/0!</v>
      </c>
      <c r="BD73" s="83" t="e">
        <f t="shared" si="56"/>
        <v>#DIV/0!</v>
      </c>
      <c r="BE73" s="83" t="e">
        <f t="shared" si="56"/>
        <v>#DIV/0!</v>
      </c>
      <c r="BF73" s="83" t="e">
        <f t="shared" si="56"/>
        <v>#DIV/0!</v>
      </c>
      <c r="BG73" s="83" t="e">
        <f t="shared" si="56"/>
        <v>#DIV/0!</v>
      </c>
      <c r="BH73" s="83" t="e">
        <f t="shared" si="56"/>
        <v>#DIV/0!</v>
      </c>
      <c r="BI73" s="83" t="e">
        <f t="shared" si="56"/>
        <v>#DIV/0!</v>
      </c>
      <c r="BJ73" s="83" t="e">
        <f t="shared" si="56"/>
        <v>#DIV/0!</v>
      </c>
      <c r="BK73" s="83" t="e">
        <f t="shared" si="56"/>
        <v>#DIV/0!</v>
      </c>
      <c r="BL73" s="83" t="e">
        <f t="shared" si="56"/>
        <v>#DIV/0!</v>
      </c>
      <c r="BM73" s="83" t="e">
        <f t="shared" si="56"/>
        <v>#DIV/0!</v>
      </c>
      <c r="BN73" s="83" t="e">
        <f t="shared" si="56"/>
        <v>#DIV/0!</v>
      </c>
      <c r="BO73" s="83" t="e">
        <f t="shared" si="56"/>
        <v>#DIV/0!</v>
      </c>
      <c r="BP73" s="83" t="e">
        <f t="shared" si="56"/>
        <v>#DIV/0!</v>
      </c>
      <c r="BQ73" s="83" t="e">
        <f t="shared" si="56"/>
        <v>#DIV/0!</v>
      </c>
      <c r="BR73" s="83" t="e">
        <f t="shared" ref="BR73:CJ73" si="57">BR62/BR72</f>
        <v>#DIV/0!</v>
      </c>
      <c r="BS73" s="83" t="e">
        <f t="shared" si="57"/>
        <v>#DIV/0!</v>
      </c>
      <c r="BT73" s="83" t="e">
        <f t="shared" si="57"/>
        <v>#DIV/0!</v>
      </c>
      <c r="BU73" s="83" t="e">
        <f t="shared" si="57"/>
        <v>#DIV/0!</v>
      </c>
      <c r="BV73" s="83" t="e">
        <f t="shared" si="57"/>
        <v>#DIV/0!</v>
      </c>
      <c r="BW73" s="83" t="e">
        <f t="shared" si="57"/>
        <v>#DIV/0!</v>
      </c>
      <c r="BX73" s="83" t="e">
        <f t="shared" si="57"/>
        <v>#DIV/0!</v>
      </c>
      <c r="BY73" s="83" t="e">
        <f t="shared" si="57"/>
        <v>#DIV/0!</v>
      </c>
      <c r="BZ73" s="83" t="e">
        <f t="shared" si="57"/>
        <v>#DIV/0!</v>
      </c>
      <c r="CA73" s="83" t="e">
        <f t="shared" si="57"/>
        <v>#DIV/0!</v>
      </c>
      <c r="CB73" s="83" t="e">
        <f t="shared" si="57"/>
        <v>#DIV/0!</v>
      </c>
      <c r="CC73" s="83" t="e">
        <f t="shared" si="57"/>
        <v>#DIV/0!</v>
      </c>
      <c r="CD73" s="83" t="e">
        <f t="shared" si="57"/>
        <v>#DIV/0!</v>
      </c>
      <c r="CE73" s="83" t="e">
        <f t="shared" si="57"/>
        <v>#DIV/0!</v>
      </c>
      <c r="CF73" s="83" t="e">
        <f t="shared" si="57"/>
        <v>#DIV/0!</v>
      </c>
      <c r="CG73" s="83" t="e">
        <f t="shared" si="57"/>
        <v>#DIV/0!</v>
      </c>
      <c r="CH73" s="83" t="e">
        <f t="shared" si="57"/>
        <v>#DIV/0!</v>
      </c>
      <c r="CI73" s="83" t="e">
        <f t="shared" si="57"/>
        <v>#DIV/0!</v>
      </c>
      <c r="CJ73" s="83" t="e">
        <f t="shared" si="57"/>
        <v>#DIV/0!</v>
      </c>
    </row>
    <row r="74" spans="1:89" s="250" customFormat="1">
      <c r="A74" s="249" t="s">
        <v>369</v>
      </c>
      <c r="B74" s="250">
        <f t="shared" ref="B74:D74" si="58">B66+B70</f>
        <v>1045.5459724569573</v>
      </c>
      <c r="C74" s="250">
        <f t="shared" si="58"/>
        <v>991.27158262783428</v>
      </c>
      <c r="D74" s="250">
        <f t="shared" si="58"/>
        <v>1519.5325399700689</v>
      </c>
      <c r="E74" s="250">
        <f>E66+E70</f>
        <v>1775.7769192677124</v>
      </c>
      <c r="F74" s="250">
        <f t="shared" ref="F74:BQ74" si="59">F66+F70</f>
        <v>1580.1988001517352</v>
      </c>
      <c r="G74" s="250">
        <f t="shared" si="59"/>
        <v>1298.7681928895652</v>
      </c>
      <c r="H74" s="250">
        <f t="shared" si="59"/>
        <v>1088.4965587296233</v>
      </c>
      <c r="I74" s="250">
        <f t="shared" si="59"/>
        <v>1039.8500234603325</v>
      </c>
      <c r="J74" s="250">
        <f t="shared" si="59"/>
        <v>1207.7610449358967</v>
      </c>
      <c r="K74" s="250">
        <f t="shared" si="59"/>
        <v>1077.8891897229125</v>
      </c>
      <c r="L74" s="250">
        <f t="shared" si="59"/>
        <v>1017.1054370858034</v>
      </c>
      <c r="M74" s="250">
        <f t="shared" si="59"/>
        <v>695.37611870776993</v>
      </c>
      <c r="N74" s="250">
        <f t="shared" si="59"/>
        <v>619.62788439599228</v>
      </c>
      <c r="O74" s="250">
        <f t="shared" si="59"/>
        <v>629.31514863477321</v>
      </c>
      <c r="P74" s="250">
        <f t="shared" si="59"/>
        <v>523.73065298850486</v>
      </c>
      <c r="Q74" s="250">
        <f t="shared" si="59"/>
        <v>413.45476087425004</v>
      </c>
      <c r="R74" s="250">
        <f t="shared" si="59"/>
        <v>539.58093498056996</v>
      </c>
      <c r="S74" s="250">
        <f t="shared" si="59"/>
        <v>471.16118970454761</v>
      </c>
      <c r="T74" s="250" t="e">
        <f t="shared" si="59"/>
        <v>#DIV/0!</v>
      </c>
      <c r="U74" s="250" t="e">
        <f t="shared" si="59"/>
        <v>#DIV/0!</v>
      </c>
      <c r="V74" s="250" t="e">
        <f t="shared" si="59"/>
        <v>#DIV/0!</v>
      </c>
      <c r="W74" s="250" t="e">
        <f t="shared" si="59"/>
        <v>#DIV/0!</v>
      </c>
      <c r="X74" s="250" t="e">
        <f t="shared" si="59"/>
        <v>#DIV/0!</v>
      </c>
      <c r="Y74" s="250" t="e">
        <f t="shared" si="59"/>
        <v>#DIV/0!</v>
      </c>
      <c r="Z74" s="250" t="e">
        <f t="shared" si="59"/>
        <v>#DIV/0!</v>
      </c>
      <c r="AA74" s="250" t="e">
        <f t="shared" si="59"/>
        <v>#DIV/0!</v>
      </c>
      <c r="AB74" s="250" t="e">
        <f t="shared" si="59"/>
        <v>#DIV/0!</v>
      </c>
      <c r="AC74" s="250" t="e">
        <f t="shared" si="59"/>
        <v>#DIV/0!</v>
      </c>
      <c r="AD74" s="250" t="e">
        <f t="shared" si="59"/>
        <v>#DIV/0!</v>
      </c>
      <c r="AE74" s="250" t="e">
        <f t="shared" si="59"/>
        <v>#DIV/0!</v>
      </c>
      <c r="AF74" s="250" t="e">
        <f t="shared" si="59"/>
        <v>#DIV/0!</v>
      </c>
      <c r="AG74" s="250" t="e">
        <f t="shared" si="59"/>
        <v>#DIV/0!</v>
      </c>
      <c r="AH74" s="250" t="e">
        <f t="shared" si="59"/>
        <v>#DIV/0!</v>
      </c>
      <c r="AI74" s="250" t="e">
        <f t="shared" si="59"/>
        <v>#DIV/0!</v>
      </c>
      <c r="AJ74" s="250" t="e">
        <f t="shared" si="59"/>
        <v>#DIV/0!</v>
      </c>
      <c r="AK74" s="250" t="e">
        <f t="shared" si="59"/>
        <v>#DIV/0!</v>
      </c>
      <c r="AL74" s="250" t="e">
        <f t="shared" si="59"/>
        <v>#DIV/0!</v>
      </c>
      <c r="AM74" s="250" t="e">
        <f t="shared" si="59"/>
        <v>#DIV/0!</v>
      </c>
      <c r="AN74" s="250" t="e">
        <f t="shared" si="59"/>
        <v>#DIV/0!</v>
      </c>
      <c r="AO74" s="250" t="e">
        <f t="shared" si="59"/>
        <v>#DIV/0!</v>
      </c>
      <c r="AP74" s="250" t="e">
        <f t="shared" si="59"/>
        <v>#DIV/0!</v>
      </c>
      <c r="AQ74" s="250" t="e">
        <f t="shared" si="59"/>
        <v>#DIV/0!</v>
      </c>
      <c r="AR74" s="250" t="e">
        <f t="shared" si="59"/>
        <v>#DIV/0!</v>
      </c>
      <c r="AS74" s="250" t="e">
        <f t="shared" si="59"/>
        <v>#DIV/0!</v>
      </c>
      <c r="AT74" s="250" t="e">
        <f t="shared" si="59"/>
        <v>#DIV/0!</v>
      </c>
      <c r="AU74" s="250" t="e">
        <f t="shared" si="59"/>
        <v>#DIV/0!</v>
      </c>
      <c r="AV74" s="250" t="e">
        <f t="shared" si="59"/>
        <v>#DIV/0!</v>
      </c>
      <c r="AW74" s="250" t="e">
        <f t="shared" si="59"/>
        <v>#DIV/0!</v>
      </c>
      <c r="AX74" s="250" t="e">
        <f t="shared" si="59"/>
        <v>#DIV/0!</v>
      </c>
      <c r="AY74" s="250" t="e">
        <f t="shared" si="59"/>
        <v>#DIV/0!</v>
      </c>
      <c r="AZ74" s="250" t="e">
        <f t="shared" si="59"/>
        <v>#DIV/0!</v>
      </c>
      <c r="BA74" s="250" t="e">
        <f t="shared" si="59"/>
        <v>#DIV/0!</v>
      </c>
      <c r="BB74" s="250" t="e">
        <f t="shared" si="59"/>
        <v>#DIV/0!</v>
      </c>
      <c r="BC74" s="250" t="e">
        <f t="shared" si="59"/>
        <v>#DIV/0!</v>
      </c>
      <c r="BD74" s="250" t="e">
        <f t="shared" si="59"/>
        <v>#DIV/0!</v>
      </c>
      <c r="BE74" s="250" t="e">
        <f t="shared" si="59"/>
        <v>#DIV/0!</v>
      </c>
      <c r="BF74" s="250" t="e">
        <f t="shared" si="59"/>
        <v>#DIV/0!</v>
      </c>
      <c r="BG74" s="250" t="e">
        <f t="shared" si="59"/>
        <v>#DIV/0!</v>
      </c>
      <c r="BH74" s="250" t="e">
        <f t="shared" si="59"/>
        <v>#DIV/0!</v>
      </c>
      <c r="BI74" s="250" t="e">
        <f t="shared" si="59"/>
        <v>#DIV/0!</v>
      </c>
      <c r="BJ74" s="250" t="e">
        <f t="shared" si="59"/>
        <v>#DIV/0!</v>
      </c>
      <c r="BK74" s="250" t="e">
        <f t="shared" si="59"/>
        <v>#DIV/0!</v>
      </c>
      <c r="BL74" s="250" t="e">
        <f t="shared" si="59"/>
        <v>#DIV/0!</v>
      </c>
      <c r="BM74" s="250" t="e">
        <f t="shared" si="59"/>
        <v>#DIV/0!</v>
      </c>
      <c r="BN74" s="250" t="e">
        <f t="shared" si="59"/>
        <v>#DIV/0!</v>
      </c>
      <c r="BO74" s="250" t="e">
        <f t="shared" si="59"/>
        <v>#DIV/0!</v>
      </c>
      <c r="BP74" s="250" t="e">
        <f t="shared" si="59"/>
        <v>#DIV/0!</v>
      </c>
      <c r="BQ74" s="250" t="e">
        <f t="shared" si="59"/>
        <v>#DIV/0!</v>
      </c>
      <c r="BR74" s="250" t="e">
        <f t="shared" ref="BR74:CK74" si="60">BR66+BR70</f>
        <v>#DIV/0!</v>
      </c>
      <c r="BS74" s="250" t="e">
        <f t="shared" si="60"/>
        <v>#DIV/0!</v>
      </c>
      <c r="BT74" s="250" t="e">
        <f t="shared" si="60"/>
        <v>#DIV/0!</v>
      </c>
      <c r="BU74" s="250" t="e">
        <f t="shared" si="60"/>
        <v>#DIV/0!</v>
      </c>
      <c r="BV74" s="250" t="e">
        <f t="shared" si="60"/>
        <v>#DIV/0!</v>
      </c>
      <c r="BW74" s="250" t="e">
        <f t="shared" si="60"/>
        <v>#DIV/0!</v>
      </c>
      <c r="BX74" s="250" t="e">
        <f t="shared" si="60"/>
        <v>#DIV/0!</v>
      </c>
      <c r="BY74" s="250" t="e">
        <f t="shared" si="60"/>
        <v>#DIV/0!</v>
      </c>
      <c r="BZ74" s="250" t="e">
        <f t="shared" si="60"/>
        <v>#DIV/0!</v>
      </c>
      <c r="CA74" s="250" t="e">
        <f t="shared" si="60"/>
        <v>#DIV/0!</v>
      </c>
      <c r="CB74" s="250" t="e">
        <f t="shared" si="60"/>
        <v>#DIV/0!</v>
      </c>
      <c r="CC74" s="250" t="e">
        <f t="shared" si="60"/>
        <v>#DIV/0!</v>
      </c>
      <c r="CD74" s="250" t="e">
        <f t="shared" si="60"/>
        <v>#DIV/0!</v>
      </c>
      <c r="CE74" s="250" t="e">
        <f t="shared" si="60"/>
        <v>#DIV/0!</v>
      </c>
      <c r="CF74" s="250" t="e">
        <f t="shared" si="60"/>
        <v>#DIV/0!</v>
      </c>
      <c r="CG74" s="250" t="e">
        <f t="shared" si="60"/>
        <v>#DIV/0!</v>
      </c>
      <c r="CH74" s="250" t="e">
        <f t="shared" si="60"/>
        <v>#DIV/0!</v>
      </c>
      <c r="CI74" s="250" t="e">
        <f t="shared" si="60"/>
        <v>#DIV/0!</v>
      </c>
      <c r="CJ74" s="250" t="e">
        <f t="shared" si="60"/>
        <v>#DIV/0!</v>
      </c>
      <c r="CK74" s="250">
        <f t="shared" si="60"/>
        <v>0</v>
      </c>
    </row>
    <row r="75" spans="1:89" s="250" customFormat="1">
      <c r="A75" s="249" t="s">
        <v>370</v>
      </c>
      <c r="B75" s="250">
        <f t="shared" ref="B75:D75" si="61">B74-B73</f>
        <v>1106.0002163292027</v>
      </c>
      <c r="C75" s="250">
        <f t="shared" si="61"/>
        <v>1108.5847307619449</v>
      </c>
      <c r="D75" s="250">
        <f t="shared" si="61"/>
        <v>1708.6139975636033</v>
      </c>
      <c r="E75" s="250">
        <f>E74-E73</f>
        <v>1940.094425414032</v>
      </c>
      <c r="F75" s="250">
        <f t="shared" ref="F75:BQ75" si="62">F74-F73</f>
        <v>1849.7897233349104</v>
      </c>
      <c r="G75" s="250">
        <f t="shared" si="62"/>
        <v>1721.6641477584869</v>
      </c>
      <c r="H75" s="250">
        <f t="shared" si="62"/>
        <v>1458.7927249536715</v>
      </c>
      <c r="I75" s="250">
        <f t="shared" si="62"/>
        <v>1232.302305444374</v>
      </c>
      <c r="J75" s="250">
        <f t="shared" si="62"/>
        <v>1426.3738847017578</v>
      </c>
      <c r="K75" s="250">
        <f t="shared" si="62"/>
        <v>1278.7008754673539</v>
      </c>
      <c r="L75" s="250">
        <f t="shared" si="62"/>
        <v>1151.5902650016787</v>
      </c>
      <c r="M75" s="250">
        <f t="shared" si="62"/>
        <v>677.22663980315338</v>
      </c>
      <c r="N75" s="250">
        <f t="shared" si="62"/>
        <v>607.01952414764867</v>
      </c>
      <c r="O75" s="250">
        <f t="shared" si="62"/>
        <v>628.87270235896131</v>
      </c>
      <c r="P75" s="250">
        <f t="shared" si="62"/>
        <v>513.14397383726418</v>
      </c>
      <c r="Q75" s="250">
        <f t="shared" si="62"/>
        <v>400.52273734559532</v>
      </c>
      <c r="R75" s="250">
        <f t="shared" si="62"/>
        <v>529.88746270782929</v>
      </c>
      <c r="S75" s="250">
        <f t="shared" si="62"/>
        <v>481.49245979068985</v>
      </c>
      <c r="T75" s="250" t="e">
        <f t="shared" si="62"/>
        <v>#DIV/0!</v>
      </c>
      <c r="U75" s="250" t="e">
        <f t="shared" si="62"/>
        <v>#DIV/0!</v>
      </c>
      <c r="V75" s="250" t="e">
        <f t="shared" si="62"/>
        <v>#DIV/0!</v>
      </c>
      <c r="W75" s="250" t="e">
        <f t="shared" si="62"/>
        <v>#DIV/0!</v>
      </c>
      <c r="X75" s="250" t="e">
        <f t="shared" si="62"/>
        <v>#DIV/0!</v>
      </c>
      <c r="Y75" s="250" t="e">
        <f t="shared" si="62"/>
        <v>#DIV/0!</v>
      </c>
      <c r="Z75" s="250" t="e">
        <f t="shared" si="62"/>
        <v>#DIV/0!</v>
      </c>
      <c r="AA75" s="250" t="e">
        <f t="shared" si="62"/>
        <v>#DIV/0!</v>
      </c>
      <c r="AB75" s="250" t="e">
        <f t="shared" si="62"/>
        <v>#DIV/0!</v>
      </c>
      <c r="AC75" s="250" t="e">
        <f t="shared" si="62"/>
        <v>#DIV/0!</v>
      </c>
      <c r="AD75" s="250" t="e">
        <f t="shared" si="62"/>
        <v>#DIV/0!</v>
      </c>
      <c r="AE75" s="250" t="e">
        <f t="shared" si="62"/>
        <v>#DIV/0!</v>
      </c>
      <c r="AF75" s="250" t="e">
        <f t="shared" si="62"/>
        <v>#DIV/0!</v>
      </c>
      <c r="AG75" s="250" t="e">
        <f t="shared" si="62"/>
        <v>#DIV/0!</v>
      </c>
      <c r="AH75" s="250" t="e">
        <f t="shared" si="62"/>
        <v>#DIV/0!</v>
      </c>
      <c r="AI75" s="250" t="e">
        <f t="shared" si="62"/>
        <v>#DIV/0!</v>
      </c>
      <c r="AJ75" s="250" t="e">
        <f t="shared" si="62"/>
        <v>#DIV/0!</v>
      </c>
      <c r="AK75" s="250" t="e">
        <f t="shared" si="62"/>
        <v>#DIV/0!</v>
      </c>
      <c r="AL75" s="250" t="e">
        <f t="shared" si="62"/>
        <v>#DIV/0!</v>
      </c>
      <c r="AM75" s="250" t="e">
        <f t="shared" si="62"/>
        <v>#DIV/0!</v>
      </c>
      <c r="AN75" s="250" t="e">
        <f t="shared" si="62"/>
        <v>#DIV/0!</v>
      </c>
      <c r="AO75" s="250" t="e">
        <f t="shared" si="62"/>
        <v>#DIV/0!</v>
      </c>
      <c r="AP75" s="250" t="e">
        <f t="shared" si="62"/>
        <v>#DIV/0!</v>
      </c>
      <c r="AQ75" s="250" t="e">
        <f t="shared" si="62"/>
        <v>#DIV/0!</v>
      </c>
      <c r="AR75" s="250" t="e">
        <f t="shared" si="62"/>
        <v>#DIV/0!</v>
      </c>
      <c r="AS75" s="250" t="e">
        <f t="shared" si="62"/>
        <v>#DIV/0!</v>
      </c>
      <c r="AT75" s="250" t="e">
        <f t="shared" si="62"/>
        <v>#DIV/0!</v>
      </c>
      <c r="AU75" s="250" t="e">
        <f t="shared" si="62"/>
        <v>#DIV/0!</v>
      </c>
      <c r="AV75" s="250" t="e">
        <f t="shared" si="62"/>
        <v>#DIV/0!</v>
      </c>
      <c r="AW75" s="250" t="e">
        <f t="shared" si="62"/>
        <v>#DIV/0!</v>
      </c>
      <c r="AX75" s="250" t="e">
        <f t="shared" si="62"/>
        <v>#DIV/0!</v>
      </c>
      <c r="AY75" s="250" t="e">
        <f t="shared" si="62"/>
        <v>#DIV/0!</v>
      </c>
      <c r="AZ75" s="250" t="e">
        <f t="shared" si="62"/>
        <v>#DIV/0!</v>
      </c>
      <c r="BA75" s="250" t="e">
        <f t="shared" si="62"/>
        <v>#DIV/0!</v>
      </c>
      <c r="BB75" s="250" t="e">
        <f t="shared" si="62"/>
        <v>#DIV/0!</v>
      </c>
      <c r="BC75" s="250" t="e">
        <f t="shared" si="62"/>
        <v>#DIV/0!</v>
      </c>
      <c r="BD75" s="250" t="e">
        <f t="shared" si="62"/>
        <v>#DIV/0!</v>
      </c>
      <c r="BE75" s="250" t="e">
        <f t="shared" si="62"/>
        <v>#DIV/0!</v>
      </c>
      <c r="BF75" s="250" t="e">
        <f t="shared" si="62"/>
        <v>#DIV/0!</v>
      </c>
      <c r="BG75" s="250" t="e">
        <f t="shared" si="62"/>
        <v>#DIV/0!</v>
      </c>
      <c r="BH75" s="250" t="e">
        <f t="shared" si="62"/>
        <v>#DIV/0!</v>
      </c>
      <c r="BI75" s="250" t="e">
        <f t="shared" si="62"/>
        <v>#DIV/0!</v>
      </c>
      <c r="BJ75" s="250" t="e">
        <f t="shared" si="62"/>
        <v>#DIV/0!</v>
      </c>
      <c r="BK75" s="250" t="e">
        <f t="shared" si="62"/>
        <v>#DIV/0!</v>
      </c>
      <c r="BL75" s="250" t="e">
        <f t="shared" si="62"/>
        <v>#DIV/0!</v>
      </c>
      <c r="BM75" s="250" t="e">
        <f t="shared" si="62"/>
        <v>#DIV/0!</v>
      </c>
      <c r="BN75" s="250" t="e">
        <f t="shared" si="62"/>
        <v>#DIV/0!</v>
      </c>
      <c r="BO75" s="250" t="e">
        <f t="shared" si="62"/>
        <v>#DIV/0!</v>
      </c>
      <c r="BP75" s="250" t="e">
        <f t="shared" si="62"/>
        <v>#DIV/0!</v>
      </c>
      <c r="BQ75" s="250" t="e">
        <f t="shared" si="62"/>
        <v>#DIV/0!</v>
      </c>
      <c r="BR75" s="250" t="e">
        <f t="shared" ref="BR75:CJ75" si="63">BR74-BR73</f>
        <v>#DIV/0!</v>
      </c>
      <c r="BS75" s="250" t="e">
        <f t="shared" si="63"/>
        <v>#DIV/0!</v>
      </c>
      <c r="BT75" s="250" t="e">
        <f t="shared" si="63"/>
        <v>#DIV/0!</v>
      </c>
      <c r="BU75" s="250" t="e">
        <f t="shared" si="63"/>
        <v>#DIV/0!</v>
      </c>
      <c r="BV75" s="250" t="e">
        <f t="shared" si="63"/>
        <v>#DIV/0!</v>
      </c>
      <c r="BW75" s="250" t="e">
        <f t="shared" si="63"/>
        <v>#DIV/0!</v>
      </c>
      <c r="BX75" s="250" t="e">
        <f t="shared" si="63"/>
        <v>#DIV/0!</v>
      </c>
      <c r="BY75" s="250" t="e">
        <f t="shared" si="63"/>
        <v>#DIV/0!</v>
      </c>
      <c r="BZ75" s="250" t="e">
        <f t="shared" si="63"/>
        <v>#DIV/0!</v>
      </c>
      <c r="CA75" s="250" t="e">
        <f t="shared" si="63"/>
        <v>#DIV/0!</v>
      </c>
      <c r="CB75" s="250" t="e">
        <f t="shared" si="63"/>
        <v>#DIV/0!</v>
      </c>
      <c r="CC75" s="250" t="e">
        <f t="shared" si="63"/>
        <v>#DIV/0!</v>
      </c>
      <c r="CD75" s="250" t="e">
        <f t="shared" si="63"/>
        <v>#DIV/0!</v>
      </c>
      <c r="CE75" s="250" t="e">
        <f t="shared" si="63"/>
        <v>#DIV/0!</v>
      </c>
      <c r="CF75" s="250" t="e">
        <f t="shared" si="63"/>
        <v>#DIV/0!</v>
      </c>
      <c r="CG75" s="250" t="e">
        <f t="shared" si="63"/>
        <v>#DIV/0!</v>
      </c>
      <c r="CH75" s="250" t="e">
        <f t="shared" si="63"/>
        <v>#DIV/0!</v>
      </c>
      <c r="CI75" s="250" t="e">
        <f t="shared" si="63"/>
        <v>#DIV/0!</v>
      </c>
      <c r="CJ75" s="250" t="e">
        <f t="shared" si="63"/>
        <v>#DIV/0!</v>
      </c>
    </row>
    <row r="76" spans="1:89" s="120" customFormat="1">
      <c r="A76" s="147" t="s">
        <v>371</v>
      </c>
      <c r="B76" s="120">
        <f t="shared" ref="B76:D76" si="64">B71-B64-B68</f>
        <v>-10498255830.25</v>
      </c>
      <c r="C76" s="120">
        <f t="shared" si="64"/>
        <v>-8648831924.6800003</v>
      </c>
      <c r="D76" s="120">
        <f t="shared" si="64"/>
        <v>-3904289254.2800007</v>
      </c>
      <c r="E76" s="120">
        <f>E71-E64-E68</f>
        <v>-18927639913.18</v>
      </c>
      <c r="F76" s="120">
        <f t="shared" ref="F76:BQ76" si="65">F71-F64-F68</f>
        <v>-17514951807.57</v>
      </c>
      <c r="G76" s="120">
        <f t="shared" si="65"/>
        <v>-13108538891.510002</v>
      </c>
      <c r="H76" s="120">
        <f t="shared" si="65"/>
        <v>-8323828019.1499996</v>
      </c>
      <c r="I76" s="120">
        <f t="shared" si="65"/>
        <v>-2103479407.5900002</v>
      </c>
      <c r="J76" s="120">
        <f t="shared" si="65"/>
        <v>-2339476767.6099997</v>
      </c>
      <c r="K76" s="120">
        <f t="shared" si="65"/>
        <v>-2141973892.3500004</v>
      </c>
      <c r="L76" s="120">
        <f t="shared" si="65"/>
        <v>-1004088604.8400002</v>
      </c>
      <c r="M76" s="120">
        <f t="shared" si="65"/>
        <v>-1274127789.1200001</v>
      </c>
      <c r="N76" s="120">
        <f t="shared" si="65"/>
        <v>-55091884.289999962</v>
      </c>
      <c r="O76" s="120">
        <f t="shared" si="65"/>
        <v>-502759266.07000017</v>
      </c>
      <c r="P76" s="120">
        <f t="shared" si="65"/>
        <v>-772461554.15999997</v>
      </c>
      <c r="Q76" s="120">
        <f t="shared" si="65"/>
        <v>-509836752.19999993</v>
      </c>
      <c r="R76" s="120">
        <f t="shared" si="65"/>
        <v>-682211139.93000007</v>
      </c>
      <c r="S76" s="120">
        <f t="shared" si="65"/>
        <v>-554706176.33999991</v>
      </c>
      <c r="T76" s="120">
        <f t="shared" si="65"/>
        <v>0</v>
      </c>
      <c r="U76" s="120">
        <f t="shared" si="65"/>
        <v>0</v>
      </c>
      <c r="V76" s="120">
        <f t="shared" si="65"/>
        <v>0</v>
      </c>
      <c r="W76" s="120">
        <f t="shared" si="65"/>
        <v>0</v>
      </c>
      <c r="X76" s="120">
        <f t="shared" si="65"/>
        <v>0</v>
      </c>
      <c r="Y76" s="120">
        <f t="shared" si="65"/>
        <v>0</v>
      </c>
      <c r="Z76" s="120">
        <f t="shared" si="65"/>
        <v>0</v>
      </c>
      <c r="AA76" s="120">
        <f t="shared" si="65"/>
        <v>0</v>
      </c>
      <c r="AB76" s="120">
        <f t="shared" si="65"/>
        <v>0</v>
      </c>
      <c r="AC76" s="120">
        <f t="shared" si="65"/>
        <v>0</v>
      </c>
      <c r="AD76" s="120">
        <f t="shared" si="65"/>
        <v>0</v>
      </c>
      <c r="AE76" s="120">
        <f t="shared" si="65"/>
        <v>0</v>
      </c>
      <c r="AF76" s="120">
        <f t="shared" si="65"/>
        <v>0</v>
      </c>
      <c r="AG76" s="120">
        <f t="shared" si="65"/>
        <v>0</v>
      </c>
      <c r="AH76" s="120">
        <f t="shared" si="65"/>
        <v>0</v>
      </c>
      <c r="AI76" s="120">
        <f t="shared" si="65"/>
        <v>0</v>
      </c>
      <c r="AJ76" s="120">
        <f t="shared" si="65"/>
        <v>0</v>
      </c>
      <c r="AK76" s="120">
        <f t="shared" si="65"/>
        <v>0</v>
      </c>
      <c r="AL76" s="120">
        <f t="shared" si="65"/>
        <v>0</v>
      </c>
      <c r="AM76" s="120">
        <f t="shared" si="65"/>
        <v>0</v>
      </c>
      <c r="AN76" s="120">
        <f t="shared" si="65"/>
        <v>0</v>
      </c>
      <c r="AO76" s="120">
        <f t="shared" si="65"/>
        <v>0</v>
      </c>
      <c r="AP76" s="120">
        <f t="shared" si="65"/>
        <v>0</v>
      </c>
      <c r="AQ76" s="120">
        <f t="shared" si="65"/>
        <v>0</v>
      </c>
      <c r="AR76" s="120">
        <f t="shared" si="65"/>
        <v>0</v>
      </c>
      <c r="AS76" s="120">
        <f t="shared" si="65"/>
        <v>0</v>
      </c>
      <c r="AT76" s="120">
        <f t="shared" si="65"/>
        <v>0</v>
      </c>
      <c r="AU76" s="120">
        <f t="shared" si="65"/>
        <v>0</v>
      </c>
      <c r="AV76" s="120">
        <f t="shared" si="65"/>
        <v>0</v>
      </c>
      <c r="AW76" s="120">
        <f t="shared" si="65"/>
        <v>0</v>
      </c>
      <c r="AX76" s="120">
        <f t="shared" si="65"/>
        <v>0</v>
      </c>
      <c r="AY76" s="120">
        <f t="shared" si="65"/>
        <v>0</v>
      </c>
      <c r="AZ76" s="120">
        <f t="shared" si="65"/>
        <v>0</v>
      </c>
      <c r="BA76" s="120">
        <f t="shared" si="65"/>
        <v>0</v>
      </c>
      <c r="BB76" s="120">
        <f t="shared" si="65"/>
        <v>0</v>
      </c>
      <c r="BC76" s="120">
        <f t="shared" si="65"/>
        <v>0</v>
      </c>
      <c r="BD76" s="120">
        <f t="shared" si="65"/>
        <v>0</v>
      </c>
      <c r="BE76" s="120">
        <f t="shared" si="65"/>
        <v>0</v>
      </c>
      <c r="BF76" s="120">
        <f t="shared" si="65"/>
        <v>0</v>
      </c>
      <c r="BG76" s="120">
        <f t="shared" si="65"/>
        <v>0</v>
      </c>
      <c r="BH76" s="120">
        <f t="shared" si="65"/>
        <v>0</v>
      </c>
      <c r="BI76" s="120">
        <f t="shared" si="65"/>
        <v>0</v>
      </c>
      <c r="BJ76" s="120">
        <f t="shared" si="65"/>
        <v>0</v>
      </c>
      <c r="BK76" s="120">
        <f t="shared" si="65"/>
        <v>0</v>
      </c>
      <c r="BL76" s="120">
        <f t="shared" si="65"/>
        <v>0</v>
      </c>
      <c r="BM76" s="120">
        <f t="shared" si="65"/>
        <v>0</v>
      </c>
      <c r="BN76" s="120">
        <f t="shared" si="65"/>
        <v>0</v>
      </c>
      <c r="BO76" s="120">
        <f t="shared" si="65"/>
        <v>0</v>
      </c>
      <c r="BP76" s="120">
        <f t="shared" si="65"/>
        <v>0</v>
      </c>
      <c r="BQ76" s="120">
        <f t="shared" si="65"/>
        <v>0</v>
      </c>
      <c r="BR76" s="120">
        <f t="shared" ref="BR76:CJ76" si="66">BR71-BR64-BR68</f>
        <v>0</v>
      </c>
      <c r="BS76" s="120">
        <f t="shared" si="66"/>
        <v>0</v>
      </c>
      <c r="BT76" s="120">
        <f t="shared" si="66"/>
        <v>0</v>
      </c>
      <c r="BU76" s="120">
        <f t="shared" si="66"/>
        <v>0</v>
      </c>
      <c r="BV76" s="120">
        <f t="shared" si="66"/>
        <v>0</v>
      </c>
      <c r="BW76" s="120">
        <f t="shared" si="66"/>
        <v>0</v>
      </c>
      <c r="BX76" s="120">
        <f t="shared" si="66"/>
        <v>0</v>
      </c>
      <c r="BY76" s="120">
        <f t="shared" si="66"/>
        <v>0</v>
      </c>
      <c r="BZ76" s="120">
        <f t="shared" si="66"/>
        <v>0</v>
      </c>
      <c r="CA76" s="120">
        <f t="shared" si="66"/>
        <v>0</v>
      </c>
      <c r="CB76" s="120">
        <f t="shared" si="66"/>
        <v>0</v>
      </c>
      <c r="CC76" s="120">
        <f t="shared" si="66"/>
        <v>0</v>
      </c>
      <c r="CD76" s="120">
        <f t="shared" si="66"/>
        <v>0</v>
      </c>
      <c r="CE76" s="120">
        <f t="shared" si="66"/>
        <v>0</v>
      </c>
      <c r="CF76" s="120">
        <f t="shared" si="66"/>
        <v>0</v>
      </c>
      <c r="CG76" s="120">
        <f t="shared" si="66"/>
        <v>0</v>
      </c>
      <c r="CH76" s="120">
        <f t="shared" si="66"/>
        <v>0</v>
      </c>
      <c r="CI76" s="120">
        <f t="shared" si="66"/>
        <v>0</v>
      </c>
      <c r="CJ76" s="120">
        <f t="shared" si="66"/>
        <v>0</v>
      </c>
    </row>
    <row r="77" spans="1:89" s="16" customFormat="1" ht="262.14999999999998" customHeight="1">
      <c r="A77" s="276" t="s">
        <v>576</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4" customFormat="1">
      <c r="A80" s="243" t="s">
        <v>464</v>
      </c>
      <c r="B80" s="271" t="s">
        <v>638</v>
      </c>
      <c r="C80" s="271" t="s">
        <v>639</v>
      </c>
      <c r="D80" s="271" t="s">
        <v>640</v>
      </c>
      <c r="E80" s="271" t="s">
        <v>641</v>
      </c>
      <c r="F80" s="271" t="s">
        <v>642</v>
      </c>
      <c r="G80" s="271" t="s">
        <v>643</v>
      </c>
      <c r="H80" s="271" t="s">
        <v>644</v>
      </c>
      <c r="I80" s="271" t="s">
        <v>645</v>
      </c>
      <c r="J80" s="271" t="s">
        <v>646</v>
      </c>
      <c r="K80" s="271" t="s">
        <v>647</v>
      </c>
      <c r="L80" s="271" t="s">
        <v>648</v>
      </c>
      <c r="M80" s="271" t="s">
        <v>649</v>
      </c>
      <c r="N80" s="271" t="s">
        <v>650</v>
      </c>
      <c r="O80" s="271" t="s">
        <v>651</v>
      </c>
      <c r="P80" s="271" t="s">
        <v>652</v>
      </c>
      <c r="Q80" s="271" t="s">
        <v>653</v>
      </c>
      <c r="R80" s="271" t="s">
        <v>654</v>
      </c>
      <c r="S80" s="271" t="s">
        <v>655</v>
      </c>
      <c r="T80" s="315"/>
      <c r="U80" s="315"/>
      <c r="V80" s="315"/>
      <c r="W80" s="315"/>
      <c r="X80" s="315"/>
      <c r="Y80" s="315"/>
      <c r="Z80" s="315"/>
      <c r="AA80" s="315"/>
      <c r="AB80" s="315"/>
      <c r="AC80" s="315"/>
      <c r="AD80" s="315"/>
      <c r="AE80" s="315"/>
      <c r="AF80" s="315"/>
      <c r="AG80" s="315"/>
      <c r="AH80" s="315"/>
      <c r="AI80" s="315"/>
      <c r="AJ80" s="315"/>
      <c r="AK80" s="315"/>
      <c r="AL80" s="315"/>
      <c r="AM80" s="315"/>
      <c r="AN80" s="315"/>
      <c r="AO80" s="315"/>
      <c r="AP80" s="315"/>
      <c r="AQ80" s="315"/>
      <c r="AR80" s="315"/>
      <c r="AS80" s="315"/>
      <c r="AT80" s="315"/>
      <c r="AU80" s="315"/>
      <c r="AV80" s="315"/>
      <c r="AW80" s="315"/>
      <c r="AX80" s="315"/>
      <c r="AY80" s="315"/>
      <c r="AZ80" s="315"/>
      <c r="BA80" s="315"/>
      <c r="BB80" s="315"/>
      <c r="BC80" s="315"/>
      <c r="BD80" s="315"/>
      <c r="BE80" s="315"/>
      <c r="BF80" s="315"/>
      <c r="BG80" s="315"/>
      <c r="BH80" s="315"/>
      <c r="BI80" s="315"/>
      <c r="BJ80" s="315"/>
      <c r="BK80" s="315"/>
      <c r="BL80" s="315"/>
      <c r="BM80" s="315"/>
      <c r="BN80" s="315"/>
      <c r="BO80" s="315"/>
      <c r="BP80" s="315"/>
      <c r="BQ80" s="315"/>
      <c r="BR80" s="315"/>
      <c r="BS80" s="315"/>
      <c r="BT80" s="315"/>
      <c r="BU80" s="315"/>
      <c r="BV80" s="315"/>
      <c r="BW80" s="315"/>
      <c r="BX80" s="315"/>
      <c r="BY80" s="315"/>
      <c r="BZ80" s="315"/>
      <c r="CA80" s="315"/>
      <c r="CB80" s="315"/>
      <c r="CC80" s="315"/>
      <c r="CD80" s="315"/>
      <c r="CE80" s="315"/>
      <c r="CF80" s="315"/>
      <c r="CG80" s="315"/>
      <c r="CH80" s="315"/>
      <c r="CI80" s="315"/>
      <c r="CJ80" s="315"/>
      <c r="CK80" s="315"/>
    </row>
    <row r="81" spans="1:89" s="76" customFormat="1">
      <c r="A81" s="70" t="s">
        <v>465</v>
      </c>
      <c r="B81" s="194">
        <f>股权价值增加表!B4</f>
        <v>73638872388.029999</v>
      </c>
      <c r="C81" s="194">
        <f>股权价值增加表!C4</f>
        <v>58217861314.169998</v>
      </c>
      <c r="D81" s="194">
        <f>股权价值增加表!D4</f>
        <v>38862189993.839996</v>
      </c>
      <c r="E81" s="76">
        <f>股权价值增加表!E4</f>
        <v>32659583725.279999</v>
      </c>
      <c r="F81" s="76">
        <f>股权价值增加表!F4</f>
        <v>31573928530.939999</v>
      </c>
      <c r="G81" s="76">
        <f>股权价值增加表!G4</f>
        <v>30921801316.599998</v>
      </c>
      <c r="H81" s="76">
        <f>股权价值增加表!H4</f>
        <v>26455335152.990002</v>
      </c>
      <c r="I81" s="76">
        <f>股权价值增加表!I4</f>
        <v>18402355207.299999</v>
      </c>
      <c r="J81" s="76">
        <f>股权价值增加表!J4</f>
        <v>11633283740.18</v>
      </c>
      <c r="K81" s="76">
        <f>股权价值增加表!K4</f>
        <v>9669999065.3899994</v>
      </c>
      <c r="L81" s="76">
        <f>股权价值增加表!L4</f>
        <v>8241685564.1099997</v>
      </c>
      <c r="M81" s="76">
        <f>股权价值增加表!M4</f>
        <v>7237430747.1199999</v>
      </c>
      <c r="N81" s="76">
        <f>股权价值增加表!N4</f>
        <v>4896186901.21</v>
      </c>
      <c r="O81" s="76">
        <f>股权价值增加表!O4</f>
        <v>3930515237.6100001</v>
      </c>
      <c r="P81" s="76">
        <f>股权价值增加表!P4</f>
        <v>3009793519.9200001</v>
      </c>
      <c r="Q81" s="76">
        <f>股权价值增加表!Q4</f>
        <v>2401017934.9299998</v>
      </c>
      <c r="R81" s="76">
        <f>股权价值增加表!R4</f>
        <v>1838129976.3399999</v>
      </c>
      <c r="S81" s="76">
        <f>股权价值增加表!S4</f>
        <v>1619202408.97</v>
      </c>
      <c r="T81" s="76">
        <f>股权价值增加表!T4</f>
        <v>0</v>
      </c>
      <c r="U81" s="76">
        <f>股权价值增加表!U4</f>
        <v>0</v>
      </c>
      <c r="V81" s="76">
        <f>股权价值增加表!V4</f>
        <v>0</v>
      </c>
      <c r="W81" s="76">
        <f>股权价值增加表!W4</f>
        <v>0</v>
      </c>
      <c r="X81" s="76">
        <f>股权价值增加表!X4</f>
        <v>0</v>
      </c>
      <c r="Y81" s="76">
        <f>股权价值增加表!Y4</f>
        <v>0</v>
      </c>
      <c r="Z81" s="76">
        <f>股权价值增加表!Z4</f>
        <v>0</v>
      </c>
      <c r="AA81" s="76">
        <f>股权价值增加表!AA4</f>
        <v>0</v>
      </c>
      <c r="AB81" s="76">
        <f>股权价值增加表!AB4</f>
        <v>0</v>
      </c>
      <c r="AC81" s="76">
        <f>股权价值增加表!AC4</f>
        <v>0</v>
      </c>
      <c r="AD81" s="76">
        <f>股权价值增加表!AD4</f>
        <v>0</v>
      </c>
      <c r="AE81" s="76">
        <f>股权价值增加表!AE4</f>
        <v>0</v>
      </c>
      <c r="AF81" s="76">
        <f>股权价值增加表!AF4</f>
        <v>0</v>
      </c>
      <c r="AG81" s="76">
        <f>股权价值增加表!AG4</f>
        <v>0</v>
      </c>
      <c r="AH81" s="76">
        <f>股权价值增加表!AH4</f>
        <v>0</v>
      </c>
      <c r="AI81" s="76">
        <f>股权价值增加表!AI4</f>
        <v>0</v>
      </c>
      <c r="AJ81" s="76">
        <f>股权价值增加表!AJ4</f>
        <v>0</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466</v>
      </c>
      <c r="B82" s="194">
        <f>投资和筹资活动现金流表!B34</f>
        <v>21955839428.439999</v>
      </c>
      <c r="C82" s="194">
        <f>投资和筹资活动现金流表!C34</f>
        <v>22331930913.48</v>
      </c>
      <c r="D82" s="194">
        <f>投资和筹资活动现金流表!D34</f>
        <v>22724989474.84</v>
      </c>
      <c r="E82" s="76">
        <f>投资和筹资活动现金流表!E34</f>
        <v>21267949399.18</v>
      </c>
      <c r="F82" s="76">
        <f>投资和筹资活动现金流表!F34</f>
        <v>18298236150.310001</v>
      </c>
      <c r="G82" s="76">
        <f>投资和筹资活动现金流表!G34</f>
        <v>13522567242.82</v>
      </c>
      <c r="H82" s="76">
        <f>投资和筹资活动现金流表!H34</f>
        <v>8773132339.5799999</v>
      </c>
      <c r="I82" s="76">
        <f>投资和筹资活动现金流表!I34</f>
        <v>7071236794.9799995</v>
      </c>
      <c r="J82" s="76">
        <f>投资和筹资活动现金流表!J34</f>
        <v>5287295112.3800001</v>
      </c>
      <c r="K82" s="76">
        <f>投资和筹资活动现金流表!K34</f>
        <v>4114037784.3299999</v>
      </c>
      <c r="L82" s="76">
        <f>投资和筹资活动现金流表!L34</f>
        <v>3513436953.5100002</v>
      </c>
      <c r="M82" s="76">
        <f>投资和筹资活动现金流表!M34</f>
        <v>3209968937.0300002</v>
      </c>
      <c r="N82" s="76">
        <f>投资和筹资活动现金流表!N34</f>
        <v>2638340763.6999998</v>
      </c>
      <c r="O82" s="76">
        <f>投资和筹资活动现金流表!O34</f>
        <v>2038076176.98</v>
      </c>
      <c r="P82" s="76">
        <f>投资和筹资活动现金流表!P34</f>
        <v>1601014475.77</v>
      </c>
      <c r="Q82" s="76">
        <f>投资和筹资活动现金流表!Q34</f>
        <v>1200336776.9300001</v>
      </c>
      <c r="R82" s="76">
        <f>投资和筹资活动现金流表!R34</f>
        <v>939648707.25</v>
      </c>
      <c r="S82" s="76">
        <f>投资和筹资活动现金流表!S34</f>
        <v>0</v>
      </c>
      <c r="T82" s="76">
        <f>投资和筹资活动现金流表!T34</f>
        <v>16579774564.629999</v>
      </c>
      <c r="U82" s="76">
        <f>投资和筹资活动现金流表!U34</f>
        <v>15583608259.01</v>
      </c>
      <c r="V82" s="76">
        <f>投资和筹资活动现金流表!V34</f>
        <v>13522567242.82</v>
      </c>
      <c r="W82" s="76">
        <f>投资和筹资活动现金流表!W34</f>
        <v>9433590713.1000004</v>
      </c>
      <c r="X82" s="76">
        <f>投资和筹资活动现金流表!X34</f>
        <v>8937733311.7900009</v>
      </c>
      <c r="Y82" s="76">
        <f>投资和筹资活动现金流表!AZ34</f>
        <v>2263427977.0500002</v>
      </c>
      <c r="Z82" s="76">
        <f>投资和筹资活动现金流表!BA34</f>
        <v>2115638921.48</v>
      </c>
      <c r="AA82" s="76">
        <f>投资和筹资活动现金流表!BB34</f>
        <v>2038076176.98</v>
      </c>
      <c r="AB82" s="76">
        <f>投资和筹资活动现金流表!BC34</f>
        <v>1904956898.72</v>
      </c>
      <c r="AC82" s="76">
        <f>投资和筹资活动现金流表!BD34</f>
        <v>1780876639.3299999</v>
      </c>
      <c r="AD82" s="76">
        <f>投资和筹资活动现金流表!BE34</f>
        <v>1685409788.29</v>
      </c>
      <c r="AE82" s="76">
        <f>投资和筹资活动现金流表!BF34</f>
        <v>1601014475.77</v>
      </c>
      <c r="AF82" s="76">
        <f>投资和筹资活动现金流表!BG34</f>
        <v>1463570659.45</v>
      </c>
      <c r="AG82" s="76">
        <f>投资和筹资活动现金流表!BH34</f>
        <v>1398793760.26</v>
      </c>
      <c r="AH82" s="76">
        <f>投资和筹资活动现金流表!BI34</f>
        <v>1332300138.5599999</v>
      </c>
      <c r="AI82" s="76">
        <f>投资和筹资活动现金流表!BJ34</f>
        <v>1200336776.9300001</v>
      </c>
      <c r="AJ82" s="76">
        <f>投资和筹资活动现金流表!BK34</f>
        <v>1165910893.28</v>
      </c>
      <c r="AK82" s="76">
        <f>投资和筹资活动现金流表!BL34</f>
        <v>1092933336.0799999</v>
      </c>
      <c r="AL82" s="76">
        <f>投资和筹资活动现金流表!BM34</f>
        <v>1019774319.86</v>
      </c>
      <c r="AM82" s="76">
        <f>投资和筹资活动现金流表!BN34</f>
        <v>939648707.25</v>
      </c>
      <c r="AN82" s="76">
        <f>投资和筹资活动现金流表!BO34</f>
        <v>859601030.65999997</v>
      </c>
      <c r="AO82" s="76">
        <f>投资和筹资活动现金流表!BP34</f>
        <v>748821426.96000004</v>
      </c>
      <c r="AP82" s="76">
        <f>投资和筹资活动现金流表!BQ34</f>
        <v>3513436953.5100002</v>
      </c>
      <c r="AQ82" s="76">
        <f>投资和筹资活动现金流表!BR34</f>
        <v>3739014271</v>
      </c>
      <c r="AR82" s="76">
        <f>投资和筹资活动现金流表!BS34</f>
        <v>3526080172.4299998</v>
      </c>
      <c r="AS82" s="76">
        <f>投资和筹资活动现金流表!AS34</f>
        <v>3338338900.5300002</v>
      </c>
      <c r="AT82" s="76">
        <f>投资和筹资活动现金流表!AT34</f>
        <v>3209968937.0300002</v>
      </c>
      <c r="AU82" s="76">
        <f>投资和筹资活动现金流表!AU34</f>
        <v>3086136003.2399998</v>
      </c>
      <c r="AV82" s="76">
        <f>投资和筹资活动现金流表!AV34</f>
        <v>2952999545.0700002</v>
      </c>
      <c r="AW82" s="76">
        <f>投资和筹资活动现金流表!AW34</f>
        <v>2845284852.9899998</v>
      </c>
      <c r="AX82" s="76">
        <f>投资和筹资活动现金流表!AX34</f>
        <v>2638340763.6999998</v>
      </c>
      <c r="AY82" s="76">
        <f>投资和筹资活动现金流表!AY34</f>
        <v>2450389777.1900001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c r="A83" s="245" t="s">
        <v>467</v>
      </c>
      <c r="B83" s="153">
        <f t="shared" ref="B83:D83" si="67">B81/B82</f>
        <v>3.3539538594294673</v>
      </c>
      <c r="C83" s="153">
        <f t="shared" si="67"/>
        <v>2.6069336117741853</v>
      </c>
      <c r="D83" s="153">
        <f t="shared" si="67"/>
        <v>1.7101081625083399</v>
      </c>
      <c r="E83" s="153">
        <f>E81/E82</f>
        <v>1.5356244794591813</v>
      </c>
      <c r="F83" s="153">
        <f t="shared" ref="F83:BQ83" si="68">F81/F82</f>
        <v>1.7255176002526935</v>
      </c>
      <c r="G83" s="153">
        <f t="shared" si="68"/>
        <v>2.2866812759254995</v>
      </c>
      <c r="H83" s="153">
        <f t="shared" si="68"/>
        <v>3.0154948231701368</v>
      </c>
      <c r="I83" s="153">
        <f t="shared" si="68"/>
        <v>2.6024238391173902</v>
      </c>
      <c r="J83" s="153">
        <f t="shared" si="68"/>
        <v>2.2002334828901664</v>
      </c>
      <c r="K83" s="153">
        <f t="shared" si="68"/>
        <v>2.3504886372755633</v>
      </c>
      <c r="L83" s="153">
        <f t="shared" si="68"/>
        <v>2.3457616212171888</v>
      </c>
      <c r="M83" s="153">
        <f t="shared" si="68"/>
        <v>2.2546731414218542</v>
      </c>
      <c r="N83" s="153">
        <f t="shared" si="68"/>
        <v>1.8557826072260677</v>
      </c>
      <c r="O83" s="153">
        <f t="shared" si="68"/>
        <v>1.9285418680641253</v>
      </c>
      <c r="P83" s="153">
        <f t="shared" si="68"/>
        <v>1.8799289859465229</v>
      </c>
      <c r="Q83" s="153">
        <f t="shared" si="68"/>
        <v>2.0002869037062085</v>
      </c>
      <c r="R83" s="153">
        <f t="shared" si="68"/>
        <v>1.9561884799687728</v>
      </c>
      <c r="S83" s="153" t="e">
        <f t="shared" si="68"/>
        <v>#DIV/0!</v>
      </c>
      <c r="T83" s="153">
        <f t="shared" si="68"/>
        <v>0</v>
      </c>
      <c r="U83" s="153">
        <f t="shared" si="68"/>
        <v>0</v>
      </c>
      <c r="V83" s="153">
        <f t="shared" si="68"/>
        <v>0</v>
      </c>
      <c r="W83" s="153">
        <f t="shared" si="68"/>
        <v>0</v>
      </c>
      <c r="X83" s="153">
        <f t="shared" si="68"/>
        <v>0</v>
      </c>
      <c r="Y83" s="153">
        <f t="shared" si="68"/>
        <v>0</v>
      </c>
      <c r="Z83" s="153">
        <f t="shared" si="68"/>
        <v>0</v>
      </c>
      <c r="AA83" s="153">
        <f t="shared" si="68"/>
        <v>0</v>
      </c>
      <c r="AB83" s="153">
        <f t="shared" si="68"/>
        <v>0</v>
      </c>
      <c r="AC83" s="153">
        <f t="shared" si="68"/>
        <v>0</v>
      </c>
      <c r="AD83" s="153">
        <f t="shared" si="68"/>
        <v>0</v>
      </c>
      <c r="AE83" s="153">
        <f t="shared" si="68"/>
        <v>0</v>
      </c>
      <c r="AF83" s="153">
        <f t="shared" si="68"/>
        <v>0</v>
      </c>
      <c r="AG83" s="153">
        <f t="shared" si="68"/>
        <v>0</v>
      </c>
      <c r="AH83" s="153">
        <f t="shared" si="68"/>
        <v>0</v>
      </c>
      <c r="AI83" s="153">
        <f t="shared" si="68"/>
        <v>0</v>
      </c>
      <c r="AJ83" s="153">
        <f t="shared" si="68"/>
        <v>0</v>
      </c>
      <c r="AK83" s="153">
        <f t="shared" si="68"/>
        <v>0</v>
      </c>
      <c r="AL83" s="153">
        <f t="shared" si="68"/>
        <v>0</v>
      </c>
      <c r="AM83" s="153">
        <f t="shared" si="68"/>
        <v>0</v>
      </c>
      <c r="AN83" s="153">
        <f t="shared" si="68"/>
        <v>0</v>
      </c>
      <c r="AO83" s="153">
        <f t="shared" si="68"/>
        <v>0</v>
      </c>
      <c r="AP83" s="153">
        <f t="shared" si="68"/>
        <v>0</v>
      </c>
      <c r="AQ83" s="153">
        <f t="shared" si="68"/>
        <v>0</v>
      </c>
      <c r="AR83" s="153">
        <f t="shared" si="68"/>
        <v>0</v>
      </c>
      <c r="AS83" s="153">
        <f t="shared" si="68"/>
        <v>0</v>
      </c>
      <c r="AT83" s="153">
        <f t="shared" si="68"/>
        <v>0</v>
      </c>
      <c r="AU83" s="153">
        <f t="shared" si="68"/>
        <v>0</v>
      </c>
      <c r="AV83" s="153">
        <f t="shared" si="68"/>
        <v>0</v>
      </c>
      <c r="AW83" s="153">
        <f t="shared" si="68"/>
        <v>0</v>
      </c>
      <c r="AX83" s="153">
        <f t="shared" si="68"/>
        <v>0</v>
      </c>
      <c r="AY83" s="153">
        <f t="shared" si="68"/>
        <v>0</v>
      </c>
      <c r="AZ83" s="153" t="e">
        <f t="shared" si="68"/>
        <v>#REF!</v>
      </c>
      <c r="BA83" s="153" t="e">
        <f t="shared" si="68"/>
        <v>#REF!</v>
      </c>
      <c r="BB83" s="153" t="e">
        <f t="shared" si="68"/>
        <v>#REF!</v>
      </c>
      <c r="BC83" s="153" t="e">
        <f t="shared" si="68"/>
        <v>#REF!</v>
      </c>
      <c r="BD83" s="153" t="e">
        <f t="shared" si="68"/>
        <v>#REF!</v>
      </c>
      <c r="BE83" s="153" t="e">
        <f t="shared" si="68"/>
        <v>#REF!</v>
      </c>
      <c r="BF83" s="153" t="e">
        <f t="shared" si="68"/>
        <v>#REF!</v>
      </c>
      <c r="BG83" s="153" t="e">
        <f t="shared" si="68"/>
        <v>#REF!</v>
      </c>
      <c r="BH83" s="153" t="e">
        <f t="shared" si="68"/>
        <v>#REF!</v>
      </c>
      <c r="BI83" s="153" t="e">
        <f t="shared" si="68"/>
        <v>#REF!</v>
      </c>
      <c r="BJ83" s="153" t="e">
        <f t="shared" si="68"/>
        <v>#REF!</v>
      </c>
      <c r="BK83" s="153" t="e">
        <f t="shared" si="68"/>
        <v>#REF!</v>
      </c>
      <c r="BL83" s="153" t="e">
        <f t="shared" si="68"/>
        <v>#REF!</v>
      </c>
      <c r="BM83" s="153" t="e">
        <f t="shared" si="68"/>
        <v>#REF!</v>
      </c>
      <c r="BN83" s="153" t="e">
        <f t="shared" si="68"/>
        <v>#REF!</v>
      </c>
      <c r="BO83" s="153" t="e">
        <f t="shared" si="68"/>
        <v>#REF!</v>
      </c>
      <c r="BP83" s="153" t="e">
        <f t="shared" si="68"/>
        <v>#REF!</v>
      </c>
      <c r="BQ83" s="153" t="e">
        <f t="shared" si="68"/>
        <v>#REF!</v>
      </c>
      <c r="BR83" s="153" t="e">
        <f t="shared" ref="BR83:CK83" si="69">BR81/BR82</f>
        <v>#REF!</v>
      </c>
      <c r="BS83" s="153" t="e">
        <f t="shared" si="69"/>
        <v>#REF!</v>
      </c>
      <c r="BT83" s="153" t="e">
        <f t="shared" si="69"/>
        <v>#DIV/0!</v>
      </c>
      <c r="BU83" s="153" t="e">
        <f t="shared" si="69"/>
        <v>#DIV/0!</v>
      </c>
      <c r="BV83" s="153" t="e">
        <f t="shared" si="69"/>
        <v>#DIV/0!</v>
      </c>
      <c r="BW83" s="153" t="e">
        <f t="shared" si="69"/>
        <v>#DIV/0!</v>
      </c>
      <c r="BX83" s="153" t="e">
        <f t="shared" si="69"/>
        <v>#DIV/0!</v>
      </c>
      <c r="BY83" s="153" t="e">
        <f t="shared" si="69"/>
        <v>#DIV/0!</v>
      </c>
      <c r="BZ83" s="153" t="e">
        <f t="shared" si="69"/>
        <v>#DIV/0!</v>
      </c>
      <c r="CA83" s="153" t="e">
        <f t="shared" si="69"/>
        <v>#DIV/0!</v>
      </c>
      <c r="CB83" s="153" t="e">
        <f t="shared" si="69"/>
        <v>#DIV/0!</v>
      </c>
      <c r="CC83" s="153" t="e">
        <f t="shared" si="69"/>
        <v>#DIV/0!</v>
      </c>
      <c r="CD83" s="153" t="e">
        <f t="shared" si="69"/>
        <v>#DIV/0!</v>
      </c>
      <c r="CE83" s="153" t="e">
        <f t="shared" si="69"/>
        <v>#DIV/0!</v>
      </c>
      <c r="CF83" s="153" t="e">
        <f t="shared" si="69"/>
        <v>#DIV/0!</v>
      </c>
      <c r="CG83" s="153" t="e">
        <f t="shared" si="69"/>
        <v>#DIV/0!</v>
      </c>
      <c r="CH83" s="153" t="e">
        <f t="shared" si="69"/>
        <v>#DIV/0!</v>
      </c>
      <c r="CI83" s="153" t="e">
        <f t="shared" si="69"/>
        <v>#DIV/0!</v>
      </c>
      <c r="CJ83" s="153" t="e">
        <f t="shared" si="69"/>
        <v>#DIV/0!</v>
      </c>
      <c r="CK83" s="153" t="e">
        <f t="shared" si="69"/>
        <v>#DIV/0!</v>
      </c>
    </row>
    <row r="84" spans="1:89" s="76" customFormat="1">
      <c r="A84" s="70" t="s">
        <v>468</v>
      </c>
      <c r="B84" s="194">
        <f>资产资本表!B52</f>
        <v>15248556585.02</v>
      </c>
      <c r="C84" s="194">
        <f>资产资本表!C52</f>
        <v>15244096632.02</v>
      </c>
      <c r="D84" s="194">
        <f>资产资本表!D52</f>
        <v>14453177439.34</v>
      </c>
      <c r="E84" s="76">
        <f>资产资本表!E52</f>
        <v>11415953189.719999</v>
      </c>
      <c r="F84" s="76">
        <f>资产资本表!F52</f>
        <v>10375757771.59</v>
      </c>
      <c r="G84" s="76">
        <f>资产资本表!G52</f>
        <v>8523256960.1099997</v>
      </c>
      <c r="H84" s="76">
        <f>资产资本表!H52</f>
        <v>6807333231.0900002</v>
      </c>
      <c r="I84" s="76">
        <f>资产资本表!I52</f>
        <v>5426012349.6099997</v>
      </c>
      <c r="J84" s="76">
        <f>资产资本表!J52</f>
        <v>4191851111.9699998</v>
      </c>
      <c r="K84" s="76">
        <f>资产资本表!K52</f>
        <v>3168725156.29</v>
      </c>
      <c r="L84" s="76">
        <f>资产资本表!L52</f>
        <v>2190171911.8899999</v>
      </c>
      <c r="M84" s="76">
        <f>资产资本表!M52</f>
        <v>1826983364.3599999</v>
      </c>
      <c r="N84" s="76">
        <f>资产资本表!N52</f>
        <v>1222202623.3</v>
      </c>
      <c r="O84" s="76">
        <f>资产资本表!O52</f>
        <v>981382035.5</v>
      </c>
      <c r="P84" s="76">
        <f>资产资本表!P52</f>
        <v>715522677.41999996</v>
      </c>
      <c r="Q84" s="76">
        <f>资产资本表!Q52</f>
        <v>440813831.82999998</v>
      </c>
      <c r="R84" s="76">
        <f>资产资本表!R52</f>
        <v>470098687.69</v>
      </c>
      <c r="S84" s="76">
        <f>资产资本表!S52</f>
        <v>414239895.73000002</v>
      </c>
      <c r="T84" s="76">
        <f>资产资本表!T52</f>
        <v>0</v>
      </c>
      <c r="U84" s="76">
        <f>资产资本表!U52</f>
        <v>0</v>
      </c>
      <c r="V84" s="76">
        <f>资产资本表!V52</f>
        <v>0</v>
      </c>
      <c r="W84" s="76">
        <f>资产资本表!W52</f>
        <v>0</v>
      </c>
      <c r="X84" s="76">
        <f>资产资本表!X52</f>
        <v>0</v>
      </c>
      <c r="Y84" s="76">
        <f>资产资本表!Y52</f>
        <v>0</v>
      </c>
      <c r="Z84" s="76">
        <f>资产资本表!Z52</f>
        <v>0</v>
      </c>
      <c r="AA84" s="76">
        <f>资产资本表!AA52</f>
        <v>0</v>
      </c>
      <c r="AB84" s="76">
        <f>资产资本表!AB52</f>
        <v>0</v>
      </c>
      <c r="AC84" s="76">
        <f>资产资本表!AC52</f>
        <v>0</v>
      </c>
      <c r="AD84" s="76">
        <f>资产资本表!AD52</f>
        <v>0</v>
      </c>
      <c r="AE84" s="76">
        <f>资产资本表!AE52</f>
        <v>0</v>
      </c>
      <c r="AF84" s="76">
        <f>资产资本表!AF52</f>
        <v>0</v>
      </c>
      <c r="AG84" s="76">
        <f>资产资本表!AG52</f>
        <v>0</v>
      </c>
      <c r="AH84" s="76">
        <f>资产资本表!AH52</f>
        <v>0</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c r="A85" s="245" t="s">
        <v>469</v>
      </c>
      <c r="B85" s="153">
        <f t="shared" ref="B85:D85" si="70">B81/B84</f>
        <v>4.8292356051832437</v>
      </c>
      <c r="C85" s="153">
        <f t="shared" si="70"/>
        <v>3.8190430511890248</v>
      </c>
      <c r="D85" s="153">
        <f t="shared" si="70"/>
        <v>2.6888336600684966</v>
      </c>
      <c r="E85" s="153">
        <f>E81/E84</f>
        <v>2.8608722532858462</v>
      </c>
      <c r="F85" s="153">
        <f t="shared" ref="F85:BQ85" si="71">F81/F84</f>
        <v>3.0430479610263252</v>
      </c>
      <c r="G85" s="153">
        <f t="shared" si="71"/>
        <v>3.62793254518997</v>
      </c>
      <c r="H85" s="153">
        <f t="shared" si="71"/>
        <v>3.8862994148964169</v>
      </c>
      <c r="I85" s="153">
        <f t="shared" si="71"/>
        <v>3.391506325750012</v>
      </c>
      <c r="J85" s="153">
        <f t="shared" si="71"/>
        <v>2.7752139638167703</v>
      </c>
      <c r="K85" s="153">
        <f t="shared" si="71"/>
        <v>3.051700159666674</v>
      </c>
      <c r="L85" s="153">
        <f t="shared" si="71"/>
        <v>3.7630313489856926</v>
      </c>
      <c r="M85" s="153">
        <f t="shared" si="71"/>
        <v>3.9614103162101331</v>
      </c>
      <c r="N85" s="153">
        <f t="shared" si="71"/>
        <v>4.0060353396968527</v>
      </c>
      <c r="O85" s="153">
        <f t="shared" si="71"/>
        <v>4.005081706643896</v>
      </c>
      <c r="P85" s="153">
        <f t="shared" si="71"/>
        <v>4.2064264556541806</v>
      </c>
      <c r="Q85" s="153">
        <f t="shared" si="71"/>
        <v>5.4467844735324755</v>
      </c>
      <c r="R85" s="153">
        <f t="shared" si="71"/>
        <v>3.9100938259843199</v>
      </c>
      <c r="S85" s="153">
        <f t="shared" si="71"/>
        <v>3.9088519132531601</v>
      </c>
      <c r="T85" s="153" t="e">
        <f t="shared" si="71"/>
        <v>#DIV/0!</v>
      </c>
      <c r="U85" s="153" t="e">
        <f t="shared" si="71"/>
        <v>#DIV/0!</v>
      </c>
      <c r="V85" s="153" t="e">
        <f t="shared" si="71"/>
        <v>#DIV/0!</v>
      </c>
      <c r="W85" s="153" t="e">
        <f t="shared" si="71"/>
        <v>#DIV/0!</v>
      </c>
      <c r="X85" s="153" t="e">
        <f t="shared" si="71"/>
        <v>#DIV/0!</v>
      </c>
      <c r="Y85" s="153" t="e">
        <f t="shared" si="71"/>
        <v>#DIV/0!</v>
      </c>
      <c r="Z85" s="153" t="e">
        <f t="shared" si="71"/>
        <v>#DIV/0!</v>
      </c>
      <c r="AA85" s="153" t="e">
        <f t="shared" si="71"/>
        <v>#DIV/0!</v>
      </c>
      <c r="AB85" s="153" t="e">
        <f t="shared" si="71"/>
        <v>#DIV/0!</v>
      </c>
      <c r="AC85" s="153" t="e">
        <f t="shared" si="71"/>
        <v>#DIV/0!</v>
      </c>
      <c r="AD85" s="153" t="e">
        <f t="shared" si="71"/>
        <v>#DIV/0!</v>
      </c>
      <c r="AE85" s="153" t="e">
        <f t="shared" si="71"/>
        <v>#DIV/0!</v>
      </c>
      <c r="AF85" s="153" t="e">
        <f t="shared" si="71"/>
        <v>#DIV/0!</v>
      </c>
      <c r="AG85" s="153" t="e">
        <f t="shared" si="71"/>
        <v>#DIV/0!</v>
      </c>
      <c r="AH85" s="153" t="e">
        <f t="shared" si="71"/>
        <v>#DIV/0!</v>
      </c>
      <c r="AI85" s="153" t="e">
        <f t="shared" si="71"/>
        <v>#DIV/0!</v>
      </c>
      <c r="AJ85" s="153" t="e">
        <f t="shared" si="71"/>
        <v>#DIV/0!</v>
      </c>
      <c r="AK85" s="153" t="e">
        <f t="shared" si="71"/>
        <v>#DIV/0!</v>
      </c>
      <c r="AL85" s="153" t="e">
        <f t="shared" si="71"/>
        <v>#DIV/0!</v>
      </c>
      <c r="AM85" s="153" t="e">
        <f t="shared" si="71"/>
        <v>#DIV/0!</v>
      </c>
      <c r="AN85" s="153" t="e">
        <f t="shared" si="71"/>
        <v>#DIV/0!</v>
      </c>
      <c r="AO85" s="153" t="e">
        <f t="shared" si="71"/>
        <v>#DIV/0!</v>
      </c>
      <c r="AP85" s="153" t="e">
        <f t="shared" si="71"/>
        <v>#DIV/0!</v>
      </c>
      <c r="AQ85" s="153" t="e">
        <f t="shared" si="71"/>
        <v>#DIV/0!</v>
      </c>
      <c r="AR85" s="153" t="e">
        <f t="shared" si="71"/>
        <v>#DIV/0!</v>
      </c>
      <c r="AS85" s="153" t="e">
        <f t="shared" si="71"/>
        <v>#DIV/0!</v>
      </c>
      <c r="AT85" s="153" t="e">
        <f t="shared" si="71"/>
        <v>#DIV/0!</v>
      </c>
      <c r="AU85" s="153" t="e">
        <f t="shared" si="71"/>
        <v>#DIV/0!</v>
      </c>
      <c r="AV85" s="153" t="e">
        <f t="shared" si="71"/>
        <v>#DIV/0!</v>
      </c>
      <c r="AW85" s="153" t="e">
        <f t="shared" si="71"/>
        <v>#DIV/0!</v>
      </c>
      <c r="AX85" s="153" t="e">
        <f t="shared" si="71"/>
        <v>#DIV/0!</v>
      </c>
      <c r="AY85" s="153" t="e">
        <f t="shared" si="71"/>
        <v>#DIV/0!</v>
      </c>
      <c r="AZ85" s="153" t="e">
        <f t="shared" si="71"/>
        <v>#DIV/0!</v>
      </c>
      <c r="BA85" s="153" t="e">
        <f t="shared" si="71"/>
        <v>#DIV/0!</v>
      </c>
      <c r="BB85" s="153" t="e">
        <f t="shared" si="71"/>
        <v>#DIV/0!</v>
      </c>
      <c r="BC85" s="153" t="e">
        <f t="shared" si="71"/>
        <v>#DIV/0!</v>
      </c>
      <c r="BD85" s="153" t="e">
        <f t="shared" si="71"/>
        <v>#DIV/0!</v>
      </c>
      <c r="BE85" s="153" t="e">
        <f t="shared" si="71"/>
        <v>#DIV/0!</v>
      </c>
      <c r="BF85" s="153" t="e">
        <f t="shared" si="71"/>
        <v>#DIV/0!</v>
      </c>
      <c r="BG85" s="153" t="e">
        <f t="shared" si="71"/>
        <v>#DIV/0!</v>
      </c>
      <c r="BH85" s="153" t="e">
        <f t="shared" si="71"/>
        <v>#DIV/0!</v>
      </c>
      <c r="BI85" s="153" t="e">
        <f t="shared" si="71"/>
        <v>#DIV/0!</v>
      </c>
      <c r="BJ85" s="153" t="e">
        <f t="shared" si="71"/>
        <v>#DIV/0!</v>
      </c>
      <c r="BK85" s="153" t="e">
        <f t="shared" si="71"/>
        <v>#DIV/0!</v>
      </c>
      <c r="BL85" s="153" t="e">
        <f t="shared" si="71"/>
        <v>#DIV/0!</v>
      </c>
      <c r="BM85" s="153" t="e">
        <f t="shared" si="71"/>
        <v>#DIV/0!</v>
      </c>
      <c r="BN85" s="153" t="e">
        <f t="shared" si="71"/>
        <v>#DIV/0!</v>
      </c>
      <c r="BO85" s="153" t="e">
        <f t="shared" si="71"/>
        <v>#DIV/0!</v>
      </c>
      <c r="BP85" s="153" t="e">
        <f t="shared" si="71"/>
        <v>#DIV/0!</v>
      </c>
      <c r="BQ85" s="153" t="e">
        <f t="shared" si="71"/>
        <v>#DIV/0!</v>
      </c>
      <c r="BR85" s="153" t="e">
        <f t="shared" ref="BR85:CK85" si="72">BR81/BR84</f>
        <v>#DIV/0!</v>
      </c>
      <c r="BS85" s="153" t="e">
        <f t="shared" si="72"/>
        <v>#DIV/0!</v>
      </c>
      <c r="BT85" s="153" t="e">
        <f t="shared" si="72"/>
        <v>#DIV/0!</v>
      </c>
      <c r="BU85" s="153" t="e">
        <f t="shared" si="72"/>
        <v>#DIV/0!</v>
      </c>
      <c r="BV85" s="153" t="e">
        <f t="shared" si="72"/>
        <v>#DIV/0!</v>
      </c>
      <c r="BW85" s="153" t="e">
        <f t="shared" si="72"/>
        <v>#DIV/0!</v>
      </c>
      <c r="BX85" s="153" t="e">
        <f t="shared" si="72"/>
        <v>#DIV/0!</v>
      </c>
      <c r="BY85" s="153" t="e">
        <f t="shared" si="72"/>
        <v>#DIV/0!</v>
      </c>
      <c r="BZ85" s="153" t="e">
        <f t="shared" si="72"/>
        <v>#DIV/0!</v>
      </c>
      <c r="CA85" s="153" t="e">
        <f t="shared" si="72"/>
        <v>#DIV/0!</v>
      </c>
      <c r="CB85" s="153" t="e">
        <f t="shared" si="72"/>
        <v>#DIV/0!</v>
      </c>
      <c r="CC85" s="153" t="e">
        <f t="shared" si="72"/>
        <v>#DIV/0!</v>
      </c>
      <c r="CD85" s="153" t="e">
        <f t="shared" si="72"/>
        <v>#DIV/0!</v>
      </c>
      <c r="CE85" s="153" t="e">
        <f t="shared" si="72"/>
        <v>#DIV/0!</v>
      </c>
      <c r="CF85" s="153" t="e">
        <f t="shared" si="72"/>
        <v>#DIV/0!</v>
      </c>
      <c r="CG85" s="153" t="e">
        <f t="shared" si="72"/>
        <v>#DIV/0!</v>
      </c>
      <c r="CH85" s="153" t="e">
        <f t="shared" si="72"/>
        <v>#DIV/0!</v>
      </c>
      <c r="CI85" s="153" t="e">
        <f t="shared" si="72"/>
        <v>#DIV/0!</v>
      </c>
      <c r="CJ85" s="153" t="e">
        <f t="shared" si="72"/>
        <v>#DIV/0!</v>
      </c>
      <c r="CK85" s="153" t="e">
        <f t="shared" si="72"/>
        <v>#DIV/0!</v>
      </c>
    </row>
    <row r="86" spans="1:89" s="76" customFormat="1">
      <c r="A86" s="70" t="s">
        <v>470</v>
      </c>
      <c r="B86" s="194">
        <f>资产资本表!B53</f>
        <v>1954322968.6800001</v>
      </c>
      <c r="C86" s="194">
        <f>资产资本表!C53</f>
        <v>2016405005.77</v>
      </c>
      <c r="D86" s="194">
        <f>资产资本表!D53</f>
        <v>2745579995.6799998</v>
      </c>
      <c r="E86" s="76">
        <f>资产资本表!E53</f>
        <v>4895150716.5100002</v>
      </c>
      <c r="F86" s="76">
        <f>资产资本表!F53</f>
        <v>3421774448.02</v>
      </c>
      <c r="G86" s="76">
        <f>资产资本表!G53</f>
        <v>456328292.13</v>
      </c>
      <c r="H86" s="76">
        <f>资产资本表!H53</f>
        <v>392672323.94999999</v>
      </c>
      <c r="I86" s="76">
        <f>资产资本表!I53</f>
        <v>251446326.43000001</v>
      </c>
      <c r="J86" s="76">
        <f>资产资本表!J53</f>
        <v>263458445.09999999</v>
      </c>
      <c r="K86" s="76">
        <f>资产资本表!K53</f>
        <v>193956334.38999999</v>
      </c>
      <c r="L86" s="76">
        <f>资产资本表!L53</f>
        <v>582860996.70000005</v>
      </c>
      <c r="M86" s="76">
        <f>资产资本表!M53</f>
        <v>994453165.72000003</v>
      </c>
      <c r="N86" s="76">
        <f>资产资本表!N53</f>
        <v>1179883698.02</v>
      </c>
      <c r="O86" s="76">
        <f>资产资本表!O53</f>
        <v>909890443.63</v>
      </c>
      <c r="P86" s="76">
        <f>资产资本表!P53</f>
        <v>776047024.87</v>
      </c>
      <c r="Q86" s="76">
        <f>资产资本表!Q53</f>
        <v>721652502.10000002</v>
      </c>
      <c r="R86" s="76">
        <f>资产资本表!R53</f>
        <v>442903497.32999998</v>
      </c>
      <c r="S86" s="76">
        <f>资产资本表!S53</f>
        <v>162048784.65000001</v>
      </c>
      <c r="T86" s="76">
        <f>资产资本表!T53</f>
        <v>0</v>
      </c>
      <c r="U86" s="76">
        <f>资产资本表!U53</f>
        <v>0</v>
      </c>
      <c r="V86" s="76">
        <f>资产资本表!V53</f>
        <v>0</v>
      </c>
      <c r="W86" s="76">
        <f>资产资本表!W53</f>
        <v>0</v>
      </c>
      <c r="X86" s="76">
        <f>资产资本表!X53</f>
        <v>0</v>
      </c>
      <c r="Y86" s="76">
        <f>资产资本表!Y53</f>
        <v>0</v>
      </c>
      <c r="Z86" s="76">
        <f>资产资本表!Z53</f>
        <v>0</v>
      </c>
      <c r="AA86" s="76">
        <f>资产资本表!AA53</f>
        <v>0</v>
      </c>
      <c r="AB86" s="76">
        <f>资产资本表!AB53</f>
        <v>0</v>
      </c>
      <c r="AC86" s="76">
        <f>资产资本表!AC53</f>
        <v>0</v>
      </c>
      <c r="AD86" s="76">
        <f>资产资本表!AD53</f>
        <v>0</v>
      </c>
      <c r="AE86" s="76">
        <f>资产资本表!AE53</f>
        <v>0</v>
      </c>
      <c r="AF86" s="76">
        <f>资产资本表!AF53</f>
        <v>0</v>
      </c>
      <c r="AG86" s="76">
        <f>资产资本表!AG53</f>
        <v>0</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48" t="s">
        <v>471</v>
      </c>
      <c r="B87" s="54">
        <f t="shared" ref="B87:D87" si="73">B81/B86</f>
        <v>37.679991264579769</v>
      </c>
      <c r="C87" s="54">
        <f t="shared" si="73"/>
        <v>28.872107115176732</v>
      </c>
      <c r="D87" s="54">
        <f t="shared" si="73"/>
        <v>14.154455544907542</v>
      </c>
      <c r="E87" s="54">
        <f>E81/E86</f>
        <v>6.6718239369276588</v>
      </c>
      <c r="F87" s="54">
        <f t="shared" ref="F87:BQ87" si="74">F81/F86</f>
        <v>9.2273552832245151</v>
      </c>
      <c r="G87" s="54">
        <f t="shared" si="74"/>
        <v>67.762183169197215</v>
      </c>
      <c r="H87" s="54">
        <f t="shared" si="74"/>
        <v>67.372548405928981</v>
      </c>
      <c r="I87" s="54">
        <f t="shared" si="74"/>
        <v>73.186017344433225</v>
      </c>
      <c r="J87" s="54">
        <f t="shared" si="74"/>
        <v>44.156047970921549</v>
      </c>
      <c r="K87" s="54">
        <f t="shared" si="74"/>
        <v>49.85657774881399</v>
      </c>
      <c r="L87" s="54">
        <f t="shared" si="74"/>
        <v>14.140053307344589</v>
      </c>
      <c r="M87" s="54">
        <f t="shared" si="74"/>
        <v>7.2777994948409503</v>
      </c>
      <c r="N87" s="54">
        <f t="shared" si="74"/>
        <v>4.1497199337752066</v>
      </c>
      <c r="O87" s="54">
        <f t="shared" si="74"/>
        <v>4.3197675776539031</v>
      </c>
      <c r="P87" s="54">
        <f t="shared" si="74"/>
        <v>3.8783648715413701</v>
      </c>
      <c r="Q87" s="54">
        <f t="shared" si="74"/>
        <v>3.3271109404361057</v>
      </c>
      <c r="R87" s="54">
        <f t="shared" si="74"/>
        <v>4.1501816703209276</v>
      </c>
      <c r="S87" s="54">
        <f t="shared" si="74"/>
        <v>9.992067589196818</v>
      </c>
      <c r="T87" s="54" t="e">
        <f t="shared" si="74"/>
        <v>#DIV/0!</v>
      </c>
      <c r="U87" s="54" t="e">
        <f t="shared" si="74"/>
        <v>#DIV/0!</v>
      </c>
      <c r="V87" s="54" t="e">
        <f t="shared" si="74"/>
        <v>#DIV/0!</v>
      </c>
      <c r="W87" s="54" t="e">
        <f t="shared" si="74"/>
        <v>#DIV/0!</v>
      </c>
      <c r="X87" s="54" t="e">
        <f t="shared" si="74"/>
        <v>#DIV/0!</v>
      </c>
      <c r="Y87" s="54" t="e">
        <f t="shared" si="74"/>
        <v>#DIV/0!</v>
      </c>
      <c r="Z87" s="54" t="e">
        <f t="shared" si="74"/>
        <v>#DIV/0!</v>
      </c>
      <c r="AA87" s="54" t="e">
        <f t="shared" si="74"/>
        <v>#DIV/0!</v>
      </c>
      <c r="AB87" s="54" t="e">
        <f t="shared" si="74"/>
        <v>#DIV/0!</v>
      </c>
      <c r="AC87" s="54" t="e">
        <f t="shared" si="74"/>
        <v>#DIV/0!</v>
      </c>
      <c r="AD87" s="54" t="e">
        <f t="shared" si="74"/>
        <v>#DIV/0!</v>
      </c>
      <c r="AE87" s="54" t="e">
        <f t="shared" si="74"/>
        <v>#DIV/0!</v>
      </c>
      <c r="AF87" s="54" t="e">
        <f t="shared" si="74"/>
        <v>#DIV/0!</v>
      </c>
      <c r="AG87" s="54" t="e">
        <f t="shared" si="74"/>
        <v>#DIV/0!</v>
      </c>
      <c r="AH87" s="54" t="e">
        <f t="shared" si="74"/>
        <v>#DIV/0!</v>
      </c>
      <c r="AI87" s="54" t="e">
        <f t="shared" si="74"/>
        <v>#DIV/0!</v>
      </c>
      <c r="AJ87" s="54" t="e">
        <f t="shared" si="74"/>
        <v>#DIV/0!</v>
      </c>
      <c r="AK87" s="54" t="e">
        <f t="shared" si="74"/>
        <v>#DIV/0!</v>
      </c>
      <c r="AL87" s="54" t="e">
        <f t="shared" si="74"/>
        <v>#DIV/0!</v>
      </c>
      <c r="AM87" s="54" t="e">
        <f t="shared" si="74"/>
        <v>#DIV/0!</v>
      </c>
      <c r="AN87" s="54" t="e">
        <f t="shared" si="74"/>
        <v>#DIV/0!</v>
      </c>
      <c r="AO87" s="54" t="e">
        <f t="shared" si="74"/>
        <v>#DIV/0!</v>
      </c>
      <c r="AP87" s="54" t="e">
        <f t="shared" si="74"/>
        <v>#DIV/0!</v>
      </c>
      <c r="AQ87" s="54" t="e">
        <f t="shared" si="74"/>
        <v>#DIV/0!</v>
      </c>
      <c r="AR87" s="54" t="e">
        <f t="shared" si="74"/>
        <v>#DIV/0!</v>
      </c>
      <c r="AS87" s="54" t="e">
        <f t="shared" si="74"/>
        <v>#DIV/0!</v>
      </c>
      <c r="AT87" s="54" t="e">
        <f t="shared" si="74"/>
        <v>#DIV/0!</v>
      </c>
      <c r="AU87" s="54" t="e">
        <f t="shared" si="74"/>
        <v>#DIV/0!</v>
      </c>
      <c r="AV87" s="54" t="e">
        <f t="shared" si="74"/>
        <v>#DIV/0!</v>
      </c>
      <c r="AW87" s="54" t="e">
        <f t="shared" si="74"/>
        <v>#DIV/0!</v>
      </c>
      <c r="AX87" s="54" t="e">
        <f t="shared" si="74"/>
        <v>#DIV/0!</v>
      </c>
      <c r="AY87" s="54" t="e">
        <f t="shared" si="74"/>
        <v>#DIV/0!</v>
      </c>
      <c r="AZ87" s="54" t="e">
        <f t="shared" si="74"/>
        <v>#DIV/0!</v>
      </c>
      <c r="BA87" s="54" t="e">
        <f t="shared" si="74"/>
        <v>#DIV/0!</v>
      </c>
      <c r="BB87" s="54" t="e">
        <f t="shared" si="74"/>
        <v>#DIV/0!</v>
      </c>
      <c r="BC87" s="54" t="e">
        <f t="shared" si="74"/>
        <v>#DIV/0!</v>
      </c>
      <c r="BD87" s="54" t="e">
        <f t="shared" si="74"/>
        <v>#DIV/0!</v>
      </c>
      <c r="BE87" s="54" t="e">
        <f t="shared" si="74"/>
        <v>#DIV/0!</v>
      </c>
      <c r="BF87" s="54" t="e">
        <f t="shared" si="74"/>
        <v>#DIV/0!</v>
      </c>
      <c r="BG87" s="54" t="e">
        <f t="shared" si="74"/>
        <v>#DIV/0!</v>
      </c>
      <c r="BH87" s="54" t="e">
        <f t="shared" si="74"/>
        <v>#DIV/0!</v>
      </c>
      <c r="BI87" s="54" t="e">
        <f t="shared" si="74"/>
        <v>#DIV/0!</v>
      </c>
      <c r="BJ87" s="54" t="e">
        <f t="shared" si="74"/>
        <v>#DIV/0!</v>
      </c>
      <c r="BK87" s="54" t="e">
        <f t="shared" si="74"/>
        <v>#DIV/0!</v>
      </c>
      <c r="BL87" s="54" t="e">
        <f t="shared" si="74"/>
        <v>#DIV/0!</v>
      </c>
      <c r="BM87" s="54" t="e">
        <f t="shared" si="74"/>
        <v>#DIV/0!</v>
      </c>
      <c r="BN87" s="54" t="e">
        <f t="shared" si="74"/>
        <v>#DIV/0!</v>
      </c>
      <c r="BO87" s="54" t="e">
        <f t="shared" si="74"/>
        <v>#DIV/0!</v>
      </c>
      <c r="BP87" s="54" t="e">
        <f t="shared" si="74"/>
        <v>#DIV/0!</v>
      </c>
      <c r="BQ87" s="54" t="e">
        <f t="shared" si="74"/>
        <v>#DIV/0!</v>
      </c>
      <c r="BR87" s="54" t="e">
        <f t="shared" ref="BR87:CK87" si="75">BR81/BR86</f>
        <v>#DIV/0!</v>
      </c>
      <c r="BS87" s="54" t="e">
        <f t="shared" si="75"/>
        <v>#DIV/0!</v>
      </c>
      <c r="BT87" s="54" t="e">
        <f t="shared" si="75"/>
        <v>#DIV/0!</v>
      </c>
      <c r="BU87" s="54" t="e">
        <f t="shared" si="75"/>
        <v>#DIV/0!</v>
      </c>
      <c r="BV87" s="54" t="e">
        <f t="shared" si="75"/>
        <v>#DIV/0!</v>
      </c>
      <c r="BW87" s="54" t="e">
        <f t="shared" si="75"/>
        <v>#DIV/0!</v>
      </c>
      <c r="BX87" s="54" t="e">
        <f t="shared" si="75"/>
        <v>#DIV/0!</v>
      </c>
      <c r="BY87" s="54" t="e">
        <f t="shared" si="75"/>
        <v>#DIV/0!</v>
      </c>
      <c r="BZ87" s="54" t="e">
        <f t="shared" si="75"/>
        <v>#DIV/0!</v>
      </c>
      <c r="CA87" s="54" t="e">
        <f t="shared" si="75"/>
        <v>#DIV/0!</v>
      </c>
      <c r="CB87" s="54" t="e">
        <f t="shared" si="75"/>
        <v>#DIV/0!</v>
      </c>
      <c r="CC87" s="54" t="e">
        <f t="shared" si="75"/>
        <v>#DIV/0!</v>
      </c>
      <c r="CD87" s="54" t="e">
        <f t="shared" si="75"/>
        <v>#DIV/0!</v>
      </c>
      <c r="CE87" s="54" t="e">
        <f t="shared" si="75"/>
        <v>#DIV/0!</v>
      </c>
      <c r="CF87" s="54" t="e">
        <f t="shared" si="75"/>
        <v>#DIV/0!</v>
      </c>
      <c r="CG87" s="54" t="e">
        <f t="shared" si="75"/>
        <v>#DIV/0!</v>
      </c>
      <c r="CH87" s="54" t="e">
        <f t="shared" si="75"/>
        <v>#DIV/0!</v>
      </c>
      <c r="CI87" s="54" t="e">
        <f t="shared" si="75"/>
        <v>#DIV/0!</v>
      </c>
      <c r="CJ87" s="54" t="e">
        <f t="shared" si="75"/>
        <v>#DIV/0!</v>
      </c>
      <c r="CK87" s="54" t="e">
        <f t="shared" si="75"/>
        <v>#DIV/0!</v>
      </c>
    </row>
    <row r="88" spans="1:89" s="76" customFormat="1">
      <c r="A88" s="70" t="s">
        <v>472</v>
      </c>
      <c r="B88" s="194">
        <f>资产资本表!B54</f>
        <v>0</v>
      </c>
      <c r="C88" s="194">
        <f>资产资本表!C54</f>
        <v>0</v>
      </c>
      <c r="D88" s="194">
        <f>资产资本表!D54</f>
        <v>0</v>
      </c>
      <c r="E88" s="76">
        <f>资产资本表!E54</f>
        <v>260855.92</v>
      </c>
      <c r="F88" s="76">
        <f>资产资本表!F54</f>
        <v>260855.92</v>
      </c>
      <c r="G88" s="76">
        <f>资产资本表!G54</f>
        <v>1725110.46</v>
      </c>
      <c r="H88" s="76">
        <f>资产资本表!H54</f>
        <v>2676942.59</v>
      </c>
      <c r="I88" s="76">
        <f>资产资本表!I54</f>
        <v>4918294.6399999997</v>
      </c>
      <c r="J88" s="76">
        <f>资产资本表!J54</f>
        <v>18528802.460000001</v>
      </c>
      <c r="K88" s="76">
        <f>资产资本表!K54</f>
        <v>24915041.530000001</v>
      </c>
      <c r="L88" s="76">
        <f>资产资本表!L54</f>
        <v>62368950.890000001</v>
      </c>
      <c r="M88" s="76">
        <f>资产资本表!M54</f>
        <v>11931427.66</v>
      </c>
      <c r="N88" s="76">
        <f>资产资本表!N54</f>
        <v>47444702.520000003</v>
      </c>
      <c r="O88" s="76">
        <f>资产资本表!O54</f>
        <v>19108529.359999999</v>
      </c>
      <c r="P88" s="76">
        <f>资产资本表!P54</f>
        <v>10991173.91</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473</v>
      </c>
      <c r="B89" s="194">
        <f>资产资本表!B55</f>
        <v>0</v>
      </c>
      <c r="C89" s="194">
        <f>资产资本表!C55</f>
        <v>0</v>
      </c>
      <c r="D89" s="194">
        <f>资产资本表!D55</f>
        <v>0</v>
      </c>
      <c r="E89" s="76">
        <f>资产资本表!E55</f>
        <v>682594.04</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6730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474</v>
      </c>
      <c r="B90" s="194">
        <f>资产资本表!B56</f>
        <v>0</v>
      </c>
      <c r="C90" s="194">
        <f>资产资本表!C56</f>
        <v>0</v>
      </c>
      <c r="D90" s="194">
        <f>资产资本表!D56</f>
        <v>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475</v>
      </c>
      <c r="B91" s="194">
        <f>资产资本表!B57</f>
        <v>0</v>
      </c>
      <c r="C91" s="194">
        <f>资产资本表!C57</f>
        <v>0</v>
      </c>
      <c r="D91" s="194">
        <f>资产资本表!D57</f>
        <v>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476</v>
      </c>
      <c r="B92" s="194">
        <f>资产资本表!B58</f>
        <v>3499175374.52</v>
      </c>
      <c r="C92" s="194">
        <f>资产资本表!C58</f>
        <v>3458622239.3800001</v>
      </c>
      <c r="D92" s="194">
        <f>资产资本表!D58</f>
        <v>3531740625.5999999</v>
      </c>
      <c r="E92" s="76">
        <f>资产资本表!E58</f>
        <v>3582462431.04</v>
      </c>
      <c r="F92" s="76">
        <f>资产资本表!F58</f>
        <v>3582623682.2399998</v>
      </c>
      <c r="G92" s="76">
        <f>资产资本表!G58</f>
        <v>3563308110.5100002</v>
      </c>
      <c r="H92" s="76">
        <f>资产资本表!H58</f>
        <v>862615899.20000005</v>
      </c>
      <c r="I92" s="76">
        <f>资产资本表!I58</f>
        <v>808425512.33000004</v>
      </c>
      <c r="J92" s="76">
        <f>资产资本表!J58</f>
        <v>452317235.72000003</v>
      </c>
      <c r="K92" s="76">
        <f>资产资本表!K58</f>
        <v>465550825.17000002</v>
      </c>
      <c r="L92" s="76">
        <f>资产资本表!L58</f>
        <v>445207595.72000003</v>
      </c>
      <c r="M92" s="76">
        <f>资产资本表!M58</f>
        <v>249274093.40000001</v>
      </c>
      <c r="N92" s="76">
        <f>资产资本表!N58</f>
        <v>66093918.659999996</v>
      </c>
      <c r="O92" s="76">
        <f>资产资本表!O58</f>
        <v>57074911.579999998</v>
      </c>
      <c r="P92" s="76">
        <f>资产资本表!P58</f>
        <v>37699499.840000004</v>
      </c>
      <c r="Q92" s="76">
        <f>资产资本表!Q58</f>
        <v>256204.88</v>
      </c>
      <c r="R92" s="76">
        <f>资产资本表!R58</f>
        <v>424999.92</v>
      </c>
      <c r="S92" s="76">
        <f>资产资本表!S58</f>
        <v>594999.96</v>
      </c>
      <c r="T92" s="76">
        <f>资产资本表!T58</f>
        <v>0</v>
      </c>
      <c r="U92" s="76">
        <f>资产资本表!U58</f>
        <v>0</v>
      </c>
      <c r="V92" s="76">
        <f>资产资本表!V58</f>
        <v>0</v>
      </c>
      <c r="W92" s="76">
        <f>资产资本表!W58</f>
        <v>0</v>
      </c>
      <c r="X92" s="76">
        <f>资产资本表!X58</f>
        <v>0</v>
      </c>
      <c r="Y92" s="76">
        <f>资产资本表!Y58</f>
        <v>0</v>
      </c>
      <c r="Z92" s="76">
        <f>资产资本表!Z58</f>
        <v>0</v>
      </c>
      <c r="AA92" s="76">
        <f>资产资本表!AA58</f>
        <v>0</v>
      </c>
      <c r="AB92" s="76">
        <f>资产资本表!AB58</f>
        <v>0</v>
      </c>
      <c r="AC92" s="76">
        <f>资产资本表!AC58</f>
        <v>0</v>
      </c>
      <c r="AD92" s="76">
        <f>资产资本表!AD58</f>
        <v>0</v>
      </c>
      <c r="AE92" s="76">
        <f>资产资本表!AE58</f>
        <v>0</v>
      </c>
      <c r="AF92" s="76">
        <f>资产资本表!AF58</f>
        <v>0</v>
      </c>
      <c r="AG92" s="76">
        <f>资产资本表!AG58</f>
        <v>0</v>
      </c>
      <c r="AH92" s="76">
        <f>资产资本表!AH58</f>
        <v>0</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c r="A93" s="245" t="s">
        <v>575</v>
      </c>
      <c r="B93" s="153">
        <f t="shared" ref="B93:D93" si="76">B81/B92</f>
        <v>21.044636094620273</v>
      </c>
      <c r="C93" s="153">
        <f t="shared" si="76"/>
        <v>16.832674193584744</v>
      </c>
      <c r="D93" s="153">
        <f t="shared" si="76"/>
        <v>11.003693111590771</v>
      </c>
      <c r="E93" s="153">
        <f>E81/E92</f>
        <v>9.116518136325249</v>
      </c>
      <c r="F93" s="153">
        <f t="shared" ref="F93:BQ93" si="77">F81/F92</f>
        <v>8.8130742526657766</v>
      </c>
      <c r="G93" s="153">
        <f t="shared" si="77"/>
        <v>8.677835415185104</v>
      </c>
      <c r="H93" s="153">
        <f t="shared" si="77"/>
        <v>30.668731213423015</v>
      </c>
      <c r="I93" s="153">
        <f t="shared" si="77"/>
        <v>22.76320443458264</v>
      </c>
      <c r="J93" s="153">
        <f t="shared" si="77"/>
        <v>25.719302342441367</v>
      </c>
      <c r="K93" s="153">
        <f t="shared" si="77"/>
        <v>20.771092096891707</v>
      </c>
      <c r="L93" s="153">
        <f t="shared" si="77"/>
        <v>18.512005732474879</v>
      </c>
      <c r="M93" s="153">
        <f t="shared" si="77"/>
        <v>29.034026955646727</v>
      </c>
      <c r="N93" s="153">
        <f t="shared" si="77"/>
        <v>74.079234526809344</v>
      </c>
      <c r="O93" s="153">
        <f t="shared" si="77"/>
        <v>68.865901475830199</v>
      </c>
      <c r="P93" s="153">
        <f t="shared" si="77"/>
        <v>79.836431058603665</v>
      </c>
      <c r="Q93" s="153">
        <f t="shared" si="77"/>
        <v>9371.4761987749789</v>
      </c>
      <c r="R93" s="153">
        <f t="shared" si="77"/>
        <v>4325.0125231552984</v>
      </c>
      <c r="S93" s="153">
        <f t="shared" si="77"/>
        <v>2721.3487694520181</v>
      </c>
      <c r="T93" s="153" t="e">
        <f t="shared" si="77"/>
        <v>#DIV/0!</v>
      </c>
      <c r="U93" s="153" t="e">
        <f t="shared" si="77"/>
        <v>#DIV/0!</v>
      </c>
      <c r="V93" s="153" t="e">
        <f t="shared" si="77"/>
        <v>#DIV/0!</v>
      </c>
      <c r="W93" s="153" t="e">
        <f t="shared" si="77"/>
        <v>#DIV/0!</v>
      </c>
      <c r="X93" s="153" t="e">
        <f t="shared" si="77"/>
        <v>#DIV/0!</v>
      </c>
      <c r="Y93" s="153" t="e">
        <f t="shared" si="77"/>
        <v>#DIV/0!</v>
      </c>
      <c r="Z93" s="153" t="e">
        <f t="shared" si="77"/>
        <v>#DIV/0!</v>
      </c>
      <c r="AA93" s="153" t="e">
        <f t="shared" si="77"/>
        <v>#DIV/0!</v>
      </c>
      <c r="AB93" s="153" t="e">
        <f t="shared" si="77"/>
        <v>#DIV/0!</v>
      </c>
      <c r="AC93" s="153" t="e">
        <f t="shared" si="77"/>
        <v>#DIV/0!</v>
      </c>
      <c r="AD93" s="153" t="e">
        <f t="shared" si="77"/>
        <v>#DIV/0!</v>
      </c>
      <c r="AE93" s="153" t="e">
        <f t="shared" si="77"/>
        <v>#DIV/0!</v>
      </c>
      <c r="AF93" s="153" t="e">
        <f t="shared" si="77"/>
        <v>#DIV/0!</v>
      </c>
      <c r="AG93" s="153" t="e">
        <f t="shared" si="77"/>
        <v>#DIV/0!</v>
      </c>
      <c r="AH93" s="153" t="e">
        <f t="shared" si="77"/>
        <v>#DIV/0!</v>
      </c>
      <c r="AI93" s="153" t="e">
        <f t="shared" si="77"/>
        <v>#DIV/0!</v>
      </c>
      <c r="AJ93" s="153" t="e">
        <f t="shared" si="77"/>
        <v>#DIV/0!</v>
      </c>
      <c r="AK93" s="153" t="e">
        <f t="shared" si="77"/>
        <v>#DIV/0!</v>
      </c>
      <c r="AL93" s="153" t="e">
        <f t="shared" si="77"/>
        <v>#DIV/0!</v>
      </c>
      <c r="AM93" s="153" t="e">
        <f t="shared" si="77"/>
        <v>#DIV/0!</v>
      </c>
      <c r="AN93" s="153" t="e">
        <f t="shared" si="77"/>
        <v>#DIV/0!</v>
      </c>
      <c r="AO93" s="153" t="e">
        <f t="shared" si="77"/>
        <v>#DIV/0!</v>
      </c>
      <c r="AP93" s="153" t="e">
        <f t="shared" si="77"/>
        <v>#DIV/0!</v>
      </c>
      <c r="AQ93" s="153" t="e">
        <f t="shared" si="77"/>
        <v>#DIV/0!</v>
      </c>
      <c r="AR93" s="153" t="e">
        <f t="shared" si="77"/>
        <v>#DIV/0!</v>
      </c>
      <c r="AS93" s="153" t="e">
        <f t="shared" si="77"/>
        <v>#DIV/0!</v>
      </c>
      <c r="AT93" s="153" t="e">
        <f t="shared" si="77"/>
        <v>#DIV/0!</v>
      </c>
      <c r="AU93" s="153" t="e">
        <f t="shared" si="77"/>
        <v>#DIV/0!</v>
      </c>
      <c r="AV93" s="153" t="e">
        <f t="shared" si="77"/>
        <v>#DIV/0!</v>
      </c>
      <c r="AW93" s="153" t="e">
        <f t="shared" si="77"/>
        <v>#DIV/0!</v>
      </c>
      <c r="AX93" s="153" t="e">
        <f t="shared" si="77"/>
        <v>#DIV/0!</v>
      </c>
      <c r="AY93" s="153" t="e">
        <f t="shared" si="77"/>
        <v>#DIV/0!</v>
      </c>
      <c r="AZ93" s="153" t="e">
        <f t="shared" si="77"/>
        <v>#DIV/0!</v>
      </c>
      <c r="BA93" s="153" t="e">
        <f t="shared" si="77"/>
        <v>#DIV/0!</v>
      </c>
      <c r="BB93" s="153" t="e">
        <f t="shared" si="77"/>
        <v>#DIV/0!</v>
      </c>
      <c r="BC93" s="153" t="e">
        <f t="shared" si="77"/>
        <v>#DIV/0!</v>
      </c>
      <c r="BD93" s="153" t="e">
        <f t="shared" si="77"/>
        <v>#DIV/0!</v>
      </c>
      <c r="BE93" s="153" t="e">
        <f t="shared" si="77"/>
        <v>#DIV/0!</v>
      </c>
      <c r="BF93" s="153" t="e">
        <f t="shared" si="77"/>
        <v>#DIV/0!</v>
      </c>
      <c r="BG93" s="153" t="e">
        <f t="shared" si="77"/>
        <v>#DIV/0!</v>
      </c>
      <c r="BH93" s="153" t="e">
        <f t="shared" si="77"/>
        <v>#DIV/0!</v>
      </c>
      <c r="BI93" s="153" t="e">
        <f t="shared" si="77"/>
        <v>#DIV/0!</v>
      </c>
      <c r="BJ93" s="153" t="e">
        <f t="shared" si="77"/>
        <v>#DIV/0!</v>
      </c>
      <c r="BK93" s="153" t="e">
        <f t="shared" si="77"/>
        <v>#DIV/0!</v>
      </c>
      <c r="BL93" s="153" t="e">
        <f t="shared" si="77"/>
        <v>#DIV/0!</v>
      </c>
      <c r="BM93" s="153" t="e">
        <f t="shared" si="77"/>
        <v>#DIV/0!</v>
      </c>
      <c r="BN93" s="153" t="e">
        <f t="shared" si="77"/>
        <v>#DIV/0!</v>
      </c>
      <c r="BO93" s="153" t="e">
        <f t="shared" si="77"/>
        <v>#DIV/0!</v>
      </c>
      <c r="BP93" s="153" t="e">
        <f t="shared" si="77"/>
        <v>#DIV/0!</v>
      </c>
      <c r="BQ93" s="153" t="e">
        <f t="shared" si="77"/>
        <v>#DIV/0!</v>
      </c>
      <c r="BR93" s="153" t="e">
        <f t="shared" ref="BR93:CK93" si="78">BR81/BR92</f>
        <v>#DIV/0!</v>
      </c>
      <c r="BS93" s="153" t="e">
        <f t="shared" si="78"/>
        <v>#DIV/0!</v>
      </c>
      <c r="BT93" s="153" t="e">
        <f t="shared" si="78"/>
        <v>#DIV/0!</v>
      </c>
      <c r="BU93" s="153" t="e">
        <f t="shared" si="78"/>
        <v>#DIV/0!</v>
      </c>
      <c r="BV93" s="153" t="e">
        <f t="shared" si="78"/>
        <v>#DIV/0!</v>
      </c>
      <c r="BW93" s="153" t="e">
        <f t="shared" si="78"/>
        <v>#DIV/0!</v>
      </c>
      <c r="BX93" s="153" t="e">
        <f t="shared" si="78"/>
        <v>#DIV/0!</v>
      </c>
      <c r="BY93" s="153" t="e">
        <f t="shared" si="78"/>
        <v>#DIV/0!</v>
      </c>
      <c r="BZ93" s="153" t="e">
        <f t="shared" si="78"/>
        <v>#DIV/0!</v>
      </c>
      <c r="CA93" s="153" t="e">
        <f t="shared" si="78"/>
        <v>#DIV/0!</v>
      </c>
      <c r="CB93" s="153" t="e">
        <f t="shared" si="78"/>
        <v>#DIV/0!</v>
      </c>
      <c r="CC93" s="153" t="e">
        <f t="shared" si="78"/>
        <v>#DIV/0!</v>
      </c>
      <c r="CD93" s="153" t="e">
        <f t="shared" si="78"/>
        <v>#DIV/0!</v>
      </c>
      <c r="CE93" s="153" t="e">
        <f t="shared" si="78"/>
        <v>#DIV/0!</v>
      </c>
      <c r="CF93" s="153" t="e">
        <f t="shared" si="78"/>
        <v>#DIV/0!</v>
      </c>
      <c r="CG93" s="153" t="e">
        <f t="shared" si="78"/>
        <v>#DIV/0!</v>
      </c>
      <c r="CH93" s="153" t="e">
        <f t="shared" si="78"/>
        <v>#DIV/0!</v>
      </c>
      <c r="CI93" s="153" t="e">
        <f t="shared" si="78"/>
        <v>#DIV/0!</v>
      </c>
      <c r="CJ93" s="153" t="e">
        <f t="shared" si="78"/>
        <v>#DIV/0!</v>
      </c>
      <c r="CK93" s="153" t="e">
        <f t="shared" si="78"/>
        <v>#DIV/0!</v>
      </c>
    </row>
    <row r="94" spans="1:89" s="76" customFormat="1">
      <c r="A94" s="70" t="s">
        <v>477</v>
      </c>
      <c r="B94" s="194">
        <f>资产资本表!B59</f>
        <v>0</v>
      </c>
      <c r="C94" s="194">
        <f>资产资本表!C59</f>
        <v>0</v>
      </c>
      <c r="D94" s="194">
        <f>资产资本表!D59</f>
        <v>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478</v>
      </c>
      <c r="B95" s="194">
        <f>资产资本表!B60</f>
        <v>0</v>
      </c>
      <c r="C95" s="194">
        <f>资产资本表!C60</f>
        <v>0</v>
      </c>
      <c r="D95" s="194">
        <f>资产资本表!D60</f>
        <v>0</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479</v>
      </c>
      <c r="B96" s="194">
        <f>资产资本表!B61</f>
        <v>168414678.77000001</v>
      </c>
      <c r="C96" s="194">
        <f>资产资本表!C61</f>
        <v>177859674.53999999</v>
      </c>
      <c r="D96" s="194">
        <f>资产资本表!D61</f>
        <v>188118776.50999999</v>
      </c>
      <c r="E96" s="76">
        <f>资产资本表!E61</f>
        <v>198603537.81</v>
      </c>
      <c r="F96" s="76">
        <f>资产资本表!F61</f>
        <v>5408286.8300000001</v>
      </c>
      <c r="G96" s="76">
        <f>资产资本表!G61</f>
        <v>8048744.96</v>
      </c>
      <c r="H96" s="76">
        <f>资产资本表!H61</f>
        <v>10177029.43</v>
      </c>
      <c r="I96" s="76">
        <f>资产资本表!I61</f>
        <v>13805361.439999999</v>
      </c>
      <c r="J96" s="76">
        <f>资产资本表!J61</f>
        <v>18701578.16</v>
      </c>
      <c r="K96" s="76">
        <f>资产资本表!K61</f>
        <v>21469624.809999999</v>
      </c>
      <c r="L96" s="76">
        <f>资产资本表!L61</f>
        <v>10146520.77</v>
      </c>
      <c r="M96" s="76">
        <f>资产资本表!M61</f>
        <v>12477325.460000001</v>
      </c>
      <c r="N96" s="76">
        <f>资产资本表!N61</f>
        <v>68459874.909999996</v>
      </c>
      <c r="O96" s="76">
        <f>资产资本表!O61</f>
        <v>60377239.579999998</v>
      </c>
      <c r="P96" s="76">
        <f>资产资本表!P61</f>
        <v>50939036</v>
      </c>
      <c r="Q96" s="76">
        <f>资产资本表!Q61</f>
        <v>33607508.119999997</v>
      </c>
      <c r="R96" s="76">
        <f>资产资本表!R61</f>
        <v>22221522.309999999</v>
      </c>
      <c r="S96" s="76">
        <f>资产资本表!S61</f>
        <v>16579763.939999999</v>
      </c>
      <c r="T96" s="76">
        <f>资产资本表!T61</f>
        <v>0</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480</v>
      </c>
      <c r="B97" s="194">
        <f>资产资本表!B62</f>
        <v>1049294821.45</v>
      </c>
      <c r="C97" s="194">
        <f>资产资本表!C62</f>
        <v>1401797361.77</v>
      </c>
      <c r="D97" s="194">
        <f>资产资本表!D62</f>
        <v>1745539120.6800001</v>
      </c>
      <c r="E97" s="76">
        <f>资产资本表!E62</f>
        <v>1155336074.1400001</v>
      </c>
      <c r="F97" s="76">
        <f>资产资本表!F62</f>
        <v>821601105.71000004</v>
      </c>
      <c r="G97" s="76">
        <f>资产资本表!G62</f>
        <v>825372524.64999998</v>
      </c>
      <c r="H97" s="76">
        <f>资产资本表!H62</f>
        <v>643656913.32000005</v>
      </c>
      <c r="I97" s="76">
        <f>资产资本表!I62</f>
        <v>502628950.52999997</v>
      </c>
      <c r="J97" s="76">
        <f>资产资本表!J62</f>
        <v>278437938.97000003</v>
      </c>
      <c r="K97" s="76">
        <f>资产资本表!K62</f>
        <v>225420802.13999999</v>
      </c>
      <c r="L97" s="76">
        <f>资产资本表!L62</f>
        <v>176680977.53999999</v>
      </c>
      <c r="M97" s="76">
        <f>资产资本表!M62</f>
        <v>52849560.43</v>
      </c>
      <c r="N97" s="76">
        <f>资产资本表!N62</f>
        <v>0</v>
      </c>
      <c r="O97" s="76">
        <f>资产资本表!O62</f>
        <v>0</v>
      </c>
      <c r="P97" s="76">
        <f>资产资本表!P62</f>
        <v>0</v>
      </c>
      <c r="Q97" s="76">
        <f>资产资本表!Q62</f>
        <v>0</v>
      </c>
      <c r="R97" s="76">
        <f>资产资本表!R62</f>
        <v>0</v>
      </c>
      <c r="S97" s="76">
        <f>资产资本表!S62</f>
        <v>0</v>
      </c>
      <c r="T97" s="76">
        <f>资产资本表!T62</f>
        <v>0</v>
      </c>
      <c r="U97" s="76">
        <f>资产资本表!U62</f>
        <v>0</v>
      </c>
      <c r="V97" s="76">
        <f>资产资本表!V62</f>
        <v>0</v>
      </c>
      <c r="W97" s="76">
        <f>资产资本表!W62</f>
        <v>0</v>
      </c>
      <c r="X97" s="76">
        <f>资产资本表!X62</f>
        <v>0</v>
      </c>
      <c r="Y97" s="76">
        <f>资产资本表!Y62</f>
        <v>0</v>
      </c>
      <c r="Z97" s="76">
        <f>资产资本表!Z62</f>
        <v>0</v>
      </c>
      <c r="AA97" s="76">
        <f>资产资本表!AA62</f>
        <v>0</v>
      </c>
      <c r="AB97" s="76">
        <f>资产资本表!AB62</f>
        <v>0</v>
      </c>
      <c r="AC97" s="76">
        <f>资产资本表!AC62</f>
        <v>0</v>
      </c>
      <c r="AD97" s="76">
        <f>资产资本表!AD62</f>
        <v>0</v>
      </c>
      <c r="AE97" s="76">
        <f>资产资本表!AE62</f>
        <v>0</v>
      </c>
      <c r="AF97" s="76">
        <f>资产资本表!AF62</f>
        <v>0</v>
      </c>
      <c r="AG97" s="76">
        <f>资产资本表!AG62</f>
        <v>0</v>
      </c>
      <c r="AH97" s="76">
        <f>资产资本表!AH62</f>
        <v>0</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481</v>
      </c>
      <c r="B98" s="194">
        <f>资产资本表!B63</f>
        <v>0</v>
      </c>
      <c r="C98" s="194">
        <f>资产资本表!C63</f>
        <v>0</v>
      </c>
      <c r="D98" s="194">
        <f>资产资本表!D63</f>
        <v>0</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482</v>
      </c>
      <c r="B99" s="204">
        <f>资产资本表!B64</f>
        <v>0</v>
      </c>
      <c r="C99" s="204">
        <f>资产资本表!C64</f>
        <v>0</v>
      </c>
      <c r="D99" s="204">
        <f>资产资本表!D64</f>
        <v>0</v>
      </c>
      <c r="E99" s="93">
        <f>资产资本表!E64</f>
        <v>0</v>
      </c>
      <c r="F99" s="93">
        <f>资产资本表!F64</f>
        <v>30810000</v>
      </c>
      <c r="G99" s="93">
        <f>资产资本表!G64</f>
        <v>90527500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4" customFormat="1">
      <c r="A100" s="88" t="s">
        <v>572</v>
      </c>
      <c r="B100" s="194">
        <f t="shared" ref="B100:D100" si="79">(B84+F84)/2</f>
        <v>12812157178.305</v>
      </c>
      <c r="C100" s="194">
        <f t="shared" si="79"/>
        <v>11883676796.065001</v>
      </c>
      <c r="D100" s="194">
        <f t="shared" si="79"/>
        <v>10630255335.215</v>
      </c>
      <c r="E100" s="194">
        <f>(E84+I84)/2</f>
        <v>8420982769.664999</v>
      </c>
      <c r="F100" s="194">
        <f t="shared" ref="F100:BQ100" si="80">(F84+J84)/2</f>
        <v>7283804441.7799997</v>
      </c>
      <c r="G100" s="194">
        <f t="shared" si="80"/>
        <v>5845991058.1999998</v>
      </c>
      <c r="H100" s="194">
        <f t="shared" si="80"/>
        <v>4498752571.4899998</v>
      </c>
      <c r="I100" s="194">
        <f t="shared" si="80"/>
        <v>3626497856.9849997</v>
      </c>
      <c r="J100" s="194">
        <f t="shared" si="80"/>
        <v>2707026867.6349998</v>
      </c>
      <c r="K100" s="194">
        <f t="shared" si="80"/>
        <v>2075053595.895</v>
      </c>
      <c r="L100" s="194">
        <f t="shared" si="80"/>
        <v>1452847294.655</v>
      </c>
      <c r="M100" s="194">
        <f t="shared" si="80"/>
        <v>1133898598.095</v>
      </c>
      <c r="N100" s="194">
        <f t="shared" si="80"/>
        <v>846150655.495</v>
      </c>
      <c r="O100" s="194">
        <f t="shared" si="80"/>
        <v>697810965.61500001</v>
      </c>
      <c r="P100" s="194">
        <f t="shared" si="80"/>
        <v>357761338.70999998</v>
      </c>
      <c r="Q100" s="194">
        <f t="shared" si="80"/>
        <v>220406915.91499999</v>
      </c>
      <c r="R100" s="194">
        <f t="shared" si="80"/>
        <v>235049343.845</v>
      </c>
      <c r="S100" s="194">
        <f t="shared" si="80"/>
        <v>207119947.86500001</v>
      </c>
      <c r="T100" s="194">
        <f t="shared" si="80"/>
        <v>0</v>
      </c>
      <c r="U100" s="194">
        <f t="shared" si="80"/>
        <v>0</v>
      </c>
      <c r="V100" s="194">
        <f t="shared" si="80"/>
        <v>0</v>
      </c>
      <c r="W100" s="194">
        <f t="shared" si="80"/>
        <v>0</v>
      </c>
      <c r="X100" s="194">
        <f t="shared" si="80"/>
        <v>0</v>
      </c>
      <c r="Y100" s="194">
        <f t="shared" si="80"/>
        <v>0</v>
      </c>
      <c r="Z100" s="194">
        <f t="shared" si="80"/>
        <v>0</v>
      </c>
      <c r="AA100" s="194">
        <f t="shared" si="80"/>
        <v>0</v>
      </c>
      <c r="AB100" s="194">
        <f t="shared" si="80"/>
        <v>0</v>
      </c>
      <c r="AC100" s="194">
        <f t="shared" si="80"/>
        <v>0</v>
      </c>
      <c r="AD100" s="194">
        <f t="shared" si="80"/>
        <v>0</v>
      </c>
      <c r="AE100" s="194">
        <f t="shared" si="80"/>
        <v>0</v>
      </c>
      <c r="AF100" s="194">
        <f t="shared" si="80"/>
        <v>0</v>
      </c>
      <c r="AG100" s="194">
        <f t="shared" si="80"/>
        <v>0</v>
      </c>
      <c r="AH100" s="194">
        <f t="shared" si="80"/>
        <v>0</v>
      </c>
      <c r="AI100" s="194">
        <f t="shared" si="80"/>
        <v>0</v>
      </c>
      <c r="AJ100" s="194">
        <f t="shared" si="80"/>
        <v>0</v>
      </c>
      <c r="AK100" s="194">
        <f t="shared" si="80"/>
        <v>0</v>
      </c>
      <c r="AL100" s="194">
        <f t="shared" si="80"/>
        <v>0</v>
      </c>
      <c r="AM100" s="194">
        <f t="shared" si="80"/>
        <v>0</v>
      </c>
      <c r="AN100" s="194">
        <f t="shared" si="80"/>
        <v>0</v>
      </c>
      <c r="AO100" s="194">
        <f t="shared" si="80"/>
        <v>0</v>
      </c>
      <c r="AP100" s="194">
        <f t="shared" si="80"/>
        <v>0</v>
      </c>
      <c r="AQ100" s="194">
        <f t="shared" si="80"/>
        <v>0</v>
      </c>
      <c r="AR100" s="194">
        <f t="shared" si="80"/>
        <v>0</v>
      </c>
      <c r="AS100" s="194">
        <f t="shared" si="80"/>
        <v>0</v>
      </c>
      <c r="AT100" s="194">
        <f t="shared" si="80"/>
        <v>0</v>
      </c>
      <c r="AU100" s="194">
        <f t="shared" si="80"/>
        <v>0</v>
      </c>
      <c r="AV100" s="194">
        <f t="shared" si="80"/>
        <v>0</v>
      </c>
      <c r="AW100" s="194">
        <f t="shared" si="80"/>
        <v>0</v>
      </c>
      <c r="AX100" s="194">
        <f t="shared" si="80"/>
        <v>0</v>
      </c>
      <c r="AY100" s="194">
        <f t="shared" si="80"/>
        <v>0</v>
      </c>
      <c r="AZ100" s="194">
        <f t="shared" si="80"/>
        <v>0</v>
      </c>
      <c r="BA100" s="194">
        <f t="shared" si="80"/>
        <v>0</v>
      </c>
      <c r="BB100" s="194">
        <f t="shared" si="80"/>
        <v>0</v>
      </c>
      <c r="BC100" s="194">
        <f t="shared" si="80"/>
        <v>0</v>
      </c>
      <c r="BD100" s="194">
        <f t="shared" si="80"/>
        <v>0</v>
      </c>
      <c r="BE100" s="194">
        <f t="shared" si="80"/>
        <v>0</v>
      </c>
      <c r="BF100" s="194">
        <f t="shared" si="80"/>
        <v>0</v>
      </c>
      <c r="BG100" s="194">
        <f t="shared" si="80"/>
        <v>0</v>
      </c>
      <c r="BH100" s="194">
        <f t="shared" si="80"/>
        <v>0</v>
      </c>
      <c r="BI100" s="194">
        <f t="shared" si="80"/>
        <v>0</v>
      </c>
      <c r="BJ100" s="194">
        <f t="shared" si="80"/>
        <v>0</v>
      </c>
      <c r="BK100" s="194">
        <f t="shared" si="80"/>
        <v>0</v>
      </c>
      <c r="BL100" s="194">
        <f t="shared" si="80"/>
        <v>0</v>
      </c>
      <c r="BM100" s="194">
        <f t="shared" si="80"/>
        <v>0</v>
      </c>
      <c r="BN100" s="194">
        <f t="shared" si="80"/>
        <v>0</v>
      </c>
      <c r="BO100" s="194">
        <f t="shared" si="80"/>
        <v>0</v>
      </c>
      <c r="BP100" s="194">
        <f t="shared" si="80"/>
        <v>0</v>
      </c>
      <c r="BQ100" s="194">
        <f t="shared" si="80"/>
        <v>0</v>
      </c>
      <c r="BR100" s="194">
        <f t="shared" ref="BR100:CK100" si="81">(BR84+BV84)/2</f>
        <v>0</v>
      </c>
      <c r="BS100" s="194">
        <f t="shared" si="81"/>
        <v>0</v>
      </c>
      <c r="BT100" s="194">
        <f t="shared" si="81"/>
        <v>0</v>
      </c>
      <c r="BU100" s="194">
        <f t="shared" si="81"/>
        <v>0</v>
      </c>
      <c r="BV100" s="194">
        <f t="shared" si="81"/>
        <v>0</v>
      </c>
      <c r="BW100" s="194">
        <f t="shared" si="81"/>
        <v>0</v>
      </c>
      <c r="BX100" s="194">
        <f t="shared" si="81"/>
        <v>0</v>
      </c>
      <c r="BY100" s="194">
        <f t="shared" si="81"/>
        <v>0</v>
      </c>
      <c r="BZ100" s="194">
        <f t="shared" si="81"/>
        <v>0</v>
      </c>
      <c r="CA100" s="194">
        <f t="shared" si="81"/>
        <v>0</v>
      </c>
      <c r="CB100" s="194">
        <f t="shared" si="81"/>
        <v>0</v>
      </c>
      <c r="CC100" s="194">
        <f t="shared" si="81"/>
        <v>0</v>
      </c>
      <c r="CD100" s="194">
        <f t="shared" si="81"/>
        <v>0</v>
      </c>
      <c r="CE100" s="194">
        <f t="shared" si="81"/>
        <v>0</v>
      </c>
      <c r="CF100" s="194">
        <f t="shared" si="81"/>
        <v>0</v>
      </c>
      <c r="CG100" s="194">
        <f t="shared" si="81"/>
        <v>0</v>
      </c>
      <c r="CH100" s="194">
        <f t="shared" si="81"/>
        <v>0</v>
      </c>
      <c r="CI100" s="194">
        <f t="shared" si="81"/>
        <v>0</v>
      </c>
      <c r="CJ100" s="194">
        <f t="shared" si="81"/>
        <v>0</v>
      </c>
      <c r="CK100" s="194">
        <f t="shared" si="81"/>
        <v>0</v>
      </c>
    </row>
    <row r="101" spans="1:89" s="246" customFormat="1" ht="14.25" thickBot="1">
      <c r="A101" s="247" t="s">
        <v>573</v>
      </c>
      <c r="B101" s="246">
        <f t="shared" ref="B101:D101" si="82">B100/B84</f>
        <v>0.84022098136760759</v>
      </c>
      <c r="C101" s="246">
        <f t="shared" si="82"/>
        <v>0.77955926696918942</v>
      </c>
      <c r="D101" s="246">
        <f t="shared" si="82"/>
        <v>0.73549607896465619</v>
      </c>
      <c r="E101" s="246">
        <f>E100/E84</f>
        <v>0.73765042915978718</v>
      </c>
      <c r="F101" s="246">
        <f t="shared" ref="F101:BQ101" si="83">F100/F84</f>
        <v>0.7020021671789487</v>
      </c>
      <c r="G101" s="246">
        <f t="shared" si="83"/>
        <v>0.68588698962849903</v>
      </c>
      <c r="H101" s="246">
        <f t="shared" si="83"/>
        <v>0.66086856905191538</v>
      </c>
      <c r="I101" s="246">
        <f t="shared" si="83"/>
        <v>0.66835414726722064</v>
      </c>
      <c r="J101" s="246">
        <f t="shared" si="83"/>
        <v>0.64578316245655176</v>
      </c>
      <c r="K101" s="246">
        <f t="shared" si="83"/>
        <v>0.65485439523714006</v>
      </c>
      <c r="L101" s="246">
        <f t="shared" si="83"/>
        <v>0.663348519249921</v>
      </c>
      <c r="M101" s="246">
        <f t="shared" si="83"/>
        <v>0.62063980450758482</v>
      </c>
      <c r="N101" s="246">
        <f t="shared" si="83"/>
        <v>0.69231618339220757</v>
      </c>
      <c r="O101" s="246">
        <f t="shared" si="83"/>
        <v>0.71104925540997432</v>
      </c>
      <c r="P101" s="246">
        <f t="shared" si="83"/>
        <v>0.5</v>
      </c>
      <c r="Q101" s="246">
        <f t="shared" si="83"/>
        <v>0.5</v>
      </c>
      <c r="R101" s="246">
        <f t="shared" si="83"/>
        <v>0.5</v>
      </c>
      <c r="S101" s="246">
        <f t="shared" si="83"/>
        <v>0.5</v>
      </c>
      <c r="T101" s="246" t="e">
        <f t="shared" si="83"/>
        <v>#DIV/0!</v>
      </c>
      <c r="U101" s="246" t="e">
        <f t="shared" si="83"/>
        <v>#DIV/0!</v>
      </c>
      <c r="V101" s="246" t="e">
        <f t="shared" si="83"/>
        <v>#DIV/0!</v>
      </c>
      <c r="W101" s="246" t="e">
        <f t="shared" si="83"/>
        <v>#DIV/0!</v>
      </c>
      <c r="X101" s="246" t="e">
        <f t="shared" si="83"/>
        <v>#DIV/0!</v>
      </c>
      <c r="Y101" s="246" t="e">
        <f t="shared" si="83"/>
        <v>#DIV/0!</v>
      </c>
      <c r="Z101" s="246" t="e">
        <f t="shared" si="83"/>
        <v>#DIV/0!</v>
      </c>
      <c r="AA101" s="246" t="e">
        <f t="shared" si="83"/>
        <v>#DIV/0!</v>
      </c>
      <c r="AB101" s="246" t="e">
        <f t="shared" si="83"/>
        <v>#DIV/0!</v>
      </c>
      <c r="AC101" s="246" t="e">
        <f t="shared" si="83"/>
        <v>#DIV/0!</v>
      </c>
      <c r="AD101" s="246" t="e">
        <f t="shared" si="83"/>
        <v>#DIV/0!</v>
      </c>
      <c r="AE101" s="246" t="e">
        <f t="shared" si="83"/>
        <v>#DIV/0!</v>
      </c>
      <c r="AF101" s="246" t="e">
        <f t="shared" si="83"/>
        <v>#DIV/0!</v>
      </c>
      <c r="AG101" s="246" t="e">
        <f t="shared" si="83"/>
        <v>#DIV/0!</v>
      </c>
      <c r="AH101" s="246" t="e">
        <f t="shared" si="83"/>
        <v>#DIV/0!</v>
      </c>
      <c r="AI101" s="246" t="e">
        <f t="shared" si="83"/>
        <v>#DIV/0!</v>
      </c>
      <c r="AJ101" s="246" t="e">
        <f t="shared" si="83"/>
        <v>#DIV/0!</v>
      </c>
      <c r="AK101" s="246" t="e">
        <f t="shared" si="83"/>
        <v>#DIV/0!</v>
      </c>
      <c r="AL101" s="246" t="e">
        <f t="shared" si="83"/>
        <v>#DIV/0!</v>
      </c>
      <c r="AM101" s="246" t="e">
        <f t="shared" si="83"/>
        <v>#DIV/0!</v>
      </c>
      <c r="AN101" s="246" t="e">
        <f t="shared" si="83"/>
        <v>#DIV/0!</v>
      </c>
      <c r="AO101" s="246" t="e">
        <f t="shared" si="83"/>
        <v>#DIV/0!</v>
      </c>
      <c r="AP101" s="246" t="e">
        <f t="shared" si="83"/>
        <v>#DIV/0!</v>
      </c>
      <c r="AQ101" s="246" t="e">
        <f t="shared" si="83"/>
        <v>#DIV/0!</v>
      </c>
      <c r="AR101" s="246" t="e">
        <f t="shared" si="83"/>
        <v>#DIV/0!</v>
      </c>
      <c r="AS101" s="246" t="e">
        <f t="shared" si="83"/>
        <v>#DIV/0!</v>
      </c>
      <c r="AT101" s="246" t="e">
        <f t="shared" si="83"/>
        <v>#DIV/0!</v>
      </c>
      <c r="AU101" s="246" t="e">
        <f t="shared" si="83"/>
        <v>#DIV/0!</v>
      </c>
      <c r="AV101" s="246" t="e">
        <f t="shared" si="83"/>
        <v>#DIV/0!</v>
      </c>
      <c r="AW101" s="246" t="e">
        <f t="shared" si="83"/>
        <v>#DIV/0!</v>
      </c>
      <c r="AX101" s="246" t="e">
        <f t="shared" si="83"/>
        <v>#DIV/0!</v>
      </c>
      <c r="AY101" s="246" t="e">
        <f t="shared" si="83"/>
        <v>#DIV/0!</v>
      </c>
      <c r="AZ101" s="246" t="e">
        <f t="shared" si="83"/>
        <v>#DIV/0!</v>
      </c>
      <c r="BA101" s="246" t="e">
        <f t="shared" si="83"/>
        <v>#DIV/0!</v>
      </c>
      <c r="BB101" s="246" t="e">
        <f t="shared" si="83"/>
        <v>#DIV/0!</v>
      </c>
      <c r="BC101" s="246" t="e">
        <f t="shared" si="83"/>
        <v>#DIV/0!</v>
      </c>
      <c r="BD101" s="246" t="e">
        <f t="shared" si="83"/>
        <v>#DIV/0!</v>
      </c>
      <c r="BE101" s="246" t="e">
        <f t="shared" si="83"/>
        <v>#DIV/0!</v>
      </c>
      <c r="BF101" s="246" t="e">
        <f t="shared" si="83"/>
        <v>#DIV/0!</v>
      </c>
      <c r="BG101" s="246" t="e">
        <f t="shared" si="83"/>
        <v>#DIV/0!</v>
      </c>
      <c r="BH101" s="246" t="e">
        <f t="shared" si="83"/>
        <v>#DIV/0!</v>
      </c>
      <c r="BI101" s="246" t="e">
        <f t="shared" si="83"/>
        <v>#DIV/0!</v>
      </c>
      <c r="BJ101" s="246" t="e">
        <f t="shared" si="83"/>
        <v>#DIV/0!</v>
      </c>
      <c r="BK101" s="246" t="e">
        <f t="shared" si="83"/>
        <v>#DIV/0!</v>
      </c>
      <c r="BL101" s="246" t="e">
        <f t="shared" si="83"/>
        <v>#DIV/0!</v>
      </c>
      <c r="BM101" s="246" t="e">
        <f t="shared" si="83"/>
        <v>#DIV/0!</v>
      </c>
      <c r="BN101" s="246" t="e">
        <f t="shared" si="83"/>
        <v>#DIV/0!</v>
      </c>
      <c r="BO101" s="246" t="e">
        <f t="shared" si="83"/>
        <v>#DIV/0!</v>
      </c>
      <c r="BP101" s="246" t="e">
        <f t="shared" si="83"/>
        <v>#DIV/0!</v>
      </c>
      <c r="BQ101" s="246" t="e">
        <f t="shared" si="83"/>
        <v>#DIV/0!</v>
      </c>
      <c r="BR101" s="246" t="e">
        <f t="shared" ref="BR101:CK101" si="84">BR100/BR84</f>
        <v>#DIV/0!</v>
      </c>
      <c r="BS101" s="246" t="e">
        <f t="shared" si="84"/>
        <v>#DIV/0!</v>
      </c>
      <c r="BT101" s="246" t="e">
        <f t="shared" si="84"/>
        <v>#DIV/0!</v>
      </c>
      <c r="BU101" s="246" t="e">
        <f t="shared" si="84"/>
        <v>#DIV/0!</v>
      </c>
      <c r="BV101" s="246" t="e">
        <f t="shared" si="84"/>
        <v>#DIV/0!</v>
      </c>
      <c r="BW101" s="246" t="e">
        <f t="shared" si="84"/>
        <v>#DIV/0!</v>
      </c>
      <c r="BX101" s="246" t="e">
        <f t="shared" si="84"/>
        <v>#DIV/0!</v>
      </c>
      <c r="BY101" s="246" t="e">
        <f t="shared" si="84"/>
        <v>#DIV/0!</v>
      </c>
      <c r="BZ101" s="246" t="e">
        <f t="shared" si="84"/>
        <v>#DIV/0!</v>
      </c>
      <c r="CA101" s="246" t="e">
        <f t="shared" si="84"/>
        <v>#DIV/0!</v>
      </c>
      <c r="CB101" s="246" t="e">
        <f t="shared" si="84"/>
        <v>#DIV/0!</v>
      </c>
      <c r="CC101" s="246" t="e">
        <f t="shared" si="84"/>
        <v>#DIV/0!</v>
      </c>
      <c r="CD101" s="246" t="e">
        <f t="shared" si="84"/>
        <v>#DIV/0!</v>
      </c>
      <c r="CE101" s="246" t="e">
        <f t="shared" si="84"/>
        <v>#DIV/0!</v>
      </c>
      <c r="CF101" s="246" t="e">
        <f t="shared" si="84"/>
        <v>#DIV/0!</v>
      </c>
      <c r="CG101" s="246" t="e">
        <f t="shared" si="84"/>
        <v>#DIV/0!</v>
      </c>
      <c r="CH101" s="246" t="e">
        <f t="shared" si="84"/>
        <v>#DIV/0!</v>
      </c>
      <c r="CI101" s="246" t="e">
        <f t="shared" si="84"/>
        <v>#DIV/0!</v>
      </c>
      <c r="CJ101" s="246" t="e">
        <f t="shared" si="84"/>
        <v>#DIV/0!</v>
      </c>
      <c r="CK101" s="246" t="e">
        <f t="shared" si="84"/>
        <v>#DIV/0!</v>
      </c>
    </row>
    <row r="102" spans="1:89" ht="204.75" customHeight="1">
      <c r="A102" s="285" t="s">
        <v>574</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opLeftCell="A7" workbookViewId="0">
      <selection activeCell="E28" sqref="B28:E28"/>
    </sheetView>
  </sheetViews>
  <sheetFormatPr defaultRowHeight="13.5"/>
  <cols>
    <col min="1" max="1" width="65.75" style="17" bestFit="1" customWidth="1"/>
    <col min="2" max="8" width="23.25" bestFit="1" customWidth="1"/>
    <col min="9" max="15" width="22" bestFit="1" customWidth="1"/>
    <col min="16" max="18" width="19.5" bestFit="1" customWidth="1"/>
    <col min="19" max="19" width="19.375" bestFit="1" customWidth="1"/>
    <col min="20" max="28" width="20.5" bestFit="1" customWidth="1"/>
    <col min="29" max="29" width="18.375" bestFit="1" customWidth="1"/>
    <col min="30" max="32" width="20.5" bestFit="1" customWidth="1"/>
    <col min="33" max="33" width="18.375" bestFit="1" customWidth="1"/>
    <col min="34" max="36" width="20.5" bestFit="1" customWidth="1"/>
    <col min="37" max="37" width="18.375" bestFit="1" customWidth="1"/>
    <col min="38" max="39" width="20.5" bestFit="1" customWidth="1"/>
    <col min="40" max="41" width="18.375" bestFit="1" customWidth="1"/>
    <col min="42" max="43" width="20.5" bestFit="1" customWidth="1"/>
    <col min="44" max="45" width="18.375" bestFit="1" customWidth="1"/>
    <col min="46" max="46" width="20.5" bestFit="1" customWidth="1"/>
    <col min="47" max="74" width="18.375" bestFit="1" customWidth="1"/>
    <col min="75" max="75" width="9.625" bestFit="1" customWidth="1"/>
    <col min="76" max="76" width="17.25" bestFit="1" customWidth="1"/>
    <col min="77" max="77" width="18.375" bestFit="1" customWidth="1"/>
    <col min="78" max="78" width="17.25" bestFit="1" customWidth="1"/>
    <col min="79" max="81" width="18.375" bestFit="1" customWidth="1"/>
    <col min="82" max="82" width="9.625" bestFit="1" customWidth="1"/>
    <col min="83" max="84" width="17.25" bestFit="1" customWidth="1"/>
    <col min="85" max="86" width="16.125" bestFit="1" customWidth="1"/>
    <col min="87" max="87" width="17.25" bestFit="1" customWidth="1"/>
    <col min="88" max="88" width="16.125" bestFit="1" customWidth="1"/>
    <col min="89" max="90" width="9.625" bestFit="1" customWidth="1"/>
  </cols>
  <sheetData>
    <row r="1" spans="1:90">
      <c r="A1" s="17">
        <v>600519</v>
      </c>
      <c r="B1" s="271" t="s">
        <v>638</v>
      </c>
      <c r="C1" s="271" t="s">
        <v>639</v>
      </c>
      <c r="D1" s="271" t="s">
        <v>640</v>
      </c>
      <c r="E1" s="271" t="s">
        <v>641</v>
      </c>
      <c r="F1" s="271" t="s">
        <v>642</v>
      </c>
      <c r="G1" s="271" t="s">
        <v>643</v>
      </c>
      <c r="H1" s="271" t="s">
        <v>644</v>
      </c>
      <c r="I1" s="271" t="s">
        <v>645</v>
      </c>
      <c r="J1" s="271" t="s">
        <v>646</v>
      </c>
      <c r="K1" s="271" t="s">
        <v>647</v>
      </c>
      <c r="L1" s="271" t="s">
        <v>648</v>
      </c>
      <c r="M1" s="271" t="s">
        <v>649</v>
      </c>
      <c r="N1" s="271" t="s">
        <v>650</v>
      </c>
      <c r="O1" s="271" t="s">
        <v>651</v>
      </c>
      <c r="P1" s="271" t="s">
        <v>652</v>
      </c>
      <c r="Q1" s="271" t="s">
        <v>653</v>
      </c>
      <c r="R1" s="271" t="s">
        <v>654</v>
      </c>
      <c r="S1" s="271" t="s">
        <v>655</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25569</v>
      </c>
      <c r="BT1" s="1">
        <v>36341</v>
      </c>
      <c r="BU1" s="1">
        <v>36160</v>
      </c>
      <c r="BV1" s="1">
        <v>25569</v>
      </c>
      <c r="BW1" s="40"/>
      <c r="BX1" s="40"/>
      <c r="BY1" s="40"/>
      <c r="BZ1" s="40"/>
      <c r="CA1" s="40"/>
      <c r="CB1" s="40"/>
      <c r="CC1" s="40"/>
      <c r="CD1" s="40"/>
      <c r="CE1" s="40"/>
      <c r="CF1" s="40"/>
      <c r="CG1" s="40"/>
      <c r="CH1" s="40"/>
      <c r="CI1" s="40"/>
      <c r="CJ1" s="40"/>
      <c r="CK1" s="40"/>
      <c r="CL1" s="40"/>
    </row>
    <row r="2" spans="1:90" s="26" customFormat="1">
      <c r="A2" s="17" t="s">
        <v>372</v>
      </c>
      <c r="B2" s="190">
        <f>现金流量表!B4</f>
        <v>84268695732.619995</v>
      </c>
      <c r="C2" s="190">
        <f>现金流量表!C4</f>
        <v>64421479343.019997</v>
      </c>
      <c r="D2" s="190">
        <f>现金流量表!D4</f>
        <v>61012964102.540001</v>
      </c>
      <c r="E2" s="26">
        <f>现金流量表!E4</f>
        <v>37083071835.580002</v>
      </c>
      <c r="F2" s="26">
        <f>现金流量表!F4</f>
        <v>33384835714.040001</v>
      </c>
      <c r="G2" s="26">
        <f>现金流量表!G4</f>
        <v>33233870603.650002</v>
      </c>
      <c r="H2" s="26">
        <f>现金流量表!H4</f>
        <v>28912367684.82</v>
      </c>
      <c r="I2" s="26">
        <f>现金流量表!I4</f>
        <v>23659131281.080002</v>
      </c>
      <c r="J2" s="26">
        <f>现金流量表!J4</f>
        <v>14938581885.610001</v>
      </c>
      <c r="K2" s="26">
        <f>现金流量表!K4</f>
        <v>11756243820.83</v>
      </c>
      <c r="L2" s="26">
        <f>现金流量表!L4</f>
        <v>11275230701.85</v>
      </c>
      <c r="M2" s="26">
        <f>现金流量表!M4</f>
        <v>7437754281.3400002</v>
      </c>
      <c r="N2" s="26">
        <f>现金流量表!N4</f>
        <v>6140872490.1000004</v>
      </c>
      <c r="O2" s="26">
        <f>现金流量表!O4</f>
        <v>4976668595.3400002</v>
      </c>
      <c r="P2" s="26">
        <f>现金流量表!P4</f>
        <v>3646470061.6100001</v>
      </c>
      <c r="Q2" s="26">
        <f>现金流量表!Q4</f>
        <v>3057788375.3499999</v>
      </c>
      <c r="R2" s="26">
        <f>现金流量表!R4</f>
        <v>2288635492.04</v>
      </c>
      <c r="S2" s="26">
        <f>现金流量表!S4</f>
        <v>1800399443.0899999</v>
      </c>
      <c r="T2" s="26">
        <f>现金流量表!T4</f>
        <v>0</v>
      </c>
      <c r="U2" s="26">
        <f>现金流量表!U4</f>
        <v>0</v>
      </c>
      <c r="V2" s="26">
        <f>现金流量表!V4</f>
        <v>0</v>
      </c>
      <c r="W2" s="26">
        <f>现金流量表!W4</f>
        <v>0</v>
      </c>
      <c r="X2" s="26">
        <f>现金流量表!X4</f>
        <v>0</v>
      </c>
      <c r="Y2" s="26">
        <f>现金流量表!Y4</f>
        <v>0</v>
      </c>
      <c r="Z2" s="26">
        <f>现金流量表!Z4</f>
        <v>0</v>
      </c>
      <c r="AA2" s="26">
        <f>现金流量表!AA4</f>
        <v>0</v>
      </c>
      <c r="AB2" s="26">
        <f>现金流量表!AB4</f>
        <v>0</v>
      </c>
      <c r="AC2" s="26">
        <f>现金流量表!AC4</f>
        <v>0</v>
      </c>
      <c r="AD2" s="26">
        <f>现金流量表!AD4</f>
        <v>0</v>
      </c>
      <c r="AE2" s="26">
        <f>现金流量表!AE4</f>
        <v>0</v>
      </c>
      <c r="AF2" s="26">
        <f>现金流量表!AF4</f>
        <v>0</v>
      </c>
      <c r="AG2" s="26">
        <f>现金流量表!AG4</f>
        <v>0</v>
      </c>
      <c r="AH2" s="26">
        <f>现金流量表!AH4</f>
        <v>0</v>
      </c>
      <c r="AI2" s="26">
        <f>现金流量表!AI4</f>
        <v>0</v>
      </c>
      <c r="AJ2" s="26">
        <f>现金流量表!AJ4</f>
        <v>0</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373</v>
      </c>
      <c r="B3" s="190">
        <f>利润表!B3</f>
        <v>77199384110.220001</v>
      </c>
      <c r="C3" s="190">
        <f>利润表!C3</f>
        <v>61062756866.160004</v>
      </c>
      <c r="D3" s="190">
        <f>利润表!D3</f>
        <v>40155084412.93</v>
      </c>
      <c r="E3" s="26">
        <f>利润表!E3</f>
        <v>33446859045.580002</v>
      </c>
      <c r="F3" s="26">
        <f>利润表!F3</f>
        <v>32217213741.080002</v>
      </c>
      <c r="G3" s="26">
        <f>利润表!G3</f>
        <v>31070596222.23</v>
      </c>
      <c r="H3" s="26">
        <f>利润表!H3</f>
        <v>26455335152.990002</v>
      </c>
      <c r="I3" s="26">
        <f>利润表!I3</f>
        <v>18402355207.299999</v>
      </c>
      <c r="J3" s="26">
        <f>利润表!J3</f>
        <v>11633283740.18</v>
      </c>
      <c r="K3" s="26">
        <f>利润表!K3</f>
        <v>9669999065.3899994</v>
      </c>
      <c r="L3" s="26">
        <f>利润表!L3</f>
        <v>8241685564.1099997</v>
      </c>
      <c r="M3" s="26">
        <f>利润表!M3</f>
        <v>7237430747.1199999</v>
      </c>
      <c r="N3" s="26">
        <f>利润表!N3</f>
        <v>4896186901.21</v>
      </c>
      <c r="O3" s="26">
        <f>利润表!O3</f>
        <v>3930515237.6100001</v>
      </c>
      <c r="P3" s="26">
        <f>利润表!P3</f>
        <v>3009793519.9200001</v>
      </c>
      <c r="Q3" s="26">
        <f>利润表!Q3</f>
        <v>2401017934.9299998</v>
      </c>
      <c r="R3" s="26">
        <f>利润表!R3</f>
        <v>0</v>
      </c>
      <c r="S3" s="26">
        <f>利润表!S3</f>
        <v>0</v>
      </c>
      <c r="T3" s="26">
        <f>利润表!T3</f>
        <v>0</v>
      </c>
      <c r="U3" s="26">
        <f>利润表!U3</f>
        <v>0</v>
      </c>
      <c r="V3" s="26">
        <f>利润表!V3</f>
        <v>0</v>
      </c>
      <c r="W3" s="26">
        <f>利润表!W3</f>
        <v>0</v>
      </c>
      <c r="X3" s="26">
        <f>利润表!X3</f>
        <v>0</v>
      </c>
      <c r="Y3" s="26">
        <f>利润表!Y3</f>
        <v>0</v>
      </c>
      <c r="Z3" s="26">
        <f>利润表!Z3</f>
        <v>0</v>
      </c>
      <c r="AA3" s="26">
        <f>利润表!AA3</f>
        <v>0</v>
      </c>
      <c r="AB3" s="26">
        <f>利润表!AB3</f>
        <v>0</v>
      </c>
      <c r="AC3" s="26">
        <f>利润表!AC3</f>
        <v>0</v>
      </c>
      <c r="AD3" s="26">
        <f>利润表!AD3</f>
        <v>0</v>
      </c>
      <c r="AE3" s="26">
        <f>利润表!AE3</f>
        <v>0</v>
      </c>
      <c r="AF3" s="26">
        <f>利润表!AF3</f>
        <v>0</v>
      </c>
      <c r="AG3" s="26">
        <f>利润表!AG3</f>
        <v>0</v>
      </c>
      <c r="AH3" s="26">
        <f>利润表!AH3</f>
        <v>0</v>
      </c>
      <c r="AI3" s="26">
        <f>利润表!AI3</f>
        <v>0</v>
      </c>
      <c r="AJ3" s="26">
        <f>利润表!AJ3</f>
        <v>0</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397</v>
      </c>
      <c r="B4" s="63">
        <f t="shared" ref="B4:D4" si="0">$E$32</f>
        <v>0.17</v>
      </c>
      <c r="C4" s="63">
        <f t="shared" si="0"/>
        <v>0.17</v>
      </c>
      <c r="D4" s="63">
        <f t="shared" si="0"/>
        <v>0.17</v>
      </c>
      <c r="E4" s="63">
        <f>$E$32</f>
        <v>0.17</v>
      </c>
      <c r="F4" s="63">
        <f t="shared" ref="F4:BQ4" si="1">$E$32</f>
        <v>0.17</v>
      </c>
      <c r="G4" s="63">
        <f t="shared" si="1"/>
        <v>0.17</v>
      </c>
      <c r="H4" s="63">
        <f t="shared" si="1"/>
        <v>0.17</v>
      </c>
      <c r="I4" s="63">
        <f t="shared" si="1"/>
        <v>0.17</v>
      </c>
      <c r="J4" s="63">
        <f t="shared" si="1"/>
        <v>0.17</v>
      </c>
      <c r="K4" s="63">
        <f t="shared" si="1"/>
        <v>0.17</v>
      </c>
      <c r="L4" s="63">
        <f t="shared" si="1"/>
        <v>0.17</v>
      </c>
      <c r="M4" s="63">
        <f t="shared" si="1"/>
        <v>0.17</v>
      </c>
      <c r="N4" s="63">
        <f t="shared" si="1"/>
        <v>0.17</v>
      </c>
      <c r="O4" s="63">
        <f t="shared" si="1"/>
        <v>0.17</v>
      </c>
      <c r="P4" s="63">
        <f t="shared" si="1"/>
        <v>0.17</v>
      </c>
      <c r="Q4" s="63">
        <f t="shared" si="1"/>
        <v>0.17</v>
      </c>
      <c r="R4" s="63">
        <f t="shared" si="1"/>
        <v>0.17</v>
      </c>
      <c r="S4" s="63">
        <f t="shared" si="1"/>
        <v>0.17</v>
      </c>
      <c r="T4" s="63">
        <f t="shared" si="1"/>
        <v>0.17</v>
      </c>
      <c r="U4" s="63">
        <f t="shared" si="1"/>
        <v>0.17</v>
      </c>
      <c r="V4" s="63">
        <f t="shared" si="1"/>
        <v>0.17</v>
      </c>
      <c r="W4" s="63">
        <f t="shared" si="1"/>
        <v>0.17</v>
      </c>
      <c r="X4" s="63">
        <f t="shared" si="1"/>
        <v>0.17</v>
      </c>
      <c r="Y4" s="63">
        <f t="shared" si="1"/>
        <v>0.17</v>
      </c>
      <c r="Z4" s="63">
        <f t="shared" si="1"/>
        <v>0.17</v>
      </c>
      <c r="AA4" s="63">
        <f t="shared" si="1"/>
        <v>0.17</v>
      </c>
      <c r="AB4" s="63">
        <f t="shared" si="1"/>
        <v>0.17</v>
      </c>
      <c r="AC4" s="63">
        <f t="shared" si="1"/>
        <v>0.17</v>
      </c>
      <c r="AD4" s="63">
        <f t="shared" si="1"/>
        <v>0.17</v>
      </c>
      <c r="AE4" s="63">
        <f t="shared" si="1"/>
        <v>0.17</v>
      </c>
      <c r="AF4" s="63">
        <f t="shared" si="1"/>
        <v>0.17</v>
      </c>
      <c r="AG4" s="63">
        <f t="shared" si="1"/>
        <v>0.17</v>
      </c>
      <c r="AH4" s="63">
        <f t="shared" si="1"/>
        <v>0.17</v>
      </c>
      <c r="AI4" s="63">
        <f t="shared" si="1"/>
        <v>0.17</v>
      </c>
      <c r="AJ4" s="63">
        <f t="shared" si="1"/>
        <v>0.17</v>
      </c>
      <c r="AK4" s="63">
        <f t="shared" si="1"/>
        <v>0.17</v>
      </c>
      <c r="AL4" s="63">
        <f t="shared" si="1"/>
        <v>0.17</v>
      </c>
      <c r="AM4" s="63">
        <f t="shared" si="1"/>
        <v>0.17</v>
      </c>
      <c r="AN4" s="63">
        <f t="shared" si="1"/>
        <v>0.17</v>
      </c>
      <c r="AO4" s="63">
        <f t="shared" si="1"/>
        <v>0.17</v>
      </c>
      <c r="AP4" s="63">
        <f t="shared" si="1"/>
        <v>0.17</v>
      </c>
      <c r="AQ4" s="63">
        <f t="shared" si="1"/>
        <v>0.17</v>
      </c>
      <c r="AR4" s="63">
        <f t="shared" si="1"/>
        <v>0.17</v>
      </c>
      <c r="AS4" s="63">
        <f t="shared" si="1"/>
        <v>0.17</v>
      </c>
      <c r="AT4" s="63">
        <f t="shared" si="1"/>
        <v>0.17</v>
      </c>
      <c r="AU4" s="63">
        <f t="shared" si="1"/>
        <v>0.17</v>
      </c>
      <c r="AV4" s="63">
        <f t="shared" si="1"/>
        <v>0.17</v>
      </c>
      <c r="AW4" s="63">
        <f t="shared" si="1"/>
        <v>0.17</v>
      </c>
      <c r="AX4" s="63">
        <f t="shared" si="1"/>
        <v>0.17</v>
      </c>
      <c r="AY4" s="63">
        <f t="shared" si="1"/>
        <v>0.17</v>
      </c>
      <c r="AZ4" s="63">
        <f t="shared" si="1"/>
        <v>0.17</v>
      </c>
      <c r="BA4" s="63">
        <f t="shared" si="1"/>
        <v>0.17</v>
      </c>
      <c r="BB4" s="63">
        <f t="shared" si="1"/>
        <v>0.17</v>
      </c>
      <c r="BC4" s="63">
        <f t="shared" si="1"/>
        <v>0.17</v>
      </c>
      <c r="BD4" s="63">
        <f t="shared" si="1"/>
        <v>0.17</v>
      </c>
      <c r="BE4" s="63">
        <f t="shared" si="1"/>
        <v>0.17</v>
      </c>
      <c r="BF4" s="63">
        <f t="shared" si="1"/>
        <v>0.17</v>
      </c>
      <c r="BG4" s="63">
        <f t="shared" si="1"/>
        <v>0.17</v>
      </c>
      <c r="BH4" s="63">
        <f t="shared" si="1"/>
        <v>0.17</v>
      </c>
      <c r="BI4" s="63">
        <f t="shared" si="1"/>
        <v>0.17</v>
      </c>
      <c r="BJ4" s="63">
        <f t="shared" si="1"/>
        <v>0.17</v>
      </c>
      <c r="BK4" s="63">
        <f t="shared" si="1"/>
        <v>0.17</v>
      </c>
      <c r="BL4" s="63">
        <f t="shared" si="1"/>
        <v>0.17</v>
      </c>
      <c r="BM4" s="63">
        <f t="shared" si="1"/>
        <v>0.17</v>
      </c>
      <c r="BN4" s="63">
        <f t="shared" si="1"/>
        <v>0.17</v>
      </c>
      <c r="BO4" s="63">
        <f t="shared" si="1"/>
        <v>0.17</v>
      </c>
      <c r="BP4" s="63">
        <f t="shared" si="1"/>
        <v>0.17</v>
      </c>
      <c r="BQ4" s="63">
        <f t="shared" si="1"/>
        <v>0.17</v>
      </c>
      <c r="BR4" s="63">
        <f t="shared" ref="BR4:CK4" si="2">$E$32</f>
        <v>0.17</v>
      </c>
      <c r="BS4" s="63">
        <f t="shared" si="2"/>
        <v>0.17</v>
      </c>
      <c r="BT4" s="63">
        <f t="shared" si="2"/>
        <v>0.17</v>
      </c>
      <c r="BU4" s="63">
        <f t="shared" si="2"/>
        <v>0.17</v>
      </c>
      <c r="BV4" s="63">
        <f t="shared" si="2"/>
        <v>0.17</v>
      </c>
      <c r="BW4" s="63">
        <f t="shared" si="2"/>
        <v>0.17</v>
      </c>
      <c r="BX4" s="63">
        <f t="shared" si="2"/>
        <v>0.17</v>
      </c>
      <c r="BY4" s="63">
        <f t="shared" si="2"/>
        <v>0.17</v>
      </c>
      <c r="BZ4" s="63">
        <f t="shared" si="2"/>
        <v>0.17</v>
      </c>
      <c r="CA4" s="63">
        <f t="shared" si="2"/>
        <v>0.17</v>
      </c>
      <c r="CB4" s="63">
        <f t="shared" si="2"/>
        <v>0.17</v>
      </c>
      <c r="CC4" s="63">
        <f t="shared" si="2"/>
        <v>0.17</v>
      </c>
      <c r="CD4" s="63">
        <f t="shared" si="2"/>
        <v>0.17</v>
      </c>
      <c r="CE4" s="63">
        <f t="shared" si="2"/>
        <v>0.17</v>
      </c>
      <c r="CF4" s="63">
        <f t="shared" si="2"/>
        <v>0.17</v>
      </c>
      <c r="CG4" s="63">
        <f t="shared" si="2"/>
        <v>0.17</v>
      </c>
      <c r="CH4" s="63">
        <f t="shared" si="2"/>
        <v>0.17</v>
      </c>
      <c r="CI4" s="63">
        <f t="shared" si="2"/>
        <v>0.17</v>
      </c>
      <c r="CJ4" s="63">
        <f t="shared" si="2"/>
        <v>0.17</v>
      </c>
      <c r="CK4" s="63">
        <f t="shared" si="2"/>
        <v>0.17</v>
      </c>
    </row>
    <row r="5" spans="1:90" s="28" customFormat="1">
      <c r="A5" s="20" t="s">
        <v>374</v>
      </c>
      <c r="B5" s="28">
        <f t="shared" ref="B5:D5" si="3">(B2/(1+B4))/B3</f>
        <v>0.93296762788113552</v>
      </c>
      <c r="C5" s="28">
        <f t="shared" si="3"/>
        <v>0.90171319281011075</v>
      </c>
      <c r="D5" s="28">
        <f t="shared" si="3"/>
        <v>1.2986607631058005</v>
      </c>
      <c r="E5" s="28">
        <f>(E2/(1+E4))/E3</f>
        <v>0.94762061662085728</v>
      </c>
      <c r="F5" s="28">
        <f t="shared" ref="F5:BQ5" si="4">(F2/(1+F4))/F3</f>
        <v>0.88567707462715783</v>
      </c>
      <c r="G5" s="28">
        <f t="shared" si="4"/>
        <v>0.91420896486158842</v>
      </c>
      <c r="H5" s="28">
        <f t="shared" si="4"/>
        <v>0.93408097945975643</v>
      </c>
      <c r="I5" s="28">
        <f t="shared" si="4"/>
        <v>1.0988528098510555</v>
      </c>
      <c r="J5" s="28">
        <f t="shared" si="4"/>
        <v>1.0975421034002921</v>
      </c>
      <c r="K5" s="28">
        <f t="shared" si="4"/>
        <v>1.0390974780647297</v>
      </c>
      <c r="L5" s="28">
        <f t="shared" si="4"/>
        <v>1.1692934949843827</v>
      </c>
      <c r="M5" s="28">
        <f t="shared" si="4"/>
        <v>0.87835796478548833</v>
      </c>
      <c r="N5" s="28">
        <f t="shared" si="4"/>
        <v>1.0719788831182775</v>
      </c>
      <c r="O5" s="28">
        <f t="shared" si="4"/>
        <v>1.08218964814049</v>
      </c>
      <c r="P5" s="28">
        <f t="shared" si="4"/>
        <v>1.0354999629283492</v>
      </c>
      <c r="Q5" s="28">
        <f t="shared" si="4"/>
        <v>1.0884943006401064</v>
      </c>
      <c r="R5" s="28" t="e">
        <f t="shared" si="4"/>
        <v>#DIV/0!</v>
      </c>
      <c r="S5" s="28" t="e">
        <f t="shared" si="4"/>
        <v>#DIV/0!</v>
      </c>
      <c r="T5" s="28" t="e">
        <f t="shared" si="4"/>
        <v>#DIV/0!</v>
      </c>
      <c r="U5" s="28" t="e">
        <f t="shared" si="4"/>
        <v>#DIV/0!</v>
      </c>
      <c r="V5" s="28" t="e">
        <f t="shared" si="4"/>
        <v>#DIV/0!</v>
      </c>
      <c r="W5" s="28" t="e">
        <f t="shared" si="4"/>
        <v>#DIV/0!</v>
      </c>
      <c r="X5" s="28" t="e">
        <f t="shared" si="4"/>
        <v>#DIV/0!</v>
      </c>
      <c r="Y5" s="28" t="e">
        <f t="shared" si="4"/>
        <v>#DIV/0!</v>
      </c>
      <c r="Z5" s="28" t="e">
        <f t="shared" si="4"/>
        <v>#DIV/0!</v>
      </c>
      <c r="AA5" s="28" t="e">
        <f t="shared" si="4"/>
        <v>#DIV/0!</v>
      </c>
      <c r="AB5" s="28" t="e">
        <f t="shared" si="4"/>
        <v>#DIV/0!</v>
      </c>
      <c r="AC5" s="28" t="e">
        <f t="shared" si="4"/>
        <v>#DIV/0!</v>
      </c>
      <c r="AD5" s="28" t="e">
        <f t="shared" si="4"/>
        <v>#DIV/0!</v>
      </c>
      <c r="AE5" s="28" t="e">
        <f t="shared" si="4"/>
        <v>#DIV/0!</v>
      </c>
      <c r="AF5" s="28" t="e">
        <f t="shared" si="4"/>
        <v>#DIV/0!</v>
      </c>
      <c r="AG5" s="28" t="e">
        <f t="shared" si="4"/>
        <v>#DIV/0!</v>
      </c>
      <c r="AH5" s="28" t="e">
        <f t="shared" si="4"/>
        <v>#DIV/0!</v>
      </c>
      <c r="AI5" s="28" t="e">
        <f t="shared" si="4"/>
        <v>#DIV/0!</v>
      </c>
      <c r="AJ5" s="28" t="e">
        <f t="shared" si="4"/>
        <v>#DIV/0!</v>
      </c>
      <c r="AK5" s="28" t="e">
        <f t="shared" si="4"/>
        <v>#DIV/0!</v>
      </c>
      <c r="AL5" s="28" t="e">
        <f t="shared" si="4"/>
        <v>#DIV/0!</v>
      </c>
      <c r="AM5" s="28" t="e">
        <f t="shared" si="4"/>
        <v>#DIV/0!</v>
      </c>
      <c r="AN5" s="28" t="e">
        <f t="shared" si="4"/>
        <v>#DIV/0!</v>
      </c>
      <c r="AO5" s="28" t="e">
        <f t="shared" si="4"/>
        <v>#DIV/0!</v>
      </c>
      <c r="AP5" s="28" t="e">
        <f t="shared" si="4"/>
        <v>#DIV/0!</v>
      </c>
      <c r="AQ5" s="28" t="e">
        <f t="shared" si="4"/>
        <v>#DIV/0!</v>
      </c>
      <c r="AR5" s="28" t="e">
        <f t="shared" si="4"/>
        <v>#DIV/0!</v>
      </c>
      <c r="AS5" s="28" t="e">
        <f t="shared" si="4"/>
        <v>#DIV/0!</v>
      </c>
      <c r="AT5" s="28" t="e">
        <f t="shared" si="4"/>
        <v>#DIV/0!</v>
      </c>
      <c r="AU5" s="28" t="e">
        <f t="shared" si="4"/>
        <v>#DIV/0!</v>
      </c>
      <c r="AV5" s="28" t="e">
        <f t="shared" si="4"/>
        <v>#DIV/0!</v>
      </c>
      <c r="AW5" s="28" t="e">
        <f t="shared" si="4"/>
        <v>#DIV/0!</v>
      </c>
      <c r="AX5" s="28" t="e">
        <f t="shared" si="4"/>
        <v>#DIV/0!</v>
      </c>
      <c r="AY5" s="28" t="e">
        <f t="shared" si="4"/>
        <v>#DIV/0!</v>
      </c>
      <c r="AZ5" s="28" t="e">
        <f t="shared" si="4"/>
        <v>#DIV/0!</v>
      </c>
      <c r="BA5" s="28" t="e">
        <f t="shared" si="4"/>
        <v>#DIV/0!</v>
      </c>
      <c r="BB5" s="28" t="e">
        <f t="shared" si="4"/>
        <v>#DIV/0!</v>
      </c>
      <c r="BC5" s="28" t="e">
        <f t="shared" si="4"/>
        <v>#DIV/0!</v>
      </c>
      <c r="BD5" s="28" t="e">
        <f t="shared" si="4"/>
        <v>#DIV/0!</v>
      </c>
      <c r="BE5" s="28" t="e">
        <f t="shared" si="4"/>
        <v>#DIV/0!</v>
      </c>
      <c r="BF5" s="28" t="e">
        <f t="shared" si="4"/>
        <v>#DIV/0!</v>
      </c>
      <c r="BG5" s="28" t="e">
        <f t="shared" si="4"/>
        <v>#DIV/0!</v>
      </c>
      <c r="BH5" s="28" t="e">
        <f t="shared" si="4"/>
        <v>#DIV/0!</v>
      </c>
      <c r="BI5" s="28" t="e">
        <f t="shared" si="4"/>
        <v>#DIV/0!</v>
      </c>
      <c r="BJ5" s="28" t="e">
        <f t="shared" si="4"/>
        <v>#DIV/0!</v>
      </c>
      <c r="BK5" s="28" t="e">
        <f t="shared" si="4"/>
        <v>#DIV/0!</v>
      </c>
      <c r="BL5" s="28" t="e">
        <f t="shared" si="4"/>
        <v>#DIV/0!</v>
      </c>
      <c r="BM5" s="28" t="e">
        <f t="shared" si="4"/>
        <v>#DIV/0!</v>
      </c>
      <c r="BN5" s="28" t="e">
        <f t="shared" si="4"/>
        <v>#DIV/0!</v>
      </c>
      <c r="BO5" s="28" t="e">
        <f t="shared" si="4"/>
        <v>#DIV/0!</v>
      </c>
      <c r="BP5" s="28" t="e">
        <f t="shared" si="4"/>
        <v>#DIV/0!</v>
      </c>
      <c r="BQ5" s="28" t="e">
        <f t="shared" si="4"/>
        <v>#DIV/0!</v>
      </c>
      <c r="BR5" s="28" t="e">
        <f t="shared" ref="BR5:CL5" si="5">(BR2/(1+BR4))/BR3</f>
        <v>#DIV/0!</v>
      </c>
      <c r="BS5" s="28" t="e">
        <f t="shared" si="5"/>
        <v>#DIV/0!</v>
      </c>
      <c r="BT5" s="28" t="e">
        <f t="shared" si="5"/>
        <v>#DIV/0!</v>
      </c>
      <c r="BU5" s="28" t="e">
        <f t="shared" si="5"/>
        <v>#DIV/0!</v>
      </c>
      <c r="BV5" s="28" t="e">
        <f t="shared" si="5"/>
        <v>#DIV/0!</v>
      </c>
      <c r="BW5" s="28" t="e">
        <f t="shared" si="5"/>
        <v>#DIV/0!</v>
      </c>
      <c r="BX5" s="28" t="e">
        <f t="shared" si="5"/>
        <v>#DIV/0!</v>
      </c>
      <c r="BY5" s="28" t="e">
        <f t="shared" si="5"/>
        <v>#DIV/0!</v>
      </c>
      <c r="BZ5" s="28" t="e">
        <f t="shared" si="5"/>
        <v>#DIV/0!</v>
      </c>
      <c r="CA5" s="28" t="e">
        <f t="shared" si="5"/>
        <v>#DIV/0!</v>
      </c>
      <c r="CB5" s="28" t="e">
        <f t="shared" si="5"/>
        <v>#DIV/0!</v>
      </c>
      <c r="CC5" s="28" t="e">
        <f t="shared" si="5"/>
        <v>#DIV/0!</v>
      </c>
      <c r="CD5" s="28" t="e">
        <f t="shared" si="5"/>
        <v>#DIV/0!</v>
      </c>
      <c r="CE5" s="28" t="e">
        <f t="shared" si="5"/>
        <v>#DIV/0!</v>
      </c>
      <c r="CF5" s="28" t="e">
        <f t="shared" si="5"/>
        <v>#DIV/0!</v>
      </c>
      <c r="CG5" s="28" t="e">
        <f t="shared" si="5"/>
        <v>#DIV/0!</v>
      </c>
      <c r="CH5" s="28" t="e">
        <f t="shared" si="5"/>
        <v>#DIV/0!</v>
      </c>
      <c r="CI5" s="28" t="e">
        <f t="shared" si="5"/>
        <v>#DIV/0!</v>
      </c>
      <c r="CJ5" s="28" t="e">
        <f t="shared" si="5"/>
        <v>#DIV/0!</v>
      </c>
      <c r="CK5" s="28" t="e">
        <f t="shared" si="5"/>
        <v>#DIV/0!</v>
      </c>
      <c r="CL5" s="28" t="e">
        <f t="shared" si="5"/>
        <v>#DIV/0!</v>
      </c>
    </row>
    <row r="6" spans="1:90" s="26" customFormat="1">
      <c r="A6" s="17" t="s">
        <v>375</v>
      </c>
      <c r="B6" s="190">
        <f>现金流量表!B8</f>
        <v>5298518032.5500002</v>
      </c>
      <c r="C6" s="190">
        <f>现金流量表!C8</f>
        <v>4875768504.1599998</v>
      </c>
      <c r="D6" s="190">
        <f>现金流量表!D8</f>
        <v>2773020403.27</v>
      </c>
      <c r="E6" s="26">
        <f>现金流量表!E8</f>
        <v>2967732630.3699999</v>
      </c>
      <c r="F6" s="26">
        <f>现金流量表!F8</f>
        <v>2838028404.9699998</v>
      </c>
      <c r="G6" s="26">
        <f>现金流量表!G8</f>
        <v>3152308925.4699998</v>
      </c>
      <c r="H6" s="26">
        <f>现金流量表!H8</f>
        <v>2707393653.3299999</v>
      </c>
      <c r="I6" s="26">
        <f>现金流量表!I8</f>
        <v>2353687717.48</v>
      </c>
      <c r="J6" s="26">
        <f>现金流量表!J8</f>
        <v>1669804222.04</v>
      </c>
      <c r="K6" s="26">
        <f>现金流量表!K8</f>
        <v>1557075938.7</v>
      </c>
      <c r="L6" s="26">
        <f>现金流量表!L8</f>
        <v>1214717814.8299999</v>
      </c>
      <c r="M6" s="26">
        <f>现金流量表!M8</f>
        <v>1098306968.3299999</v>
      </c>
      <c r="N6" s="26">
        <f>现金流量表!N8</f>
        <v>804488570.85000002</v>
      </c>
      <c r="O6" s="26">
        <f>现金流量表!O8</f>
        <v>950764775.72000003</v>
      </c>
      <c r="P6" s="26">
        <f>现金流量表!P8</f>
        <v>864365999.46000004</v>
      </c>
      <c r="Q6" s="26">
        <f>现金流量表!Q8</f>
        <v>638529865.39999998</v>
      </c>
      <c r="R6" s="26">
        <f>现金流量表!R8</f>
        <v>623577741.01999998</v>
      </c>
      <c r="S6" s="26">
        <f>现金流量表!S8</f>
        <v>594708128.38999999</v>
      </c>
      <c r="T6" s="26">
        <f>现金流量表!T8</f>
        <v>0</v>
      </c>
      <c r="U6" s="26">
        <f>现金流量表!U8</f>
        <v>0</v>
      </c>
      <c r="V6" s="26">
        <f>现金流量表!V8</f>
        <v>0</v>
      </c>
      <c r="W6" s="26">
        <f>现金流量表!W8</f>
        <v>0</v>
      </c>
      <c r="X6" s="26">
        <f>现金流量表!X8</f>
        <v>0</v>
      </c>
      <c r="Y6" s="26">
        <f>现金流量表!Y8</f>
        <v>0</v>
      </c>
      <c r="Z6" s="26">
        <f>现金流量表!Z8</f>
        <v>0</v>
      </c>
      <c r="AA6" s="26">
        <f>现金流量表!AA8</f>
        <v>0</v>
      </c>
      <c r="AB6" s="26">
        <f>现金流量表!AB8</f>
        <v>0</v>
      </c>
      <c r="AC6" s="26">
        <f>现金流量表!AC8</f>
        <v>0</v>
      </c>
      <c r="AD6" s="26">
        <f>现金流量表!AD8</f>
        <v>0</v>
      </c>
      <c r="AE6" s="26">
        <f>现金流量表!AE8</f>
        <v>0</v>
      </c>
      <c r="AF6" s="26">
        <f>现金流量表!AF8</f>
        <v>0</v>
      </c>
      <c r="AG6" s="26">
        <f>现金流量表!AG8</f>
        <v>0</v>
      </c>
      <c r="AH6" s="26">
        <f>现金流量表!AH8</f>
        <v>0</v>
      </c>
      <c r="AI6" s="26">
        <f>现金流量表!AI8</f>
        <v>0</v>
      </c>
      <c r="AJ6" s="26">
        <f>现金流量表!AJ8</f>
        <v>0</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376</v>
      </c>
      <c r="B7" s="190">
        <f>现金流量表!B9</f>
        <v>6653137733.6599998</v>
      </c>
      <c r="C7" s="190">
        <f>现金流量表!C9</f>
        <v>5489606122.4799995</v>
      </c>
      <c r="D7" s="190">
        <f>现金流量表!D9</f>
        <v>4674154236.6599998</v>
      </c>
      <c r="E7" s="26">
        <f>现金流量表!E9</f>
        <v>4536877341.1000004</v>
      </c>
      <c r="F7" s="26">
        <f>现金流量表!F9</f>
        <v>3393609756.8699999</v>
      </c>
      <c r="G7" s="26">
        <f>现金流量表!G9</f>
        <v>3135608084.79</v>
      </c>
      <c r="H7" s="26">
        <f>现金流量表!H9</f>
        <v>2953919072.54</v>
      </c>
      <c r="I7" s="26">
        <f>现金流量表!I9</f>
        <v>1925571991.79</v>
      </c>
      <c r="J7" s="26">
        <f>现金流量表!J9</f>
        <v>1492813443.3499999</v>
      </c>
      <c r="K7" s="26">
        <f>现金流量表!K9</f>
        <v>1229305038.48</v>
      </c>
      <c r="L7" s="26">
        <f>现金流量表!L9</f>
        <v>809386845.14999998</v>
      </c>
      <c r="M7" s="26">
        <f>现金流量表!M9</f>
        <v>623333896.62</v>
      </c>
      <c r="N7" s="26">
        <f>现金流量表!N9</f>
        <v>403859477.30000001</v>
      </c>
      <c r="O7" s="26">
        <f>现金流量表!O9</f>
        <v>250797895.84999999</v>
      </c>
      <c r="P7" s="26">
        <f>现金流量表!P9</f>
        <v>159838716.74000001</v>
      </c>
      <c r="Q7" s="26">
        <f>现金流量表!Q9</f>
        <v>205782831.25</v>
      </c>
      <c r="R7" s="26">
        <f>现金流量表!R9</f>
        <v>106684520.62</v>
      </c>
      <c r="S7" s="26">
        <f>现金流量表!S9</f>
        <v>93314750.840000004</v>
      </c>
      <c r="T7" s="26">
        <f>现金流量表!T9</f>
        <v>0</v>
      </c>
      <c r="U7" s="26">
        <f>现金流量表!U9</f>
        <v>0</v>
      </c>
      <c r="V7" s="26">
        <f>现金流量表!V9</f>
        <v>0</v>
      </c>
      <c r="W7" s="26">
        <f>现金流量表!W9</f>
        <v>0</v>
      </c>
      <c r="X7" s="26">
        <f>现金流量表!X9</f>
        <v>0</v>
      </c>
      <c r="Y7" s="26">
        <f>现金流量表!Y9</f>
        <v>0</v>
      </c>
      <c r="Z7" s="26">
        <f>现金流量表!Z9</f>
        <v>0</v>
      </c>
      <c r="AA7" s="26">
        <f>现金流量表!AA9</f>
        <v>0</v>
      </c>
      <c r="AB7" s="26">
        <f>现金流量表!AB9</f>
        <v>0</v>
      </c>
      <c r="AC7" s="26">
        <f>现金流量表!AC9</f>
        <v>0</v>
      </c>
      <c r="AD7" s="26">
        <f>现金流量表!AD9</f>
        <v>0</v>
      </c>
      <c r="AE7" s="26">
        <f>现金流量表!AE9</f>
        <v>0</v>
      </c>
      <c r="AF7" s="26">
        <f>现金流量表!AF9</f>
        <v>0</v>
      </c>
      <c r="AG7" s="26">
        <f>现金流量表!AG9</f>
        <v>0</v>
      </c>
      <c r="AH7" s="26">
        <f>现金流量表!AH9</f>
        <v>0</v>
      </c>
      <c r="AI7" s="26">
        <f>现金流量表!AI9</f>
        <v>0</v>
      </c>
      <c r="AJ7" s="26">
        <f>现金流量表!AJ9</f>
        <v>0</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4" t="s">
        <v>377</v>
      </c>
      <c r="B8" s="58">
        <f>利润表!B6</f>
        <v>6522921833.7700005</v>
      </c>
      <c r="C8" s="58">
        <f>利润表!C6</f>
        <v>5940436371.9700003</v>
      </c>
      <c r="D8" s="58">
        <f>利润表!D6</f>
        <v>3410104085.9699998</v>
      </c>
      <c r="E8" s="58">
        <f>利润表!E6</f>
        <v>2538337449.0599999</v>
      </c>
      <c r="F8" s="58">
        <f>利润表!F6</f>
        <v>2338550532.3299999</v>
      </c>
      <c r="G8" s="58">
        <f>利润表!G6</f>
        <v>2193920307.9899998</v>
      </c>
      <c r="H8" s="58">
        <f>利润表!H6</f>
        <v>2044306468.76</v>
      </c>
      <c r="I8" s="58">
        <f>利润表!I6</f>
        <v>1551233976.0599999</v>
      </c>
      <c r="J8" s="58">
        <f>利润表!J6</f>
        <v>1052931591.61</v>
      </c>
      <c r="K8" s="58">
        <f>利润表!K6</f>
        <v>950672855.26999998</v>
      </c>
      <c r="L8" s="58">
        <f>利润表!L6</f>
        <v>799713319.24000001</v>
      </c>
      <c r="M8" s="58">
        <f>利润表!M6</f>
        <v>871643568.33000004</v>
      </c>
      <c r="N8" s="58">
        <f>利润表!N6</f>
        <v>791179840.49000001</v>
      </c>
      <c r="O8" s="58">
        <f>利润表!O6</f>
        <v>687106816.67999995</v>
      </c>
      <c r="P8" s="58">
        <f>利润表!P6</f>
        <v>535056248.94999999</v>
      </c>
      <c r="Q8" s="58">
        <f>利润表!Q6</f>
        <v>477388129.86000001</v>
      </c>
      <c r="R8" s="58">
        <f>利润表!R6</f>
        <v>340556444.79000002</v>
      </c>
      <c r="S8" s="58">
        <f>利润表!S6</f>
        <v>287538468.11000001</v>
      </c>
      <c r="T8" s="58">
        <f>利润表!T6</f>
        <v>0</v>
      </c>
      <c r="U8" s="58">
        <f>利润表!U6</f>
        <v>0</v>
      </c>
      <c r="V8" s="58">
        <f>利润表!V6</f>
        <v>0</v>
      </c>
      <c r="W8" s="58">
        <f>利润表!W6</f>
        <v>0</v>
      </c>
      <c r="X8" s="58">
        <f>利润表!X6</f>
        <v>0</v>
      </c>
      <c r="Y8" s="58">
        <f>利润表!Y6</f>
        <v>0</v>
      </c>
      <c r="Z8" s="58">
        <f>利润表!Z6</f>
        <v>0</v>
      </c>
      <c r="AA8" s="58">
        <f>利润表!AA6</f>
        <v>0</v>
      </c>
      <c r="AB8" s="58">
        <f>利润表!AB6</f>
        <v>0</v>
      </c>
      <c r="AC8" s="58">
        <f>利润表!AC6</f>
        <v>0</v>
      </c>
      <c r="AD8" s="58">
        <f>利润表!AD6</f>
        <v>0</v>
      </c>
      <c r="AE8" s="58">
        <f>利润表!AE6</f>
        <v>0</v>
      </c>
      <c r="AF8" s="58">
        <f>利润表!AF6</f>
        <v>0</v>
      </c>
      <c r="AG8" s="58">
        <f>利润表!AG6</f>
        <v>0</v>
      </c>
      <c r="AH8" s="58">
        <f>利润表!AH6</f>
        <v>0</v>
      </c>
      <c r="AI8" s="58">
        <f>利润表!AI6</f>
        <v>0</v>
      </c>
      <c r="AJ8" s="58">
        <f>利润表!AJ6</f>
        <v>0</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4" t="s">
        <v>378</v>
      </c>
      <c r="B9" s="58">
        <f>利润表!B7</f>
        <v>11288926846.969999</v>
      </c>
      <c r="C9" s="58">
        <f>利润表!C7</f>
        <v>8404214470.6899996</v>
      </c>
      <c r="D9" s="58">
        <f>利润表!D7</f>
        <v>6508926343.2600002</v>
      </c>
      <c r="E9" s="58">
        <f>利润表!E7</f>
        <v>3449170637.4000001</v>
      </c>
      <c r="F9" s="58">
        <f>利润表!F7</f>
        <v>2788994436.0500002</v>
      </c>
      <c r="G9" s="58">
        <f>利润表!G7</f>
        <v>2790747889.4899998</v>
      </c>
      <c r="H9" s="58">
        <f>利润表!H7</f>
        <v>2572644755.4200001</v>
      </c>
      <c r="I9" s="58">
        <f>利润表!I7</f>
        <v>2477391798.0100002</v>
      </c>
      <c r="J9" s="58">
        <f>利润表!J7</f>
        <v>1577013104.9000001</v>
      </c>
      <c r="K9" s="58">
        <f>利润表!K7</f>
        <v>940508549.65999997</v>
      </c>
      <c r="L9" s="58">
        <f>利润表!L7</f>
        <v>681761604.71000004</v>
      </c>
      <c r="M9" s="58">
        <f>利润表!M7</f>
        <v>604078928.40999997</v>
      </c>
      <c r="N9" s="58">
        <f>利润表!N7</f>
        <v>574699589.65999997</v>
      </c>
      <c r="O9" s="58">
        <f>利润表!O7</f>
        <v>530245028.45999998</v>
      </c>
      <c r="P9" s="58">
        <f>利润表!P7</f>
        <v>324855608.17000002</v>
      </c>
      <c r="Q9" s="58">
        <f>利润表!Q7</f>
        <v>308189009.56</v>
      </c>
      <c r="R9" s="58">
        <f>利润表!R7</f>
        <v>320026615.94999999</v>
      </c>
      <c r="S9" s="58">
        <f>利润表!S7</f>
        <v>317884849.44</v>
      </c>
      <c r="T9" s="58">
        <f>利润表!T7</f>
        <v>0</v>
      </c>
      <c r="U9" s="58">
        <f>利润表!U7</f>
        <v>0</v>
      </c>
      <c r="V9" s="58">
        <f>利润表!V7</f>
        <v>0</v>
      </c>
      <c r="W9" s="58">
        <f>利润表!W7</f>
        <v>0</v>
      </c>
      <c r="X9" s="58">
        <f>利润表!X7</f>
        <v>0</v>
      </c>
      <c r="Y9" s="58">
        <f>利润表!Y7</f>
        <v>0</v>
      </c>
      <c r="Z9" s="58">
        <f>利润表!Z7</f>
        <v>0</v>
      </c>
      <c r="AA9" s="58">
        <f>利润表!AA7</f>
        <v>0</v>
      </c>
      <c r="AB9" s="58">
        <f>利润表!AB7</f>
        <v>0</v>
      </c>
      <c r="AC9" s="58">
        <f>利润表!AC7</f>
        <v>0</v>
      </c>
      <c r="AD9" s="58">
        <f>利润表!AD7</f>
        <v>0</v>
      </c>
      <c r="AE9" s="58">
        <f>利润表!AE7</f>
        <v>0</v>
      </c>
      <c r="AF9" s="58">
        <f>利润表!AF7</f>
        <v>0</v>
      </c>
      <c r="AG9" s="58">
        <f>利润表!AG7</f>
        <v>0</v>
      </c>
      <c r="AH9" s="58">
        <f>利润表!AH7</f>
        <v>0</v>
      </c>
      <c r="AI9" s="58">
        <f>利润表!AI7</f>
        <v>0</v>
      </c>
      <c r="AJ9" s="58">
        <f>利润表!AJ7</f>
        <v>0</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44" t="s">
        <v>379</v>
      </c>
      <c r="B10" s="58">
        <f>利润表!B8</f>
        <v>2572076872.1599998</v>
      </c>
      <c r="C10" s="58">
        <f>利润表!C8</f>
        <v>2986068544.9899998</v>
      </c>
      <c r="D10" s="58">
        <f>利润表!D8</f>
        <v>1681052022.9000001</v>
      </c>
      <c r="E10" s="58">
        <f>利润表!E8</f>
        <v>1484961519.21</v>
      </c>
      <c r="F10" s="58">
        <f>利润表!F8</f>
        <v>1674733451.0599999</v>
      </c>
      <c r="G10" s="58">
        <f>利润表!G8</f>
        <v>1858132722.71</v>
      </c>
      <c r="H10" s="58">
        <f>利润表!H8</f>
        <v>1224553444.02</v>
      </c>
      <c r="I10" s="58">
        <f>利润表!I8</f>
        <v>720327727.88999999</v>
      </c>
      <c r="J10" s="58">
        <f>利润表!J8</f>
        <v>676531662.09000003</v>
      </c>
      <c r="K10" s="58">
        <f>利润表!K8</f>
        <v>621284334.75</v>
      </c>
      <c r="L10" s="58">
        <f>利润表!L8</f>
        <v>532024659.80000001</v>
      </c>
      <c r="M10" s="58">
        <f>利润表!M8</f>
        <v>560385186.98000002</v>
      </c>
      <c r="N10" s="58">
        <f>利润表!N8</f>
        <v>579353831.58000004</v>
      </c>
      <c r="O10" s="58">
        <f>利润表!O8</f>
        <v>475939394.32999998</v>
      </c>
      <c r="P10" s="58">
        <f>利润表!P8</f>
        <v>376522300.75</v>
      </c>
      <c r="Q10" s="58">
        <f>利润表!Q8</f>
        <v>365256375.5</v>
      </c>
      <c r="R10" s="58">
        <f>利润表!R8</f>
        <v>308176458.60000002</v>
      </c>
      <c r="S10" s="58">
        <f>利润表!S8</f>
        <v>228319500.78</v>
      </c>
      <c r="T10" s="58">
        <f>利润表!T8</f>
        <v>0</v>
      </c>
      <c r="U10" s="58">
        <f>利润表!U8</f>
        <v>0</v>
      </c>
      <c r="V10" s="58">
        <f>利润表!V8</f>
        <v>0</v>
      </c>
      <c r="W10" s="58">
        <f>利润表!W8</f>
        <v>0</v>
      </c>
      <c r="X10" s="58">
        <f>利润表!X8</f>
        <v>0</v>
      </c>
      <c r="Y10" s="58">
        <f>利润表!Y8</f>
        <v>0</v>
      </c>
      <c r="Z10" s="58">
        <f>利润表!Z8</f>
        <v>0</v>
      </c>
      <c r="AA10" s="58">
        <f>利润表!AA8</f>
        <v>0</v>
      </c>
      <c r="AB10" s="58">
        <f>利润表!AB8</f>
        <v>0</v>
      </c>
      <c r="AC10" s="58">
        <f>利润表!AC8</f>
        <v>0</v>
      </c>
      <c r="AD10" s="58">
        <f>利润表!AD8</f>
        <v>0</v>
      </c>
      <c r="AE10" s="58">
        <f>利润表!AE8</f>
        <v>0</v>
      </c>
      <c r="AF10" s="58">
        <f>利润表!AF8</f>
        <v>0</v>
      </c>
      <c r="AG10" s="58">
        <f>利润表!AG8</f>
        <v>0</v>
      </c>
      <c r="AH10" s="58">
        <f>利润表!AH8</f>
        <v>0</v>
      </c>
      <c r="AI10" s="58">
        <f>利润表!AI8</f>
        <v>0</v>
      </c>
      <c r="AJ10" s="58">
        <f>利润表!AJ8</f>
        <v>0</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4" t="s">
        <v>380</v>
      </c>
      <c r="B11" s="58">
        <f>利润表!B9</f>
        <v>5325940762.2399998</v>
      </c>
      <c r="C11" s="58">
        <f>利润表!C9</f>
        <v>4720542820.1400003</v>
      </c>
      <c r="D11" s="58">
        <f>利润表!D9</f>
        <v>4187189840.4200001</v>
      </c>
      <c r="E11" s="58">
        <f>利润表!E9</f>
        <v>3812852076.1900001</v>
      </c>
      <c r="F11" s="58">
        <f>利润表!F9</f>
        <v>3378499544.5900002</v>
      </c>
      <c r="G11" s="58">
        <f>利润表!G9</f>
        <v>2834740716</v>
      </c>
      <c r="H11" s="58">
        <f>利润表!H9</f>
        <v>2204190581.1300001</v>
      </c>
      <c r="I11" s="58">
        <f>利润表!I9</f>
        <v>1673872427.75</v>
      </c>
      <c r="J11" s="58">
        <f>利润表!J9</f>
        <v>1346014202.04</v>
      </c>
      <c r="K11" s="58">
        <f>利润表!K9</f>
        <v>1217158463.04</v>
      </c>
      <c r="L11" s="58">
        <f>利润表!L9</f>
        <v>941174062.44000006</v>
      </c>
      <c r="M11" s="58">
        <f>利润表!M9</f>
        <v>723155575.20000005</v>
      </c>
      <c r="N11" s="58">
        <f>利润表!N9</f>
        <v>492828170.27999997</v>
      </c>
      <c r="O11" s="58">
        <f>利润表!O9</f>
        <v>350685099.47000003</v>
      </c>
      <c r="P11" s="58">
        <f>利润表!P9</f>
        <v>311563047.88999999</v>
      </c>
      <c r="Q11" s="58">
        <f>利润表!Q9</f>
        <v>291880260.69</v>
      </c>
      <c r="R11" s="58">
        <f>利润表!R9</f>
        <v>237706731.47</v>
      </c>
      <c r="S11" s="58">
        <f>利润表!S9</f>
        <v>181060278.22</v>
      </c>
      <c r="T11" s="58">
        <f>利润表!T9</f>
        <v>0</v>
      </c>
      <c r="U11" s="58">
        <f>利润表!U9</f>
        <v>0</v>
      </c>
      <c r="V11" s="58">
        <f>利润表!V9</f>
        <v>0</v>
      </c>
      <c r="W11" s="58">
        <f>利润表!W9</f>
        <v>0</v>
      </c>
      <c r="X11" s="58">
        <f>利润表!X9</f>
        <v>0</v>
      </c>
      <c r="Y11" s="58">
        <f>利润表!Y9</f>
        <v>0</v>
      </c>
      <c r="Z11" s="58">
        <f>利润表!Z9</f>
        <v>0</v>
      </c>
      <c r="AA11" s="58">
        <f>利润表!AA9</f>
        <v>0</v>
      </c>
      <c r="AB11" s="58">
        <f>利润表!AB9</f>
        <v>0</v>
      </c>
      <c r="AC11" s="58">
        <f>利润表!AC9</f>
        <v>0</v>
      </c>
      <c r="AD11" s="58">
        <f>利润表!AD9</f>
        <v>0</v>
      </c>
      <c r="AE11" s="58">
        <f>利润表!AE9</f>
        <v>0</v>
      </c>
      <c r="AF11" s="58">
        <f>利润表!AF9</f>
        <v>0</v>
      </c>
      <c r="AG11" s="58">
        <f>利润表!AG9</f>
        <v>0</v>
      </c>
      <c r="AH11" s="58">
        <f>利润表!AH9</f>
        <v>0</v>
      </c>
      <c r="AI11" s="58">
        <f>利润表!AI9</f>
        <v>0</v>
      </c>
      <c r="AJ11" s="58">
        <f>利润表!AJ9</f>
        <v>0</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4" t="s">
        <v>381</v>
      </c>
      <c r="B12" s="58">
        <f t="shared" ref="B12:D12" si="6">SUM(B8:B11)</f>
        <v>25709866315.139999</v>
      </c>
      <c r="C12" s="58">
        <f t="shared" si="6"/>
        <v>22051262207.790001</v>
      </c>
      <c r="D12" s="58">
        <f t="shared" si="6"/>
        <v>15787272292.549999</v>
      </c>
      <c r="E12" s="58">
        <f>SUM(E8:E11)</f>
        <v>11285321681.860001</v>
      </c>
      <c r="F12" s="58">
        <f t="shared" ref="F12:BQ12" si="7">SUM(F8:F11)</f>
        <v>10180777964.030001</v>
      </c>
      <c r="G12" s="58">
        <f t="shared" si="7"/>
        <v>9677541636.1899986</v>
      </c>
      <c r="H12" s="58">
        <f t="shared" si="7"/>
        <v>8045695249.3300009</v>
      </c>
      <c r="I12" s="58">
        <f t="shared" si="7"/>
        <v>6422825929.71</v>
      </c>
      <c r="J12" s="58">
        <f t="shared" si="7"/>
        <v>4652490560.6400003</v>
      </c>
      <c r="K12" s="58">
        <f t="shared" si="7"/>
        <v>3729624202.7199998</v>
      </c>
      <c r="L12" s="58">
        <f t="shared" si="7"/>
        <v>2954673646.1900001</v>
      </c>
      <c r="M12" s="58">
        <f t="shared" si="7"/>
        <v>2759263258.9200001</v>
      </c>
      <c r="N12" s="58">
        <f t="shared" si="7"/>
        <v>2438061432.0100002</v>
      </c>
      <c r="O12" s="58">
        <f t="shared" si="7"/>
        <v>2043976338.9399998</v>
      </c>
      <c r="P12" s="58">
        <f t="shared" si="7"/>
        <v>1547997205.7599998</v>
      </c>
      <c r="Q12" s="58">
        <f t="shared" si="7"/>
        <v>1442713775.6100001</v>
      </c>
      <c r="R12" s="58">
        <f t="shared" si="7"/>
        <v>1206466250.8099999</v>
      </c>
      <c r="S12" s="58">
        <f t="shared" si="7"/>
        <v>1014803096.55</v>
      </c>
      <c r="T12" s="58">
        <f t="shared" si="7"/>
        <v>0</v>
      </c>
      <c r="U12" s="58">
        <f t="shared" si="7"/>
        <v>0</v>
      </c>
      <c r="V12" s="58">
        <f t="shared" si="7"/>
        <v>0</v>
      </c>
      <c r="W12" s="58">
        <f t="shared" si="7"/>
        <v>0</v>
      </c>
      <c r="X12" s="58">
        <f t="shared" si="7"/>
        <v>0</v>
      </c>
      <c r="Y12" s="58">
        <f t="shared" si="7"/>
        <v>0</v>
      </c>
      <c r="Z12" s="58">
        <f t="shared" si="7"/>
        <v>0</v>
      </c>
      <c r="AA12" s="58">
        <f t="shared" si="7"/>
        <v>0</v>
      </c>
      <c r="AB12" s="58">
        <f t="shared" si="7"/>
        <v>0</v>
      </c>
      <c r="AC12" s="58">
        <f t="shared" si="7"/>
        <v>0</v>
      </c>
      <c r="AD12" s="58">
        <f t="shared" si="7"/>
        <v>0</v>
      </c>
      <c r="AE12" s="58">
        <f t="shared" si="7"/>
        <v>0</v>
      </c>
      <c r="AF12" s="58">
        <f t="shared" si="7"/>
        <v>0</v>
      </c>
      <c r="AG12" s="58">
        <f t="shared" si="7"/>
        <v>0</v>
      </c>
      <c r="AH12" s="58">
        <f t="shared" si="7"/>
        <v>0</v>
      </c>
      <c r="AI12" s="58">
        <f t="shared" si="7"/>
        <v>0</v>
      </c>
      <c r="AJ12" s="58">
        <f t="shared" si="7"/>
        <v>0</v>
      </c>
      <c r="AK12" s="58">
        <f t="shared" si="7"/>
        <v>0</v>
      </c>
      <c r="AL12" s="58">
        <f t="shared" si="7"/>
        <v>0</v>
      </c>
      <c r="AM12" s="58">
        <f t="shared" si="7"/>
        <v>0</v>
      </c>
      <c r="AN12" s="58">
        <f t="shared" si="7"/>
        <v>0</v>
      </c>
      <c r="AO12" s="58">
        <f t="shared" si="7"/>
        <v>0</v>
      </c>
      <c r="AP12" s="58">
        <f t="shared" si="7"/>
        <v>0</v>
      </c>
      <c r="AQ12" s="58">
        <f t="shared" si="7"/>
        <v>0</v>
      </c>
      <c r="AR12" s="58">
        <f t="shared" si="7"/>
        <v>0</v>
      </c>
      <c r="AS12" s="58">
        <f t="shared" si="7"/>
        <v>0</v>
      </c>
      <c r="AT12" s="58">
        <f t="shared" si="7"/>
        <v>0</v>
      </c>
      <c r="AU12" s="58">
        <f t="shared" si="7"/>
        <v>0</v>
      </c>
      <c r="AV12" s="58">
        <f t="shared" si="7"/>
        <v>0</v>
      </c>
      <c r="AW12" s="58">
        <f t="shared" si="7"/>
        <v>0</v>
      </c>
      <c r="AX12" s="58">
        <f t="shared" si="7"/>
        <v>0</v>
      </c>
      <c r="AY12" s="58">
        <f t="shared" si="7"/>
        <v>0</v>
      </c>
      <c r="AZ12" s="58">
        <f t="shared" si="7"/>
        <v>0</v>
      </c>
      <c r="BA12" s="58">
        <f t="shared" si="7"/>
        <v>0</v>
      </c>
      <c r="BB12" s="58">
        <f t="shared" si="7"/>
        <v>0</v>
      </c>
      <c r="BC12" s="58">
        <f t="shared" si="7"/>
        <v>0</v>
      </c>
      <c r="BD12" s="58">
        <f t="shared" si="7"/>
        <v>0</v>
      </c>
      <c r="BE12" s="58">
        <f t="shared" si="7"/>
        <v>0</v>
      </c>
      <c r="BF12" s="58">
        <f t="shared" si="7"/>
        <v>0</v>
      </c>
      <c r="BG12" s="58">
        <f t="shared" si="7"/>
        <v>0</v>
      </c>
      <c r="BH12" s="58">
        <f t="shared" si="7"/>
        <v>0</v>
      </c>
      <c r="BI12" s="58">
        <f t="shared" si="7"/>
        <v>0</v>
      </c>
      <c r="BJ12" s="58">
        <f t="shared" si="7"/>
        <v>0</v>
      </c>
      <c r="BK12" s="58">
        <f t="shared" si="7"/>
        <v>0</v>
      </c>
      <c r="BL12" s="58">
        <f t="shared" si="7"/>
        <v>0</v>
      </c>
      <c r="BM12" s="58">
        <f t="shared" si="7"/>
        <v>0</v>
      </c>
      <c r="BN12" s="58">
        <f t="shared" si="7"/>
        <v>0</v>
      </c>
      <c r="BO12" s="58">
        <f t="shared" si="7"/>
        <v>0</v>
      </c>
      <c r="BP12" s="58">
        <f t="shared" si="7"/>
        <v>0</v>
      </c>
      <c r="BQ12" s="58">
        <f t="shared" si="7"/>
        <v>0</v>
      </c>
      <c r="BR12" s="58">
        <f t="shared" ref="BR12:CL12" si="8">SUM(BR8:BR11)</f>
        <v>0</v>
      </c>
      <c r="BS12" s="58">
        <f t="shared" si="8"/>
        <v>0</v>
      </c>
      <c r="BT12" s="58">
        <f t="shared" si="8"/>
        <v>0</v>
      </c>
      <c r="BU12" s="58">
        <f t="shared" si="8"/>
        <v>0</v>
      </c>
      <c r="BV12" s="58">
        <f t="shared" si="8"/>
        <v>0</v>
      </c>
      <c r="BW12" s="58">
        <f t="shared" si="8"/>
        <v>0</v>
      </c>
      <c r="BX12" s="58">
        <f t="shared" si="8"/>
        <v>0</v>
      </c>
      <c r="BY12" s="58">
        <f t="shared" si="8"/>
        <v>0</v>
      </c>
      <c r="BZ12" s="58">
        <f t="shared" si="8"/>
        <v>0</v>
      </c>
      <c r="CA12" s="58">
        <f t="shared" si="8"/>
        <v>0</v>
      </c>
      <c r="CB12" s="58">
        <f t="shared" si="8"/>
        <v>0</v>
      </c>
      <c r="CC12" s="58">
        <f t="shared" si="8"/>
        <v>0</v>
      </c>
      <c r="CD12" s="58">
        <f t="shared" si="8"/>
        <v>0</v>
      </c>
      <c r="CE12" s="58">
        <f t="shared" si="8"/>
        <v>0</v>
      </c>
      <c r="CF12" s="58">
        <f t="shared" si="8"/>
        <v>0</v>
      </c>
      <c r="CG12" s="58">
        <f t="shared" si="8"/>
        <v>0</v>
      </c>
      <c r="CH12" s="58">
        <f t="shared" si="8"/>
        <v>0</v>
      </c>
      <c r="CI12" s="58">
        <f t="shared" si="8"/>
        <v>0</v>
      </c>
      <c r="CJ12" s="58">
        <f t="shared" si="8"/>
        <v>0</v>
      </c>
      <c r="CK12" s="58">
        <f t="shared" si="8"/>
        <v>0</v>
      </c>
      <c r="CL12" s="58">
        <f t="shared" si="8"/>
        <v>0</v>
      </c>
    </row>
    <row r="13" spans="1:90" s="28" customFormat="1">
      <c r="A13" s="20" t="s">
        <v>382</v>
      </c>
      <c r="B13" s="28">
        <f t="shared" ref="B13:D13" si="9">(B6/(1+B4)+B7)/B12</f>
        <v>0.43492196683044043</v>
      </c>
      <c r="C13" s="28">
        <f t="shared" si="9"/>
        <v>0.4379309238315427</v>
      </c>
      <c r="D13" s="28">
        <f t="shared" si="9"/>
        <v>0.44619849552870239</v>
      </c>
      <c r="E13" s="28">
        <f>(E6/(1+E4)+E7)/E12</f>
        <v>0.62677885098930086</v>
      </c>
      <c r="F13" s="28">
        <f t="shared" ref="F13:BQ13" si="10">(F6/(1+F4)+F7)/F12</f>
        <v>0.57159433992406183</v>
      </c>
      <c r="G13" s="28">
        <f t="shared" si="10"/>
        <v>0.60241427387601931</v>
      </c>
      <c r="H13" s="28">
        <f t="shared" si="10"/>
        <v>0.65475146383297367</v>
      </c>
      <c r="I13" s="28">
        <f t="shared" si="10"/>
        <v>0.6130122377140047</v>
      </c>
      <c r="J13" s="28">
        <f t="shared" si="10"/>
        <v>0.62762008886462017</v>
      </c>
      <c r="K13" s="28">
        <f t="shared" si="10"/>
        <v>0.68643354798425182</v>
      </c>
      <c r="L13" s="28">
        <f t="shared" si="10"/>
        <v>0.62531684407447585</v>
      </c>
      <c r="M13" s="28">
        <f t="shared" si="10"/>
        <v>0.56611408720274081</v>
      </c>
      <c r="N13" s="28">
        <f t="shared" si="10"/>
        <v>0.44767393145739548</v>
      </c>
      <c r="O13" s="28">
        <f t="shared" si="10"/>
        <v>0.52026891995669367</v>
      </c>
      <c r="P13" s="28">
        <f t="shared" si="10"/>
        <v>0.58050045045891441</v>
      </c>
      <c r="Q13" s="28">
        <f t="shared" si="10"/>
        <v>0.52091749982884994</v>
      </c>
      <c r="R13" s="28">
        <f t="shared" si="10"/>
        <v>0.53019050339184204</v>
      </c>
      <c r="S13" s="28">
        <f t="shared" si="10"/>
        <v>0.59283648080870521</v>
      </c>
      <c r="T13" s="28" t="e">
        <f t="shared" si="10"/>
        <v>#DIV/0!</v>
      </c>
      <c r="U13" s="28" t="e">
        <f t="shared" si="10"/>
        <v>#DIV/0!</v>
      </c>
      <c r="V13" s="28" t="e">
        <f t="shared" si="10"/>
        <v>#DIV/0!</v>
      </c>
      <c r="W13" s="28" t="e">
        <f t="shared" si="10"/>
        <v>#DIV/0!</v>
      </c>
      <c r="X13" s="28" t="e">
        <f t="shared" si="10"/>
        <v>#DIV/0!</v>
      </c>
      <c r="Y13" s="28" t="e">
        <f t="shared" si="10"/>
        <v>#DIV/0!</v>
      </c>
      <c r="Z13" s="28" t="e">
        <f t="shared" si="10"/>
        <v>#DIV/0!</v>
      </c>
      <c r="AA13" s="28" t="e">
        <f t="shared" si="10"/>
        <v>#DIV/0!</v>
      </c>
      <c r="AB13" s="28" t="e">
        <f t="shared" si="10"/>
        <v>#DIV/0!</v>
      </c>
      <c r="AC13" s="28" t="e">
        <f t="shared" si="10"/>
        <v>#DIV/0!</v>
      </c>
      <c r="AD13" s="28" t="e">
        <f t="shared" si="10"/>
        <v>#DIV/0!</v>
      </c>
      <c r="AE13" s="28" t="e">
        <f t="shared" si="10"/>
        <v>#DIV/0!</v>
      </c>
      <c r="AF13" s="28" t="e">
        <f t="shared" si="10"/>
        <v>#DIV/0!</v>
      </c>
      <c r="AG13" s="28" t="e">
        <f t="shared" si="10"/>
        <v>#DIV/0!</v>
      </c>
      <c r="AH13" s="28" t="e">
        <f t="shared" si="10"/>
        <v>#DIV/0!</v>
      </c>
      <c r="AI13" s="28" t="e">
        <f t="shared" si="10"/>
        <v>#DIV/0!</v>
      </c>
      <c r="AJ13" s="28" t="e">
        <f t="shared" si="10"/>
        <v>#DIV/0!</v>
      </c>
      <c r="AK13" s="28" t="e">
        <f t="shared" si="10"/>
        <v>#DIV/0!</v>
      </c>
      <c r="AL13" s="28" t="e">
        <f t="shared" si="10"/>
        <v>#DIV/0!</v>
      </c>
      <c r="AM13" s="28" t="e">
        <f t="shared" si="10"/>
        <v>#DIV/0!</v>
      </c>
      <c r="AN13" s="28" t="e">
        <f t="shared" si="10"/>
        <v>#DIV/0!</v>
      </c>
      <c r="AO13" s="28" t="e">
        <f t="shared" si="10"/>
        <v>#DIV/0!</v>
      </c>
      <c r="AP13" s="28" t="e">
        <f t="shared" si="10"/>
        <v>#DIV/0!</v>
      </c>
      <c r="AQ13" s="28" t="e">
        <f t="shared" si="10"/>
        <v>#DIV/0!</v>
      </c>
      <c r="AR13" s="28" t="e">
        <f t="shared" si="10"/>
        <v>#DIV/0!</v>
      </c>
      <c r="AS13" s="28" t="e">
        <f t="shared" si="10"/>
        <v>#DIV/0!</v>
      </c>
      <c r="AT13" s="28" t="e">
        <f t="shared" si="10"/>
        <v>#DIV/0!</v>
      </c>
      <c r="AU13" s="28" t="e">
        <f t="shared" si="10"/>
        <v>#DIV/0!</v>
      </c>
      <c r="AV13" s="28" t="e">
        <f t="shared" si="10"/>
        <v>#DIV/0!</v>
      </c>
      <c r="AW13" s="28" t="e">
        <f t="shared" si="10"/>
        <v>#DIV/0!</v>
      </c>
      <c r="AX13" s="28" t="e">
        <f t="shared" si="10"/>
        <v>#DIV/0!</v>
      </c>
      <c r="AY13" s="28" t="e">
        <f t="shared" si="10"/>
        <v>#DIV/0!</v>
      </c>
      <c r="AZ13" s="28" t="e">
        <f t="shared" si="10"/>
        <v>#DIV/0!</v>
      </c>
      <c r="BA13" s="28" t="e">
        <f t="shared" si="10"/>
        <v>#DIV/0!</v>
      </c>
      <c r="BB13" s="28" t="e">
        <f t="shared" si="10"/>
        <v>#DIV/0!</v>
      </c>
      <c r="BC13" s="28" t="e">
        <f t="shared" si="10"/>
        <v>#DIV/0!</v>
      </c>
      <c r="BD13" s="28" t="e">
        <f t="shared" si="10"/>
        <v>#DIV/0!</v>
      </c>
      <c r="BE13" s="28" t="e">
        <f t="shared" si="10"/>
        <v>#DIV/0!</v>
      </c>
      <c r="BF13" s="28" t="e">
        <f t="shared" si="10"/>
        <v>#DIV/0!</v>
      </c>
      <c r="BG13" s="28" t="e">
        <f t="shared" si="10"/>
        <v>#DIV/0!</v>
      </c>
      <c r="BH13" s="28" t="e">
        <f t="shared" si="10"/>
        <v>#DIV/0!</v>
      </c>
      <c r="BI13" s="28" t="e">
        <f t="shared" si="10"/>
        <v>#DIV/0!</v>
      </c>
      <c r="BJ13" s="28" t="e">
        <f t="shared" si="10"/>
        <v>#DIV/0!</v>
      </c>
      <c r="BK13" s="28" t="e">
        <f t="shared" si="10"/>
        <v>#DIV/0!</v>
      </c>
      <c r="BL13" s="28" t="e">
        <f t="shared" si="10"/>
        <v>#DIV/0!</v>
      </c>
      <c r="BM13" s="28" t="e">
        <f t="shared" si="10"/>
        <v>#DIV/0!</v>
      </c>
      <c r="BN13" s="28" t="e">
        <f t="shared" si="10"/>
        <v>#DIV/0!</v>
      </c>
      <c r="BO13" s="28" t="e">
        <f t="shared" si="10"/>
        <v>#DIV/0!</v>
      </c>
      <c r="BP13" s="28" t="e">
        <f t="shared" si="10"/>
        <v>#DIV/0!</v>
      </c>
      <c r="BQ13" s="28" t="e">
        <f t="shared" si="10"/>
        <v>#DIV/0!</v>
      </c>
      <c r="BR13" s="28" t="e">
        <f t="shared" ref="BR13:CK13" si="11">(BR6/(1+BR4)+BR7)/BR12</f>
        <v>#DIV/0!</v>
      </c>
      <c r="BS13" s="28" t="e">
        <f t="shared" si="11"/>
        <v>#DIV/0!</v>
      </c>
      <c r="BT13" s="28" t="e">
        <f t="shared" si="11"/>
        <v>#DIV/0!</v>
      </c>
      <c r="BU13" s="28" t="e">
        <f t="shared" si="11"/>
        <v>#DIV/0!</v>
      </c>
      <c r="BV13" s="28" t="e">
        <f t="shared" si="11"/>
        <v>#DIV/0!</v>
      </c>
      <c r="BW13" s="28" t="e">
        <f t="shared" si="11"/>
        <v>#DIV/0!</v>
      </c>
      <c r="BX13" s="28" t="e">
        <f t="shared" si="11"/>
        <v>#DIV/0!</v>
      </c>
      <c r="BY13" s="28" t="e">
        <f t="shared" si="11"/>
        <v>#DIV/0!</v>
      </c>
      <c r="BZ13" s="28" t="e">
        <f t="shared" si="11"/>
        <v>#DIV/0!</v>
      </c>
      <c r="CA13" s="28" t="e">
        <f t="shared" si="11"/>
        <v>#DIV/0!</v>
      </c>
      <c r="CB13" s="28" t="e">
        <f t="shared" si="11"/>
        <v>#DIV/0!</v>
      </c>
      <c r="CC13" s="28" t="e">
        <f t="shared" si="11"/>
        <v>#DIV/0!</v>
      </c>
      <c r="CD13" s="28" t="e">
        <f t="shared" si="11"/>
        <v>#DIV/0!</v>
      </c>
      <c r="CE13" s="28" t="e">
        <f t="shared" si="11"/>
        <v>#DIV/0!</v>
      </c>
      <c r="CF13" s="28" t="e">
        <f t="shared" si="11"/>
        <v>#DIV/0!</v>
      </c>
      <c r="CG13" s="28" t="e">
        <f t="shared" si="11"/>
        <v>#DIV/0!</v>
      </c>
      <c r="CH13" s="28" t="e">
        <f t="shared" si="11"/>
        <v>#DIV/0!</v>
      </c>
      <c r="CI13" s="28" t="e">
        <f t="shared" si="11"/>
        <v>#DIV/0!</v>
      </c>
      <c r="CJ13" s="28" t="e">
        <f t="shared" si="11"/>
        <v>#DIV/0!</v>
      </c>
      <c r="CK13" s="28" t="e">
        <f t="shared" si="11"/>
        <v>#DIV/0!</v>
      </c>
    </row>
    <row r="14" spans="1:90" s="26" customFormat="1">
      <c r="A14" s="20" t="s">
        <v>383</v>
      </c>
      <c r="B14" s="190">
        <f>现金流量表!B13</f>
        <v>41385234406.720001</v>
      </c>
      <c r="C14" s="190">
        <f>现金流量表!C13</f>
        <v>22153036084.130001</v>
      </c>
      <c r="D14" s="190">
        <f>现金流量表!D13</f>
        <v>37451249647.050003</v>
      </c>
      <c r="E14" s="26">
        <f>现金流量表!E13</f>
        <v>17436340141.720001</v>
      </c>
      <c r="F14" s="26">
        <f>现金流量表!F13</f>
        <v>12632522436.6</v>
      </c>
      <c r="G14" s="26">
        <f>现金流量表!G13</f>
        <v>12655024861.92</v>
      </c>
      <c r="H14" s="26">
        <f>现金流量表!H13</f>
        <v>11921310609.25</v>
      </c>
      <c r="I14" s="26">
        <f>现金流量表!I13</f>
        <v>10148564689.530001</v>
      </c>
      <c r="J14" s="26">
        <f>现金流量表!J13</f>
        <v>6201476519.5699997</v>
      </c>
      <c r="K14" s="26">
        <f>现金流量表!K13</f>
        <v>4223937144.1900001</v>
      </c>
      <c r="L14" s="26">
        <f>现金流量表!L13</f>
        <v>5247488535.7399998</v>
      </c>
      <c r="M14" s="26">
        <f>现金流量表!M13</f>
        <v>1743303211.3800001</v>
      </c>
      <c r="N14" s="26">
        <f>现金流量表!N13</f>
        <v>2105171033.6900001</v>
      </c>
      <c r="O14" s="26">
        <f>现金流量表!O13</f>
        <v>1693707488.3199999</v>
      </c>
      <c r="P14" s="26">
        <f>现金流量表!P13</f>
        <v>975784480.20000005</v>
      </c>
      <c r="Q14" s="26">
        <f>现金流量表!Q13</f>
        <v>941706242.08000004</v>
      </c>
      <c r="R14" s="26">
        <f>现金流量表!R13</f>
        <v>434582378.66000003</v>
      </c>
      <c r="S14" s="26">
        <f>现金流量表!S13</f>
        <v>42283037.350000001</v>
      </c>
      <c r="T14" s="26">
        <f>现金流量表!T13</f>
        <v>0</v>
      </c>
      <c r="U14" s="26">
        <f>现金流量表!U13</f>
        <v>0</v>
      </c>
      <c r="V14" s="26">
        <f>现金流量表!V13</f>
        <v>0</v>
      </c>
      <c r="W14" s="26">
        <f>现金流量表!W13</f>
        <v>0</v>
      </c>
      <c r="X14" s="26">
        <f>现金流量表!X13</f>
        <v>0</v>
      </c>
      <c r="Y14" s="26">
        <f>现金流量表!Y13</f>
        <v>0</v>
      </c>
      <c r="Z14" s="26">
        <f>现金流量表!Z13</f>
        <v>0</v>
      </c>
      <c r="AA14" s="26">
        <f>现金流量表!AA13</f>
        <v>0</v>
      </c>
      <c r="AB14" s="26">
        <f>现金流量表!AB13</f>
        <v>0</v>
      </c>
      <c r="AC14" s="26">
        <f>现金流量表!AC13</f>
        <v>0</v>
      </c>
      <c r="AD14" s="26">
        <f>现金流量表!AD13</f>
        <v>0</v>
      </c>
      <c r="AE14" s="26">
        <f>现金流量表!AE13</f>
        <v>0</v>
      </c>
      <c r="AF14" s="26">
        <f>现金流量表!AF13</f>
        <v>0</v>
      </c>
      <c r="AG14" s="26">
        <f>现金流量表!AG13</f>
        <v>0</v>
      </c>
      <c r="AH14" s="26">
        <f>现金流量表!AH13</f>
        <v>0</v>
      </c>
      <c r="AI14" s="26">
        <f>现金流量表!AI13</f>
        <v>0</v>
      </c>
      <c r="AJ14" s="26">
        <f>现金流量表!AJ13</f>
        <v>0</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384</v>
      </c>
      <c r="B15" s="190">
        <f>股权价值增加表!B17</f>
        <v>34415402468.11377</v>
      </c>
      <c r="C15" s="190">
        <f>股权价值增加表!C17</f>
        <v>26257157191.427803</v>
      </c>
      <c r="D15" s="190">
        <f>股权价值增加表!D17</f>
        <v>16736855705.237827</v>
      </c>
      <c r="E15" s="26">
        <f>股权价值增加表!E17</f>
        <v>15682034461.803722</v>
      </c>
      <c r="F15" s="26">
        <f>股权价值增加表!F17</f>
        <v>15592227645.080812</v>
      </c>
      <c r="G15" s="26">
        <f>股权价值增加表!G17</f>
        <v>15530429172.430237</v>
      </c>
      <c r="H15" s="26">
        <f>股权价值增加表!H17</f>
        <v>13690774072.866924</v>
      </c>
      <c r="I15" s="26">
        <f>股权价值增加表!I17</f>
        <v>8983960830.1862259</v>
      </c>
      <c r="J15" s="26">
        <f>股权价值增加表!J17</f>
        <v>5207769203.1045113</v>
      </c>
      <c r="K15" s="26">
        <f>股权价值增加表!K17</f>
        <v>4451921450.1984816</v>
      </c>
      <c r="L15" s="26">
        <f>股权价值增加表!L17</f>
        <v>3923628849.1004276</v>
      </c>
      <c r="M15" s="26">
        <f>股权价值增加表!M17</f>
        <v>2933886546.983974</v>
      </c>
      <c r="N15" s="26">
        <f>股权价值增加表!N17</f>
        <v>1555595302.6431525</v>
      </c>
      <c r="O15" s="26">
        <f>股权价值增加表!O17</f>
        <v>1149168967.6063571</v>
      </c>
      <c r="P15" s="26">
        <f>股权价值增加表!P17</f>
        <v>839095033.9406172</v>
      </c>
      <c r="Q15" s="26">
        <f>股权价值增加表!Q17</f>
        <v>596254532.94442034</v>
      </c>
      <c r="R15" s="26">
        <f>股权价值增加表!R17</f>
        <v>381912695.02318752</v>
      </c>
      <c r="S15" s="26">
        <f>股权价值增加表!S17</f>
        <v>339060052.98992616</v>
      </c>
      <c r="T15" s="26">
        <f>股权价值增加表!T17</f>
        <v>0</v>
      </c>
      <c r="U15" s="26">
        <f>股权价值增加表!U17</f>
        <v>24528506.514677748</v>
      </c>
      <c r="V15" s="26">
        <f>股权价值增加表!V17</f>
        <v>0</v>
      </c>
      <c r="W15" s="26">
        <f>股权价值增加表!W17</f>
        <v>0</v>
      </c>
      <c r="X15" s="26">
        <f>股权价值增加表!X17</f>
        <v>0</v>
      </c>
      <c r="Y15" s="26">
        <f>股权价值增加表!Y17</f>
        <v>6516125.4415978026</v>
      </c>
      <c r="Z15" s="26">
        <f>股权价值增加表!Z17</f>
        <v>0</v>
      </c>
      <c r="AA15" s="26">
        <f>股权价值增加表!AA17</f>
        <v>0</v>
      </c>
      <c r="AB15" s="26">
        <f>股权价值增加表!AB17</f>
        <v>0</v>
      </c>
      <c r="AC15" s="26">
        <f>股权价值增加表!AC17</f>
        <v>3486549.024058504</v>
      </c>
      <c r="AD15" s="26">
        <f>股权价值增加表!AD17</f>
        <v>0</v>
      </c>
      <c r="AE15" s="26">
        <f>股权价值增加表!AE17</f>
        <v>0</v>
      </c>
      <c r="AF15" s="26">
        <f>股权价值增加表!AF17</f>
        <v>0</v>
      </c>
      <c r="AG15" s="26">
        <f>股权价值增加表!AG17</f>
        <v>3250952.4063841924</v>
      </c>
      <c r="AH15" s="26">
        <f>股权价值增加表!AH17</f>
        <v>0</v>
      </c>
      <c r="AI15" s="26">
        <f>股权价值增加表!AI17</f>
        <v>0</v>
      </c>
      <c r="AJ15" s="26">
        <f>股权价值增加表!AJ17</f>
        <v>0</v>
      </c>
      <c r="AK15" s="26">
        <f>股权价值增加表!AK17</f>
        <v>0</v>
      </c>
      <c r="AL15" s="26">
        <f>股权价值增加表!AL17</f>
        <v>0</v>
      </c>
      <c r="AM15" s="26">
        <f>股权价值增加表!AM17</f>
        <v>0</v>
      </c>
      <c r="AN15" s="26">
        <f>股权价值增加表!AN17</f>
        <v>0</v>
      </c>
      <c r="AO15" s="26">
        <f>股权价值增加表!AO17</f>
        <v>0</v>
      </c>
      <c r="AP15" s="26">
        <f>股权价值增加表!AP17</f>
        <v>0</v>
      </c>
      <c r="AQ15" s="26">
        <f>股权价值增加表!AQ17</f>
        <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t="e">
        <f>股权价值增加表!BW17</f>
        <v>#DIV/0!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385</v>
      </c>
      <c r="B16" s="28">
        <f t="shared" ref="B16:D16" si="12">B14/B15</f>
        <v>1.202520715690129</v>
      </c>
      <c r="C16" s="28">
        <f t="shared" si="12"/>
        <v>0.84369514653179289</v>
      </c>
      <c r="D16" s="28">
        <f t="shared" si="12"/>
        <v>2.2376514625342425</v>
      </c>
      <c r="E16" s="28">
        <f>E14/E15</f>
        <v>1.1118672251479353</v>
      </c>
      <c r="F16" s="28">
        <f t="shared" ref="F16:BQ16" si="13">F14/F15</f>
        <v>0.81018073389824008</v>
      </c>
      <c r="G16" s="28">
        <f t="shared" si="13"/>
        <v>0.81485351894752001</v>
      </c>
      <c r="H16" s="28">
        <f t="shared" si="13"/>
        <v>0.8707550461208956</v>
      </c>
      <c r="I16" s="28">
        <f t="shared" si="13"/>
        <v>1.1296314489073338</v>
      </c>
      <c r="J16" s="28">
        <f t="shared" si="13"/>
        <v>1.1908124722334295</v>
      </c>
      <c r="K16" s="28">
        <f t="shared" si="13"/>
        <v>0.94878968360991245</v>
      </c>
      <c r="L16" s="28">
        <f t="shared" si="13"/>
        <v>1.337406961145954</v>
      </c>
      <c r="M16" s="28">
        <f t="shared" si="13"/>
        <v>0.594195850269708</v>
      </c>
      <c r="N16" s="28">
        <f t="shared" si="13"/>
        <v>1.3532896570933644</v>
      </c>
      <c r="O16" s="28">
        <f t="shared" si="13"/>
        <v>1.4738541816421309</v>
      </c>
      <c r="P16" s="28">
        <f t="shared" si="13"/>
        <v>1.1629010311471542</v>
      </c>
      <c r="Q16" s="28">
        <f t="shared" si="13"/>
        <v>1.5793695310451936</v>
      </c>
      <c r="R16" s="28">
        <f t="shared" si="13"/>
        <v>1.1379102719631111</v>
      </c>
      <c r="S16" s="28">
        <f t="shared" si="13"/>
        <v>0.12470663228279587</v>
      </c>
      <c r="T16" s="28" t="e">
        <f t="shared" si="13"/>
        <v>#DIV/0!</v>
      </c>
      <c r="U16" s="28">
        <f t="shared" si="13"/>
        <v>0</v>
      </c>
      <c r="V16" s="28" t="e">
        <f t="shared" si="13"/>
        <v>#DIV/0!</v>
      </c>
      <c r="W16" s="28" t="e">
        <f t="shared" si="13"/>
        <v>#DIV/0!</v>
      </c>
      <c r="X16" s="28" t="e">
        <f t="shared" si="13"/>
        <v>#DIV/0!</v>
      </c>
      <c r="Y16" s="28">
        <f t="shared" si="13"/>
        <v>0</v>
      </c>
      <c r="Z16" s="28" t="e">
        <f t="shared" si="13"/>
        <v>#DIV/0!</v>
      </c>
      <c r="AA16" s="28" t="e">
        <f t="shared" si="13"/>
        <v>#DIV/0!</v>
      </c>
      <c r="AB16" s="28" t="e">
        <f t="shared" si="13"/>
        <v>#DIV/0!</v>
      </c>
      <c r="AC16" s="28">
        <f t="shared" si="13"/>
        <v>0</v>
      </c>
      <c r="AD16" s="28" t="e">
        <f t="shared" si="13"/>
        <v>#DIV/0!</v>
      </c>
      <c r="AE16" s="28" t="e">
        <f t="shared" si="13"/>
        <v>#DIV/0!</v>
      </c>
      <c r="AF16" s="28" t="e">
        <f t="shared" si="13"/>
        <v>#DIV/0!</v>
      </c>
      <c r="AG16" s="28">
        <f t="shared" si="13"/>
        <v>0</v>
      </c>
      <c r="AH16" s="28" t="e">
        <f t="shared" si="13"/>
        <v>#DIV/0!</v>
      </c>
      <c r="AI16" s="28" t="e">
        <f t="shared" si="13"/>
        <v>#DIV/0!</v>
      </c>
      <c r="AJ16" s="28" t="e">
        <f t="shared" si="13"/>
        <v>#DIV/0!</v>
      </c>
      <c r="AK16" s="28" t="e">
        <f t="shared" si="13"/>
        <v>#DIV/0!</v>
      </c>
      <c r="AL16" s="28" t="e">
        <f t="shared" si="13"/>
        <v>#DIV/0!</v>
      </c>
      <c r="AM16" s="28" t="e">
        <f t="shared" si="13"/>
        <v>#DIV/0!</v>
      </c>
      <c r="AN16" s="28" t="e">
        <f t="shared" si="13"/>
        <v>#DIV/0!</v>
      </c>
      <c r="AO16" s="28" t="e">
        <f t="shared" si="13"/>
        <v>#DIV/0!</v>
      </c>
      <c r="AP16" s="28" t="e">
        <f t="shared" si="13"/>
        <v>#DIV/0!</v>
      </c>
      <c r="AQ16" s="28" t="e">
        <f t="shared" si="13"/>
        <v>#DIV/0!</v>
      </c>
      <c r="AR16" s="28" t="e">
        <f t="shared" si="13"/>
        <v>#DIV/0!</v>
      </c>
      <c r="AS16" s="28" t="e">
        <f t="shared" si="13"/>
        <v>#DIV/0!</v>
      </c>
      <c r="AT16" s="28" t="e">
        <f t="shared" si="13"/>
        <v>#DIV/0!</v>
      </c>
      <c r="AU16" s="28" t="e">
        <f t="shared" si="13"/>
        <v>#DIV/0!</v>
      </c>
      <c r="AV16" s="28" t="e">
        <f t="shared" si="13"/>
        <v>#DIV/0!</v>
      </c>
      <c r="AW16" s="28" t="e">
        <f t="shared" si="13"/>
        <v>#DIV/0!</v>
      </c>
      <c r="AX16" s="28" t="e">
        <f t="shared" si="13"/>
        <v>#DIV/0!</v>
      </c>
      <c r="AY16" s="28" t="e">
        <f t="shared" si="13"/>
        <v>#DIV/0!</v>
      </c>
      <c r="AZ16" s="28" t="e">
        <f t="shared" si="13"/>
        <v>#DIV/0!</v>
      </c>
      <c r="BA16" s="28" t="e">
        <f t="shared" si="13"/>
        <v>#DIV/0!</v>
      </c>
      <c r="BB16" s="28" t="e">
        <f t="shared" si="13"/>
        <v>#DIV/0!</v>
      </c>
      <c r="BC16" s="28" t="e">
        <f t="shared" si="13"/>
        <v>#DIV/0!</v>
      </c>
      <c r="BD16" s="28" t="e">
        <f t="shared" si="13"/>
        <v>#DIV/0!</v>
      </c>
      <c r="BE16" s="28" t="e">
        <f t="shared" si="13"/>
        <v>#DIV/0!</v>
      </c>
      <c r="BF16" s="28" t="e">
        <f t="shared" si="13"/>
        <v>#DIV/0!</v>
      </c>
      <c r="BG16" s="28" t="e">
        <f t="shared" si="13"/>
        <v>#DIV/0!</v>
      </c>
      <c r="BH16" s="28" t="e">
        <f t="shared" si="13"/>
        <v>#DIV/0!</v>
      </c>
      <c r="BI16" s="28" t="e">
        <f t="shared" si="13"/>
        <v>#DIV/0!</v>
      </c>
      <c r="BJ16" s="28" t="e">
        <f t="shared" si="13"/>
        <v>#DIV/0!</v>
      </c>
      <c r="BK16" s="28" t="e">
        <f t="shared" si="13"/>
        <v>#DIV/0!</v>
      </c>
      <c r="BL16" s="28" t="e">
        <f t="shared" si="13"/>
        <v>#DIV/0!</v>
      </c>
      <c r="BM16" s="28" t="e">
        <f t="shared" si="13"/>
        <v>#DIV/0!</v>
      </c>
      <c r="BN16" s="28" t="e">
        <f t="shared" si="13"/>
        <v>#DIV/0!</v>
      </c>
      <c r="BO16" s="28" t="e">
        <f t="shared" si="13"/>
        <v>#DIV/0!</v>
      </c>
      <c r="BP16" s="28" t="e">
        <f t="shared" si="13"/>
        <v>#DIV/0!</v>
      </c>
      <c r="BQ16" s="28" t="e">
        <f t="shared" si="13"/>
        <v>#DIV/0!</v>
      </c>
      <c r="BR16" s="28" t="e">
        <f t="shared" ref="BR16:CL16" si="14">BR14/BR15</f>
        <v>#DIV/0!</v>
      </c>
      <c r="BS16" s="28" t="e">
        <f t="shared" si="14"/>
        <v>#DIV/0!</v>
      </c>
      <c r="BT16" s="28" t="e">
        <f t="shared" si="14"/>
        <v>#DIV/0!</v>
      </c>
      <c r="BU16" s="28" t="e">
        <f t="shared" si="14"/>
        <v>#DIV/0!</v>
      </c>
      <c r="BV16" s="28" t="e">
        <f t="shared" si="14"/>
        <v>#DIV/0!</v>
      </c>
      <c r="BW16" s="28" t="e">
        <f t="shared" si="14"/>
        <v>#DIV/0!</v>
      </c>
      <c r="BX16" s="28" t="e">
        <f t="shared" si="14"/>
        <v>#DIV/0!</v>
      </c>
      <c r="BY16" s="28" t="e">
        <f t="shared" si="14"/>
        <v>#DIV/0!</v>
      </c>
      <c r="BZ16" s="28" t="e">
        <f t="shared" si="14"/>
        <v>#DIV/0!</v>
      </c>
      <c r="CA16" s="28" t="e">
        <f t="shared" si="14"/>
        <v>#DIV/0!</v>
      </c>
      <c r="CB16" s="28" t="e">
        <f t="shared" si="14"/>
        <v>#DIV/0!</v>
      </c>
      <c r="CC16" s="28" t="e">
        <f t="shared" si="14"/>
        <v>#DIV/0!</v>
      </c>
      <c r="CD16" s="28" t="e">
        <f t="shared" si="14"/>
        <v>#DIV/0!</v>
      </c>
      <c r="CE16" s="28" t="e">
        <f t="shared" si="14"/>
        <v>#DIV/0!</v>
      </c>
      <c r="CF16" s="28" t="e">
        <f t="shared" si="14"/>
        <v>#DIV/0!</v>
      </c>
      <c r="CG16" s="28" t="e">
        <f t="shared" si="14"/>
        <v>#DIV/0!</v>
      </c>
      <c r="CH16" s="28" t="e">
        <f t="shared" si="14"/>
        <v>#DIV/0!</v>
      </c>
      <c r="CI16" s="28" t="e">
        <f t="shared" si="14"/>
        <v>#DIV/0!</v>
      </c>
      <c r="CJ16" s="28" t="e">
        <f t="shared" si="14"/>
        <v>#DIV/0!</v>
      </c>
      <c r="CK16" s="28" t="e">
        <f t="shared" si="14"/>
        <v>#DIV/0!</v>
      </c>
      <c r="CL16" s="28" t="e">
        <f t="shared" si="14"/>
        <v>#DIV/0!</v>
      </c>
    </row>
    <row r="17" spans="1:90" s="26" customFormat="1">
      <c r="A17" s="17" t="s">
        <v>386</v>
      </c>
      <c r="B17" s="190">
        <f>股权价值增加表!B42</f>
        <v>34418199956.440002</v>
      </c>
      <c r="C17" s="190">
        <f>股权价值增加表!C42</f>
        <v>26300630945.230011</v>
      </c>
      <c r="D17" s="190">
        <f>股权价值增加表!D42</f>
        <v>16762576254.959999</v>
      </c>
      <c r="E17" s="26">
        <f>股权价值增加表!E42</f>
        <v>15725443989.799999</v>
      </c>
      <c r="F17" s="26">
        <f>股权价值增加表!F42</f>
        <v>15684757207.559998</v>
      </c>
      <c r="G17" s="26">
        <f>股权价值增加表!G42</f>
        <v>15851702515.440001</v>
      </c>
      <c r="H17" s="26">
        <f>股权价值增加表!H42</f>
        <v>14008449050.170004</v>
      </c>
      <c r="I17" s="26">
        <f>股权价值增加表!I42</f>
        <v>9249536771.7500019</v>
      </c>
      <c r="J17" s="26">
        <f>股权价值增加表!J42</f>
        <v>5339761496.9699993</v>
      </c>
      <c r="K17" s="26">
        <f>股权价值增加表!K42</f>
        <v>4552888943.999999</v>
      </c>
      <c r="L17" s="26">
        <f>股权价值增加表!L42</f>
        <v>4000759343.1100006</v>
      </c>
      <c r="M17" s="26">
        <f>股权价值增加表!M42</f>
        <v>2964419238.8300004</v>
      </c>
      <c r="N17" s="26">
        <f>股权价值增加表!N42</f>
        <v>1573485812.1000001</v>
      </c>
      <c r="O17" s="26">
        <f>股权价值增加表!O42</f>
        <v>1169073160.7500005</v>
      </c>
      <c r="P17" s="26">
        <f>股权价值增加表!P42</f>
        <v>854170293.04000032</v>
      </c>
      <c r="Q17" s="26">
        <f>股权价值增加表!Q42</f>
        <v>606236535.88999963</v>
      </c>
      <c r="R17" s="26">
        <f>股权价值增加表!R42</f>
        <v>392468036.76999998</v>
      </c>
      <c r="S17" s="26">
        <f>股权价值增加表!S42</f>
        <v>342297141.76999998</v>
      </c>
      <c r="T17" s="26">
        <f>股权价值增加表!T42</f>
        <v>-2501741693.0300002</v>
      </c>
      <c r="U17" s="26">
        <f>股权价值增加表!U42</f>
        <v>-1335728419.8200002</v>
      </c>
      <c r="V17" s="26">
        <f>股权价值增加表!V42</f>
        <v>-5035376180.2399998</v>
      </c>
      <c r="W17" s="26">
        <f>股权价值增加表!W42</f>
        <v>-3658375018.9900002</v>
      </c>
      <c r="X17" s="26">
        <f>股权价值增加表!X42</f>
        <v>-2262690841.3800001</v>
      </c>
      <c r="Y17" s="26">
        <f>股权价值增加表!Y42</f>
        <v>-1230608960.77</v>
      </c>
      <c r="Z17" s="26">
        <f>股权价值增加表!Z42</f>
        <v>-4267960594.5</v>
      </c>
      <c r="AA17" s="26">
        <f>股权价值增加表!AA42</f>
        <v>-3346708444.7800002</v>
      </c>
      <c r="AB17" s="26">
        <f>股权价值增加表!AB42</f>
        <v>-2260932571.5099998</v>
      </c>
      <c r="AC17" s="26">
        <f>股权价值增加表!AC42</f>
        <v>-949493432.61000013</v>
      </c>
      <c r="AD17" s="26">
        <f>股权价值增加表!AD42</f>
        <v>-2730202169.2599998</v>
      </c>
      <c r="AE17" s="26">
        <f>股权价值增加表!AE42</f>
        <v>-2127736683.78</v>
      </c>
      <c r="AF17" s="26">
        <f>股权价值增加表!AF42</f>
        <v>-1568955652.28</v>
      </c>
      <c r="AG17" s="26">
        <f>股权价值增加表!AG42</f>
        <v>-609531969.59000003</v>
      </c>
      <c r="AH17" s="26">
        <f>股权价值增加表!AH42</f>
        <v>-1645609159.49</v>
      </c>
      <c r="AI17" s="26">
        <f>股权价值增加表!AI42</f>
        <v>-1346973483.01</v>
      </c>
      <c r="AJ17" s="26">
        <f>股权价值增加表!AJ42</f>
        <v>-1002896385.1900001</v>
      </c>
      <c r="AK17" s="26">
        <f>股权价值增加表!AK42</f>
        <v>-402149862.12</v>
      </c>
      <c r="AL17" s="26">
        <f>股权价值增加表!AL42</f>
        <v>-1392805377.6000001</v>
      </c>
      <c r="AM17" s="26">
        <f>股权价值增加表!AM42</f>
        <v>-1234169676.96</v>
      </c>
      <c r="AN17" s="26">
        <f>股权价值增加表!AN42</f>
        <v>-888437375.52999997</v>
      </c>
      <c r="AO17" s="26">
        <f>股权价值增加表!AO42</f>
        <v>-344594120.43000001</v>
      </c>
      <c r="AP17" s="26">
        <f>股权价值增加表!AP42</f>
        <v>-1280718279.72</v>
      </c>
      <c r="AQ17" s="26">
        <f>股权价值增加表!AQ42</f>
        <v>-1036488938.5899999</v>
      </c>
      <c r="AR17" s="26">
        <f>股权价值增加表!AR42</f>
        <v>-736742395.75</v>
      </c>
      <c r="AS17" s="26">
        <f>股权价值增加表!AS42</f>
        <v>-265409540.38</v>
      </c>
      <c r="AT17" s="26">
        <f>股权价值增加表!AT42</f>
        <v>-1509413732.03</v>
      </c>
      <c r="AU17" s="26">
        <f>股权价值增加表!AU42</f>
        <v>-799806842.82999992</v>
      </c>
      <c r="AV17" s="26">
        <f>股权价值增加表!AV42</f>
        <v>-433286010.30000001</v>
      </c>
      <c r="AW17" s="26">
        <f>股权价值增加表!AW42</f>
        <v>-285975778.98000002</v>
      </c>
      <c r="AX17" s="26">
        <f>股权价值增加表!AX42</f>
        <v>-885597458.13999999</v>
      </c>
      <c r="AY17" s="26">
        <f>股权价值增加表!AY42</f>
        <v>-558621064.98000002</v>
      </c>
      <c r="AZ17" s="26">
        <f>股权价值增加表!AZ42</f>
        <v>-331151346.61000001</v>
      </c>
      <c r="BA17" s="26">
        <f>股权价值增加表!BA42</f>
        <v>-201114877.60999998</v>
      </c>
      <c r="BB17" s="26">
        <f>股权价值增加表!BB42</f>
        <v>-718431690.38</v>
      </c>
      <c r="BC17" s="26">
        <f>股权价值增加表!BC42</f>
        <v>-401898116.90000004</v>
      </c>
      <c r="BD17" s="26">
        <f>股权价值增加表!BD42</f>
        <v>-245963416.15000001</v>
      </c>
      <c r="BE17" s="26">
        <f>股权价值增加表!BE42</f>
        <v>-170008116.06</v>
      </c>
      <c r="BF17" s="26">
        <f>股权价值增加表!BF42</f>
        <v>-610191480.10000002</v>
      </c>
      <c r="BG17" s="26">
        <f>股权价值增加表!BG42</f>
        <v>-315471185.13</v>
      </c>
      <c r="BH17" s="26">
        <f>股权价值增加表!BH42</f>
        <v>-195701598.39000002</v>
      </c>
      <c r="BI17" s="26">
        <f>股权价值增加表!BI42</f>
        <v>-123091999.73999999</v>
      </c>
      <c r="BJ17" s="26">
        <f>股权价值增加表!BJ42</f>
        <v>-352490891.20999998</v>
      </c>
      <c r="BK17" s="26">
        <f>股权价值增加表!BK42</f>
        <v>-214232454.16</v>
      </c>
      <c r="BL17" s="26">
        <f>股权价值增加表!BL42</f>
        <v>-144379248.41999999</v>
      </c>
      <c r="BM17" s="26">
        <f>股权价值增加表!BM42</f>
        <v>-114107711.54000001</v>
      </c>
      <c r="BN17" s="26">
        <f>股权价值增加表!BN42</f>
        <v>-239322898.88</v>
      </c>
      <c r="BO17" s="26">
        <f>股权价值增加表!BO42</f>
        <v>-192965728.02000001</v>
      </c>
      <c r="BP17" s="26">
        <f>股权价值增加表!BP42</f>
        <v>-143620388.34999999</v>
      </c>
      <c r="BQ17" s="26">
        <f>股权价值增加表!BQ42</f>
        <v>-121544563.97</v>
      </c>
      <c r="BR17" s="26">
        <f>股权价值增加表!BR42</f>
        <v>-259170043.98999998</v>
      </c>
      <c r="BS17" s="26">
        <f>股权价值增加表!BS42</f>
        <v>-144261351</v>
      </c>
      <c r="BT17" s="26">
        <f>股权价值增加表!BT42</f>
        <v>-196240654.41999999</v>
      </c>
      <c r="BU17" s="26">
        <f>股权价值增加表!BU42</f>
        <v>-149179820.65000001</v>
      </c>
      <c r="BV17" s="26">
        <f>股权价值增加表!BV42</f>
        <v>-113995075.88</v>
      </c>
      <c r="BW17" s="26">
        <f>股权价值增加表!BW42</f>
        <v>0</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387</v>
      </c>
      <c r="B18" s="28">
        <f t="shared" ref="B18:D18" si="15">B14/B17</f>
        <v>1.2024229756087634</v>
      </c>
      <c r="C18" s="28">
        <f t="shared" si="15"/>
        <v>0.84230055660120073</v>
      </c>
      <c r="D18" s="28">
        <f t="shared" si="15"/>
        <v>2.2342180030929484</v>
      </c>
      <c r="E18" s="28">
        <f>E14/E17</f>
        <v>1.1087979552774307</v>
      </c>
      <c r="F18" s="28">
        <f t="shared" ref="F18:BQ18" si="16">F14/F17</f>
        <v>0.80540121019604749</v>
      </c>
      <c r="G18" s="28">
        <f t="shared" si="16"/>
        <v>0.79833852859613363</v>
      </c>
      <c r="H18" s="28">
        <f t="shared" si="16"/>
        <v>0.85100859963546971</v>
      </c>
      <c r="I18" s="28">
        <f t="shared" si="16"/>
        <v>1.0971970748336086</v>
      </c>
      <c r="J18" s="28">
        <f t="shared" si="16"/>
        <v>1.1613770620820749</v>
      </c>
      <c r="K18" s="28">
        <f t="shared" si="16"/>
        <v>0.92774877580892756</v>
      </c>
      <c r="L18" s="28">
        <f t="shared" si="16"/>
        <v>1.3116231409362531</v>
      </c>
      <c r="M18" s="28">
        <f t="shared" si="16"/>
        <v>0.58807579864042736</v>
      </c>
      <c r="N18" s="28">
        <f t="shared" si="16"/>
        <v>1.3379027745286143</v>
      </c>
      <c r="O18" s="28">
        <f t="shared" si="16"/>
        <v>1.4487609032384496</v>
      </c>
      <c r="P18" s="28">
        <f t="shared" si="16"/>
        <v>1.1423769805048754</v>
      </c>
      <c r="Q18" s="28">
        <f t="shared" si="16"/>
        <v>1.5533643822662491</v>
      </c>
      <c r="R18" s="28">
        <f t="shared" si="16"/>
        <v>1.1073064248406057</v>
      </c>
      <c r="S18" s="28">
        <f t="shared" si="16"/>
        <v>0.12352728723166283</v>
      </c>
      <c r="T18" s="28">
        <f t="shared" si="16"/>
        <v>0</v>
      </c>
      <c r="U18" s="28">
        <f t="shared" si="16"/>
        <v>0</v>
      </c>
      <c r="V18" s="28">
        <f t="shared" si="16"/>
        <v>0</v>
      </c>
      <c r="W18" s="28">
        <f t="shared" si="16"/>
        <v>0</v>
      </c>
      <c r="X18" s="28">
        <f t="shared" si="16"/>
        <v>0</v>
      </c>
      <c r="Y18" s="28">
        <f t="shared" si="16"/>
        <v>0</v>
      </c>
      <c r="Z18" s="28">
        <f t="shared" si="16"/>
        <v>0</v>
      </c>
      <c r="AA18" s="28">
        <f t="shared" si="16"/>
        <v>0</v>
      </c>
      <c r="AB18" s="28">
        <f t="shared" si="16"/>
        <v>0</v>
      </c>
      <c r="AC18" s="28">
        <f t="shared" si="16"/>
        <v>0</v>
      </c>
      <c r="AD18" s="28">
        <f t="shared" si="16"/>
        <v>0</v>
      </c>
      <c r="AE18" s="28">
        <f t="shared" si="16"/>
        <v>0</v>
      </c>
      <c r="AF18" s="28">
        <f t="shared" si="16"/>
        <v>0</v>
      </c>
      <c r="AG18" s="28">
        <f t="shared" si="16"/>
        <v>0</v>
      </c>
      <c r="AH18" s="28">
        <f t="shared" si="16"/>
        <v>0</v>
      </c>
      <c r="AI18" s="28">
        <f t="shared" si="16"/>
        <v>0</v>
      </c>
      <c r="AJ18" s="28">
        <f t="shared" si="16"/>
        <v>0</v>
      </c>
      <c r="AK18" s="28">
        <f t="shared" si="16"/>
        <v>0</v>
      </c>
      <c r="AL18" s="28">
        <f t="shared" si="16"/>
        <v>0</v>
      </c>
      <c r="AM18" s="28">
        <f t="shared" si="16"/>
        <v>0</v>
      </c>
      <c r="AN18" s="28">
        <f t="shared" si="16"/>
        <v>0</v>
      </c>
      <c r="AO18" s="28">
        <f t="shared" si="16"/>
        <v>0</v>
      </c>
      <c r="AP18" s="28">
        <f t="shared" si="16"/>
        <v>0</v>
      </c>
      <c r="AQ18" s="28">
        <f t="shared" si="16"/>
        <v>0</v>
      </c>
      <c r="AR18" s="28">
        <f t="shared" si="16"/>
        <v>0</v>
      </c>
      <c r="AS18" s="28">
        <f t="shared" si="16"/>
        <v>0</v>
      </c>
      <c r="AT18" s="28">
        <f t="shared" si="16"/>
        <v>0</v>
      </c>
      <c r="AU18" s="28">
        <f t="shared" si="16"/>
        <v>0</v>
      </c>
      <c r="AV18" s="28">
        <f t="shared" si="16"/>
        <v>0</v>
      </c>
      <c r="AW18" s="28">
        <f t="shared" si="16"/>
        <v>0</v>
      </c>
      <c r="AX18" s="28">
        <f t="shared" si="16"/>
        <v>0</v>
      </c>
      <c r="AY18" s="28">
        <f t="shared" si="16"/>
        <v>0</v>
      </c>
      <c r="AZ18" s="28">
        <f t="shared" si="16"/>
        <v>0</v>
      </c>
      <c r="BA18" s="28">
        <f t="shared" si="16"/>
        <v>0</v>
      </c>
      <c r="BB18" s="28">
        <f t="shared" si="16"/>
        <v>0</v>
      </c>
      <c r="BC18" s="28">
        <f t="shared" si="16"/>
        <v>0</v>
      </c>
      <c r="BD18" s="28">
        <f t="shared" si="16"/>
        <v>0</v>
      </c>
      <c r="BE18" s="28">
        <f t="shared" si="16"/>
        <v>0</v>
      </c>
      <c r="BF18" s="28">
        <f t="shared" si="16"/>
        <v>0</v>
      </c>
      <c r="BG18" s="28">
        <f t="shared" si="16"/>
        <v>0</v>
      </c>
      <c r="BH18" s="28">
        <f t="shared" si="16"/>
        <v>0</v>
      </c>
      <c r="BI18" s="28">
        <f t="shared" si="16"/>
        <v>0</v>
      </c>
      <c r="BJ18" s="28">
        <f t="shared" si="16"/>
        <v>0</v>
      </c>
      <c r="BK18" s="28">
        <f t="shared" si="16"/>
        <v>0</v>
      </c>
      <c r="BL18" s="28">
        <f t="shared" si="16"/>
        <v>0</v>
      </c>
      <c r="BM18" s="28">
        <f t="shared" si="16"/>
        <v>0</v>
      </c>
      <c r="BN18" s="28">
        <f t="shared" si="16"/>
        <v>0</v>
      </c>
      <c r="BO18" s="28">
        <f t="shared" si="16"/>
        <v>0</v>
      </c>
      <c r="BP18" s="28">
        <f t="shared" si="16"/>
        <v>0</v>
      </c>
      <c r="BQ18" s="28">
        <f t="shared" si="16"/>
        <v>0</v>
      </c>
      <c r="BR18" s="28">
        <f t="shared" ref="BR18:CK18" si="17">BR14/BR17</f>
        <v>0</v>
      </c>
      <c r="BS18" s="28">
        <f t="shared" si="17"/>
        <v>0</v>
      </c>
      <c r="BT18" s="28">
        <f t="shared" si="17"/>
        <v>0</v>
      </c>
      <c r="BU18" s="28">
        <f t="shared" si="17"/>
        <v>0</v>
      </c>
      <c r="BV18" s="28">
        <f t="shared" si="17"/>
        <v>0</v>
      </c>
      <c r="BW18" s="28" t="e">
        <f t="shared" si="17"/>
        <v>#DIV/0!</v>
      </c>
      <c r="BX18" s="28">
        <f t="shared" si="17"/>
        <v>0</v>
      </c>
      <c r="BY18" s="28">
        <f t="shared" si="17"/>
        <v>0</v>
      </c>
      <c r="BZ18" s="28">
        <f t="shared" si="17"/>
        <v>0</v>
      </c>
      <c r="CA18" s="28">
        <f t="shared" si="17"/>
        <v>0</v>
      </c>
      <c r="CB18" s="28">
        <f t="shared" si="17"/>
        <v>0</v>
      </c>
      <c r="CC18" s="28">
        <f t="shared" si="17"/>
        <v>0</v>
      </c>
      <c r="CD18" s="28" t="e">
        <f t="shared" si="17"/>
        <v>#DIV/0!</v>
      </c>
      <c r="CE18" s="28">
        <f t="shared" si="17"/>
        <v>0</v>
      </c>
      <c r="CF18" s="28">
        <f t="shared" si="17"/>
        <v>0</v>
      </c>
      <c r="CG18" s="28">
        <f t="shared" si="17"/>
        <v>0</v>
      </c>
      <c r="CH18" s="28">
        <f t="shared" si="17"/>
        <v>0</v>
      </c>
      <c r="CI18" s="28">
        <f t="shared" si="17"/>
        <v>0</v>
      </c>
      <c r="CJ18" s="28">
        <f t="shared" si="17"/>
        <v>0</v>
      </c>
      <c r="CK18" s="28" t="e">
        <f t="shared" si="17"/>
        <v>#DIV/0!</v>
      </c>
    </row>
    <row r="19" spans="1:90" s="26" customFormat="1">
      <c r="A19" s="17" t="s">
        <v>388</v>
      </c>
      <c r="B19" s="190">
        <f>现金流量表!B48</f>
        <v>1289685.01</v>
      </c>
      <c r="C19" s="190">
        <f>现金流量表!C48</f>
        <v>-8053703.9500000002</v>
      </c>
      <c r="D19" s="190">
        <f>现金流量表!D48</f>
        <v>12327496.220000001</v>
      </c>
      <c r="E19" s="26">
        <f>现金流量表!E48</f>
        <v>-540313.39</v>
      </c>
      <c r="F19" s="26">
        <f>现金流量表!F48</f>
        <v>432745.88</v>
      </c>
      <c r="G19" s="26">
        <f>现金流量表!G48</f>
        <v>-2004032.3</v>
      </c>
      <c r="H19" s="26">
        <f>现金流量表!H48</f>
        <v>2979258.5</v>
      </c>
      <c r="I19" s="26">
        <f>现金流量表!I48</f>
        <v>-2500650.5699999998</v>
      </c>
      <c r="J19" s="26">
        <f>现金流量表!J48</f>
        <v>-3066975.05</v>
      </c>
      <c r="K19" s="26">
        <f>现金流量表!K48</f>
        <v>-300085.01</v>
      </c>
      <c r="L19" s="26">
        <f>现金流量表!L48</f>
        <v>450078.22</v>
      </c>
      <c r="M19" s="26">
        <f>现金流量表!M48</f>
        <v>-614738.65</v>
      </c>
      <c r="N19" s="26">
        <f>现金流量表!N48</f>
        <v>0</v>
      </c>
      <c r="O19" s="26">
        <f>现金流量表!O48</f>
        <v>-1324018.3500000001</v>
      </c>
      <c r="P19" s="26">
        <f>现金流量表!P48</f>
        <v>761947.03</v>
      </c>
      <c r="Q19" s="26">
        <f>现金流量表!Q48</f>
        <v>2052540.39</v>
      </c>
      <c r="R19" s="26">
        <f>现金流量表!R48</f>
        <v>5977107.7199999997</v>
      </c>
      <c r="S19" s="26">
        <f>现金流量表!S48</f>
        <v>6692428.5199999996</v>
      </c>
      <c r="T19" s="26">
        <f>现金流量表!T48</f>
        <v>0</v>
      </c>
      <c r="U19" s="26">
        <f>现金流量表!U48</f>
        <v>0</v>
      </c>
      <c r="V19" s="26">
        <f>现金流量表!V48</f>
        <v>0</v>
      </c>
      <c r="W19" s="26">
        <f>现金流量表!W48</f>
        <v>0</v>
      </c>
      <c r="X19" s="26">
        <f>现金流量表!X48</f>
        <v>0</v>
      </c>
      <c r="Y19" s="26">
        <f>现金流量表!Y48</f>
        <v>0</v>
      </c>
      <c r="Z19" s="26">
        <f>现金流量表!Z48</f>
        <v>0</v>
      </c>
      <c r="AA19" s="26">
        <f>现金流量表!AA48</f>
        <v>0</v>
      </c>
      <c r="AB19" s="26">
        <f>现金流量表!AB48</f>
        <v>0</v>
      </c>
      <c r="AC19" s="26">
        <f>现金流量表!AC48</f>
        <v>0</v>
      </c>
      <c r="AD19" s="26">
        <f>现金流量表!AD48</f>
        <v>0</v>
      </c>
      <c r="AE19" s="26">
        <f>现金流量表!AE48</f>
        <v>0</v>
      </c>
      <c r="AF19" s="26">
        <f>现金流量表!AF48</f>
        <v>0</v>
      </c>
      <c r="AG19" s="26">
        <f>现金流量表!AG48</f>
        <v>0</v>
      </c>
      <c r="AH19" s="26">
        <f>现金流量表!AH48</f>
        <v>0</v>
      </c>
      <c r="AI19" s="26">
        <f>现金流量表!AI48</f>
        <v>0</v>
      </c>
      <c r="AJ19" s="26">
        <f>现金流量表!AJ48</f>
        <v>0</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389</v>
      </c>
      <c r="B20" s="190">
        <f>现金流量表!B49</f>
        <v>1084662728.5799999</v>
      </c>
      <c r="C20" s="190">
        <f>现金流量表!C49</f>
        <v>1035052733.45</v>
      </c>
      <c r="D20" s="190">
        <f>现金流量表!D49</f>
        <v>842728072.03999996</v>
      </c>
      <c r="E20" s="26">
        <f>现金流量表!E49</f>
        <v>761458678.28999996</v>
      </c>
      <c r="F20" s="26">
        <f>现金流量表!F49</f>
        <v>675349786.98000002</v>
      </c>
      <c r="G20" s="26">
        <f>现金流量表!G49</f>
        <v>520481867.72000003</v>
      </c>
      <c r="H20" s="26">
        <f>现金流量表!H49</f>
        <v>414952194.94</v>
      </c>
      <c r="I20" s="26">
        <f>现金流量表!I49</f>
        <v>331356736.88</v>
      </c>
      <c r="J20" s="26">
        <f>现金流量表!J49</f>
        <v>267815117.52000001</v>
      </c>
      <c r="K20" s="26">
        <f>现金流量表!K49</f>
        <v>187387081.41</v>
      </c>
      <c r="L20" s="26">
        <f>现金流量表!L49</f>
        <v>147042974.22999999</v>
      </c>
      <c r="M20" s="26">
        <f>现金流量表!M49</f>
        <v>103823977.31999999</v>
      </c>
      <c r="N20" s="26">
        <f>现金流量表!N49</f>
        <v>84717392.170000002</v>
      </c>
      <c r="O20" s="26">
        <f>现金流量表!O49</f>
        <v>64659106.390000001</v>
      </c>
      <c r="P20" s="26">
        <f>现金流量表!P49</f>
        <v>55088524.049999997</v>
      </c>
      <c r="Q20" s="26">
        <f>现金流量表!Q49</f>
        <v>58391200.810000002</v>
      </c>
      <c r="R20" s="26">
        <f>现金流量表!R49</f>
        <v>20409817.800000001</v>
      </c>
      <c r="S20" s="26">
        <f>现金流量表!S49</f>
        <v>11587498.189999999</v>
      </c>
      <c r="T20" s="26">
        <f>现金流量表!T49</f>
        <v>0</v>
      </c>
      <c r="U20" s="26">
        <f>现金流量表!U49</f>
        <v>0</v>
      </c>
      <c r="V20" s="26">
        <f>现金流量表!V49</f>
        <v>0</v>
      </c>
      <c r="W20" s="26">
        <f>现金流量表!W49</f>
        <v>0</v>
      </c>
      <c r="X20" s="26">
        <f>现金流量表!X49</f>
        <v>0</v>
      </c>
      <c r="Y20" s="26">
        <f>现金流量表!Y49</f>
        <v>0</v>
      </c>
      <c r="Z20" s="26">
        <f>现金流量表!Z49</f>
        <v>0</v>
      </c>
      <c r="AA20" s="26">
        <f>现金流量表!AA49</f>
        <v>0</v>
      </c>
      <c r="AB20" s="26">
        <f>现金流量表!AB49</f>
        <v>0</v>
      </c>
      <c r="AC20" s="26">
        <f>现金流量表!AC49</f>
        <v>0</v>
      </c>
      <c r="AD20" s="26">
        <f>现金流量表!AD49</f>
        <v>0</v>
      </c>
      <c r="AE20" s="26">
        <f>现金流量表!AE49</f>
        <v>0</v>
      </c>
      <c r="AF20" s="26">
        <f>现金流量表!AF49</f>
        <v>0</v>
      </c>
      <c r="AG20" s="26">
        <f>现金流量表!AG49</f>
        <v>0</v>
      </c>
      <c r="AH20" s="26">
        <f>现金流量表!AH49</f>
        <v>0</v>
      </c>
      <c r="AI20" s="26">
        <f>现金流量表!AI49</f>
        <v>0</v>
      </c>
      <c r="AJ20" s="26">
        <f>现金流量表!AJ49</f>
        <v>0</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390</v>
      </c>
      <c r="B21" s="190">
        <f>现金流量表!B50</f>
        <v>80431667.219999999</v>
      </c>
      <c r="C21" s="190">
        <f>现金流量表!C50</f>
        <v>80522705.769999996</v>
      </c>
      <c r="D21" s="190">
        <f>现金流量表!D50</f>
        <v>80457895.989999995</v>
      </c>
      <c r="E21" s="26">
        <f>现金流量表!E50</f>
        <v>79883270.420000002</v>
      </c>
      <c r="F21" s="26">
        <f>现金流量表!F50</f>
        <v>77607523.200000003</v>
      </c>
      <c r="G21" s="26">
        <f>现金流量表!G50</f>
        <v>31617810.780000001</v>
      </c>
      <c r="H21" s="26">
        <f>现金流量表!H50</f>
        <v>15994854.35</v>
      </c>
      <c r="I21" s="26">
        <f>现金流量表!I50</f>
        <v>11855582.220000001</v>
      </c>
      <c r="J21" s="26">
        <f>现金流量表!J50</f>
        <v>14719853.449999999</v>
      </c>
      <c r="K21" s="26">
        <f>现金流量表!K50</f>
        <v>11552408.130000001</v>
      </c>
      <c r="L21" s="26">
        <f>现金流量表!L50</f>
        <v>6995493.6799999997</v>
      </c>
      <c r="M21" s="26">
        <f>现金流量表!M50</f>
        <v>8419605.2599999998</v>
      </c>
      <c r="N21" s="26">
        <f>现金流量表!N50</f>
        <v>3228097.47</v>
      </c>
      <c r="O21" s="26">
        <f>现金流量表!O50</f>
        <v>1721214.26</v>
      </c>
      <c r="P21" s="26">
        <f>现金流量表!P50</f>
        <v>171205.04</v>
      </c>
      <c r="Q21" s="26">
        <f>现金流量表!Q50</f>
        <v>170000.04</v>
      </c>
      <c r="R21" s="26">
        <f>现金流量表!R50</f>
        <v>170000.04</v>
      </c>
      <c r="S21" s="26">
        <f>现金流量表!S50</f>
        <v>676000.04</v>
      </c>
      <c r="T21" s="26">
        <f>现金流量表!T50</f>
        <v>0</v>
      </c>
      <c r="U21" s="26">
        <f>现金流量表!U50</f>
        <v>0</v>
      </c>
      <c r="V21" s="26">
        <f>现金流量表!V50</f>
        <v>0</v>
      </c>
      <c r="W21" s="26">
        <f>现金流量表!W50</f>
        <v>0</v>
      </c>
      <c r="X21" s="26">
        <f>现金流量表!X50</f>
        <v>0</v>
      </c>
      <c r="Y21" s="26">
        <f>现金流量表!Y50</f>
        <v>0</v>
      </c>
      <c r="Z21" s="26">
        <f>现金流量表!Z50</f>
        <v>0</v>
      </c>
      <c r="AA21" s="26">
        <f>现金流量表!AA50</f>
        <v>0</v>
      </c>
      <c r="AB21" s="26">
        <f>现金流量表!AB50</f>
        <v>0</v>
      </c>
      <c r="AC21" s="26">
        <f>现金流量表!AC50</f>
        <v>0</v>
      </c>
      <c r="AD21" s="26">
        <f>现金流量表!AD50</f>
        <v>0</v>
      </c>
      <c r="AE21" s="26">
        <f>现金流量表!AE50</f>
        <v>0</v>
      </c>
      <c r="AF21" s="26">
        <f>现金流量表!AF50</f>
        <v>0</v>
      </c>
      <c r="AG21" s="26">
        <f>现金流量表!AG50</f>
        <v>0</v>
      </c>
      <c r="AH21" s="26">
        <f>现金流量表!AH50</f>
        <v>0</v>
      </c>
      <c r="AI21" s="26">
        <f>现金流量表!AI50</f>
        <v>0</v>
      </c>
      <c r="AJ21" s="26">
        <f>现金流量表!AJ50</f>
        <v>0</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391</v>
      </c>
      <c r="B22" s="190">
        <f>现金流量表!B51</f>
        <v>10331100.619999999</v>
      </c>
      <c r="C22" s="190">
        <f>现金流量表!C51</f>
        <v>10259101.970000001</v>
      </c>
      <c r="D22" s="190">
        <f>现金流量表!D51</f>
        <v>11008704.17</v>
      </c>
      <c r="E22" s="26">
        <f>现金流量表!E51</f>
        <v>6804749.0199999996</v>
      </c>
      <c r="F22" s="26">
        <f>现金流量表!F51</f>
        <v>3842650.48</v>
      </c>
      <c r="G22" s="26">
        <f>现金流量表!G51</f>
        <v>4197830.59</v>
      </c>
      <c r="H22" s="26">
        <f>现金流量表!H51</f>
        <v>3854764.8</v>
      </c>
      <c r="I22" s="26">
        <f>现金流量表!I51</f>
        <v>4896216.72</v>
      </c>
      <c r="J22" s="26">
        <f>现金流量表!J51</f>
        <v>3034894.25</v>
      </c>
      <c r="K22" s="26">
        <f>现金流量表!K51</f>
        <v>8627818.8800000008</v>
      </c>
      <c r="L22" s="26">
        <f>现金流量表!L51</f>
        <v>10613073.470000001</v>
      </c>
      <c r="M22" s="26">
        <f>现金流量表!M51</f>
        <v>65846168.600000001</v>
      </c>
      <c r="N22" s="26">
        <f>现金流量表!N51</f>
        <v>8744492.6899999995</v>
      </c>
      <c r="O22" s="26">
        <f>现金流量表!O51</f>
        <v>12051388.76</v>
      </c>
      <c r="P22" s="26">
        <f>现金流量表!P51</f>
        <v>11374067.689999999</v>
      </c>
      <c r="Q22" s="26">
        <f>现金流量表!Q51</f>
        <v>5297418.04</v>
      </c>
      <c r="R22" s="26">
        <f>现金流量表!R51</f>
        <v>-5629054.3700000001</v>
      </c>
      <c r="S22" s="26">
        <f>现金流量表!S51</f>
        <v>2083990</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392</v>
      </c>
      <c r="B23" s="190">
        <f>现金流量表!B54</f>
        <v>0</v>
      </c>
      <c r="C23" s="190">
        <f>现金流量表!C54</f>
        <v>0</v>
      </c>
      <c r="D23" s="190">
        <f>现金流量表!D54</f>
        <v>0</v>
      </c>
      <c r="E23" s="26">
        <f>现金流量表!E54</f>
        <v>0</v>
      </c>
      <c r="F23" s="26">
        <f>现金流量表!F54</f>
        <v>0</v>
      </c>
      <c r="G23" s="26">
        <f>现金流量表!G54</f>
        <v>0</v>
      </c>
      <c r="H23" s="26">
        <f>现金流量表!H54</f>
        <v>0</v>
      </c>
      <c r="I23" s="26">
        <f>现金流量表!I54</f>
        <v>0</v>
      </c>
      <c r="J23" s="26">
        <f>现金流量表!J54</f>
        <v>0</v>
      </c>
      <c r="K23" s="26">
        <f>现金流量表!K54</f>
        <v>0</v>
      </c>
      <c r="L23" s="26">
        <f>现金流量表!L54</f>
        <v>0</v>
      </c>
      <c r="M23" s="26">
        <f>现金流量表!M54</f>
        <v>900998.31</v>
      </c>
      <c r="N23" s="26">
        <f>现金流量表!N54</f>
        <v>0</v>
      </c>
      <c r="O23" s="26">
        <f>现金流量表!O54</f>
        <v>0</v>
      </c>
      <c r="P23" s="26">
        <f>现金流量表!P54</f>
        <v>0</v>
      </c>
      <c r="Q23" s="26">
        <f>现金流量表!Q54</f>
        <v>0</v>
      </c>
      <c r="R23" s="26">
        <f>现金流量表!R54</f>
        <v>0</v>
      </c>
      <c r="S23" s="26">
        <f>现金流量表!S54</f>
        <v>0</v>
      </c>
      <c r="T23" s="26">
        <f>现金流量表!T54</f>
        <v>0</v>
      </c>
      <c r="U23" s="26">
        <f>现金流量表!U54</f>
        <v>0</v>
      </c>
      <c r="V23" s="26">
        <f>现金流量表!V54</f>
        <v>0</v>
      </c>
      <c r="W23" s="26">
        <f>现金流量表!W54</f>
        <v>0</v>
      </c>
      <c r="X23" s="26">
        <f>现金流量表!X54</f>
        <v>0</v>
      </c>
      <c r="Y23" s="26">
        <f>现金流量表!Y54</f>
        <v>0</v>
      </c>
      <c r="Z23" s="26">
        <f>现金流量表!Z54</f>
        <v>0</v>
      </c>
      <c r="AA23" s="26">
        <f>现金流量表!AA54</f>
        <v>0</v>
      </c>
      <c r="AB23" s="26">
        <f>现金流量表!AB54</f>
        <v>0</v>
      </c>
      <c r="AC23" s="26">
        <f>现金流量表!AC54</f>
        <v>0</v>
      </c>
      <c r="AD23" s="26">
        <f>现金流量表!AD54</f>
        <v>0</v>
      </c>
      <c r="AE23" s="26">
        <f>现金流量表!AE54</f>
        <v>0</v>
      </c>
      <c r="AF23" s="26">
        <f>现金流量表!AF54</f>
        <v>0</v>
      </c>
      <c r="AG23" s="26">
        <f>现金流量表!AG54</f>
        <v>0</v>
      </c>
      <c r="AH23" s="26">
        <f>现金流量表!AH54</f>
        <v>0</v>
      </c>
      <c r="AI23" s="26">
        <f>现金流量表!AI54</f>
        <v>0</v>
      </c>
      <c r="AJ23" s="26">
        <f>现金流量表!AJ54</f>
        <v>0</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393</v>
      </c>
      <c r="B24" s="190">
        <f>现金流量表!B55</f>
        <v>1808930.93</v>
      </c>
      <c r="C24" s="190">
        <f>现金流量表!C55</f>
        <v>3291895.5</v>
      </c>
      <c r="D24" s="190">
        <f>现金流量表!D55</f>
        <v>1869869.13</v>
      </c>
      <c r="E24" s="26">
        <f>现金流量表!E55</f>
        <v>-17419.86</v>
      </c>
      <c r="F24" s="26">
        <f>现金流量表!F55</f>
        <v>85119583.319999993</v>
      </c>
      <c r="G24" s="26">
        <f>现金流量表!G55</f>
        <v>8997287.1699999999</v>
      </c>
      <c r="H24" s="26">
        <f>现金流量表!H55</f>
        <v>155718.82</v>
      </c>
      <c r="I24" s="26">
        <f>现金流量表!I55</f>
        <v>-888534.94</v>
      </c>
      <c r="J24" s="26">
        <f>现金流量表!J55</f>
        <v>617857.77</v>
      </c>
      <c r="K24" s="26">
        <f>现金流量表!K55</f>
        <v>227122.97</v>
      </c>
      <c r="L24" s="26">
        <f>现金流量表!L55</f>
        <v>3241808.24</v>
      </c>
      <c r="M24" s="26">
        <f>现金流量表!M55</f>
        <v>3146711.19</v>
      </c>
      <c r="N24" s="26">
        <f>现金流量表!N55</f>
        <v>0</v>
      </c>
      <c r="O24" s="26">
        <f>现金流量表!O55</f>
        <v>0</v>
      </c>
      <c r="P24" s="26">
        <f>现金流量表!P55</f>
        <v>210396.99</v>
      </c>
      <c r="Q24" s="26">
        <f>现金流量表!Q55</f>
        <v>0</v>
      </c>
      <c r="R24" s="26">
        <f>现金流量表!R55</f>
        <v>0</v>
      </c>
      <c r="S24" s="26">
        <f>现金流量表!S55</f>
        <v>602996.92000000004</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394</v>
      </c>
      <c r="B25" s="28">
        <f t="shared" ref="B25:D25" si="18">SUM(B19:B24)</f>
        <v>1178524112.3599999</v>
      </c>
      <c r="C25" s="28">
        <f t="shared" si="18"/>
        <v>1121072732.74</v>
      </c>
      <c r="D25" s="28">
        <f t="shared" si="18"/>
        <v>948392037.54999995</v>
      </c>
      <c r="E25" s="28">
        <f>SUM(E19:E24)</f>
        <v>847588964.4799999</v>
      </c>
      <c r="F25" s="28">
        <f t="shared" ref="F25:BQ25" si="19">SUM(F19:F24)</f>
        <v>842352289.86000013</v>
      </c>
      <c r="G25" s="28">
        <f t="shared" si="19"/>
        <v>563290763.96000004</v>
      </c>
      <c r="H25" s="28">
        <f t="shared" si="19"/>
        <v>437936791.41000003</v>
      </c>
      <c r="I25" s="28">
        <f t="shared" si="19"/>
        <v>344719350.31000006</v>
      </c>
      <c r="J25" s="28">
        <f t="shared" si="19"/>
        <v>283120747.94</v>
      </c>
      <c r="K25" s="28">
        <f t="shared" si="19"/>
        <v>207494346.38</v>
      </c>
      <c r="L25" s="28">
        <f t="shared" si="19"/>
        <v>168343427.84</v>
      </c>
      <c r="M25" s="28">
        <f t="shared" si="19"/>
        <v>181522722.03</v>
      </c>
      <c r="N25" s="28">
        <f t="shared" si="19"/>
        <v>96689982.329999998</v>
      </c>
      <c r="O25" s="28">
        <f t="shared" si="19"/>
        <v>77107691.060000002</v>
      </c>
      <c r="P25" s="28">
        <f t="shared" si="19"/>
        <v>67606140.799999997</v>
      </c>
      <c r="Q25" s="28">
        <f t="shared" si="19"/>
        <v>65911159.280000001</v>
      </c>
      <c r="R25" s="28">
        <f t="shared" si="19"/>
        <v>20927871.189999998</v>
      </c>
      <c r="S25" s="28">
        <f t="shared" si="19"/>
        <v>21642913.670000002</v>
      </c>
      <c r="T25" s="28">
        <f t="shared" si="19"/>
        <v>0</v>
      </c>
      <c r="U25" s="28">
        <f t="shared" si="19"/>
        <v>0</v>
      </c>
      <c r="V25" s="28">
        <f t="shared" si="19"/>
        <v>0</v>
      </c>
      <c r="W25" s="28">
        <f t="shared" si="19"/>
        <v>0</v>
      </c>
      <c r="X25" s="28">
        <f t="shared" si="19"/>
        <v>0</v>
      </c>
      <c r="Y25" s="28">
        <f t="shared" si="19"/>
        <v>0</v>
      </c>
      <c r="Z25" s="28">
        <f t="shared" si="19"/>
        <v>0</v>
      </c>
      <c r="AA25" s="28">
        <f t="shared" si="19"/>
        <v>0</v>
      </c>
      <c r="AB25" s="28">
        <f t="shared" si="19"/>
        <v>0</v>
      </c>
      <c r="AC25" s="28">
        <f t="shared" si="19"/>
        <v>0</v>
      </c>
      <c r="AD25" s="28">
        <f t="shared" si="19"/>
        <v>0</v>
      </c>
      <c r="AE25" s="28">
        <f t="shared" si="19"/>
        <v>0</v>
      </c>
      <c r="AF25" s="28">
        <f t="shared" si="19"/>
        <v>0</v>
      </c>
      <c r="AG25" s="28">
        <f t="shared" si="19"/>
        <v>0</v>
      </c>
      <c r="AH25" s="28">
        <f t="shared" si="19"/>
        <v>0</v>
      </c>
      <c r="AI25" s="28">
        <f t="shared" si="19"/>
        <v>0</v>
      </c>
      <c r="AJ25" s="28">
        <f t="shared" si="19"/>
        <v>0</v>
      </c>
      <c r="AK25" s="28">
        <f t="shared" si="19"/>
        <v>0</v>
      </c>
      <c r="AL25" s="28">
        <f t="shared" si="19"/>
        <v>0</v>
      </c>
      <c r="AM25" s="28">
        <f t="shared" si="19"/>
        <v>0</v>
      </c>
      <c r="AN25" s="28">
        <f t="shared" si="19"/>
        <v>0</v>
      </c>
      <c r="AO25" s="28">
        <f t="shared" si="19"/>
        <v>0</v>
      </c>
      <c r="AP25" s="28">
        <f t="shared" si="19"/>
        <v>0</v>
      </c>
      <c r="AQ25" s="28">
        <f t="shared" si="19"/>
        <v>0</v>
      </c>
      <c r="AR25" s="28">
        <f t="shared" si="19"/>
        <v>0</v>
      </c>
      <c r="AS25" s="28">
        <f t="shared" si="19"/>
        <v>0</v>
      </c>
      <c r="AT25" s="28">
        <f t="shared" si="19"/>
        <v>0</v>
      </c>
      <c r="AU25" s="28">
        <f t="shared" si="19"/>
        <v>0</v>
      </c>
      <c r="AV25" s="28">
        <f t="shared" si="19"/>
        <v>0</v>
      </c>
      <c r="AW25" s="28">
        <f t="shared" si="19"/>
        <v>0</v>
      </c>
      <c r="AX25" s="28">
        <f t="shared" si="19"/>
        <v>0</v>
      </c>
      <c r="AY25" s="28">
        <f t="shared" si="19"/>
        <v>0</v>
      </c>
      <c r="AZ25" s="28">
        <f t="shared" si="19"/>
        <v>0</v>
      </c>
      <c r="BA25" s="28">
        <f t="shared" si="19"/>
        <v>0</v>
      </c>
      <c r="BB25" s="28">
        <f t="shared" si="19"/>
        <v>0</v>
      </c>
      <c r="BC25" s="28">
        <f t="shared" si="19"/>
        <v>0</v>
      </c>
      <c r="BD25" s="28">
        <f t="shared" si="19"/>
        <v>0</v>
      </c>
      <c r="BE25" s="28">
        <f t="shared" si="19"/>
        <v>0</v>
      </c>
      <c r="BF25" s="28">
        <f t="shared" si="19"/>
        <v>0</v>
      </c>
      <c r="BG25" s="28">
        <f t="shared" si="19"/>
        <v>0</v>
      </c>
      <c r="BH25" s="28">
        <f t="shared" si="19"/>
        <v>0</v>
      </c>
      <c r="BI25" s="28">
        <f t="shared" si="19"/>
        <v>0</v>
      </c>
      <c r="BJ25" s="28">
        <f t="shared" si="19"/>
        <v>0</v>
      </c>
      <c r="BK25" s="28">
        <f t="shared" si="19"/>
        <v>0</v>
      </c>
      <c r="BL25" s="28">
        <f t="shared" si="19"/>
        <v>0</v>
      </c>
      <c r="BM25" s="28">
        <f t="shared" si="19"/>
        <v>0</v>
      </c>
      <c r="BN25" s="28">
        <f t="shared" si="19"/>
        <v>0</v>
      </c>
      <c r="BO25" s="28">
        <f t="shared" si="19"/>
        <v>0</v>
      </c>
      <c r="BP25" s="28">
        <f t="shared" si="19"/>
        <v>0</v>
      </c>
      <c r="BQ25" s="28">
        <f t="shared" si="19"/>
        <v>0</v>
      </c>
      <c r="BR25" s="28">
        <f t="shared" ref="BR25:CK25" si="20">SUM(BR19:BR24)</f>
        <v>0</v>
      </c>
      <c r="BS25" s="28">
        <f t="shared" si="20"/>
        <v>0</v>
      </c>
      <c r="BT25" s="28">
        <f t="shared" si="20"/>
        <v>0</v>
      </c>
      <c r="BU25" s="28">
        <f t="shared" si="20"/>
        <v>0</v>
      </c>
      <c r="BV25" s="28">
        <f t="shared" si="20"/>
        <v>0</v>
      </c>
      <c r="BW25" s="28">
        <f t="shared" si="20"/>
        <v>0</v>
      </c>
      <c r="BX25" s="28">
        <f t="shared" si="20"/>
        <v>0</v>
      </c>
      <c r="BY25" s="28">
        <f t="shared" si="20"/>
        <v>0</v>
      </c>
      <c r="BZ25" s="28">
        <f t="shared" si="20"/>
        <v>0</v>
      </c>
      <c r="CA25" s="28">
        <f t="shared" si="20"/>
        <v>0</v>
      </c>
      <c r="CB25" s="28">
        <f t="shared" si="20"/>
        <v>0</v>
      </c>
      <c r="CC25" s="28">
        <f t="shared" si="20"/>
        <v>0</v>
      </c>
      <c r="CD25" s="28">
        <f t="shared" si="20"/>
        <v>0</v>
      </c>
      <c r="CE25" s="28">
        <f t="shared" si="20"/>
        <v>0</v>
      </c>
      <c r="CF25" s="28">
        <f t="shared" si="20"/>
        <v>0</v>
      </c>
      <c r="CG25" s="28">
        <f t="shared" si="20"/>
        <v>0</v>
      </c>
      <c r="CH25" s="28">
        <f t="shared" si="20"/>
        <v>0</v>
      </c>
      <c r="CI25" s="28">
        <f t="shared" si="20"/>
        <v>0</v>
      </c>
      <c r="CJ25" s="28">
        <f t="shared" si="20"/>
        <v>0</v>
      </c>
      <c r="CK25" s="28">
        <f t="shared" si="20"/>
        <v>0</v>
      </c>
    </row>
    <row r="26" spans="1:90" s="28" customFormat="1">
      <c r="A26" s="20" t="s">
        <v>395</v>
      </c>
      <c r="B26" s="28">
        <f t="shared" ref="B26:D26" si="21">B14-B25</f>
        <v>40206710294.360001</v>
      </c>
      <c r="C26" s="28">
        <f t="shared" si="21"/>
        <v>21031963351.389999</v>
      </c>
      <c r="D26" s="28">
        <f t="shared" si="21"/>
        <v>36502857609.5</v>
      </c>
      <c r="E26" s="28">
        <f>E14-E25</f>
        <v>16588751177.240002</v>
      </c>
      <c r="F26" s="28">
        <f t="shared" ref="F26:BQ26" si="22">F14-F25</f>
        <v>11790170146.74</v>
      </c>
      <c r="G26" s="28">
        <f t="shared" si="22"/>
        <v>12091734097.959999</v>
      </c>
      <c r="H26" s="28">
        <f t="shared" si="22"/>
        <v>11483373817.84</v>
      </c>
      <c r="I26" s="28">
        <f t="shared" si="22"/>
        <v>9803845339.2200012</v>
      </c>
      <c r="J26" s="28">
        <f t="shared" si="22"/>
        <v>5918355771.6300001</v>
      </c>
      <c r="K26" s="28">
        <f t="shared" si="22"/>
        <v>4016442797.8099999</v>
      </c>
      <c r="L26" s="28">
        <f t="shared" si="22"/>
        <v>5079145107.8999996</v>
      </c>
      <c r="M26" s="28">
        <f t="shared" si="22"/>
        <v>1561780489.3500001</v>
      </c>
      <c r="N26" s="28">
        <f t="shared" si="22"/>
        <v>2008481051.3600001</v>
      </c>
      <c r="O26" s="28">
        <f t="shared" si="22"/>
        <v>1616599797.26</v>
      </c>
      <c r="P26" s="28">
        <f t="shared" si="22"/>
        <v>908178339.4000001</v>
      </c>
      <c r="Q26" s="28">
        <f t="shared" si="22"/>
        <v>875795082.80000007</v>
      </c>
      <c r="R26" s="28">
        <f t="shared" si="22"/>
        <v>413654507.47000003</v>
      </c>
      <c r="S26" s="28">
        <f t="shared" si="22"/>
        <v>20640123.68</v>
      </c>
      <c r="T26" s="28">
        <f t="shared" si="22"/>
        <v>0</v>
      </c>
      <c r="U26" s="28">
        <f t="shared" si="22"/>
        <v>0</v>
      </c>
      <c r="V26" s="28">
        <f t="shared" si="22"/>
        <v>0</v>
      </c>
      <c r="W26" s="28">
        <f t="shared" si="22"/>
        <v>0</v>
      </c>
      <c r="X26" s="28">
        <f t="shared" si="22"/>
        <v>0</v>
      </c>
      <c r="Y26" s="28">
        <f t="shared" si="22"/>
        <v>0</v>
      </c>
      <c r="Z26" s="28">
        <f t="shared" si="22"/>
        <v>0</v>
      </c>
      <c r="AA26" s="28">
        <f t="shared" si="22"/>
        <v>0</v>
      </c>
      <c r="AB26" s="28">
        <f t="shared" si="22"/>
        <v>0</v>
      </c>
      <c r="AC26" s="28">
        <f t="shared" si="22"/>
        <v>0</v>
      </c>
      <c r="AD26" s="28">
        <f t="shared" si="22"/>
        <v>0</v>
      </c>
      <c r="AE26" s="28">
        <f t="shared" si="22"/>
        <v>0</v>
      </c>
      <c r="AF26" s="28">
        <f t="shared" si="22"/>
        <v>0</v>
      </c>
      <c r="AG26" s="28">
        <f t="shared" si="22"/>
        <v>0</v>
      </c>
      <c r="AH26" s="28">
        <f t="shared" si="22"/>
        <v>0</v>
      </c>
      <c r="AI26" s="28">
        <f t="shared" si="22"/>
        <v>0</v>
      </c>
      <c r="AJ26" s="28">
        <f t="shared" si="22"/>
        <v>0</v>
      </c>
      <c r="AK26" s="28">
        <f t="shared" si="22"/>
        <v>0</v>
      </c>
      <c r="AL26" s="28">
        <f t="shared" si="22"/>
        <v>0</v>
      </c>
      <c r="AM26" s="28">
        <f t="shared" si="22"/>
        <v>0</v>
      </c>
      <c r="AN26" s="28">
        <f t="shared" si="22"/>
        <v>0</v>
      </c>
      <c r="AO26" s="28">
        <f t="shared" si="22"/>
        <v>0</v>
      </c>
      <c r="AP26" s="28">
        <f t="shared" si="22"/>
        <v>0</v>
      </c>
      <c r="AQ26" s="28">
        <f t="shared" si="22"/>
        <v>0</v>
      </c>
      <c r="AR26" s="28">
        <f t="shared" si="22"/>
        <v>0</v>
      </c>
      <c r="AS26" s="28">
        <f t="shared" si="22"/>
        <v>0</v>
      </c>
      <c r="AT26" s="28">
        <f t="shared" si="22"/>
        <v>0</v>
      </c>
      <c r="AU26" s="28">
        <f t="shared" si="22"/>
        <v>0</v>
      </c>
      <c r="AV26" s="28">
        <f t="shared" si="22"/>
        <v>0</v>
      </c>
      <c r="AW26" s="28">
        <f t="shared" si="22"/>
        <v>0</v>
      </c>
      <c r="AX26" s="28">
        <f t="shared" si="22"/>
        <v>0</v>
      </c>
      <c r="AY26" s="28">
        <f t="shared" si="22"/>
        <v>0</v>
      </c>
      <c r="AZ26" s="28">
        <f t="shared" si="22"/>
        <v>0</v>
      </c>
      <c r="BA26" s="28">
        <f t="shared" si="22"/>
        <v>0</v>
      </c>
      <c r="BB26" s="28">
        <f t="shared" si="22"/>
        <v>0</v>
      </c>
      <c r="BC26" s="28">
        <f t="shared" si="22"/>
        <v>0</v>
      </c>
      <c r="BD26" s="28">
        <f t="shared" si="22"/>
        <v>0</v>
      </c>
      <c r="BE26" s="28">
        <f t="shared" si="22"/>
        <v>0</v>
      </c>
      <c r="BF26" s="28">
        <f t="shared" si="22"/>
        <v>0</v>
      </c>
      <c r="BG26" s="28">
        <f t="shared" si="22"/>
        <v>0</v>
      </c>
      <c r="BH26" s="28">
        <f t="shared" si="22"/>
        <v>0</v>
      </c>
      <c r="BI26" s="28">
        <f t="shared" si="22"/>
        <v>0</v>
      </c>
      <c r="BJ26" s="28">
        <f t="shared" si="22"/>
        <v>0</v>
      </c>
      <c r="BK26" s="28">
        <f t="shared" si="22"/>
        <v>0</v>
      </c>
      <c r="BL26" s="28">
        <f t="shared" si="22"/>
        <v>0</v>
      </c>
      <c r="BM26" s="28">
        <f t="shared" si="22"/>
        <v>0</v>
      </c>
      <c r="BN26" s="28">
        <f t="shared" si="22"/>
        <v>0</v>
      </c>
      <c r="BO26" s="28">
        <f t="shared" si="22"/>
        <v>0</v>
      </c>
      <c r="BP26" s="28">
        <f t="shared" si="22"/>
        <v>0</v>
      </c>
      <c r="BQ26" s="28">
        <f t="shared" si="22"/>
        <v>0</v>
      </c>
      <c r="BR26" s="28">
        <f t="shared" ref="BR26:CK26" si="23">BR14-BR25</f>
        <v>0</v>
      </c>
      <c r="BS26" s="28">
        <f t="shared" si="23"/>
        <v>0</v>
      </c>
      <c r="BT26" s="28">
        <f t="shared" si="23"/>
        <v>0</v>
      </c>
      <c r="BU26" s="28">
        <f t="shared" si="23"/>
        <v>0</v>
      </c>
      <c r="BV26" s="28">
        <f t="shared" si="23"/>
        <v>0</v>
      </c>
      <c r="BW26" s="28">
        <f t="shared" si="23"/>
        <v>0</v>
      </c>
      <c r="BX26" s="28">
        <f t="shared" si="23"/>
        <v>0</v>
      </c>
      <c r="BY26" s="28">
        <f t="shared" si="23"/>
        <v>0</v>
      </c>
      <c r="BZ26" s="28">
        <f t="shared" si="23"/>
        <v>0</v>
      </c>
      <c r="CA26" s="28">
        <f t="shared" si="23"/>
        <v>0</v>
      </c>
      <c r="CB26" s="28">
        <f t="shared" si="23"/>
        <v>0</v>
      </c>
      <c r="CC26" s="28">
        <f t="shared" si="23"/>
        <v>0</v>
      </c>
      <c r="CD26" s="28">
        <f t="shared" si="23"/>
        <v>0</v>
      </c>
      <c r="CE26" s="28">
        <f t="shared" si="23"/>
        <v>0</v>
      </c>
      <c r="CF26" s="28">
        <f t="shared" si="23"/>
        <v>0</v>
      </c>
      <c r="CG26" s="28">
        <f t="shared" si="23"/>
        <v>0</v>
      </c>
      <c r="CH26" s="28">
        <f t="shared" si="23"/>
        <v>0</v>
      </c>
      <c r="CI26" s="28">
        <f t="shared" si="23"/>
        <v>0</v>
      </c>
      <c r="CJ26" s="28">
        <f t="shared" si="23"/>
        <v>0</v>
      </c>
      <c r="CK26" s="28">
        <f t="shared" si="23"/>
        <v>0</v>
      </c>
    </row>
    <row r="27" spans="1:90" s="26" customFormat="1" ht="67.5">
      <c r="A27" s="270" t="s">
        <v>637</v>
      </c>
      <c r="B27" s="190">
        <f t="shared" ref="B27:D27" si="24">B26</f>
        <v>40206710294.360001</v>
      </c>
      <c r="C27" s="190">
        <f t="shared" si="24"/>
        <v>21031963351.389999</v>
      </c>
      <c r="D27" s="190">
        <f t="shared" si="24"/>
        <v>36502857609.5</v>
      </c>
      <c r="E27" s="26">
        <f>E26</f>
        <v>16588751177.240002</v>
      </c>
      <c r="F27" s="190">
        <f t="shared" ref="F27:BQ27" si="25">F26</f>
        <v>11790170146.74</v>
      </c>
      <c r="G27" s="190">
        <f t="shared" si="25"/>
        <v>12091734097.959999</v>
      </c>
      <c r="H27" s="190">
        <f t="shared" si="25"/>
        <v>11483373817.84</v>
      </c>
      <c r="I27" s="190">
        <f t="shared" si="25"/>
        <v>9803845339.2200012</v>
      </c>
      <c r="J27" s="190">
        <f t="shared" si="25"/>
        <v>5918355771.6300001</v>
      </c>
      <c r="K27" s="190">
        <f t="shared" si="25"/>
        <v>4016442797.8099999</v>
      </c>
      <c r="L27" s="190">
        <f t="shared" si="25"/>
        <v>5079145107.8999996</v>
      </c>
      <c r="M27" s="190">
        <f t="shared" si="25"/>
        <v>1561780489.3500001</v>
      </c>
      <c r="N27" s="190">
        <f t="shared" si="25"/>
        <v>2008481051.3600001</v>
      </c>
      <c r="O27" s="190">
        <f t="shared" si="25"/>
        <v>1616599797.26</v>
      </c>
      <c r="P27" s="190">
        <f t="shared" si="25"/>
        <v>908178339.4000001</v>
      </c>
      <c r="Q27" s="190">
        <f t="shared" si="25"/>
        <v>875795082.80000007</v>
      </c>
      <c r="R27" s="190">
        <f t="shared" si="25"/>
        <v>413654507.47000003</v>
      </c>
      <c r="S27" s="190">
        <f t="shared" si="25"/>
        <v>20640123.68</v>
      </c>
      <c r="T27" s="190">
        <f t="shared" si="25"/>
        <v>0</v>
      </c>
      <c r="U27" s="190">
        <f t="shared" si="25"/>
        <v>0</v>
      </c>
      <c r="V27" s="190">
        <f t="shared" si="25"/>
        <v>0</v>
      </c>
      <c r="W27" s="190">
        <f t="shared" si="25"/>
        <v>0</v>
      </c>
      <c r="X27" s="190">
        <f t="shared" si="25"/>
        <v>0</v>
      </c>
      <c r="Y27" s="190">
        <f t="shared" si="25"/>
        <v>0</v>
      </c>
      <c r="Z27" s="190">
        <f t="shared" si="25"/>
        <v>0</v>
      </c>
      <c r="AA27" s="190">
        <f t="shared" si="25"/>
        <v>0</v>
      </c>
      <c r="AB27" s="190">
        <f t="shared" si="25"/>
        <v>0</v>
      </c>
      <c r="AC27" s="190">
        <f t="shared" si="25"/>
        <v>0</v>
      </c>
      <c r="AD27" s="190">
        <f t="shared" si="25"/>
        <v>0</v>
      </c>
      <c r="AE27" s="190">
        <f t="shared" si="25"/>
        <v>0</v>
      </c>
      <c r="AF27" s="190">
        <f t="shared" si="25"/>
        <v>0</v>
      </c>
      <c r="AG27" s="190">
        <f t="shared" si="25"/>
        <v>0</v>
      </c>
      <c r="AH27" s="190">
        <f t="shared" si="25"/>
        <v>0</v>
      </c>
      <c r="AI27" s="190">
        <f t="shared" si="25"/>
        <v>0</v>
      </c>
      <c r="AJ27" s="190">
        <f t="shared" si="25"/>
        <v>0</v>
      </c>
      <c r="AK27" s="190">
        <f t="shared" si="25"/>
        <v>0</v>
      </c>
      <c r="AL27" s="190">
        <f t="shared" si="25"/>
        <v>0</v>
      </c>
      <c r="AM27" s="190">
        <f t="shared" si="25"/>
        <v>0</v>
      </c>
      <c r="AN27" s="190">
        <f t="shared" si="25"/>
        <v>0</v>
      </c>
      <c r="AO27" s="190">
        <f t="shared" si="25"/>
        <v>0</v>
      </c>
      <c r="AP27" s="190">
        <f t="shared" si="25"/>
        <v>0</v>
      </c>
      <c r="AQ27" s="190">
        <f t="shared" si="25"/>
        <v>0</v>
      </c>
      <c r="AR27" s="190">
        <f t="shared" si="25"/>
        <v>0</v>
      </c>
      <c r="AS27" s="190">
        <f t="shared" si="25"/>
        <v>0</v>
      </c>
      <c r="AT27" s="190">
        <f t="shared" si="25"/>
        <v>0</v>
      </c>
      <c r="AU27" s="190">
        <f t="shared" si="25"/>
        <v>0</v>
      </c>
      <c r="AV27" s="190">
        <f t="shared" si="25"/>
        <v>0</v>
      </c>
      <c r="AW27" s="190">
        <f t="shared" si="25"/>
        <v>0</v>
      </c>
      <c r="AX27" s="190">
        <f t="shared" si="25"/>
        <v>0</v>
      </c>
      <c r="AY27" s="190">
        <f t="shared" si="25"/>
        <v>0</v>
      </c>
      <c r="AZ27" s="190">
        <f t="shared" si="25"/>
        <v>0</v>
      </c>
      <c r="BA27" s="190">
        <f t="shared" si="25"/>
        <v>0</v>
      </c>
      <c r="BB27" s="190">
        <f t="shared" si="25"/>
        <v>0</v>
      </c>
      <c r="BC27" s="190">
        <f t="shared" si="25"/>
        <v>0</v>
      </c>
      <c r="BD27" s="190">
        <f t="shared" si="25"/>
        <v>0</v>
      </c>
      <c r="BE27" s="190">
        <f t="shared" si="25"/>
        <v>0</v>
      </c>
      <c r="BF27" s="190">
        <f t="shared" si="25"/>
        <v>0</v>
      </c>
      <c r="BG27" s="190">
        <f t="shared" si="25"/>
        <v>0</v>
      </c>
      <c r="BH27" s="190">
        <f t="shared" si="25"/>
        <v>0</v>
      </c>
      <c r="BI27" s="190">
        <f t="shared" si="25"/>
        <v>0</v>
      </c>
      <c r="BJ27" s="190">
        <f t="shared" si="25"/>
        <v>0</v>
      </c>
      <c r="BK27" s="190">
        <f t="shared" si="25"/>
        <v>0</v>
      </c>
      <c r="BL27" s="190">
        <f t="shared" si="25"/>
        <v>0</v>
      </c>
      <c r="BM27" s="190">
        <f t="shared" si="25"/>
        <v>0</v>
      </c>
      <c r="BN27" s="190">
        <f t="shared" si="25"/>
        <v>0</v>
      </c>
      <c r="BO27" s="190">
        <f t="shared" si="25"/>
        <v>0</v>
      </c>
      <c r="BP27" s="190">
        <f t="shared" si="25"/>
        <v>0</v>
      </c>
      <c r="BQ27" s="190">
        <f t="shared" si="25"/>
        <v>0</v>
      </c>
      <c r="BR27" s="190">
        <f t="shared" ref="BR27:CL27" si="26">BR26</f>
        <v>0</v>
      </c>
      <c r="BS27" s="190">
        <f t="shared" si="26"/>
        <v>0</v>
      </c>
      <c r="BT27" s="190">
        <f t="shared" si="26"/>
        <v>0</v>
      </c>
      <c r="BU27" s="190">
        <f t="shared" si="26"/>
        <v>0</v>
      </c>
      <c r="BV27" s="190">
        <f t="shared" si="26"/>
        <v>0</v>
      </c>
      <c r="BW27" s="190">
        <f t="shared" si="26"/>
        <v>0</v>
      </c>
      <c r="BX27" s="190">
        <f t="shared" si="26"/>
        <v>0</v>
      </c>
      <c r="BY27" s="190">
        <f t="shared" si="26"/>
        <v>0</v>
      </c>
      <c r="BZ27" s="190">
        <f t="shared" si="26"/>
        <v>0</v>
      </c>
      <c r="CA27" s="190">
        <f t="shared" si="26"/>
        <v>0</v>
      </c>
      <c r="CB27" s="190">
        <f t="shared" si="26"/>
        <v>0</v>
      </c>
      <c r="CC27" s="190">
        <f t="shared" si="26"/>
        <v>0</v>
      </c>
      <c r="CD27" s="190">
        <f t="shared" si="26"/>
        <v>0</v>
      </c>
      <c r="CE27" s="190">
        <f t="shared" si="26"/>
        <v>0</v>
      </c>
      <c r="CF27" s="190">
        <f t="shared" si="26"/>
        <v>0</v>
      </c>
      <c r="CG27" s="190">
        <f t="shared" si="26"/>
        <v>0</v>
      </c>
      <c r="CH27" s="190">
        <f t="shared" si="26"/>
        <v>0</v>
      </c>
      <c r="CI27" s="190">
        <f t="shared" si="26"/>
        <v>0</v>
      </c>
      <c r="CJ27" s="190">
        <f t="shared" si="26"/>
        <v>0</v>
      </c>
      <c r="CK27" s="190">
        <f t="shared" si="26"/>
        <v>0</v>
      </c>
      <c r="CL27" s="190">
        <f t="shared" si="26"/>
        <v>0</v>
      </c>
    </row>
    <row r="28" spans="1:90" s="63" customFormat="1">
      <c r="A28" s="17" t="s">
        <v>396</v>
      </c>
      <c r="B28" s="63">
        <f t="shared" ref="B28:D28" si="27">(B27-F27)/F27</f>
        <v>2.4101891485830014</v>
      </c>
      <c r="C28" s="63">
        <f t="shared" si="27"/>
        <v>0.73936700732927207</v>
      </c>
      <c r="D28" s="63">
        <f t="shared" si="27"/>
        <v>2.1787572353336588</v>
      </c>
      <c r="E28" s="63">
        <f>(E27-I27)/I27</f>
        <v>0.69206577656597457</v>
      </c>
      <c r="F28" s="63">
        <f t="shared" ref="F28:BQ28" si="28">(F27-J27)/J27</f>
        <v>0.99213609348341314</v>
      </c>
      <c r="G28" s="63">
        <f t="shared" si="28"/>
        <v>2.0105580252638284</v>
      </c>
      <c r="H28" s="63">
        <f t="shared" si="28"/>
        <v>1.2608871323599304</v>
      </c>
      <c r="I28" s="63">
        <f t="shared" si="28"/>
        <v>5.2773516547772203</v>
      </c>
      <c r="J28" s="63">
        <f t="shared" si="28"/>
        <v>1.946682403412525</v>
      </c>
      <c r="K28" s="63">
        <f t="shared" si="28"/>
        <v>1.4845003720880896</v>
      </c>
      <c r="L28" s="63">
        <f t="shared" si="28"/>
        <v>4.5926736936443602</v>
      </c>
      <c r="M28" s="63">
        <f t="shared" si="28"/>
        <v>0.78327158946455777</v>
      </c>
      <c r="N28" s="63">
        <f t="shared" si="28"/>
        <v>3.8554554950804292</v>
      </c>
      <c r="O28" s="63">
        <f t="shared" si="28"/>
        <v>77.32316425634906</v>
      </c>
      <c r="P28" s="63" t="e">
        <f t="shared" si="28"/>
        <v>#DIV/0!</v>
      </c>
      <c r="Q28" s="63" t="e">
        <f t="shared" si="28"/>
        <v>#DIV/0!</v>
      </c>
      <c r="R28" s="63" t="e">
        <f t="shared" si="28"/>
        <v>#DIV/0!</v>
      </c>
      <c r="S28" s="63" t="e">
        <f t="shared" si="28"/>
        <v>#DIV/0!</v>
      </c>
      <c r="T28" s="63" t="e">
        <f t="shared" si="28"/>
        <v>#DIV/0!</v>
      </c>
      <c r="U28" s="63" t="e">
        <f t="shared" si="28"/>
        <v>#DIV/0!</v>
      </c>
      <c r="V28" s="63" t="e">
        <f t="shared" si="28"/>
        <v>#DIV/0!</v>
      </c>
      <c r="W28" s="63" t="e">
        <f t="shared" si="28"/>
        <v>#DIV/0!</v>
      </c>
      <c r="X28" s="63" t="e">
        <f t="shared" si="28"/>
        <v>#DIV/0!</v>
      </c>
      <c r="Y28" s="63" t="e">
        <f t="shared" si="28"/>
        <v>#DIV/0!</v>
      </c>
      <c r="Z28" s="63" t="e">
        <f t="shared" si="28"/>
        <v>#DIV/0!</v>
      </c>
      <c r="AA28" s="63" t="e">
        <f t="shared" si="28"/>
        <v>#DIV/0!</v>
      </c>
      <c r="AB28" s="63" t="e">
        <f t="shared" si="28"/>
        <v>#DIV/0!</v>
      </c>
      <c r="AC28" s="63" t="e">
        <f t="shared" si="28"/>
        <v>#DIV/0!</v>
      </c>
      <c r="AD28" s="63" t="e">
        <f t="shared" si="28"/>
        <v>#DIV/0!</v>
      </c>
      <c r="AE28" s="63" t="e">
        <f t="shared" si="28"/>
        <v>#DIV/0!</v>
      </c>
      <c r="AF28" s="63" t="e">
        <f t="shared" si="28"/>
        <v>#DIV/0!</v>
      </c>
      <c r="AG28" s="63" t="e">
        <f t="shared" si="28"/>
        <v>#DIV/0!</v>
      </c>
      <c r="AH28" s="63" t="e">
        <f t="shared" si="28"/>
        <v>#DIV/0!</v>
      </c>
      <c r="AI28" s="63" t="e">
        <f t="shared" si="28"/>
        <v>#DIV/0!</v>
      </c>
      <c r="AJ28" s="63" t="e">
        <f t="shared" si="28"/>
        <v>#DIV/0!</v>
      </c>
      <c r="AK28" s="63" t="e">
        <f t="shared" si="28"/>
        <v>#DIV/0!</v>
      </c>
      <c r="AL28" s="63" t="e">
        <f t="shared" si="28"/>
        <v>#DIV/0!</v>
      </c>
      <c r="AM28" s="63" t="e">
        <f t="shared" si="28"/>
        <v>#DIV/0!</v>
      </c>
      <c r="AN28" s="63" t="e">
        <f t="shared" si="28"/>
        <v>#DIV/0!</v>
      </c>
      <c r="AO28" s="63" t="e">
        <f t="shared" si="28"/>
        <v>#DIV/0!</v>
      </c>
      <c r="AP28" s="63" t="e">
        <f t="shared" si="28"/>
        <v>#DIV/0!</v>
      </c>
      <c r="AQ28" s="63" t="e">
        <f t="shared" si="28"/>
        <v>#DIV/0!</v>
      </c>
      <c r="AR28" s="63" t="e">
        <f t="shared" si="28"/>
        <v>#DIV/0!</v>
      </c>
      <c r="AS28" s="63" t="e">
        <f t="shared" si="28"/>
        <v>#DIV/0!</v>
      </c>
      <c r="AT28" s="63" t="e">
        <f t="shared" si="28"/>
        <v>#DIV/0!</v>
      </c>
      <c r="AU28" s="63" t="e">
        <f t="shared" si="28"/>
        <v>#DIV/0!</v>
      </c>
      <c r="AV28" s="63" t="e">
        <f t="shared" si="28"/>
        <v>#DIV/0!</v>
      </c>
      <c r="AW28" s="63" t="e">
        <f t="shared" si="28"/>
        <v>#DIV/0!</v>
      </c>
      <c r="AX28" s="63" t="e">
        <f t="shared" si="28"/>
        <v>#DIV/0!</v>
      </c>
      <c r="AY28" s="63" t="e">
        <f t="shared" si="28"/>
        <v>#DIV/0!</v>
      </c>
      <c r="AZ28" s="63" t="e">
        <f t="shared" si="28"/>
        <v>#DIV/0!</v>
      </c>
      <c r="BA28" s="63" t="e">
        <f t="shared" si="28"/>
        <v>#DIV/0!</v>
      </c>
      <c r="BB28" s="63" t="e">
        <f t="shared" si="28"/>
        <v>#DIV/0!</v>
      </c>
      <c r="BC28" s="63" t="e">
        <f t="shared" si="28"/>
        <v>#DIV/0!</v>
      </c>
      <c r="BD28" s="63" t="e">
        <f t="shared" si="28"/>
        <v>#DIV/0!</v>
      </c>
      <c r="BE28" s="63" t="e">
        <f t="shared" si="28"/>
        <v>#DIV/0!</v>
      </c>
      <c r="BF28" s="63" t="e">
        <f t="shared" si="28"/>
        <v>#DIV/0!</v>
      </c>
      <c r="BG28" s="63" t="e">
        <f t="shared" si="28"/>
        <v>#DIV/0!</v>
      </c>
      <c r="BH28" s="63" t="e">
        <f t="shared" si="28"/>
        <v>#DIV/0!</v>
      </c>
      <c r="BI28" s="63" t="e">
        <f t="shared" si="28"/>
        <v>#DIV/0!</v>
      </c>
      <c r="BJ28" s="63" t="e">
        <f t="shared" si="28"/>
        <v>#DIV/0!</v>
      </c>
      <c r="BK28" s="63" t="e">
        <f t="shared" si="28"/>
        <v>#DIV/0!</v>
      </c>
      <c r="BL28" s="63" t="e">
        <f t="shared" si="28"/>
        <v>#DIV/0!</v>
      </c>
      <c r="BM28" s="63" t="e">
        <f t="shared" si="28"/>
        <v>#DIV/0!</v>
      </c>
      <c r="BN28" s="63" t="e">
        <f t="shared" si="28"/>
        <v>#DIV/0!</v>
      </c>
      <c r="BO28" s="63" t="e">
        <f t="shared" si="28"/>
        <v>#DIV/0!</v>
      </c>
      <c r="BP28" s="63" t="e">
        <f t="shared" si="28"/>
        <v>#DIV/0!</v>
      </c>
      <c r="BQ28" s="63" t="e">
        <f t="shared" si="28"/>
        <v>#DIV/0!</v>
      </c>
      <c r="BR28" s="63" t="e">
        <f t="shared" ref="BR28:CK28" si="29">(BR27-BV27)/BV27</f>
        <v>#DIV/0!</v>
      </c>
      <c r="BS28" s="63" t="e">
        <f t="shared" si="29"/>
        <v>#DIV/0!</v>
      </c>
      <c r="BT28" s="63" t="e">
        <f t="shared" si="29"/>
        <v>#DIV/0!</v>
      </c>
      <c r="BU28" s="63" t="e">
        <f t="shared" si="29"/>
        <v>#DIV/0!</v>
      </c>
      <c r="BV28" s="63" t="e">
        <f t="shared" si="29"/>
        <v>#DIV/0!</v>
      </c>
      <c r="BW28" s="63" t="e">
        <f t="shared" si="29"/>
        <v>#DIV/0!</v>
      </c>
      <c r="BX28" s="63" t="e">
        <f t="shared" si="29"/>
        <v>#DIV/0!</v>
      </c>
      <c r="BY28" s="63" t="e">
        <f t="shared" si="29"/>
        <v>#DIV/0!</v>
      </c>
      <c r="BZ28" s="63" t="e">
        <f t="shared" si="29"/>
        <v>#DIV/0!</v>
      </c>
      <c r="CA28" s="63" t="e">
        <f t="shared" si="29"/>
        <v>#DIV/0!</v>
      </c>
      <c r="CB28" s="63" t="e">
        <f t="shared" si="29"/>
        <v>#DIV/0!</v>
      </c>
      <c r="CC28" s="63" t="e">
        <f t="shared" si="29"/>
        <v>#DIV/0!</v>
      </c>
      <c r="CD28" s="63" t="e">
        <f t="shared" si="29"/>
        <v>#DIV/0!</v>
      </c>
      <c r="CE28" s="63" t="e">
        <f t="shared" si="29"/>
        <v>#DIV/0!</v>
      </c>
      <c r="CF28" s="63" t="e">
        <f t="shared" si="29"/>
        <v>#DIV/0!</v>
      </c>
      <c r="CG28" s="63" t="e">
        <f t="shared" si="29"/>
        <v>#DIV/0!</v>
      </c>
      <c r="CH28" s="63" t="e">
        <f t="shared" si="29"/>
        <v>#DIV/0!</v>
      </c>
      <c r="CI28" s="63" t="e">
        <f t="shared" si="29"/>
        <v>#DIV/0!</v>
      </c>
      <c r="CJ28" s="63" t="e">
        <f t="shared" si="29"/>
        <v>#DIV/0!</v>
      </c>
      <c r="CK28" s="63" t="e">
        <f t="shared" si="29"/>
        <v>#DIV/0!</v>
      </c>
    </row>
    <row r="29" spans="1:90" s="16" customFormat="1" ht="367.15" customHeight="1">
      <c r="A29" s="276" t="s">
        <v>622</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c r="A30" s="111" t="s">
        <v>453</v>
      </c>
      <c r="B30" s="96"/>
      <c r="C30" s="96"/>
      <c r="D30" s="96"/>
      <c r="E30" s="96" t="s">
        <v>452</v>
      </c>
      <c r="F30" s="96"/>
      <c r="G30" s="96"/>
      <c r="H30" s="96"/>
      <c r="I30" s="96" t="s">
        <v>486</v>
      </c>
      <c r="M30" s="96" t="s">
        <v>454</v>
      </c>
      <c r="Q30" s="114" t="s">
        <v>492</v>
      </c>
      <c r="R30" s="114"/>
      <c r="S30" s="114"/>
      <c r="T30" s="114"/>
      <c r="U30" s="114" t="s">
        <v>489</v>
      </c>
      <c r="V30" s="114"/>
      <c r="W30" s="114"/>
      <c r="X30" s="114"/>
      <c r="Y30" s="114" t="s">
        <v>490</v>
      </c>
      <c r="Z30" s="114"/>
      <c r="AA30" s="114"/>
      <c r="AB30" s="114"/>
      <c r="AC30" s="114" t="s">
        <v>491</v>
      </c>
    </row>
    <row r="31" spans="1:90" s="63" customFormat="1">
      <c r="A31" s="111" t="s">
        <v>455</v>
      </c>
      <c r="B31" s="112"/>
      <c r="C31" s="112"/>
      <c r="D31" s="112"/>
      <c r="E31" s="112" t="e">
        <f>POWER(E27/U27,1/5)-1</f>
        <v>#DIV/0!</v>
      </c>
      <c r="F31" s="112"/>
      <c r="G31" s="112"/>
      <c r="H31" s="112"/>
      <c r="I31" s="112" t="e">
        <f>POWER(E27/Y27,1/6)-1</f>
        <v>#DIV/0!</v>
      </c>
      <c r="M31" s="112" t="e">
        <f>POWER(E27/AC27,1/7)-1</f>
        <v>#DIV/0!</v>
      </c>
      <c r="Q31" s="115" t="s">
        <v>488</v>
      </c>
      <c r="R31" s="115"/>
      <c r="S31" s="115"/>
      <c r="T31" s="115"/>
      <c r="U31" s="115" t="e">
        <f>POWER(E14/U14,1/5)-1</f>
        <v>#DIV/0!</v>
      </c>
      <c r="V31" s="115"/>
      <c r="W31" s="115"/>
      <c r="X31" s="115"/>
      <c r="Y31" s="115" t="e">
        <f>POWER(E14/Y14,1/6)-1</f>
        <v>#DIV/0!</v>
      </c>
      <c r="Z31" s="115"/>
      <c r="AA31" s="115"/>
      <c r="AB31" s="115"/>
      <c r="AC31" s="115" t="e">
        <f>POWER(E14/AC14,1/7)-1</f>
        <v>#DIV/0!</v>
      </c>
    </row>
    <row r="32" spans="1:90" s="66" customFormat="1">
      <c r="A32" s="46" t="s">
        <v>398</v>
      </c>
      <c r="E32" s="66">
        <v>0.17</v>
      </c>
    </row>
    <row r="39" spans="1:13" ht="40.5">
      <c r="A39" s="67" t="s">
        <v>399</v>
      </c>
    </row>
    <row r="41" spans="1:13" ht="111" customHeight="1">
      <c r="A41" s="276" t="s">
        <v>621</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workbookViewId="0">
      <selection activeCell="A14" sqref="A14:I14"/>
    </sheetView>
  </sheetViews>
  <sheetFormatPr defaultRowHeight="13.5"/>
  <cols>
    <col min="1" max="1" width="42.5" style="17" bestFit="1" customWidth="1"/>
    <col min="2" max="2" width="24.5" style="26" bestFit="1" customWidth="1"/>
    <col min="3" max="3" width="37.125" bestFit="1" customWidth="1"/>
    <col min="4" max="4" width="24.5" bestFit="1" customWidth="1"/>
    <col min="5" max="8" width="20.5" bestFit="1" customWidth="1"/>
    <col min="9" max="9" width="21.625" bestFit="1" customWidth="1"/>
    <col min="10" max="11" width="20.5" bestFit="1" customWidth="1"/>
    <col min="12" max="12" width="38.25" bestFit="1" customWidth="1"/>
    <col min="13" max="18" width="20.5" bestFit="1" customWidth="1"/>
    <col min="19" max="19" width="21.625" bestFit="1" customWidth="1"/>
    <col min="20" max="74" width="9.5" bestFit="1" customWidth="1"/>
  </cols>
  <sheetData>
    <row r="1" spans="1:10" ht="16.149999999999999" customHeight="1">
      <c r="A1" s="68" t="s">
        <v>400</v>
      </c>
      <c r="B1" s="69" t="str">
        <f>自由现金流分析表!B1</f>
        <v>2018-12-31</v>
      </c>
      <c r="C1" s="188" t="s">
        <v>635</v>
      </c>
      <c r="D1" s="268">
        <v>0.08</v>
      </c>
      <c r="E1" s="256" t="s">
        <v>636</v>
      </c>
      <c r="F1" s="63">
        <f>平均资本成本表!E13</f>
        <v>7.3397839846255461E-2</v>
      </c>
    </row>
    <row r="2" spans="1:10">
      <c r="A2" s="70" t="s">
        <v>401</v>
      </c>
      <c r="B2" s="71">
        <f>自由现金流分析表!B27</f>
        <v>40206710294.360001</v>
      </c>
      <c r="C2" t="s">
        <v>434</v>
      </c>
      <c r="D2" s="63"/>
      <c r="E2" s="63"/>
      <c r="F2" s="56"/>
    </row>
    <row r="3" spans="1:10" s="63" customFormat="1">
      <c r="A3" s="72" t="s">
        <v>402</v>
      </c>
      <c r="B3" s="98">
        <v>0.04</v>
      </c>
      <c r="D3" s="187"/>
      <c r="E3" s="187"/>
      <c r="F3" s="254"/>
    </row>
    <row r="4" spans="1:10" s="63" customFormat="1">
      <c r="A4" s="72" t="s">
        <v>403</v>
      </c>
      <c r="B4" s="98">
        <v>0.08</v>
      </c>
      <c r="D4" s="187"/>
      <c r="E4" s="187"/>
      <c r="F4" s="255"/>
    </row>
    <row r="5" spans="1:10">
      <c r="A5" s="70" t="s">
        <v>404</v>
      </c>
      <c r="B5" s="71">
        <f>B2*(1+B3)/(B4-B3)</f>
        <v>1045374467653.36</v>
      </c>
      <c r="D5" s="63"/>
      <c r="E5" s="63"/>
    </row>
    <row r="6" spans="1:10">
      <c r="A6" s="70" t="s">
        <v>405</v>
      </c>
      <c r="B6" s="71">
        <f>资产资本表!E17</f>
        <v>36915096946.529999</v>
      </c>
      <c r="D6" s="187"/>
      <c r="E6" s="187"/>
      <c r="F6" s="187"/>
      <c r="G6" s="187"/>
    </row>
    <row r="7" spans="1:10">
      <c r="A7" s="70" t="s">
        <v>406</v>
      </c>
      <c r="B7" s="71">
        <f>资产资本表!E19</f>
        <v>0</v>
      </c>
      <c r="D7" s="187"/>
      <c r="E7" s="187"/>
      <c r="F7" s="187"/>
      <c r="G7" s="187"/>
    </row>
    <row r="8" spans="1:10">
      <c r="A8" s="70" t="s">
        <v>407</v>
      </c>
      <c r="B8" s="194">
        <f>资产资本表!E89</f>
        <v>27409447.399999999</v>
      </c>
      <c r="C8" s="266" t="s">
        <v>633</v>
      </c>
      <c r="D8" s="267">
        <f>B2/B4</f>
        <v>502583878679.5</v>
      </c>
      <c r="E8" s="63"/>
      <c r="F8" s="187"/>
      <c r="G8" s="187"/>
    </row>
    <row r="9" spans="1:10">
      <c r="A9" s="70" t="s">
        <v>408</v>
      </c>
      <c r="B9" s="194">
        <f>B5+B6+B7-B8</f>
        <v>1082262155152.49</v>
      </c>
      <c r="C9" s="266" t="s">
        <v>634</v>
      </c>
      <c r="D9" s="267">
        <f>(D8+资产资本结构分析表!$E$2+资产资本结构分析表!$E$3)/B55</f>
        <v>429.46976632663268</v>
      </c>
      <c r="E9" s="187"/>
      <c r="F9" s="187"/>
      <c r="G9" s="187"/>
    </row>
    <row r="10" spans="1:10">
      <c r="A10" s="70" t="s">
        <v>409</v>
      </c>
      <c r="B10" s="73">
        <f>资产资本表!E103/资产资本表!E107</f>
        <v>3.4848960402440031E-2</v>
      </c>
      <c r="D10" s="187"/>
      <c r="E10" s="187"/>
      <c r="F10" s="187"/>
      <c r="G10" s="187"/>
    </row>
    <row r="11" spans="1:10">
      <c r="A11" s="70" t="s">
        <v>435</v>
      </c>
      <c r="B11" s="194">
        <f>B9*(1-B10)</f>
        <v>1044546444162.5215</v>
      </c>
      <c r="C11" s="263" t="s">
        <v>630</v>
      </c>
      <c r="D11" s="264">
        <f>资产资本结构分析表!E2</f>
        <v>36915096946.529999</v>
      </c>
      <c r="E11" s="63"/>
      <c r="F11" s="187"/>
      <c r="G11" s="187"/>
    </row>
    <row r="12" spans="1:10">
      <c r="A12" s="70" t="s">
        <v>410</v>
      </c>
      <c r="B12" s="262">
        <f>B55</f>
        <v>1256197800</v>
      </c>
      <c r="C12" s="263" t="s">
        <v>631</v>
      </c>
      <c r="D12" s="265">
        <f>D11/B55</f>
        <v>29.386372867815879</v>
      </c>
      <c r="E12" s="187"/>
      <c r="F12" s="187"/>
      <c r="G12" s="187"/>
    </row>
    <row r="13" spans="1:10" ht="14.25" thickBot="1">
      <c r="A13" s="74" t="s">
        <v>411</v>
      </c>
      <c r="B13" s="75">
        <f>B11/B12</f>
        <v>831.51430782837019</v>
      </c>
      <c r="D13" s="187"/>
      <c r="E13" s="187"/>
    </row>
    <row r="14" spans="1:10" s="16" customFormat="1" ht="53.25" customHeight="1">
      <c r="A14" s="276" t="s">
        <v>623</v>
      </c>
      <c r="B14" s="275"/>
      <c r="C14" s="275"/>
      <c r="D14" s="275"/>
      <c r="E14" s="275"/>
      <c r="F14" s="275"/>
      <c r="G14" s="275"/>
      <c r="H14" s="275"/>
      <c r="I14" s="275"/>
    </row>
    <row r="16" spans="1:10">
      <c r="A16" s="88"/>
      <c r="B16" s="76"/>
      <c r="C16" s="77"/>
      <c r="D16" s="77"/>
      <c r="E16" s="77"/>
      <c r="F16" s="77"/>
      <c r="G16" s="77"/>
      <c r="H16" s="77"/>
      <c r="I16" s="78"/>
      <c r="J16" s="77"/>
    </row>
    <row r="17" spans="1:10" s="63" customFormat="1">
      <c r="A17" s="90"/>
      <c r="B17" s="90"/>
      <c r="C17" s="90" t="s">
        <v>427</v>
      </c>
      <c r="D17" s="90">
        <v>0.1</v>
      </c>
      <c r="E17" s="90"/>
      <c r="F17" s="90"/>
      <c r="G17" s="90"/>
      <c r="H17" s="90" t="s">
        <v>428</v>
      </c>
      <c r="I17" s="90">
        <v>0.04</v>
      </c>
      <c r="J17" s="78"/>
    </row>
    <row r="18" spans="1:10" s="2" customFormat="1">
      <c r="A18" s="297" t="s">
        <v>412</v>
      </c>
      <c r="B18" s="297"/>
      <c r="C18" s="65" t="s">
        <v>426</v>
      </c>
      <c r="D18" s="97">
        <v>1</v>
      </c>
      <c r="E18" s="97">
        <v>2</v>
      </c>
      <c r="F18" s="97">
        <v>3</v>
      </c>
      <c r="G18" s="97">
        <v>4</v>
      </c>
      <c r="H18" s="97">
        <v>5</v>
      </c>
      <c r="I18" s="96">
        <v>6</v>
      </c>
      <c r="J18" s="80"/>
    </row>
    <row r="19" spans="1:10" s="26" customFormat="1">
      <c r="A19" s="99" t="s">
        <v>413</v>
      </c>
      <c r="B19" s="94"/>
      <c r="C19" s="89">
        <f>B2</f>
        <v>40206710294.360001</v>
      </c>
      <c r="D19" s="89">
        <f>C19*(1+$D$17)</f>
        <v>44227381323.796005</v>
      </c>
      <c r="E19" s="89">
        <f>D19*(1+$D$17)</f>
        <v>48650119456.175613</v>
      </c>
      <c r="F19" s="89">
        <f>E19*(1+$D$17)</f>
        <v>53515131401.793182</v>
      </c>
      <c r="G19" s="89">
        <f>F19*(1+$D$17)</f>
        <v>58866644541.972504</v>
      </c>
      <c r="H19" s="89">
        <f>G19*(1+$D$17)</f>
        <v>64753308996.169762</v>
      </c>
      <c r="I19" s="89">
        <f>H19*(1+I17)</f>
        <v>67343441356.016556</v>
      </c>
      <c r="J19" s="76"/>
    </row>
    <row r="20" spans="1:10" s="26" customFormat="1">
      <c r="A20" s="99" t="s">
        <v>414</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298" t="s">
        <v>415</v>
      </c>
      <c r="B21" s="298"/>
      <c r="C21" s="89"/>
      <c r="D21" s="89">
        <f>D19/D20</f>
        <v>40951279003.514816</v>
      </c>
      <c r="E21" s="89">
        <f>E19/E20</f>
        <v>41709636022.098427</v>
      </c>
      <c r="F21" s="89">
        <f>F19/F20</f>
        <v>42482036689.174332</v>
      </c>
      <c r="G21" s="89">
        <f>G19/G20</f>
        <v>43268741072.30719</v>
      </c>
      <c r="H21" s="89">
        <f>H19/H20</f>
        <v>44070014055.127693</v>
      </c>
      <c r="I21" s="89">
        <f>I19/((B20-I17)*I20)</f>
        <v>1060944782808.6296</v>
      </c>
      <c r="J21" s="76"/>
    </row>
    <row r="22" spans="1:10" s="26" customFormat="1">
      <c r="A22" s="298" t="s">
        <v>433</v>
      </c>
      <c r="B22" s="298"/>
      <c r="C22" s="89"/>
      <c r="D22" s="294">
        <f>SUM(D21:H21)</f>
        <v>212481706842.22247</v>
      </c>
      <c r="E22" s="295"/>
      <c r="F22" s="295"/>
      <c r="G22" s="295"/>
      <c r="H22" s="296"/>
      <c r="I22" s="89">
        <f>I21</f>
        <v>1060944782808.6296</v>
      </c>
      <c r="J22" s="76"/>
    </row>
    <row r="23" spans="1:10">
      <c r="A23" s="92" t="s">
        <v>416</v>
      </c>
      <c r="B23" s="76">
        <f>D22+I22</f>
        <v>1273426489650.8521</v>
      </c>
      <c r="C23" s="77"/>
      <c r="D23" s="77"/>
      <c r="E23" s="77"/>
      <c r="F23" s="77"/>
      <c r="G23" s="77"/>
      <c r="H23" s="77"/>
      <c r="I23" s="79"/>
      <c r="J23" s="77"/>
    </row>
    <row r="24" spans="1:10">
      <c r="A24" s="92" t="s">
        <v>417</v>
      </c>
      <c r="B24" s="76">
        <f>B23</f>
        <v>1273426489650.8521</v>
      </c>
      <c r="C24" s="77"/>
      <c r="D24" s="77"/>
      <c r="E24" s="77"/>
      <c r="F24" s="77"/>
      <c r="G24" s="77"/>
      <c r="H24" s="77"/>
      <c r="I24" s="79"/>
      <c r="J24" s="77"/>
    </row>
    <row r="25" spans="1:10">
      <c r="A25" s="70" t="s">
        <v>418</v>
      </c>
      <c r="B25" s="71">
        <f>资产资本表!E17</f>
        <v>36915096946.529999</v>
      </c>
      <c r="C25" s="77"/>
      <c r="D25" s="77"/>
      <c r="E25" s="77"/>
      <c r="F25" s="77"/>
      <c r="G25" s="77"/>
      <c r="H25" s="77"/>
      <c r="I25" s="79"/>
      <c r="J25" s="77"/>
    </row>
    <row r="26" spans="1:10">
      <c r="A26" s="70" t="s">
        <v>419</v>
      </c>
      <c r="B26" s="71">
        <f>资产资本表!E19</f>
        <v>0</v>
      </c>
      <c r="C26" s="77"/>
      <c r="D26" s="77"/>
      <c r="E26" s="77"/>
      <c r="F26" s="77"/>
      <c r="G26" s="77"/>
      <c r="H26" s="77"/>
      <c r="I26" s="79"/>
      <c r="J26" s="77"/>
    </row>
    <row r="27" spans="1:10">
      <c r="A27" s="70" t="s">
        <v>420</v>
      </c>
      <c r="B27" s="71">
        <f>资产资本表!E89</f>
        <v>27409447.399999999</v>
      </c>
      <c r="C27" s="77"/>
      <c r="D27" s="77"/>
      <c r="E27" s="77"/>
      <c r="F27" s="77"/>
      <c r="G27" s="77"/>
      <c r="H27" s="77"/>
      <c r="I27" s="79"/>
      <c r="J27" s="77"/>
    </row>
    <row r="28" spans="1:10" s="2" customFormat="1">
      <c r="A28" s="82" t="s">
        <v>421</v>
      </c>
      <c r="B28" s="83">
        <f>B24+B25+B26-B27</f>
        <v>1310314177149.9822</v>
      </c>
      <c r="C28" s="80"/>
      <c r="D28" s="80"/>
      <c r="E28" s="80"/>
      <c r="F28" s="80"/>
      <c r="G28" s="80"/>
      <c r="H28" s="80"/>
      <c r="I28" s="81"/>
      <c r="J28" s="80"/>
    </row>
    <row r="29" spans="1:10">
      <c r="A29" s="70" t="s">
        <v>422</v>
      </c>
      <c r="B29" s="78">
        <f>资产资本表!E103/资产资本表!E107</f>
        <v>3.4848960402440031E-2</v>
      </c>
      <c r="C29" s="299" t="s">
        <v>429</v>
      </c>
      <c r="D29" s="299"/>
      <c r="E29" s="299"/>
      <c r="F29" s="77"/>
      <c r="G29" s="77"/>
      <c r="H29" s="77"/>
      <c r="I29" s="79"/>
      <c r="J29" s="77"/>
    </row>
    <row r="30" spans="1:10" s="2" customFormat="1">
      <c r="A30" s="82" t="s">
        <v>423</v>
      </c>
      <c r="B30" s="83">
        <f>B28*(1-B29)</f>
        <v>1264651090275.7266</v>
      </c>
      <c r="C30" s="91">
        <v>0.4</v>
      </c>
      <c r="D30" s="91">
        <v>0.3</v>
      </c>
      <c r="E30" s="91">
        <v>0.2</v>
      </c>
      <c r="F30" s="80"/>
      <c r="G30" s="80"/>
      <c r="H30" s="80"/>
      <c r="I30" s="81"/>
      <c r="J30" s="80"/>
    </row>
    <row r="31" spans="1:10">
      <c r="A31" s="70" t="s">
        <v>632</v>
      </c>
      <c r="B31" s="101">
        <f>B55</f>
        <v>1256197800</v>
      </c>
      <c r="C31" s="212">
        <f>$B$32*(1-C30)</f>
        <v>604.03756014015937</v>
      </c>
      <c r="D31" s="212">
        <f>$B$32*(1-D30)</f>
        <v>704.71048683018591</v>
      </c>
      <c r="E31" s="212">
        <f>$B$32*(1-E30)</f>
        <v>805.38341352021257</v>
      </c>
      <c r="F31" s="77"/>
      <c r="G31" s="77"/>
      <c r="H31" s="77"/>
      <c r="I31" s="79"/>
      <c r="J31" s="77"/>
    </row>
    <row r="32" spans="1:10" s="2" customFormat="1" ht="14.25" thickBot="1">
      <c r="A32" s="84" t="s">
        <v>424</v>
      </c>
      <c r="B32" s="85">
        <f>B30/B31</f>
        <v>1006.7292669002657</v>
      </c>
      <c r="C32" s="86"/>
      <c r="D32" s="86"/>
      <c r="E32" s="86"/>
      <c r="F32" s="86"/>
      <c r="G32" s="86"/>
      <c r="H32" s="86"/>
      <c r="I32" s="87"/>
      <c r="J32" s="80"/>
    </row>
    <row r="33" spans="1:19" ht="63" customHeight="1">
      <c r="A33" s="300" t="s">
        <v>624</v>
      </c>
      <c r="B33" s="301"/>
      <c r="C33" s="301"/>
      <c r="D33" s="301"/>
      <c r="E33" s="301"/>
      <c r="F33" s="301"/>
      <c r="G33" s="301"/>
      <c r="H33" s="301"/>
      <c r="I33" s="301"/>
    </row>
    <row r="37" spans="1:19" s="63" customFormat="1">
      <c r="A37" s="201"/>
      <c r="B37" s="201"/>
      <c r="C37" s="211" t="s">
        <v>427</v>
      </c>
      <c r="D37" s="211">
        <v>0.15</v>
      </c>
      <c r="E37" s="211"/>
      <c r="F37" s="211"/>
      <c r="G37" s="211"/>
      <c r="H37" s="211" t="s">
        <v>521</v>
      </c>
      <c r="I37" s="211">
        <v>0.09</v>
      </c>
      <c r="J37" s="211"/>
      <c r="K37" s="211"/>
      <c r="L37" s="211"/>
      <c r="M37" s="211"/>
      <c r="N37" s="211"/>
      <c r="O37" s="211"/>
      <c r="P37" s="211"/>
      <c r="Q37" s="211"/>
      <c r="R37" s="211" t="s">
        <v>432</v>
      </c>
      <c r="S37" s="211">
        <v>0.02</v>
      </c>
    </row>
    <row r="38" spans="1:19" s="24" customFormat="1">
      <c r="A38" s="308" t="s">
        <v>430</v>
      </c>
      <c r="B38" s="309"/>
      <c r="C38" s="213" t="s">
        <v>426</v>
      </c>
      <c r="D38" s="214">
        <v>1</v>
      </c>
      <c r="E38" s="214">
        <v>2</v>
      </c>
      <c r="F38" s="214">
        <v>3</v>
      </c>
      <c r="G38" s="214">
        <v>4</v>
      </c>
      <c r="H38" s="214">
        <v>5</v>
      </c>
      <c r="I38" s="215">
        <v>6</v>
      </c>
      <c r="J38" s="215">
        <v>7</v>
      </c>
      <c r="K38" s="215">
        <v>8</v>
      </c>
      <c r="L38" s="215">
        <v>9</v>
      </c>
      <c r="M38" s="215">
        <v>10</v>
      </c>
      <c r="N38" s="215">
        <v>11</v>
      </c>
      <c r="O38" s="215">
        <v>12</v>
      </c>
      <c r="P38" s="215">
        <v>13</v>
      </c>
      <c r="Q38" s="215">
        <v>14</v>
      </c>
      <c r="R38" s="215">
        <v>15</v>
      </c>
      <c r="S38" s="216">
        <v>16</v>
      </c>
    </row>
    <row r="39" spans="1:19" s="190" customFormat="1">
      <c r="A39" s="99" t="s">
        <v>413</v>
      </c>
      <c r="B39" s="94"/>
      <c r="C39" s="89">
        <f>B2</f>
        <v>40206710294.360001</v>
      </c>
      <c r="D39" s="89">
        <f>$C$39*(1+$D$37)^D38</f>
        <v>46237716838.514</v>
      </c>
      <c r="E39" s="89">
        <f>$C$39*(1+$D$37)^E38</f>
        <v>53173374364.291092</v>
      </c>
      <c r="F39" s="89">
        <f>$C$39*(1+$D$37)^F38</f>
        <v>61149380518.934746</v>
      </c>
      <c r="G39" s="89">
        <f>$C$39*(1+$D$37)^G38</f>
        <v>70321787596.774963</v>
      </c>
      <c r="H39" s="89">
        <f>$C$39*(1+$D$37)^H38</f>
        <v>80870055736.291199</v>
      </c>
      <c r="I39" s="89">
        <f>H39*(1+$I$37)</f>
        <v>88148360752.557419</v>
      </c>
      <c r="J39" s="89">
        <f t="shared" ref="J39:N39" si="1">I39*(1+$I$37)</f>
        <v>96081713220.287598</v>
      </c>
      <c r="K39" s="89">
        <f t="shared" si="1"/>
        <v>104729067410.11349</v>
      </c>
      <c r="L39" s="89">
        <f t="shared" si="1"/>
        <v>114154683477.02371</v>
      </c>
      <c r="M39" s="89">
        <f t="shared" si="1"/>
        <v>124428604989.95586</v>
      </c>
      <c r="N39" s="89">
        <f t="shared" si="1"/>
        <v>135627179439.0519</v>
      </c>
      <c r="O39" s="89">
        <f t="shared" ref="O39" si="2">N39*(1+$I$37)</f>
        <v>147833625588.56659</v>
      </c>
      <c r="P39" s="89">
        <f t="shared" ref="P39" si="3">O39*(1+$I$37)</f>
        <v>161138651891.5376</v>
      </c>
      <c r="Q39" s="89">
        <f t="shared" ref="Q39" si="4">P39*(1+$I$37)</f>
        <v>175641130561.776</v>
      </c>
      <c r="R39" s="89">
        <f t="shared" ref="R39" si="5">Q39*(1+$I$37)</f>
        <v>191448832312.33585</v>
      </c>
      <c r="S39" s="89">
        <f>R39*(1+S37)</f>
        <v>195277808958.58258</v>
      </c>
    </row>
    <row r="40" spans="1:19" s="23" customFormat="1">
      <c r="A40" s="207" t="s">
        <v>414</v>
      </c>
      <c r="B40" s="206">
        <f>B4</f>
        <v>0.08</v>
      </c>
      <c r="C40" s="212"/>
      <c r="D40" s="212">
        <f>(1+$B$40)^D38</f>
        <v>1.08</v>
      </c>
      <c r="E40" s="212">
        <f t="shared" ref="E40:R40" si="6">(1+$B$40)^E38</f>
        <v>1.1664000000000001</v>
      </c>
      <c r="F40" s="212">
        <f t="shared" si="6"/>
        <v>1.2597120000000002</v>
      </c>
      <c r="G40" s="212">
        <f t="shared" si="6"/>
        <v>1.3604889600000003</v>
      </c>
      <c r="H40" s="212">
        <f t="shared" si="6"/>
        <v>1.4693280768000003</v>
      </c>
      <c r="I40" s="212">
        <f t="shared" si="6"/>
        <v>1.5868743229440005</v>
      </c>
      <c r="J40" s="212">
        <f t="shared" si="6"/>
        <v>1.7138242687795207</v>
      </c>
      <c r="K40" s="212">
        <f t="shared" si="6"/>
        <v>1.8509302102818823</v>
      </c>
      <c r="L40" s="212">
        <f t="shared" si="6"/>
        <v>1.9990046271044331</v>
      </c>
      <c r="M40" s="212">
        <f t="shared" si="6"/>
        <v>2.1589249972727877</v>
      </c>
      <c r="N40" s="212">
        <f t="shared" si="6"/>
        <v>2.3316389970546108</v>
      </c>
      <c r="O40" s="212">
        <f t="shared" si="6"/>
        <v>2.5181701168189798</v>
      </c>
      <c r="P40" s="212">
        <f t="shared" si="6"/>
        <v>2.7196237261644982</v>
      </c>
      <c r="Q40" s="212">
        <f t="shared" si="6"/>
        <v>2.9371936242576586</v>
      </c>
      <c r="R40" s="212">
        <f t="shared" si="6"/>
        <v>3.1721691141982715</v>
      </c>
      <c r="S40" s="181">
        <f>(1+$B$40)^S38</f>
        <v>3.4259426433341331</v>
      </c>
    </row>
    <row r="41" spans="1:19" s="190" customFormat="1">
      <c r="A41" s="310" t="s">
        <v>415</v>
      </c>
      <c r="B41" s="311"/>
      <c r="C41" s="89"/>
      <c r="D41" s="89">
        <f t="shared" ref="D41:R41" si="7">D39/D40</f>
        <v>42812700776.401848</v>
      </c>
      <c r="E41" s="89">
        <f t="shared" si="7"/>
        <v>45587598048.946404</v>
      </c>
      <c r="F41" s="89">
        <f t="shared" si="7"/>
        <v>48542349774.341072</v>
      </c>
      <c r="G41" s="89">
        <f t="shared" si="7"/>
        <v>51688613185.640953</v>
      </c>
      <c r="H41" s="89">
        <f t="shared" si="7"/>
        <v>55038801077.302864</v>
      </c>
      <c r="I41" s="89">
        <f t="shared" si="7"/>
        <v>55548419605.79641</v>
      </c>
      <c r="J41" s="89">
        <f t="shared" si="7"/>
        <v>56062756824.368599</v>
      </c>
      <c r="K41" s="89">
        <f t="shared" si="7"/>
        <v>56581856424.594246</v>
      </c>
      <c r="L41" s="89">
        <f t="shared" si="7"/>
        <v>57105762502.599739</v>
      </c>
      <c r="M41" s="89">
        <f t="shared" si="7"/>
        <v>57634519562.808998</v>
      </c>
      <c r="N41" s="89">
        <f t="shared" si="7"/>
        <v>58168172521.723907</v>
      </c>
      <c r="O41" s="89">
        <f t="shared" si="7"/>
        <v>58706766711.739868</v>
      </c>
      <c r="P41" s="89">
        <f t="shared" si="7"/>
        <v>59250347884.996727</v>
      </c>
      <c r="Q41" s="89">
        <f t="shared" si="7"/>
        <v>59798962217.265213</v>
      </c>
      <c r="R41" s="89">
        <f t="shared" si="7"/>
        <v>60352656311.869514</v>
      </c>
      <c r="S41" s="89">
        <f>S39/((B40-S37)*S40)</f>
        <v>949995516020.16846</v>
      </c>
    </row>
    <row r="42" spans="1:19" s="23" customFormat="1">
      <c r="A42" s="312" t="s">
        <v>433</v>
      </c>
      <c r="B42" s="313"/>
      <c r="C42" s="212"/>
      <c r="D42" s="305">
        <f>SUM(D41:H41)</f>
        <v>243670062862.63315</v>
      </c>
      <c r="E42" s="306"/>
      <c r="F42" s="306"/>
      <c r="G42" s="306"/>
      <c r="H42" s="307"/>
      <c r="I42" s="305">
        <f>SUM(I41:R41)</f>
        <v>579210220567.76318</v>
      </c>
      <c r="J42" s="306"/>
      <c r="K42" s="306"/>
      <c r="L42" s="306"/>
      <c r="M42" s="306"/>
      <c r="N42" s="306"/>
      <c r="O42" s="306"/>
      <c r="P42" s="306"/>
      <c r="Q42" s="306"/>
      <c r="R42" s="307"/>
      <c r="S42" s="212">
        <f>S41</f>
        <v>949995516020.16846</v>
      </c>
    </row>
    <row r="43" spans="1:19">
      <c r="A43" s="203" t="s">
        <v>431</v>
      </c>
      <c r="B43" s="194">
        <f>D42+I42+S42</f>
        <v>1772875799450.5649</v>
      </c>
      <c r="C43" s="195"/>
      <c r="D43" s="195"/>
      <c r="E43" s="195"/>
      <c r="F43" s="195"/>
      <c r="G43" s="195"/>
      <c r="H43" s="195"/>
      <c r="I43" s="195"/>
      <c r="J43" s="195"/>
      <c r="K43" s="195"/>
      <c r="L43" s="195"/>
      <c r="M43" s="195"/>
      <c r="N43" s="195"/>
      <c r="O43" s="195"/>
      <c r="P43" s="195"/>
      <c r="Q43" s="195"/>
      <c r="R43" s="195"/>
      <c r="S43" s="197"/>
    </row>
    <row r="44" spans="1:19">
      <c r="A44" s="203" t="s">
        <v>417</v>
      </c>
      <c r="B44" s="194">
        <f>B43</f>
        <v>1772875799450.5649</v>
      </c>
      <c r="C44" s="195"/>
      <c r="D44" s="195"/>
      <c r="E44" s="195"/>
      <c r="F44" s="195"/>
      <c r="G44" s="195"/>
      <c r="H44" s="195"/>
      <c r="I44" s="195"/>
      <c r="J44" s="195"/>
      <c r="K44" s="195"/>
      <c r="L44" s="195"/>
      <c r="M44" s="195"/>
      <c r="N44" s="195"/>
      <c r="O44" s="195"/>
      <c r="P44" s="195"/>
      <c r="Q44" s="195"/>
      <c r="R44" s="195"/>
      <c r="S44" s="197"/>
    </row>
    <row r="45" spans="1:19">
      <c r="A45" s="193" t="s">
        <v>418</v>
      </c>
      <c r="B45" s="194">
        <f>资产资本表!E17</f>
        <v>36915096946.529999</v>
      </c>
      <c r="C45" s="195"/>
      <c r="D45" s="195"/>
      <c r="E45" s="195"/>
      <c r="F45" s="195"/>
      <c r="G45" s="195"/>
      <c r="H45" s="195"/>
      <c r="I45" s="195"/>
      <c r="J45" s="195"/>
      <c r="K45" s="195"/>
      <c r="L45" s="195"/>
      <c r="M45" s="195"/>
      <c r="N45" s="195"/>
      <c r="O45" s="195"/>
      <c r="P45" s="195"/>
      <c r="Q45" s="195"/>
      <c r="R45" s="195"/>
      <c r="S45" s="197"/>
    </row>
    <row r="46" spans="1:19">
      <c r="A46" s="193" t="s">
        <v>419</v>
      </c>
      <c r="B46" s="194">
        <f>资产资本表!E19</f>
        <v>0</v>
      </c>
      <c r="C46" s="195"/>
      <c r="D46" s="195"/>
      <c r="E46" s="195"/>
      <c r="F46" s="195"/>
      <c r="G46" s="195"/>
      <c r="H46" s="195"/>
      <c r="I46" s="195"/>
      <c r="J46" s="195"/>
      <c r="K46" s="195"/>
      <c r="L46" s="195"/>
      <c r="M46" s="195"/>
      <c r="N46" s="195"/>
      <c r="O46" s="195"/>
      <c r="P46" s="195"/>
      <c r="Q46" s="195"/>
      <c r="R46" s="195"/>
      <c r="S46" s="197"/>
    </row>
    <row r="47" spans="1:19">
      <c r="A47" s="193" t="s">
        <v>420</v>
      </c>
      <c r="B47" s="194">
        <f>资产资本表!E89</f>
        <v>27409447.399999999</v>
      </c>
      <c r="C47" s="195"/>
      <c r="D47" s="195"/>
      <c r="E47" s="195"/>
      <c r="F47" s="195"/>
      <c r="G47" s="195"/>
      <c r="H47" s="195"/>
      <c r="I47" s="195"/>
      <c r="J47" s="195"/>
      <c r="K47" s="195"/>
      <c r="L47" s="195"/>
      <c r="M47" s="195"/>
      <c r="N47" s="195"/>
      <c r="O47" s="195"/>
      <c r="P47" s="195"/>
      <c r="Q47" s="195"/>
      <c r="R47" s="195"/>
      <c r="S47" s="197"/>
    </row>
    <row r="48" spans="1:19">
      <c r="A48" s="198" t="s">
        <v>421</v>
      </c>
      <c r="B48" s="194">
        <f>B44+B45+B46-B47</f>
        <v>1809763486949.6951</v>
      </c>
      <c r="C48" s="195"/>
      <c r="D48" s="195"/>
      <c r="E48" s="195"/>
      <c r="F48" s="195"/>
      <c r="G48" s="195"/>
      <c r="H48" s="195"/>
      <c r="I48" s="195"/>
      <c r="J48" s="195"/>
      <c r="K48" s="195"/>
      <c r="L48" s="195"/>
      <c r="M48" s="195"/>
      <c r="N48" s="195"/>
      <c r="O48" s="195"/>
      <c r="P48" s="195"/>
      <c r="Q48" s="195"/>
      <c r="R48" s="195"/>
      <c r="S48" s="197"/>
    </row>
    <row r="49" spans="1:74">
      <c r="A49" s="193" t="s">
        <v>422</v>
      </c>
      <c r="B49" s="196">
        <f>资产资本表!E103/资产资本表!E107</f>
        <v>3.4848960402440031E-2</v>
      </c>
      <c r="C49" s="195"/>
      <c r="D49" s="195"/>
      <c r="E49" s="195"/>
      <c r="F49" s="195"/>
      <c r="G49" s="195"/>
      <c r="H49" s="195"/>
      <c r="I49" s="195"/>
      <c r="J49" s="195"/>
      <c r="K49" s="195"/>
      <c r="L49" s="195"/>
      <c r="M49" s="195"/>
      <c r="N49" s="195"/>
      <c r="O49" s="195"/>
      <c r="P49" s="195"/>
      <c r="Q49" s="195"/>
      <c r="R49" s="195"/>
      <c r="S49" s="197"/>
      <c r="T49" s="187"/>
      <c r="U49" s="187"/>
      <c r="V49" s="187"/>
      <c r="W49" s="187"/>
      <c r="X49" s="187"/>
      <c r="Y49" s="187"/>
      <c r="Z49" s="187"/>
      <c r="AA49" s="187"/>
      <c r="AB49" s="187"/>
      <c r="AC49" s="187"/>
      <c r="AD49" s="187"/>
      <c r="AE49" s="187"/>
      <c r="AF49" s="187"/>
      <c r="AG49" s="187"/>
      <c r="AH49" s="187"/>
      <c r="AI49" s="187"/>
      <c r="AJ49" s="187"/>
      <c r="AK49" s="187"/>
      <c r="AL49" s="187"/>
      <c r="AM49" s="187"/>
      <c r="AN49" s="187"/>
      <c r="AO49" s="187"/>
      <c r="AP49" s="187"/>
      <c r="AQ49" s="187"/>
      <c r="AR49" s="187"/>
      <c r="AS49" s="187"/>
      <c r="AT49" s="187"/>
      <c r="AU49" s="187"/>
      <c r="AV49" s="187"/>
      <c r="AW49" s="187"/>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row>
    <row r="50" spans="1:74">
      <c r="A50" s="198" t="s">
        <v>423</v>
      </c>
      <c r="B50" s="194">
        <f>B48*(1-B49)</f>
        <v>1746695110855.2034</v>
      </c>
      <c r="C50" s="302" t="s">
        <v>429</v>
      </c>
      <c r="D50" s="303"/>
      <c r="E50" s="304"/>
      <c r="F50" s="195"/>
      <c r="G50" s="195"/>
      <c r="H50" s="195"/>
      <c r="I50" s="195"/>
      <c r="J50" s="195"/>
      <c r="K50" s="195"/>
      <c r="L50" s="195"/>
      <c r="M50" s="195"/>
      <c r="N50" s="195"/>
      <c r="O50" s="195"/>
      <c r="P50" s="195"/>
      <c r="Q50" s="195"/>
      <c r="R50" s="195"/>
      <c r="S50" s="197"/>
      <c r="T50" s="187"/>
      <c r="U50" s="187"/>
      <c r="V50" s="187"/>
      <c r="W50" s="187"/>
      <c r="X50" s="187"/>
      <c r="Y50" s="187"/>
      <c r="Z50" s="187"/>
      <c r="AA50" s="187"/>
      <c r="AB50" s="187"/>
      <c r="AC50" s="187"/>
      <c r="AD50" s="187"/>
      <c r="AE50" s="187"/>
      <c r="AF50" s="187"/>
      <c r="AG50" s="187"/>
      <c r="AH50" s="187"/>
      <c r="AI50" s="187"/>
      <c r="AJ50" s="187"/>
      <c r="AK50" s="187"/>
      <c r="AL50" s="187"/>
      <c r="AM50" s="187"/>
      <c r="AN50" s="187"/>
      <c r="AO50" s="187"/>
      <c r="AP50" s="187"/>
      <c r="AQ50" s="187"/>
      <c r="AR50" s="187"/>
      <c r="AS50" s="187"/>
      <c r="AT50" s="187"/>
      <c r="AU50" s="187"/>
      <c r="AV50" s="187"/>
      <c r="AW50" s="187"/>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row>
    <row r="51" spans="1:74">
      <c r="A51" s="193" t="s">
        <v>425</v>
      </c>
      <c r="B51" s="208">
        <f>B55</f>
        <v>1256197800</v>
      </c>
      <c r="C51" s="202">
        <v>0.4</v>
      </c>
      <c r="D51" s="202">
        <v>0.3</v>
      </c>
      <c r="E51" s="202">
        <v>0.2</v>
      </c>
      <c r="F51" s="195"/>
      <c r="G51" s="195"/>
      <c r="H51" s="195"/>
      <c r="I51" s="195"/>
      <c r="J51" s="195"/>
      <c r="K51" s="195"/>
      <c r="L51" s="195"/>
      <c r="M51" s="195"/>
      <c r="N51" s="195"/>
      <c r="O51" s="195"/>
      <c r="P51" s="195"/>
      <c r="Q51" s="195"/>
      <c r="R51" s="195"/>
      <c r="S51" s="197"/>
      <c r="T51" s="187"/>
      <c r="U51" s="187"/>
      <c r="V51" s="187"/>
      <c r="W51" s="187"/>
      <c r="X51" s="187"/>
      <c r="Y51" s="187"/>
      <c r="Z51" s="187"/>
      <c r="AA51" s="187"/>
      <c r="AB51" s="187"/>
      <c r="AC51" s="187"/>
      <c r="AD51" s="187"/>
      <c r="AE51" s="187"/>
      <c r="AF51" s="187"/>
      <c r="AG51" s="187"/>
      <c r="AH51" s="187"/>
      <c r="AI51" s="187"/>
      <c r="AJ51" s="187"/>
      <c r="AK51" s="187"/>
      <c r="AL51" s="187"/>
      <c r="AM51" s="187"/>
      <c r="AN51" s="187"/>
      <c r="AO51" s="187"/>
      <c r="AP51" s="187"/>
      <c r="AQ51" s="187"/>
      <c r="AR51" s="187"/>
      <c r="AS51" s="187"/>
      <c r="AT51" s="187"/>
      <c r="AU51" s="187"/>
      <c r="AV51" s="187"/>
      <c r="AW51" s="187"/>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row>
    <row r="52" spans="1:74" ht="14.25" thickBot="1">
      <c r="A52" s="199" t="s">
        <v>424</v>
      </c>
      <c r="B52" s="204">
        <f>B50/B51</f>
        <v>1390.4618451450906</v>
      </c>
      <c r="C52" s="205">
        <f>$B$52*(1-C51)</f>
        <v>834.27710708705433</v>
      </c>
      <c r="D52" s="205">
        <f>$B$52*(1-D51)</f>
        <v>973.32329160156337</v>
      </c>
      <c r="E52" s="205">
        <f>$B$52*(1-E51)</f>
        <v>1112.3694761160725</v>
      </c>
      <c r="F52" s="191"/>
      <c r="G52" s="191"/>
      <c r="H52" s="191"/>
      <c r="I52" s="191"/>
      <c r="J52" s="191"/>
      <c r="K52" s="191"/>
      <c r="L52" s="191"/>
      <c r="M52" s="191"/>
      <c r="N52" s="191"/>
      <c r="O52" s="191"/>
      <c r="P52" s="191"/>
      <c r="Q52" s="191"/>
      <c r="R52" s="191"/>
      <c r="S52" s="200"/>
      <c r="T52" s="187"/>
      <c r="U52" s="187"/>
      <c r="V52" s="187"/>
      <c r="W52" s="187"/>
      <c r="X52" s="187"/>
      <c r="Y52" s="187"/>
      <c r="Z52" s="187"/>
      <c r="AA52" s="187"/>
      <c r="AB52" s="187"/>
      <c r="AC52" s="187"/>
      <c r="AD52" s="187"/>
      <c r="AE52" s="187"/>
      <c r="AF52" s="187"/>
      <c r="AG52" s="187"/>
      <c r="AH52" s="187"/>
      <c r="AI52" s="187"/>
      <c r="AJ52" s="187"/>
      <c r="AK52" s="187"/>
      <c r="AL52" s="187"/>
      <c r="AM52" s="187"/>
      <c r="AN52" s="187"/>
      <c r="AO52" s="187"/>
      <c r="AP52" s="187"/>
      <c r="AQ52" s="187"/>
      <c r="AR52" s="187"/>
      <c r="AS52" s="187"/>
      <c r="AT52" s="187"/>
      <c r="AU52" s="187"/>
      <c r="AV52" s="187"/>
      <c r="AW52" s="187"/>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row>
    <row r="53" spans="1:74" ht="12.75" customHeight="1" thickBot="1">
      <c r="A53" s="189"/>
      <c r="B53" s="190"/>
      <c r="C53" s="187"/>
      <c r="D53" s="187"/>
      <c r="E53" s="187"/>
      <c r="F53" s="187"/>
      <c r="G53" s="187"/>
      <c r="H53" s="187"/>
      <c r="I53" s="187"/>
      <c r="J53" s="187"/>
      <c r="K53" s="187"/>
      <c r="L53" s="187"/>
      <c r="M53" s="187"/>
      <c r="N53" s="187"/>
      <c r="O53" s="187"/>
      <c r="P53" s="187"/>
      <c r="Q53" s="187"/>
      <c r="R53" s="187"/>
      <c r="S53" s="187"/>
      <c r="T53" s="187"/>
      <c r="U53" s="187"/>
      <c r="V53" s="187"/>
      <c r="W53" s="187"/>
      <c r="X53" s="187"/>
      <c r="Y53" s="187"/>
      <c r="Z53" s="187"/>
      <c r="AA53" s="187"/>
      <c r="AB53" s="187"/>
      <c r="AC53" s="187"/>
      <c r="AD53" s="187"/>
      <c r="AE53" s="187"/>
      <c r="AF53" s="187"/>
      <c r="AG53" s="187"/>
      <c r="AH53" s="187"/>
      <c r="AI53" s="187"/>
      <c r="AJ53" s="187"/>
      <c r="AK53" s="187"/>
      <c r="AL53" s="187"/>
      <c r="AM53" s="187"/>
      <c r="AN53" s="187"/>
      <c r="AO53" s="187"/>
      <c r="AP53" s="187"/>
      <c r="AQ53" s="187"/>
      <c r="AR53" s="187"/>
      <c r="AS53" s="187"/>
      <c r="AT53" s="187"/>
      <c r="AU53" s="187"/>
      <c r="AV53" s="187"/>
      <c r="AW53" s="18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row>
    <row r="54" spans="1:74" s="103" customFormat="1">
      <c r="A54" s="192">
        <v>600519</v>
      </c>
      <c r="B54" s="178" t="str">
        <f>自由现金流分析表!B1</f>
        <v>2018-12-31</v>
      </c>
      <c r="C54" s="188"/>
      <c r="D54" s="188"/>
      <c r="E54" s="188"/>
      <c r="F54" s="188"/>
      <c r="G54" s="188"/>
      <c r="H54" s="188"/>
      <c r="I54" s="188"/>
      <c r="J54" s="188"/>
      <c r="K54" s="188"/>
      <c r="L54" s="188"/>
      <c r="M54" s="188"/>
      <c r="N54" s="188"/>
      <c r="O54" s="188"/>
      <c r="P54" s="188"/>
      <c r="Q54" s="188"/>
      <c r="R54" s="188"/>
      <c r="S54" s="188"/>
      <c r="T54" s="188"/>
      <c r="U54" s="188"/>
      <c r="V54" s="188"/>
      <c r="W54" s="188"/>
      <c r="X54" s="188"/>
      <c r="Y54" s="188"/>
      <c r="Z54" s="188"/>
      <c r="AA54" s="188"/>
      <c r="AB54" s="188"/>
      <c r="AC54" s="188"/>
      <c r="AD54" s="188"/>
      <c r="AE54" s="188"/>
      <c r="AF54" s="188"/>
      <c r="AG54" s="188"/>
      <c r="AH54" s="188"/>
      <c r="AI54" s="188"/>
      <c r="AJ54" s="188"/>
      <c r="AK54" s="188"/>
      <c r="AL54" s="188"/>
      <c r="AM54" s="188"/>
      <c r="AN54" s="188"/>
      <c r="AO54" s="188"/>
      <c r="AP54" s="188"/>
      <c r="AQ54" s="188"/>
      <c r="AR54" s="188"/>
      <c r="AS54" s="188"/>
      <c r="AT54" s="188"/>
      <c r="AU54" s="188"/>
      <c r="AV54" s="188"/>
      <c r="AW54" s="188"/>
      <c r="AX54" s="188"/>
      <c r="AY54" s="188"/>
      <c r="AZ54" s="188"/>
      <c r="BA54" s="188"/>
      <c r="BB54" s="188"/>
      <c r="BC54" s="188"/>
      <c r="BD54" s="188"/>
      <c r="BE54" s="188"/>
      <c r="BF54" s="188"/>
      <c r="BG54" s="188"/>
      <c r="BH54" s="188"/>
      <c r="BI54" s="188"/>
      <c r="BJ54" s="188"/>
      <c r="BK54" s="188"/>
      <c r="BL54" s="188"/>
      <c r="BM54" s="188"/>
      <c r="BN54" s="188"/>
      <c r="BO54" s="188"/>
      <c r="BP54" s="188"/>
      <c r="BQ54" s="188"/>
      <c r="BR54" s="188"/>
      <c r="BS54" s="188"/>
      <c r="BT54" s="188"/>
      <c r="BU54" s="188"/>
      <c r="BV54" s="188"/>
    </row>
    <row r="55" spans="1:74" s="102" customFormat="1">
      <c r="A55" s="209" t="s">
        <v>436</v>
      </c>
      <c r="B55" s="100">
        <v>1256197800</v>
      </c>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c r="AP55" s="210"/>
      <c r="AQ55" s="210"/>
      <c r="AR55" s="210"/>
      <c r="AS55" s="210"/>
      <c r="AT55" s="210"/>
      <c r="AU55" s="210"/>
      <c r="AV55" s="210"/>
      <c r="AW55" s="210"/>
      <c r="AX55" s="210"/>
      <c r="AY55" s="210"/>
      <c r="AZ55" s="210"/>
      <c r="BA55" s="210"/>
      <c r="BB55" s="210"/>
      <c r="BC55" s="210"/>
      <c r="BD55" s="210"/>
      <c r="BE55" s="210"/>
      <c r="BF55" s="210"/>
      <c r="BG55" s="210"/>
      <c r="BH55" s="210"/>
      <c r="BI55" s="210"/>
      <c r="BJ55" s="210"/>
      <c r="BK55" s="210"/>
      <c r="BL55" s="210"/>
      <c r="BM55" s="210"/>
      <c r="BN55" s="210"/>
      <c r="BO55" s="210"/>
      <c r="BP55" s="210"/>
      <c r="BQ55" s="210"/>
      <c r="BR55" s="210"/>
      <c r="BS55" s="210"/>
      <c r="BT55" s="210"/>
      <c r="BU55" s="210"/>
      <c r="BV55" s="210"/>
    </row>
    <row r="56" spans="1:74" s="62" customFormat="1" ht="14.25" thickBot="1">
      <c r="A56" s="74"/>
      <c r="B56" s="93"/>
    </row>
    <row r="57" spans="1:74" ht="52.9" customHeight="1">
      <c r="A57" s="292" t="s">
        <v>625</v>
      </c>
      <c r="B57" s="293"/>
      <c r="C57" s="293"/>
      <c r="D57" s="293"/>
      <c r="E57" s="293"/>
      <c r="F57" s="293"/>
      <c r="G57" s="293"/>
      <c r="H57" s="293"/>
      <c r="I57" s="293"/>
    </row>
    <row r="60" spans="1:74" s="154" customFormat="1" ht="51" customHeight="1">
      <c r="A60" s="290" t="s">
        <v>493</v>
      </c>
      <c r="B60" s="291"/>
      <c r="C60" s="291"/>
      <c r="D60" s="291"/>
      <c r="E60" s="291"/>
      <c r="F60" s="291"/>
      <c r="G60" s="291"/>
      <c r="H60" s="291"/>
      <c r="I60" s="291"/>
    </row>
    <row r="63" spans="1:74" s="4" customFormat="1">
      <c r="A63" s="176" t="s">
        <v>495</v>
      </c>
      <c r="B63" s="175" t="s">
        <v>496</v>
      </c>
      <c r="C63" s="96" t="s">
        <v>497</v>
      </c>
      <c r="D63" s="96" t="s">
        <v>498</v>
      </c>
      <c r="E63" s="96" t="s">
        <v>513</v>
      </c>
      <c r="F63" s="96" t="s">
        <v>499</v>
      </c>
      <c r="G63" s="96" t="s">
        <v>500</v>
      </c>
      <c r="H63" s="96" t="s">
        <v>509</v>
      </c>
      <c r="I63" s="96" t="s">
        <v>502</v>
      </c>
      <c r="J63" s="96" t="s">
        <v>508</v>
      </c>
      <c r="K63" s="96" t="s">
        <v>504</v>
      </c>
      <c r="L63" s="96" t="s">
        <v>510</v>
      </c>
    </row>
    <row r="64" spans="1:74" s="26" customFormat="1">
      <c r="A64" s="177" t="str">
        <f>股权价值增加表!M1</f>
        <v>2007-12-31</v>
      </c>
      <c r="B64" s="165">
        <v>42366</v>
      </c>
      <c r="C64" s="164">
        <v>17.39</v>
      </c>
      <c r="D64" s="164">
        <v>3.4</v>
      </c>
      <c r="E64" s="166">
        <f>股权价值增加表!M42/100000000</f>
        <v>29.644192388300002</v>
      </c>
      <c r="F64" s="166">
        <v>0</v>
      </c>
      <c r="G64" s="164">
        <v>16.47</v>
      </c>
      <c r="H64" s="166">
        <f>G64*D64</f>
        <v>55.997999999999998</v>
      </c>
      <c r="I64" s="166">
        <f>C64*D64</f>
        <v>59.125999999999998</v>
      </c>
      <c r="J64" s="166">
        <f>H64/E64</f>
        <v>1.889004067525258</v>
      </c>
      <c r="K64" s="166">
        <f>I64/E64</f>
        <v>1.994522206087689</v>
      </c>
      <c r="L64" s="257">
        <v>0</v>
      </c>
    </row>
    <row r="65" spans="1:12" s="26" customFormat="1">
      <c r="A65" s="177" t="str">
        <f>股权价值增加表!I1</f>
        <v>2011-12-31</v>
      </c>
      <c r="B65" s="165">
        <v>42543</v>
      </c>
      <c r="C65" s="164">
        <v>23.13</v>
      </c>
      <c r="D65" s="164">
        <v>3.64</v>
      </c>
      <c r="E65" s="166">
        <f>股权价值增加表!I42/100000000</f>
        <v>92.495367717500017</v>
      </c>
      <c r="F65" s="166">
        <f>(E65-E64)/E64*100</f>
        <v>212.01851109968567</v>
      </c>
      <c r="G65" s="164">
        <v>23.11</v>
      </c>
      <c r="H65" s="166">
        <f t="shared" ref="H65:H66" si="8">G65*D65</f>
        <v>84.120400000000004</v>
      </c>
      <c r="I65" s="166">
        <f t="shared" ref="I65:I66" si="9">C65*D65</f>
        <v>84.193200000000004</v>
      </c>
      <c r="J65" s="166">
        <f t="shared" ref="J65:J66" si="10">H65/E65</f>
        <v>0.90945527409460225</v>
      </c>
      <c r="K65" s="166">
        <f t="shared" ref="K65:K66" si="11">I65/E65</f>
        <v>0.91024234053691699</v>
      </c>
      <c r="L65" s="257">
        <f>K65/F65</f>
        <v>4.29322107685656E-3</v>
      </c>
    </row>
    <row r="66" spans="1:12" s="26" customFormat="1">
      <c r="A66" s="177" t="str">
        <f>股权价值增加表!E1</f>
        <v>2015-12-31</v>
      </c>
      <c r="B66" s="165">
        <v>42872</v>
      </c>
      <c r="C66" s="164">
        <v>16.399999999999999</v>
      </c>
      <c r="D66" s="164">
        <v>9.09</v>
      </c>
      <c r="E66" s="166">
        <f>股权价值增加表!E42/100000000</f>
        <v>157.25443989799999</v>
      </c>
      <c r="F66" s="166">
        <f t="shared" ref="F66" si="12">(E66-E65)/E65*100</f>
        <v>70.01331394052896</v>
      </c>
      <c r="G66" s="164">
        <v>15.76</v>
      </c>
      <c r="H66" s="166">
        <f t="shared" si="8"/>
        <v>143.25839999999999</v>
      </c>
      <c r="I66" s="166">
        <f t="shared" si="9"/>
        <v>149.07599999999999</v>
      </c>
      <c r="J66" s="166">
        <f t="shared" si="10"/>
        <v>0.91099748975559447</v>
      </c>
      <c r="K66" s="166">
        <f t="shared" si="11"/>
        <v>0.94799231167460341</v>
      </c>
      <c r="L66" s="257">
        <f t="shared" ref="L66" si="13">K66/F66</f>
        <v>1.3540171980430058E-2</v>
      </c>
    </row>
    <row r="67" spans="1:12" s="26" customFormat="1">
      <c r="A67" s="160"/>
      <c r="B67" s="161"/>
      <c r="C67" s="83"/>
      <c r="D67" s="83"/>
      <c r="E67" s="83"/>
      <c r="F67" s="163"/>
      <c r="G67" s="83"/>
      <c r="H67" s="163"/>
      <c r="I67" s="163"/>
      <c r="J67" s="163"/>
      <c r="K67" s="163"/>
      <c r="L67" s="258"/>
    </row>
    <row r="68" spans="1:12" s="155" customFormat="1" ht="14.25" thickBot="1">
      <c r="A68" s="162" t="s">
        <v>507</v>
      </c>
      <c r="B68" s="44" t="s">
        <v>496</v>
      </c>
      <c r="C68" s="44" t="s">
        <v>497</v>
      </c>
      <c r="D68" s="44" t="s">
        <v>498</v>
      </c>
      <c r="E68" s="44" t="s">
        <v>506</v>
      </c>
      <c r="F68" s="44" t="s">
        <v>499</v>
      </c>
      <c r="G68" s="44" t="s">
        <v>500</v>
      </c>
      <c r="H68" s="44" t="s">
        <v>501</v>
      </c>
      <c r="I68" s="44" t="s">
        <v>502</v>
      </c>
      <c r="J68" s="44" t="s">
        <v>503</v>
      </c>
      <c r="K68" s="44" t="s">
        <v>504</v>
      </c>
      <c r="L68" s="259" t="s">
        <v>505</v>
      </c>
    </row>
    <row r="69" spans="1:12" s="26" customFormat="1" ht="14.25" thickBot="1">
      <c r="A69" s="167" t="s">
        <v>512</v>
      </c>
      <c r="B69" s="168">
        <v>43305</v>
      </c>
      <c r="C69" s="169">
        <v>11.65</v>
      </c>
      <c r="D69" s="169">
        <v>9.09</v>
      </c>
      <c r="E69" s="169">
        <v>4.33</v>
      </c>
      <c r="F69" s="170">
        <f>(E69-E66)/E66*100</f>
        <v>-97.246500637560004</v>
      </c>
      <c r="G69" s="169">
        <v>10.119999999999999</v>
      </c>
      <c r="H69" s="170">
        <f>G69*D69</f>
        <v>91.990799999999993</v>
      </c>
      <c r="I69" s="170">
        <f>C69*D69</f>
        <v>105.8985</v>
      </c>
      <c r="J69" s="170">
        <f>H69/E69</f>
        <v>21.244988452655885</v>
      </c>
      <c r="K69" s="170">
        <f>I69/E69</f>
        <v>24.456928406466513</v>
      </c>
      <c r="L69" s="260">
        <f>K69/F69</f>
        <v>-0.25149417455768469</v>
      </c>
    </row>
    <row r="70" spans="1:12" s="26" customFormat="1" ht="14.25" thickBot="1">
      <c r="A70" s="171" t="s">
        <v>511</v>
      </c>
      <c r="B70" s="172">
        <v>43305</v>
      </c>
      <c r="C70" s="173">
        <v>11.65</v>
      </c>
      <c r="D70" s="173">
        <v>9.09</v>
      </c>
      <c r="E70" s="173">
        <v>3.86</v>
      </c>
      <c r="F70" s="174">
        <f>(E70-E66)/E66*100</f>
        <v>-97.545379321242862</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1">
        <f t="shared" ref="L70" si="18">K70/F70</f>
        <v>-0.28125211824985841</v>
      </c>
    </row>
    <row r="71" spans="1:12" s="88" customFormat="1" ht="138" customHeight="1">
      <c r="A71" s="288" t="s">
        <v>514</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2019-04-01T07:29:01Z</dcterms:modified>
</cp:coreProperties>
</file>