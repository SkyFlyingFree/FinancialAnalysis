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8.xml" ContentType="application/vnd.openxmlformats-officedocument.drawing+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CL27" i="12" l="1"/>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M87" i="11" l="1"/>
  <c r="BZ100" i="11"/>
  <c r="BZ101" i="11" s="1"/>
  <c r="BE87" i="11"/>
  <c r="CC87" i="11"/>
  <c r="BU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AX24" i="6"/>
  <c r="AV24" i="6"/>
  <c r="AN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AT3" i="10" l="1"/>
  <c r="BB3" i="10"/>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P13" i="12" s="1"/>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8" i="10" s="1"/>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C26" i="12" s="1"/>
  <c r="AC27" i="12" s="1"/>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BZ32" i="9" s="1"/>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BX32" i="9" s="1"/>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53" i="11" s="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53" i="11" s="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53" i="11" s="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J5" i="12"/>
  <c r="R5" i="12"/>
  <c r="Z5" i="12"/>
  <c r="AH5" i="12"/>
  <c r="AP5" i="12"/>
  <c r="AX5" i="12"/>
  <c r="BF5" i="12"/>
  <c r="BN5" i="12"/>
  <c r="BV5" i="12"/>
  <c r="CD5" i="12"/>
  <c r="CC25" i="12"/>
  <c r="CC26" i="12" s="1"/>
  <c r="CC27" i="12" s="1"/>
  <c r="CK25" i="12"/>
  <c r="CK26"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13" i="12"/>
  <c r="BA13" i="12"/>
  <c r="CK18" i="12"/>
  <c r="AE13" i="12"/>
  <c r="X13" i="12"/>
  <c r="BL13" i="12"/>
  <c r="CJ13" i="12"/>
  <c r="Z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T57" i="11"/>
  <c r="AB57" i="11"/>
  <c r="AR57" i="11"/>
  <c r="AZ57" i="11"/>
  <c r="BP57" i="11"/>
  <c r="BX57" i="11"/>
  <c r="CF57" i="11"/>
  <c r="G63" i="11"/>
  <c r="G65" i="11" s="1"/>
  <c r="G66" i="11" s="1"/>
  <c r="R63" i="11"/>
  <c r="R65" i="11" s="1"/>
  <c r="R66" i="11" s="1"/>
  <c r="CJ53" i="11"/>
  <c r="AD63" i="11"/>
  <c r="AD65" i="11" s="1"/>
  <c r="AD66" i="11" s="1"/>
  <c r="AX63" i="11"/>
  <c r="AX65" i="11" s="1"/>
  <c r="AX66" i="11" s="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AJ74" i="11" l="1"/>
  <c r="AU32" i="9"/>
  <c r="CK27" i="12"/>
  <c r="CK28" i="12" s="1"/>
  <c r="CH27" i="12"/>
  <c r="CH28" i="12" s="1"/>
  <c r="CJ27" i="12"/>
  <c r="CJ28" i="12" s="1"/>
  <c r="CI27" i="12"/>
  <c r="CI28" i="12" s="1"/>
  <c r="BR74" i="11"/>
  <c r="BO9" i="10"/>
  <c r="CC9" i="10"/>
  <c r="D11" i="13"/>
  <c r="D12" i="13" s="1"/>
  <c r="BQ32" i="9"/>
  <c r="CD32"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E5" i="8" l="1"/>
  <c r="BQ5" i="8"/>
  <c r="X29" i="9"/>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AD31" i="10" l="1"/>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33" i="6" l="1"/>
  <c r="BJ34" i="6" s="1"/>
  <c r="BJ23" i="10"/>
  <c r="BJ24" i="10" s="1"/>
  <c r="V33" i="6"/>
  <c r="V34" i="6" s="1"/>
  <c r="BR5" i="11"/>
  <c r="BJ50" i="10"/>
  <c r="AL13" i="1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s="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<sst xmlns="http://schemas.openxmlformats.org/spreadsheetml/2006/main" count="1048" uniqueCount="752">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</sst>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2" fillId="41" borderId="16" xfId="1" applyNumberFormat="1" applyFill="1" applyBorder="1">
      <alignment vertical="center"/>
    </xf>
    <xf numFmtId="49" fontId="26" fillId="6" borderId="0" xfId="0" applyNumberFormat="1" applyFont="1" applyFill="1" applyAlignment="1">
      <alignment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91.1420128768426</c:v>
                </c:pt>
                <c:pt idx="1">
                  <c:v>0.89796196153766783</c:v>
                </c:pt>
                <c:pt idx="2">
                  <c:v>0.91225136600612233</c:v>
                </c:pt>
                <c:pt idx="3">
                  <c:v>0.92227894052748705</c:v>
                </c:pt>
                <c:pt idx="4">
                  <c:v>0.9259341285314433</c:v>
                </c:pt>
                <c:pt idx="5">
                  <c:v>0.92904940156858784</c:v>
                </c:pt>
              </c:numCache>
            </c:numRef>
          </c:val>
          <c:smooth val="0"/>
          <c:extLst xmlns:c16r2="http://schemas.microsoft.com/office/drawing/2015/06/char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830786560"/>
        <c:axId val="841464000"/>
      </c:lineChart>
      <c:catAx>
        <c:axId val="830786560"/>
        <c:scaling>
          <c:orientation val="minMax"/>
        </c:scaling>
        <c:delete val="0"/>
        <c:axPos val="b"/>
        <c:majorTickMark val="out"/>
        <c:minorTickMark val="none"/>
        <c:tickLblPos val="nextTo"/>
        <c:crossAx val="841464000"/>
        <c:crosses val="autoZero"/>
        <c:auto val="1"/>
        <c:lblAlgn val="ctr"/>
        <c:lblOffset val="100"/>
        <c:noMultiLvlLbl val="0"/>
      </c:catAx>
      <c:valAx>
        <c:axId val="841464000"/>
        <c:scaling>
          <c:orientation val="minMax"/>
        </c:scaling>
        <c:delete val="0"/>
        <c:axPos val="l"/>
        <c:majorGridlines/>
        <c:numFmt formatCode="0.00%" sourceLinked="1"/>
        <c:majorTickMark val="out"/>
        <c:minorTickMark val="none"/>
        <c:tickLblPos val="nextTo"/>
        <c:crossAx val="83078656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46.735374065434485</c:v>
                </c:pt>
                <c:pt idx="1">
                  <c:v>0.45101545969155143</c:v>
                </c:pt>
                <c:pt idx="2">
                  <c:v>0.43067197887828035</c:v>
                </c:pt>
                <c:pt idx="3">
                  <c:v>0.48029135124260181</c:v>
                </c:pt>
                <c:pt idx="4">
                  <c:v>0.49383242047688514</c:v>
                </c:pt>
                <c:pt idx="5">
                  <c:v>0.50224855215198361</c:v>
                </c:pt>
              </c:numCache>
            </c:numRef>
          </c:val>
          <c:smooth val="0"/>
          <c:extLst xmlns:c16r2="http://schemas.microsoft.com/office/drawing/2015/06/char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842793472"/>
        <c:axId val="841883648"/>
      </c:lineChart>
      <c:catAx>
        <c:axId val="842793472"/>
        <c:scaling>
          <c:orientation val="minMax"/>
        </c:scaling>
        <c:delete val="0"/>
        <c:axPos val="b"/>
        <c:majorTickMark val="out"/>
        <c:minorTickMark val="none"/>
        <c:tickLblPos val="nextTo"/>
        <c:crossAx val="841883648"/>
        <c:crosses val="autoZero"/>
        <c:auto val="1"/>
        <c:lblAlgn val="ctr"/>
        <c:lblOffset val="100"/>
        <c:noMultiLvlLbl val="0"/>
      </c:catAx>
      <c:valAx>
        <c:axId val="841883648"/>
        <c:scaling>
          <c:orientation val="minMax"/>
        </c:scaling>
        <c:delete val="0"/>
        <c:axPos val="l"/>
        <c:majorGridlines/>
        <c:numFmt formatCode="0.00%" sourceLinked="1"/>
        <c:majorTickMark val="out"/>
        <c:minorTickMark val="none"/>
        <c:tickLblPos val="nextTo"/>
        <c:crossAx val="84279347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64.385410227407192</c:v>
                </c:pt>
                <c:pt idx="1">
                  <c:v>0.6179991225799798</c:v>
                </c:pt>
                <c:pt idx="2">
                  <c:v>0.58557274384889602</c:v>
                </c:pt>
                <c:pt idx="3">
                  <c:v>0.64939528253335588</c:v>
                </c:pt>
                <c:pt idx="4">
                  <c:v>0.67063441942204216</c:v>
                </c:pt>
                <c:pt idx="5">
                  <c:v>0.67557801606678736</c:v>
                </c:pt>
              </c:numCache>
            </c:numRef>
          </c:val>
          <c:smooth val="0"/>
          <c:extLst xmlns:c16r2="http://schemas.microsoft.com/office/drawing/2015/06/char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46.735852353725392</c:v>
                </c:pt>
                <c:pt idx="1">
                  <c:v>0.4510818040075934</c:v>
                </c:pt>
                <c:pt idx="2">
                  <c:v>0.43071812228682949</c:v>
                </c:pt>
                <c:pt idx="3">
                  <c:v>0.47999880387544225</c:v>
                </c:pt>
                <c:pt idx="4">
                  <c:v>0.49388501042323085</c:v>
                </c:pt>
                <c:pt idx="5">
                  <c:v>0.50232093030157876</c:v>
                </c:pt>
              </c:numCache>
            </c:numRef>
          </c:val>
          <c:smooth val="0"/>
          <c:extLst xmlns:c16r2="http://schemas.microsoft.com/office/drawing/2015/06/char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64.390157140439186</c:v>
                </c:pt>
                <c:pt idx="1">
                  <c:v>0.61895566634391996</c:v>
                </c:pt>
                <c:pt idx="2">
                  <c:v>0.58642640620105013</c:v>
                </c:pt>
                <c:pt idx="3">
                  <c:v>0.65145491689782986</c:v>
                </c:pt>
                <c:pt idx="4">
                  <c:v>0.67453538454012374</c:v>
                </c:pt>
                <c:pt idx="5">
                  <c:v>0.68945412762596925</c:v>
                </c:pt>
              </c:numCache>
            </c:numRef>
          </c:val>
          <c:smooth val="0"/>
          <c:extLst xmlns:c16r2="http://schemas.microsoft.com/office/drawing/2015/06/char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46.739172994227815</c:v>
                </c:pt>
                <c:pt idx="1">
                  <c:v>0.45176215069632836</c:v>
                </c:pt>
                <c:pt idx="2">
                  <c:v>0.43133381239237978</c:v>
                </c:pt>
                <c:pt idx="3">
                  <c:v>0.48162059252992351</c:v>
                </c:pt>
                <c:pt idx="4">
                  <c:v>0.49676305183848596</c:v>
                </c:pt>
                <c:pt idx="5">
                  <c:v>0.51263840822656748</c:v>
                </c:pt>
              </c:numCache>
            </c:numRef>
          </c:val>
          <c:smooth val="0"/>
          <c:extLst xmlns:c16r2="http://schemas.microsoft.com/office/drawing/2015/06/char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842794496"/>
        <c:axId val="841885376"/>
      </c:lineChart>
      <c:catAx>
        <c:axId val="842794496"/>
        <c:scaling>
          <c:orientation val="minMax"/>
        </c:scaling>
        <c:delete val="0"/>
        <c:axPos val="b"/>
        <c:majorTickMark val="out"/>
        <c:minorTickMark val="none"/>
        <c:tickLblPos val="nextTo"/>
        <c:crossAx val="841885376"/>
        <c:crosses val="autoZero"/>
        <c:auto val="1"/>
        <c:lblAlgn val="ctr"/>
        <c:lblOffset val="100"/>
        <c:noMultiLvlLbl val="0"/>
      </c:catAx>
      <c:valAx>
        <c:axId val="841885376"/>
        <c:scaling>
          <c:orientation val="minMax"/>
        </c:scaling>
        <c:delete val="0"/>
        <c:axPos val="l"/>
        <c:majorGridlines/>
        <c:numFmt formatCode="0.00%" sourceLinked="1"/>
        <c:majorTickMark val="out"/>
        <c:minorTickMark val="none"/>
        <c:tickLblPos val="nextTo"/>
        <c:crossAx val="842794496"/>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Cache>
                <c:formatCode>General</c:formatCode>
                <c:ptCount val="1"/>
                <c:pt idx="0">
                  <c:v>50827603447.470001</c:v>
                </c:pt>
              </c:numCache>
            </c:numRef>
          </c:val>
          <c:extLst xmlns:c16r2="http://schemas.microsoft.com/office/drawing/2015/06/char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xmlns:c16r2="http://schemas.microsoft.com/office/drawing/2015/06/char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xmlns:c16r2="http://schemas.microsoft.com/office/drawing/2015/06/char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Ref>
          </c:val>
          <c:extLst xmlns:c16r2="http://schemas.microsoft.com/office/drawing/2015/06/char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Cache>
                <c:formatCode>General</c:formatCode>
                <c:ptCount val="1"/>
                <c:pt idx="0">
                  <c:v>38740072142.599998</c:v>
                </c:pt>
              </c:numCache>
            </c:numRef>
          </c:val>
          <c:extLst xmlns:c16r2="http://schemas.microsoft.com/office/drawing/2015/06/char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xmlns:c16r2="http://schemas.microsoft.com/office/drawing/2015/06/char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xmlns:c16r2="http://schemas.microsoft.com/office/drawing/2015/06/char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Ref>
          </c:val>
          <c:extLst xmlns:c16r2="http://schemas.microsoft.com/office/drawing/2015/06/char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Cache>
                <c:formatCode>General</c:formatCode>
                <c:ptCount val="1"/>
                <c:pt idx="0">
                  <c:v>23957880957.110001</c:v>
                </c:pt>
              </c:numCache>
            </c:numRef>
          </c:val>
          <c:extLst xmlns:c16r2="http://schemas.microsoft.com/office/drawing/2015/06/char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xmlns:c16r2="http://schemas.microsoft.com/office/drawing/2015/06/char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xmlns:c16r2="http://schemas.microsoft.com/office/drawing/2015/06/char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Ref>
          </c:val>
          <c:extLst xmlns:c16r2="http://schemas.microsoft.com/office/drawing/2015/06/char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Cache>
                <c:formatCode>General</c:formatCode>
                <c:ptCount val="1"/>
                <c:pt idx="0">
                  <c:v>22001714961.34</c:v>
                </c:pt>
              </c:numCache>
            </c:numRef>
          </c:val>
          <c:extLst xmlns:c16r2="http://schemas.microsoft.com/office/drawing/2015/06/char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xmlns:c16r2="http://schemas.microsoft.com/office/drawing/2015/06/char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xmlns:c16r2="http://schemas.microsoft.com/office/drawing/2015/06/char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Ref>
          </c:val>
          <c:extLst xmlns:c16r2="http://schemas.microsoft.com/office/drawing/2015/06/char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Cache>
                <c:formatCode>General</c:formatCode>
                <c:ptCount val="1"/>
                <c:pt idx="0">
                  <c:v>21882342437.330002</c:v>
                </c:pt>
              </c:numCache>
            </c:numRef>
          </c:val>
          <c:extLst xmlns:c16r2="http://schemas.microsoft.com/office/drawing/2015/06/char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xmlns:c16r2="http://schemas.microsoft.com/office/drawing/2015/06/char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xmlns:c16r2="http://schemas.microsoft.com/office/drawing/2015/06/char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Ref>
          </c:val>
          <c:extLst xmlns:c16r2="http://schemas.microsoft.com/office/drawing/2015/06/char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Cache>
                <c:formatCode>General</c:formatCode>
                <c:ptCount val="1"/>
                <c:pt idx="0">
                  <c:v>21432360425.970001</c:v>
                </c:pt>
              </c:numCache>
            </c:numRef>
          </c:val>
          <c:extLst xmlns:c16r2="http://schemas.microsoft.com/office/drawing/2015/06/char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xmlns:c16r2="http://schemas.microsoft.com/office/drawing/2015/06/char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xmlns:c16r2="http://schemas.microsoft.com/office/drawing/2015/06/char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Ref>
          </c:val>
          <c:extLst xmlns:c16r2="http://schemas.microsoft.com/office/drawing/2015/06/char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842747904"/>
        <c:axId val="841887680"/>
      </c:barChart>
      <c:catAx>
        <c:axId val="842747904"/>
        <c:scaling>
          <c:orientation val="minMax"/>
        </c:scaling>
        <c:delete val="0"/>
        <c:axPos val="b"/>
        <c:numFmt formatCode="General" sourceLinked="1"/>
        <c:majorTickMark val="out"/>
        <c:minorTickMark val="none"/>
        <c:tickLblPos val="nextTo"/>
        <c:crossAx val="841887680"/>
        <c:crosses val="autoZero"/>
        <c:auto val="1"/>
        <c:lblAlgn val="ctr"/>
        <c:lblOffset val="100"/>
        <c:noMultiLvlLbl val="0"/>
      </c:catAx>
      <c:valAx>
        <c:axId val="841887680"/>
        <c:scaling>
          <c:orientation val="minMax"/>
        </c:scaling>
        <c:delete val="0"/>
        <c:axPos val="l"/>
        <c:majorGridlines/>
        <c:numFmt formatCode="General" sourceLinked="1"/>
        <c:majorTickMark val="out"/>
        <c:minorTickMark val="none"/>
        <c:tickLblPos val="nextTo"/>
        <c:crossAx val="8427479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25025520922.637604</c:v>
                </c:pt>
                <c:pt idx="1">
                  <c:v>18619056038.22361</c:v>
                </c:pt>
                <c:pt idx="2">
                  <c:v>10690693139.582397</c:v>
                </c:pt>
                <c:pt idx="3">
                  <c:v>10430794431.846798</c:v>
                </c:pt>
                <c:pt idx="4">
                  <c:v>11259837028.270397</c:v>
                </c:pt>
                <c:pt idx="5">
                  <c:v>12321375624.579201</c:v>
                </c:pt>
              </c:numCache>
            </c:numRef>
          </c:val>
          <c:extLst xmlns:c16r2="http://schemas.microsoft.com/office/drawing/2015/06/char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842749440"/>
        <c:axId val="841891136"/>
      </c:barChart>
      <c:catAx>
        <c:axId val="842749440"/>
        <c:scaling>
          <c:orientation val="minMax"/>
        </c:scaling>
        <c:delete val="0"/>
        <c:axPos val="b"/>
        <c:majorTickMark val="out"/>
        <c:minorTickMark val="none"/>
        <c:tickLblPos val="nextTo"/>
        <c:crossAx val="841891136"/>
        <c:crosses val="autoZero"/>
        <c:auto val="1"/>
        <c:lblAlgn val="ctr"/>
        <c:lblOffset val="100"/>
        <c:noMultiLvlLbl val="0"/>
      </c:catAx>
      <c:valAx>
        <c:axId val="841891136"/>
        <c:scaling>
          <c:orientation val="minMax"/>
        </c:scaling>
        <c:delete val="0"/>
        <c:axPos val="l"/>
        <c:majorGridlines/>
        <c:numFmt formatCode="#,##0.00_ " sourceLinked="1"/>
        <c:majorTickMark val="out"/>
        <c:minorTickMark val="none"/>
        <c:tickLblPos val="nextTo"/>
        <c:crossAx val="8427494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Cache>
                <c:formatCode>General</c:formatCode>
                <c:ptCount val="1"/>
                <c:pt idx="0">
                  <c:v>117408487922.53</c:v>
                </c:pt>
              </c:numCache>
            </c:numRef>
          </c:val>
          <c:extLst xmlns:c16r2="http://schemas.microsoft.com/office/drawing/2015/06/char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xmlns:c16r2="http://schemas.microsoft.com/office/drawing/2015/06/char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xmlns:c16r2="http://schemas.microsoft.com/office/drawing/2015/06/char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Ref>
          </c:val>
          <c:extLst xmlns:c16r2="http://schemas.microsoft.com/office/drawing/2015/06/char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Cache>
                <c:formatCode>General</c:formatCode>
                <c:ptCount val="1"/>
                <c:pt idx="0">
                  <c:v>96019627475.080002</c:v>
                </c:pt>
              </c:numCache>
            </c:numRef>
          </c:val>
          <c:extLst xmlns:c16r2="http://schemas.microsoft.com/office/drawing/2015/06/char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xmlns:c16r2="http://schemas.microsoft.com/office/drawing/2015/06/char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xmlns:c16r2="http://schemas.microsoft.com/office/drawing/2015/06/char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Ref>
          </c:val>
          <c:extLst xmlns:c16r2="http://schemas.microsoft.com/office/drawing/2015/06/char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Cache>
                <c:formatCode>General</c:formatCode>
                <c:ptCount val="1"/>
                <c:pt idx="0">
                  <c:v>75898542854.720001</c:v>
                </c:pt>
              </c:numCache>
            </c:numRef>
          </c:val>
          <c:extLst xmlns:c16r2="http://schemas.microsoft.com/office/drawing/2015/06/char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xmlns:c16r2="http://schemas.microsoft.com/office/drawing/2015/06/char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xmlns:c16r2="http://schemas.microsoft.com/office/drawing/2015/06/char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Ref>
          </c:val>
          <c:extLst xmlns:c16r2="http://schemas.microsoft.com/office/drawing/2015/06/char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Cache>
                <c:formatCode>General</c:formatCode>
                <c:ptCount val="1"/>
                <c:pt idx="0">
                  <c:v>66234170421.290001</c:v>
                </c:pt>
              </c:numCache>
            </c:numRef>
          </c:val>
          <c:extLst xmlns:c16r2="http://schemas.microsoft.com/office/drawing/2015/06/char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xmlns:c16r2="http://schemas.microsoft.com/office/drawing/2015/06/char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xmlns:c16r2="http://schemas.microsoft.com/office/drawing/2015/06/char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Ref>
          </c:val>
          <c:extLst xmlns:c16r2="http://schemas.microsoft.com/office/drawing/2015/06/char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Cache>
                <c:formatCode>General</c:formatCode>
                <c:ptCount val="1"/>
                <c:pt idx="0">
                  <c:v>55311550841.120003</c:v>
                </c:pt>
              </c:numCache>
            </c:numRef>
          </c:val>
          <c:extLst xmlns:c16r2="http://schemas.microsoft.com/office/drawing/2015/06/char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xmlns:c16r2="http://schemas.microsoft.com/office/drawing/2015/06/char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xmlns:c16r2="http://schemas.microsoft.com/office/drawing/2015/06/char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Ref>
          </c:val>
          <c:extLst xmlns:c16r2="http://schemas.microsoft.com/office/drawing/2015/06/char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Cache>
                <c:formatCode>General</c:formatCode>
                <c:ptCount val="1"/>
                <c:pt idx="0">
                  <c:v>44129092273.260002</c:v>
                </c:pt>
              </c:numCache>
            </c:numRef>
          </c:val>
          <c:extLst xmlns:c16r2="http://schemas.microsoft.com/office/drawing/2015/06/char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xmlns:c16r2="http://schemas.microsoft.com/office/drawing/2015/06/char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xmlns:c16r2="http://schemas.microsoft.com/office/drawing/2015/06/char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Ref>
          </c:val>
          <c:extLst xmlns:c16r2="http://schemas.microsoft.com/office/drawing/2015/06/char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842750464"/>
        <c:axId val="842990720"/>
      </c:barChart>
      <c:catAx>
        <c:axId val="842750464"/>
        <c:scaling>
          <c:orientation val="minMax"/>
        </c:scaling>
        <c:delete val="0"/>
        <c:axPos val="b"/>
        <c:numFmt formatCode="General" sourceLinked="0"/>
        <c:majorTickMark val="out"/>
        <c:minorTickMark val="none"/>
        <c:tickLblPos val="nextTo"/>
        <c:crossAx val="842990720"/>
        <c:crosses val="autoZero"/>
        <c:auto val="1"/>
        <c:lblAlgn val="ctr"/>
        <c:lblOffset val="100"/>
        <c:noMultiLvlLbl val="0"/>
      </c:catAx>
      <c:valAx>
        <c:axId val="842990720"/>
        <c:scaling>
          <c:orientation val="minMax"/>
        </c:scaling>
        <c:delete val="0"/>
        <c:axPos val="l"/>
        <c:majorGridlines/>
        <c:numFmt formatCode="General" sourceLinked="1"/>
        <c:majorTickMark val="out"/>
        <c:minorTickMark val="none"/>
        <c:tickLblPos val="nextTo"/>
        <c:crossAx val="8427504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1"/>
                <c:pt idx="0">
                  <c:v>(10)期初长期资产净值 23,060,295,953.76  22,724,989,474.84  21,614,145,955.47  21,564,032,140.22  21,547,653,404.44  21,267,949,399.18  20,232,592,117.09  19,068,774,757.83  18,311,646,536.52  18,298,236,150.31  16,656,795,222.92  16,579,774,564.63  15,583,608,259</c:v>
                </c:pt>
              </c:strCache>
            </c:strRef>
          </c:tx>
          <c:invertIfNegative val="0"/>
          <c:cat>
            <c:multiLvlStrRef>
              <c:f>投资和筹资活动现金流表!$E$12</c:f>
            </c:multiLvlStrRef>
          </c:cat>
          <c:val>
            <c:numRef>
              <c:f>投资和筹资活动现金流表!$E$12:$U$12</c:f>
              <c:numCache>
                <c:formatCode>#,##0.00_ </c:formatCode>
                <c:ptCount val="4"/>
                <c:pt idx="0">
                  <c:v>22724989474.84</c:v>
                </c:pt>
                <c:pt idx="1">
                  <c:v>21267949399.18</c:v>
                </c:pt>
                <c:pt idx="2">
                  <c:v>18298236150.310001</c:v>
                </c:pt>
                <c:pt idx="3">
                  <c:v>13522567242.82</c:v>
                </c:pt>
              </c:numCache>
            </c:numRef>
          </c:val>
          <c:extLst xmlns:c16r2="http://schemas.microsoft.com/office/drawing/2015/06/char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843338240"/>
        <c:axId val="842994176"/>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1">
                  <c:v>-1.8154878551507203E-4</c:v>
                </c:pt>
                <c:pt idx="2">
                  <c:v>3.9035973582484144E-3</c:v>
                </c:pt>
                <c:pt idx="3">
                  <c:v>6.5829747532228255E-2</c:v>
                </c:pt>
                <c:pt idx="4">
                  <c:v>0.26466265749798934</c:v>
                </c:pt>
              </c:numCache>
            </c:numRef>
          </c:val>
          <c:smooth val="0"/>
          <c:extLst xmlns:c16r2="http://schemas.microsoft.com/office/drawing/2015/06/char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843340800"/>
        <c:axId val="842994752"/>
      </c:lineChart>
      <c:valAx>
        <c:axId val="842994176"/>
        <c:scaling>
          <c:orientation val="minMax"/>
        </c:scaling>
        <c:delete val="0"/>
        <c:axPos val="r"/>
        <c:numFmt formatCode="#,##0.00_ " sourceLinked="1"/>
        <c:majorTickMark val="out"/>
        <c:minorTickMark val="none"/>
        <c:tickLblPos val="nextTo"/>
        <c:crossAx val="843338240"/>
        <c:crosses val="max"/>
        <c:crossBetween val="between"/>
      </c:valAx>
      <c:catAx>
        <c:axId val="843338240"/>
        <c:scaling>
          <c:orientation val="minMax"/>
        </c:scaling>
        <c:delete val="1"/>
        <c:axPos val="b"/>
        <c:numFmt formatCode="#,##0.00_ " sourceLinked="1"/>
        <c:majorTickMark val="out"/>
        <c:minorTickMark val="none"/>
        <c:tickLblPos val="nextTo"/>
        <c:crossAx val="842994176"/>
        <c:crosses val="autoZero"/>
        <c:auto val="1"/>
        <c:lblAlgn val="ctr"/>
        <c:lblOffset val="100"/>
        <c:noMultiLvlLbl val="0"/>
      </c:catAx>
      <c:valAx>
        <c:axId val="842994752"/>
        <c:scaling>
          <c:orientation val="minMax"/>
        </c:scaling>
        <c:delete val="0"/>
        <c:axPos val="l"/>
        <c:numFmt formatCode="0.00%" sourceLinked="1"/>
        <c:majorTickMark val="out"/>
        <c:minorTickMark val="none"/>
        <c:tickLblPos val="nextTo"/>
        <c:crossAx val="843340800"/>
        <c:crosses val="autoZero"/>
        <c:crossBetween val="between"/>
      </c:valAx>
      <c:catAx>
        <c:axId val="843340800"/>
        <c:scaling>
          <c:orientation val="minMax"/>
        </c:scaling>
        <c:delete val="1"/>
        <c:axPos val="b"/>
        <c:majorTickMark val="out"/>
        <c:minorTickMark val="none"/>
        <c:tickLblPos val="nextTo"/>
        <c:crossAx val="84299475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1">
                  <c:v>19.691574634773701</c:v>
                </c:pt>
                <c:pt idx="2">
                  <c:v>36.749840269244572</c:v>
                </c:pt>
                <c:pt idx="3">
                  <c:v>8.4943542672814765</c:v>
                </c:pt>
                <c:pt idx="4">
                  <c:v>2.8574949081304712</c:v>
                </c:pt>
                <c:pt idx="5">
                  <c:v>2.3410346780486413</c:v>
                </c:pt>
              </c:numCache>
            </c:numRef>
          </c:val>
          <c:smooth val="0"/>
          <c:extLst xmlns:c16r2="http://schemas.microsoft.com/office/drawing/2015/06/char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830117376"/>
        <c:axId val="842997056"/>
      </c:lineChart>
      <c:catAx>
        <c:axId val="830117376"/>
        <c:scaling>
          <c:orientation val="minMax"/>
        </c:scaling>
        <c:delete val="0"/>
        <c:axPos val="b"/>
        <c:majorTickMark val="out"/>
        <c:minorTickMark val="none"/>
        <c:tickLblPos val="nextTo"/>
        <c:crossAx val="842997056"/>
        <c:crosses val="autoZero"/>
        <c:auto val="1"/>
        <c:lblAlgn val="ctr"/>
        <c:lblOffset val="100"/>
        <c:noMultiLvlLbl val="0"/>
      </c:catAx>
      <c:valAx>
        <c:axId val="842997056"/>
        <c:scaling>
          <c:orientation val="minMax"/>
        </c:scaling>
        <c:delete val="0"/>
        <c:axPos val="l"/>
        <c:majorGridlines/>
        <c:numFmt formatCode="#,##0.00_ " sourceLinked="1"/>
        <c:majorTickMark val="out"/>
        <c:minorTickMark val="none"/>
        <c:tickLblPos val="nextTo"/>
        <c:crossAx val="83011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1">
                  <c:v>1125000742.45</c:v>
                </c:pt>
                <c:pt idx="2">
                  <c:v>1019086052.42</c:v>
                </c:pt>
                <c:pt idx="3">
                  <c:v>2052697543.9299998</c:v>
                </c:pt>
                <c:pt idx="4">
                  <c:v>4420838126.6599998</c:v>
                </c:pt>
                <c:pt idx="5">
                  <c:v>5405740026.2299995</c:v>
                </c:pt>
              </c:numCache>
            </c:numRef>
          </c:val>
          <c:extLst xmlns:c16r2="http://schemas.microsoft.com/office/drawing/2015/06/char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41385234406.720001</c:v>
                </c:pt>
                <c:pt idx="1">
                  <c:v>22153036084.130001</c:v>
                </c:pt>
                <c:pt idx="2">
                  <c:v>37451249647.050003</c:v>
                </c:pt>
                <c:pt idx="3">
                  <c:v>17436340141.720001</c:v>
                </c:pt>
                <c:pt idx="4">
                  <c:v>12632522436.6</c:v>
                </c:pt>
                <c:pt idx="5">
                  <c:v>12655024861.92</c:v>
                </c:pt>
              </c:numCache>
            </c:numRef>
          </c:val>
          <c:extLst xmlns:c16r2="http://schemas.microsoft.com/office/drawing/2015/06/char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-16441093160.059999</c:v>
                </c:pt>
                <c:pt idx="1">
                  <c:v>-8899177880.7999992</c:v>
                </c:pt>
                <c:pt idx="2">
                  <c:v>-8334512252.2299995</c:v>
                </c:pt>
                <c:pt idx="3">
                  <c:v>-5588019638.6099997</c:v>
                </c:pt>
                <c:pt idx="4">
                  <c:v>-5041426729.3299999</c:v>
                </c:pt>
                <c:pt idx="5">
                  <c:v>-7385971074.4700003</c:v>
                </c:pt>
              </c:numCache>
            </c:numRef>
          </c:val>
          <c:extLst xmlns:c16r2="http://schemas.microsoft.com/office/drawing/2015/06/char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830118400"/>
        <c:axId val="843383936"/>
      </c:barChart>
      <c:catAx>
        <c:axId val="830118400"/>
        <c:scaling>
          <c:orientation val="minMax"/>
        </c:scaling>
        <c:delete val="0"/>
        <c:axPos val="b"/>
        <c:majorTickMark val="none"/>
        <c:minorTickMark val="none"/>
        <c:tickLblPos val="nextTo"/>
        <c:crossAx val="843383936"/>
        <c:crosses val="autoZero"/>
        <c:auto val="1"/>
        <c:lblAlgn val="ctr"/>
        <c:lblOffset val="100"/>
        <c:noMultiLvlLbl val="0"/>
      </c:catAx>
      <c:valAx>
        <c:axId val="843383936"/>
        <c:scaling>
          <c:orientation val="minMax"/>
        </c:scaling>
        <c:delete val="0"/>
        <c:axPos val="l"/>
        <c:majorGridlines/>
        <c:numFmt formatCode="#,##0.00_ " sourceLinked="1"/>
        <c:majorTickMark val="none"/>
        <c:minorTickMark val="none"/>
        <c:tickLblPos val="nextTo"/>
        <c:crossAx val="830118400"/>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1">
                  <c:v>6000000</c:v>
                </c:pt>
                <c:pt idx="2">
                  <c:v>16000000</c:v>
                </c:pt>
                <c:pt idx="3">
                  <c:v>0</c:v>
                </c:pt>
                <c:pt idx="4">
                  <c:v>34800000</c:v>
                </c:pt>
                <c:pt idx="5">
                  <c:v>6000000</c:v>
                </c:pt>
              </c:numCache>
            </c:numRef>
          </c:val>
          <c:extLst xmlns:c16r2="http://schemas.microsoft.com/office/drawing/2015/06/char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1">
                  <c:v>-23414593.670000002</c:v>
                </c:pt>
                <c:pt idx="2">
                  <c:v>-34481635.329999998</c:v>
                </c:pt>
                <c:pt idx="3">
                  <c:v>-83327119.400000006</c:v>
                </c:pt>
                <c:pt idx="4">
                  <c:v>52017409.090000004</c:v>
                </c:pt>
                <c:pt idx="5">
                  <c:v>-27383888.890000001</c:v>
                </c:pt>
              </c:numCache>
            </c:numRef>
          </c:val>
          <c:extLst xmlns:c16r2="http://schemas.microsoft.com/office/drawing/2015/06/char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830119424"/>
        <c:axId val="843386240"/>
      </c:barChart>
      <c:catAx>
        <c:axId val="830119424"/>
        <c:scaling>
          <c:orientation val="minMax"/>
        </c:scaling>
        <c:delete val="0"/>
        <c:axPos val="b"/>
        <c:majorTickMark val="out"/>
        <c:minorTickMark val="none"/>
        <c:tickLblPos val="nextTo"/>
        <c:crossAx val="843386240"/>
        <c:crosses val="autoZero"/>
        <c:auto val="1"/>
        <c:lblAlgn val="ctr"/>
        <c:lblOffset val="100"/>
        <c:noMultiLvlLbl val="0"/>
      </c:catAx>
      <c:valAx>
        <c:axId val="843386240"/>
        <c:scaling>
          <c:orientation val="minMax"/>
        </c:scaling>
        <c:delete val="0"/>
        <c:axPos val="l"/>
        <c:majorGridlines/>
        <c:numFmt formatCode="#,##0.00_ " sourceLinked="1"/>
        <c:majorTickMark val="out"/>
        <c:minorTickMark val="none"/>
        <c:tickLblPos val="nextTo"/>
        <c:crossAx val="8301194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67382607</c:v>
                </c:pt>
                <c:pt idx="5">
                  <c:v>0</c:v>
                </c:pt>
              </c:numCache>
            </c:numRef>
          </c:val>
          <c:extLst xmlns:c16r2="http://schemas.microsoft.com/office/drawing/2015/06/char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844145152"/>
        <c:axId val="843387968"/>
      </c:barChart>
      <c:catAx>
        <c:axId val="844145152"/>
        <c:scaling>
          <c:orientation val="minMax"/>
        </c:scaling>
        <c:delete val="0"/>
        <c:axPos val="b"/>
        <c:majorTickMark val="out"/>
        <c:minorTickMark val="none"/>
        <c:tickLblPos val="nextTo"/>
        <c:crossAx val="843387968"/>
        <c:crosses val="autoZero"/>
        <c:auto val="1"/>
        <c:lblAlgn val="ctr"/>
        <c:lblOffset val="100"/>
        <c:noMultiLvlLbl val="0"/>
      </c:catAx>
      <c:valAx>
        <c:axId val="843387968"/>
        <c:scaling>
          <c:orientation val="minMax"/>
        </c:scaling>
        <c:delete val="0"/>
        <c:axPos val="l"/>
        <c:majorGridlines/>
        <c:numFmt formatCode="General" sourceLinked="1"/>
        <c:majorTickMark val="out"/>
        <c:minorTickMark val="none"/>
        <c:tickLblPos val="nextTo"/>
        <c:crossAx val="8441451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1">
                  <c:v>-49482717.090000004</c:v>
                </c:pt>
                <c:pt idx="2">
                  <c:v>-188247140</c:v>
                </c:pt>
                <c:pt idx="3">
                  <c:v>0</c:v>
                </c:pt>
                <c:pt idx="4">
                  <c:v>-139350000</c:v>
                </c:pt>
                <c:pt idx="5">
                  <c:v>-3912667.3800000008</c:v>
                </c:pt>
              </c:numCache>
            </c:numRef>
          </c:val>
          <c:extLst xmlns:c16r2="http://schemas.microsoft.com/office/drawing/2015/06/char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844147200"/>
        <c:axId val="843389696"/>
      </c:barChart>
      <c:catAx>
        <c:axId val="844147200"/>
        <c:scaling>
          <c:orientation val="minMax"/>
        </c:scaling>
        <c:delete val="0"/>
        <c:axPos val="b"/>
        <c:majorTickMark val="out"/>
        <c:minorTickMark val="none"/>
        <c:tickLblPos val="nextTo"/>
        <c:crossAx val="843389696"/>
        <c:crosses val="autoZero"/>
        <c:auto val="1"/>
        <c:lblAlgn val="ctr"/>
        <c:lblOffset val="100"/>
        <c:noMultiLvlLbl val="0"/>
      </c:catAx>
      <c:valAx>
        <c:axId val="843389696"/>
        <c:scaling>
          <c:orientation val="minMax"/>
        </c:scaling>
        <c:delete val="0"/>
        <c:axPos val="l"/>
        <c:majorGridlines/>
        <c:numFmt formatCode="#,##0.00_ " sourceLinked="1"/>
        <c:majorTickMark val="out"/>
        <c:minorTickMark val="none"/>
        <c:tickLblPos val="nextTo"/>
        <c:crossAx val="8441472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1">
                  <c:v>23414593.670000002</c:v>
                </c:pt>
                <c:pt idx="2">
                  <c:v>34481635.329999998</c:v>
                </c:pt>
                <c:pt idx="3">
                  <c:v>27409447.399999999</c:v>
                </c:pt>
                <c:pt idx="4">
                  <c:v>77917681.909999996</c:v>
                </c:pt>
                <c:pt idx="5">
                  <c:v>27383888.890000001</c:v>
                </c:pt>
              </c:numCache>
            </c:numRef>
          </c:val>
          <c:extLst xmlns:c16r2="http://schemas.microsoft.com/office/drawing/2015/06/char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1">
                  <c:v>96019627475.080002</c:v>
                </c:pt>
                <c:pt idx="2">
                  <c:v>75898542854.720001</c:v>
                </c:pt>
                <c:pt idx="3">
                  <c:v>66234170421.290001</c:v>
                </c:pt>
                <c:pt idx="4">
                  <c:v>55311550841.119995</c:v>
                </c:pt>
                <c:pt idx="5">
                  <c:v>44129092273.259995</c:v>
                </c:pt>
              </c:numCache>
            </c:numRef>
          </c:val>
          <c:extLst xmlns:c16r2="http://schemas.microsoft.com/office/drawing/2015/06/char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1">
                  <c:v>106505655822.89</c:v>
                </c:pt>
                <c:pt idx="2">
                  <c:v>86321842822.179993</c:v>
                </c:pt>
                <c:pt idx="3">
                  <c:v>72229202167.820007</c:v>
                </c:pt>
                <c:pt idx="4">
                  <c:v>59345919232.220001</c:v>
                </c:pt>
                <c:pt idx="5">
                  <c:v>46929665261.690002</c:v>
                </c:pt>
              </c:numCache>
            </c:numRef>
          </c:val>
          <c:extLst xmlns:c16r2="http://schemas.microsoft.com/office/drawing/2015/06/char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844404224"/>
        <c:axId val="844309056"/>
      </c:barChart>
      <c:catAx>
        <c:axId val="844404224"/>
        <c:scaling>
          <c:orientation val="minMax"/>
        </c:scaling>
        <c:delete val="0"/>
        <c:axPos val="b"/>
        <c:majorTickMark val="out"/>
        <c:minorTickMark val="none"/>
        <c:tickLblPos val="nextTo"/>
        <c:crossAx val="844309056"/>
        <c:crosses val="autoZero"/>
        <c:auto val="1"/>
        <c:lblAlgn val="ctr"/>
        <c:lblOffset val="100"/>
        <c:noMultiLvlLbl val="0"/>
      </c:catAx>
      <c:valAx>
        <c:axId val="844309056"/>
        <c:scaling>
          <c:orientation val="minMax"/>
        </c:scaling>
        <c:delete val="0"/>
        <c:axPos val="l"/>
        <c:majorGridlines/>
        <c:numFmt formatCode="#,##0.00_ " sourceLinked="1"/>
        <c:majorTickMark val="out"/>
        <c:minorTickMark val="none"/>
        <c:tickLblPos val="nextTo"/>
        <c:crossAx val="844404224"/>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1">
                  <c:v>7.212358948129674E-2</c:v>
                </c:pt>
                <c:pt idx="2">
                  <c:v>7.034005797218057E-2</c:v>
                </c:pt>
                <c:pt idx="3">
                  <c:v>7.3359991176310188E-2</c:v>
                </c:pt>
                <c:pt idx="4">
                  <c:v>7.4561555782376804E-2</c:v>
                </c:pt>
                <c:pt idx="5">
                  <c:v>7.5225922924762573E-2</c:v>
                </c:pt>
                <c:pt idx="6">
                  <c:v>0.08</c:v>
                </c:pt>
                <c:pt idx="7">
                  <c:v>7.9999999999999988E-2</c:v>
                </c:pt>
                <c:pt idx="8">
                  <c:v>7.864920654170085E-2</c:v>
                </c:pt>
                <c:pt idx="9">
                  <c:v>7.9257773923000943E-2</c:v>
                </c:pt>
                <c:pt idx="10">
                  <c:v>0.08</c:v>
                </c:pt>
                <c:pt idx="11">
                  <c:v>7.9602343269350853E-2</c:v>
                </c:pt>
                <c:pt idx="12">
                  <c:v>7.9880602912159149E-2</c:v>
                </c:pt>
                <c:pt idx="13">
                  <c:v>7.927972887614386E-2</c:v>
                </c:pt>
                <c:pt idx="14">
                  <c:v>7.9388320893920061E-2</c:v>
                </c:pt>
                <c:pt idx="15">
                  <c:v>7.9644880550300806E-2</c:v>
                </c:pt>
                <c:pt idx="16">
                  <c:v>7.8202287466264689E-2</c:v>
                </c:pt>
                <c:pt idx="17">
                  <c:v>7.5346049007486884E-2</c:v>
                </c:pt>
                <c:pt idx="18">
                  <c:v>7.5732154235819624E-2</c:v>
                </c:pt>
                <c:pt idx="19">
                  <c:v>4.9939965198568956E-2</c:v>
                </c:pt>
              </c:numCache>
            </c:numRef>
          </c:val>
          <c:smooth val="0"/>
          <c:extLst xmlns:c16r2="http://schemas.microsoft.com/office/drawing/2015/06/char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830390272"/>
        <c:axId val="844311360"/>
      </c:lineChart>
      <c:catAx>
        <c:axId val="83039027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844311360"/>
        <c:crosses val="autoZero"/>
        <c:auto val="1"/>
        <c:lblAlgn val="ctr"/>
        <c:lblOffset val="100"/>
        <c:noMultiLvlLbl val="0"/>
      </c:catAx>
      <c:valAx>
        <c:axId val="84431136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830390272"/>
        <c:crosses val="autoZero"/>
        <c:crossBetween val="between"/>
      </c:valAx>
      <c:spPr>
        <a:noFill/>
        <a:ln>
          <a:noFill/>
        </a:ln>
        <a:effectLst/>
      </c:spPr>
    </c:plotArea>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1">
                  <c:v>0.31432597233703691</c:v>
                </c:pt>
                <c:pt idx="2">
                  <c:v>0.81633768981558341</c:v>
                </c:pt>
                <c:pt idx="3">
                  <c:v>0.32447909223970356</c:v>
                </c:pt>
                <c:pt idx="4">
                  <c:v>9.2967860075320333E-2</c:v>
                </c:pt>
                <c:pt idx="5">
                  <c:v>0.14021439986103212</c:v>
                </c:pt>
              </c:numCache>
            </c:numRef>
          </c:val>
          <c:smooth val="0"/>
          <c:extLst xmlns:c16r2="http://schemas.microsoft.com/office/drawing/2015/06/char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1">
                  <c:v>0</c:v>
                </c:pt>
                <c:pt idx="2">
                  <c:v>0</c:v>
                </c:pt>
                <c:pt idx="3">
                  <c:v>0</c:v>
                </c:pt>
                <c:pt idx="4">
                  <c:v>-1</c:v>
                </c:pt>
                <c:pt idx="5">
                  <c:v>0</c:v>
                </c:pt>
              </c:numCache>
            </c:numRef>
          </c:val>
          <c:smooth val="0"/>
          <c:extLst xmlns:c16r2="http://schemas.microsoft.com/office/drawing/2015/06/char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1">
                  <c:v>0.15682259478393284</c:v>
                </c:pt>
                <c:pt idx="2">
                  <c:v>-1.2440535098125545</c:v>
                </c:pt>
                <c:pt idx="3">
                  <c:v>5.9898251649523213E-2</c:v>
                </c:pt>
                <c:pt idx="4">
                  <c:v>0.64963960100407181</c:v>
                </c:pt>
                <c:pt idx="5">
                  <c:v>0.84495910184448575</c:v>
                </c:pt>
              </c:numCache>
            </c:numRef>
          </c:val>
          <c:smooth val="0"/>
          <c:extLst xmlns:c16r2="http://schemas.microsoft.com/office/drawing/2015/06/char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1">
                  <c:v>5.8968824917012774E-2</c:v>
                </c:pt>
                <c:pt idx="2">
                  <c:v>-0.18933267943213244</c:v>
                </c:pt>
                <c:pt idx="3">
                  <c:v>0.421586130846683</c:v>
                </c:pt>
                <c:pt idx="4">
                  <c:v>0.1945668794132886</c:v>
                </c:pt>
                <c:pt idx="5">
                  <c:v>0.19135287282852845</c:v>
                </c:pt>
              </c:numCache>
            </c:numRef>
          </c:val>
          <c:smooth val="0"/>
          <c:extLst xmlns:c16r2="http://schemas.microsoft.com/office/drawing/2015/06/char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1">
                  <c:v>7.176095214763327E-2</c:v>
                </c:pt>
                <c:pt idx="2">
                  <c:v>0.86343153976096143</c:v>
                </c:pt>
                <c:pt idx="3">
                  <c:v>1.1559262928520666</c:v>
                </c:pt>
                <c:pt idx="4">
                  <c:v>-0.23429442665843941</c:v>
                </c:pt>
                <c:pt idx="5">
                  <c:v>-0.10683871596459484</c:v>
                </c:pt>
              </c:numCache>
            </c:numRef>
          </c:val>
          <c:smooth val="0"/>
          <c:extLst xmlns:c16r2="http://schemas.microsoft.com/office/drawing/2015/06/char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1">
                  <c:v>-1.6121272947916116E-2</c:v>
                </c:pt>
                <c:pt idx="2">
                  <c:v>6.6626346799904881E-2</c:v>
                </c:pt>
                <c:pt idx="3">
                  <c:v>0.16702103986390313</c:v>
                </c:pt>
                <c:pt idx="4">
                  <c:v>0.36099357606423155</c:v>
                </c:pt>
                <c:pt idx="5">
                  <c:v>0.53433153917060705</c:v>
                </c:pt>
              </c:numCache>
            </c:numRef>
          </c:val>
          <c:smooth val="0"/>
          <c:extLst xmlns:c16r2="http://schemas.microsoft.com/office/drawing/2015/06/char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1">
                  <c:v>-0.3209546633761699</c:v>
                </c:pt>
                <c:pt idx="2">
                  <c:v>0.25802008434507878</c:v>
                </c:pt>
                <c:pt idx="3">
                  <c:v>-0.64822557950761805</c:v>
                </c:pt>
                <c:pt idx="4">
                  <c:v>1.8453840951149139</c:v>
                </c:pt>
                <c:pt idx="5">
                  <c:v>0</c:v>
                </c:pt>
              </c:numCache>
            </c:numRef>
          </c:val>
          <c:smooth val="0"/>
          <c:extLst xmlns:c16r2="http://schemas.microsoft.com/office/drawing/2015/06/char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830391296"/>
        <c:axId val="844313088"/>
      </c:lineChart>
      <c:catAx>
        <c:axId val="830391296"/>
        <c:scaling>
          <c:orientation val="minMax"/>
        </c:scaling>
        <c:delete val="0"/>
        <c:axPos val="b"/>
        <c:majorTickMark val="out"/>
        <c:minorTickMark val="none"/>
        <c:tickLblPos val="nextTo"/>
        <c:crossAx val="844313088"/>
        <c:crosses val="autoZero"/>
        <c:auto val="1"/>
        <c:lblAlgn val="ctr"/>
        <c:lblOffset val="100"/>
        <c:noMultiLvlLbl val="0"/>
      </c:catAx>
      <c:valAx>
        <c:axId val="844313088"/>
        <c:scaling>
          <c:orientation val="minMax"/>
        </c:scaling>
        <c:delete val="0"/>
        <c:axPos val="l"/>
        <c:majorGridlines/>
        <c:numFmt formatCode="0.00%" sourceLinked="1"/>
        <c:majorTickMark val="out"/>
        <c:minorTickMark val="none"/>
        <c:tickLblPos val="nextTo"/>
        <c:crossAx val="830391296"/>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1">
                  <c:v>0.82786663156981499</c:v>
                </c:pt>
                <c:pt idx="2">
                  <c:v>0.77715788146835807</c:v>
                </c:pt>
                <c:pt idx="3">
                  <c:v>0.51135269168161079</c:v>
                </c:pt>
                <c:pt idx="4">
                  <c:v>0.46989129098197713</c:v>
                </c:pt>
                <c:pt idx="5">
                  <c:v>0.54366754667090933</c:v>
                </c:pt>
              </c:numCache>
            </c:numRef>
          </c:val>
          <c:smooth val="0"/>
          <c:extLst xmlns:c16r2="http://schemas.microsoft.com/office/drawing/2015/06/char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1">
                  <c:v>0</c:v>
                </c:pt>
                <c:pt idx="2">
                  <c:v>0</c:v>
                </c:pt>
                <c:pt idx="3">
                  <c:v>0</c:v>
                </c:pt>
                <c:pt idx="4">
                  <c:v>0</c:v>
                </c:pt>
                <c:pt idx="5">
                  <c:v>8.5233934179907992E-5</c:v>
                </c:pt>
              </c:numCache>
            </c:numRef>
          </c:val>
          <c:smooth val="0"/>
          <c:extLst xmlns:c16r2="http://schemas.microsoft.com/office/drawing/2015/06/char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1">
                  <c:v>0.20936710582357251</c:v>
                </c:pt>
                <c:pt idx="2">
                  <c:v>0.26255412554731222</c:v>
                </c:pt>
                <c:pt idx="3">
                  <c:v>0.29418086814541528</c:v>
                </c:pt>
                <c:pt idx="4">
                  <c:v>0.30680165352337913</c:v>
                </c:pt>
                <c:pt idx="5">
                  <c:v>0.28506573972392824</c:v>
                </c:pt>
              </c:numCache>
            </c:numRef>
          </c:val>
          <c:smooth val="0"/>
          <c:extLst xmlns:c16r2="http://schemas.microsoft.com/office/drawing/2015/06/char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1">
                  <c:v>1</c:v>
                </c:pt>
                <c:pt idx="2">
                  <c:v>1</c:v>
                </c:pt>
                <c:pt idx="3">
                  <c:v>1</c:v>
                </c:pt>
                <c:pt idx="4">
                  <c:v>1</c:v>
                </c:pt>
                <c:pt idx="5">
                  <c:v>1</c:v>
                </c:pt>
              </c:numCache>
            </c:numRef>
          </c:val>
          <c:smooth val="0"/>
          <c:extLst xmlns:c16r2="http://schemas.microsoft.com/office/drawing/2015/06/char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843796992"/>
        <c:axId val="844315392"/>
      </c:lineChart>
      <c:catAx>
        <c:axId val="843796992"/>
        <c:scaling>
          <c:orientation val="minMax"/>
        </c:scaling>
        <c:delete val="0"/>
        <c:axPos val="b"/>
        <c:majorTickMark val="out"/>
        <c:minorTickMark val="none"/>
        <c:tickLblPos val="nextTo"/>
        <c:crossAx val="844315392"/>
        <c:crosses val="autoZero"/>
        <c:auto val="1"/>
        <c:lblAlgn val="ctr"/>
        <c:lblOffset val="100"/>
        <c:noMultiLvlLbl val="0"/>
      </c:catAx>
      <c:valAx>
        <c:axId val="844315392"/>
        <c:scaling>
          <c:orientation val="minMax"/>
        </c:scaling>
        <c:delete val="0"/>
        <c:axPos val="l"/>
        <c:majorGridlines/>
        <c:numFmt formatCode="0.00%" sourceLinked="1"/>
        <c:majorTickMark val="out"/>
        <c:minorTickMark val="none"/>
        <c:tickLblPos val="nextTo"/>
        <c:crossAx val="843796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1">
                  <c:v>-21.228410195863475</c:v>
                </c:pt>
                <c:pt idx="2">
                  <c:v>-18.559787718992826</c:v>
                </c:pt>
                <c:pt idx="3">
                  <c:v>3.6275650054397475</c:v>
                </c:pt>
                <c:pt idx="4">
                  <c:v>3.0983589125274191</c:v>
                </c:pt>
                <c:pt idx="5">
                  <c:v>4.1725630516159118</c:v>
                </c:pt>
              </c:numCache>
            </c:numRef>
          </c:val>
          <c:smooth val="0"/>
          <c:extLst xmlns:c16r2="http://schemas.microsoft.com/office/drawing/2015/06/char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843798528"/>
        <c:axId val="828335232"/>
      </c:lineChart>
      <c:catAx>
        <c:axId val="843798528"/>
        <c:scaling>
          <c:orientation val="minMax"/>
        </c:scaling>
        <c:delete val="0"/>
        <c:axPos val="b"/>
        <c:majorTickMark val="out"/>
        <c:minorTickMark val="none"/>
        <c:tickLblPos val="nextTo"/>
        <c:crossAx val="828335232"/>
        <c:crosses val="autoZero"/>
        <c:auto val="1"/>
        <c:lblAlgn val="ctr"/>
        <c:lblOffset val="100"/>
        <c:noMultiLvlLbl val="0"/>
      </c:catAx>
      <c:valAx>
        <c:axId val="828335232"/>
        <c:scaling>
          <c:orientation val="minMax"/>
        </c:scaling>
        <c:delete val="0"/>
        <c:axPos val="l"/>
        <c:majorGridlines/>
        <c:numFmt formatCode="0.00%" sourceLinked="1"/>
        <c:majorTickMark val="out"/>
        <c:minorTickMark val="none"/>
        <c:tickLblPos val="nextTo"/>
        <c:crossAx val="843798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1">
                  <c:v>88172478529.229996</c:v>
                </c:pt>
                <c:pt idx="2">
                  <c:v>67085700492.129997</c:v>
                </c:pt>
                <c:pt idx="3">
                  <c:v>36934596946.529999</c:v>
                </c:pt>
                <c:pt idx="4">
                  <c:v>27886130602.540001</c:v>
                </c:pt>
                <c:pt idx="5">
                  <c:v>25514135978.91</c:v>
                </c:pt>
              </c:numCache>
            </c:numRef>
          </c:val>
          <c:extLst xmlns:c16r2="http://schemas.microsoft.com/office/drawing/2015/06/char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1">
                  <c:v>0</c:v>
                </c:pt>
                <c:pt idx="2">
                  <c:v>0</c:v>
                </c:pt>
                <c:pt idx="3">
                  <c:v>0</c:v>
                </c:pt>
                <c:pt idx="4">
                  <c:v>0</c:v>
                </c:pt>
                <c:pt idx="5">
                  <c:v>4000000</c:v>
                </c:pt>
              </c:numCache>
            </c:numRef>
          </c:val>
          <c:extLst xmlns:c16r2="http://schemas.microsoft.com/office/drawing/2015/06/char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1">
                  <c:v>22298780913.480003</c:v>
                </c:pt>
                <c:pt idx="2">
                  <c:v>22664155957.809998</c:v>
                </c:pt>
                <c:pt idx="3">
                  <c:v>21248449399.18</c:v>
                </c:pt>
                <c:pt idx="4">
                  <c:v>18207426150.310001</c:v>
                </c:pt>
                <c:pt idx="5">
                  <c:v>13378039742.819998</c:v>
                </c:pt>
              </c:numCache>
            </c:numRef>
          </c:val>
          <c:extLst xmlns:c16r2="http://schemas.microsoft.com/office/drawing/2015/06/char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1">
                  <c:v>106505655822.89</c:v>
                </c:pt>
                <c:pt idx="2">
                  <c:v>86321842822.179993</c:v>
                </c:pt>
                <c:pt idx="3">
                  <c:v>72229202167.820007</c:v>
                </c:pt>
                <c:pt idx="4">
                  <c:v>59345919232.220001</c:v>
                </c:pt>
                <c:pt idx="5">
                  <c:v>46929665261.690002</c:v>
                </c:pt>
              </c:numCache>
            </c:numRef>
          </c:val>
          <c:extLst xmlns:c16r2="http://schemas.microsoft.com/office/drawing/2015/06/char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828637184"/>
        <c:axId val="828336960"/>
      </c:barChart>
      <c:catAx>
        <c:axId val="828637184"/>
        <c:scaling>
          <c:orientation val="minMax"/>
        </c:scaling>
        <c:delete val="0"/>
        <c:axPos val="b"/>
        <c:majorTickMark val="out"/>
        <c:minorTickMark val="none"/>
        <c:tickLblPos val="nextTo"/>
        <c:crossAx val="828336960"/>
        <c:crosses val="autoZero"/>
        <c:auto val="1"/>
        <c:lblAlgn val="ctr"/>
        <c:lblOffset val="100"/>
        <c:noMultiLvlLbl val="0"/>
      </c:catAx>
      <c:valAx>
        <c:axId val="828336960"/>
        <c:scaling>
          <c:orientation val="minMax"/>
        </c:scaling>
        <c:delete val="0"/>
        <c:axPos val="l"/>
        <c:majorGridlines/>
        <c:numFmt formatCode="#,##0.00_ " sourceLinked="1"/>
        <c:majorTickMark val="out"/>
        <c:minorTickMark val="none"/>
        <c:tickLblPos val="nextTo"/>
        <c:crossAx val="8286371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1">
                  <c:v>23414593.670000002</c:v>
                </c:pt>
                <c:pt idx="2">
                  <c:v>34481635.329999998</c:v>
                </c:pt>
                <c:pt idx="3">
                  <c:v>27409447.399999999</c:v>
                </c:pt>
                <c:pt idx="4">
                  <c:v>77917681.909999996</c:v>
                </c:pt>
                <c:pt idx="5">
                  <c:v>27383888.890000001</c:v>
                </c:pt>
              </c:numCache>
            </c:numRef>
          </c:val>
          <c:extLst xmlns:c16r2="http://schemas.microsoft.com/office/drawing/2015/06/char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843799552"/>
        <c:axId val="828339264"/>
      </c:barChart>
      <c:catAx>
        <c:axId val="843799552"/>
        <c:scaling>
          <c:orientation val="minMax"/>
        </c:scaling>
        <c:delete val="0"/>
        <c:axPos val="b"/>
        <c:majorTickMark val="out"/>
        <c:minorTickMark val="none"/>
        <c:tickLblPos val="nextTo"/>
        <c:crossAx val="828339264"/>
        <c:crosses val="autoZero"/>
        <c:auto val="1"/>
        <c:lblAlgn val="ctr"/>
        <c:lblOffset val="100"/>
        <c:noMultiLvlLbl val="0"/>
      </c:catAx>
      <c:valAx>
        <c:axId val="828339264"/>
        <c:scaling>
          <c:orientation val="minMax"/>
        </c:scaling>
        <c:delete val="0"/>
        <c:axPos val="l"/>
        <c:majorGridlines/>
        <c:numFmt formatCode="#,##0.00_ " sourceLinked="1"/>
        <c:majorTickMark val="out"/>
        <c:minorTickMark val="none"/>
        <c:tickLblPos val="nextTo"/>
        <c:crossAx val="8437995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1">
                  <c:v>88149063935.559998</c:v>
                </c:pt>
                <c:pt idx="2">
                  <c:v>67051218856.799988</c:v>
                </c:pt>
                <c:pt idx="3">
                  <c:v>36907187499.130013</c:v>
                </c:pt>
                <c:pt idx="4">
                  <c:v>27808212920.630001</c:v>
                </c:pt>
                <c:pt idx="5">
                  <c:v>25486752090.020004</c:v>
                </c:pt>
              </c:numCache>
            </c:numRef>
          </c:val>
          <c:extLst xmlns:c16r2="http://schemas.microsoft.com/office/drawing/2015/06/char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1">
                  <c:v>-88149063935.559998</c:v>
                </c:pt>
                <c:pt idx="2">
                  <c:v>-67051218856.799995</c:v>
                </c:pt>
                <c:pt idx="3">
                  <c:v>-36907187499.129997</c:v>
                </c:pt>
                <c:pt idx="4">
                  <c:v>-27808212920.630001</c:v>
                </c:pt>
                <c:pt idx="5">
                  <c:v>-25486752090.02</c:v>
                </c:pt>
              </c:numCache>
            </c:numRef>
          </c:val>
          <c:extLst xmlns:c16r2="http://schemas.microsoft.com/office/drawing/2015/06/char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828638720"/>
        <c:axId val="828340992"/>
      </c:barChart>
      <c:catAx>
        <c:axId val="828638720"/>
        <c:scaling>
          <c:orientation val="minMax"/>
        </c:scaling>
        <c:delete val="0"/>
        <c:axPos val="b"/>
        <c:majorTickMark val="out"/>
        <c:minorTickMark val="none"/>
        <c:tickLblPos val="nextTo"/>
        <c:crossAx val="828340992"/>
        <c:crosses val="autoZero"/>
        <c:auto val="1"/>
        <c:lblAlgn val="ctr"/>
        <c:lblOffset val="100"/>
        <c:noMultiLvlLbl val="0"/>
      </c:catAx>
      <c:valAx>
        <c:axId val="828340992"/>
        <c:scaling>
          <c:orientation val="minMax"/>
        </c:scaling>
        <c:delete val="0"/>
        <c:axPos val="l"/>
        <c:majorGridlines/>
        <c:numFmt formatCode="#,##0.00_ " sourceLinked="1"/>
        <c:majorTickMark val="out"/>
        <c:minorTickMark val="none"/>
        <c:tickLblPos val="nextTo"/>
        <c:crossAx val="82863872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1">
                  <c:v>0.1020380384623322</c:v>
                </c:pt>
                <c:pt idx="2">
                  <c:v>8.7748633993877639E-2</c:v>
                </c:pt>
                <c:pt idx="3">
                  <c:v>7.7721059472512857E-2</c:v>
                </c:pt>
                <c:pt idx="4">
                  <c:v>7.4065871468556782E-2</c:v>
                </c:pt>
                <c:pt idx="5">
                  <c:v>7.0950598431412201E-2</c:v>
                </c:pt>
              </c:numCache>
            </c:numRef>
          </c:val>
          <c:smooth val="0"/>
          <c:extLst xmlns:c16r2="http://schemas.microsoft.com/office/drawing/2015/06/char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1">
                  <c:v>0.89796196153766783</c:v>
                </c:pt>
                <c:pt idx="2">
                  <c:v>0.91225136600612233</c:v>
                </c:pt>
                <c:pt idx="3">
                  <c:v>0.92227894052748705</c:v>
                </c:pt>
                <c:pt idx="4">
                  <c:v>0.9259341285314433</c:v>
                </c:pt>
                <c:pt idx="5">
                  <c:v>0.92904940156858784</c:v>
                </c:pt>
              </c:numCache>
            </c:numRef>
          </c:val>
          <c:smooth val="0"/>
          <c:extLst xmlns:c16r2="http://schemas.microsoft.com/office/drawing/2015/06/char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1">
                  <c:v>0.14435800767975732</c:v>
                </c:pt>
                <c:pt idx="2">
                  <c:v>0.1674873789740548</c:v>
                </c:pt>
                <c:pt idx="3">
                  <c:v>0.10560975505423192</c:v>
                </c:pt>
                <c:pt idx="4">
                  <c:v>8.8332195764521421E-2</c:v>
                </c:pt>
                <c:pt idx="5">
                  <c:v>9.0251789050588727E-2</c:v>
                </c:pt>
              </c:numCache>
            </c:numRef>
          </c:val>
          <c:smooth val="0"/>
          <c:extLst xmlns:c16r2="http://schemas.microsoft.com/office/drawing/2015/06/char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1">
                  <c:v>5.1291278614235221E-2</c:v>
                </c:pt>
                <c:pt idx="2">
                  <c:v>4.3256749636766789E-2</c:v>
                </c:pt>
                <c:pt idx="3">
                  <c:v>4.5467864247778898E-2</c:v>
                </c:pt>
                <c:pt idx="4">
                  <c:v>5.3041655852830959E-2</c:v>
                </c:pt>
                <c:pt idx="5">
                  <c:v>6.0091347967897453E-2</c:v>
                </c:pt>
              </c:numCache>
            </c:numRef>
          </c:val>
          <c:smooth val="0"/>
          <c:extLst xmlns:c16r2="http://schemas.microsoft.com/office/drawing/2015/06/char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1">
                  <c:v>8.108409882434206E-2</c:v>
                </c:pt>
                <c:pt idx="2">
                  <c:v>0.10774456717657206</c:v>
                </c:pt>
                <c:pt idx="3">
                  <c:v>0.11674527477944184</c:v>
                </c:pt>
                <c:pt idx="4">
                  <c:v>0.10700282485530214</c:v>
                </c:pt>
                <c:pt idx="5">
                  <c:v>9.1674501332437042E-2</c:v>
                </c:pt>
              </c:numCache>
            </c:numRef>
          </c:val>
          <c:smooth val="0"/>
          <c:extLst xmlns:c16r2="http://schemas.microsoft.com/office/drawing/2015/06/char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1">
                  <c:v>-1.3833733785819714E-4</c:v>
                </c:pt>
                <c:pt idx="2">
                  <c:v>3.1721053862260513E-4</c:v>
                </c:pt>
                <c:pt idx="3">
                  <c:v>-1.6543792919864222E-5</c:v>
                </c:pt>
                <c:pt idx="4">
                  <c:v>1.3705797793769712E-5</c:v>
                </c:pt>
                <c:pt idx="5">
                  <c:v>-6.4809688138192623E-5</c:v>
                </c:pt>
              </c:numCache>
            </c:numRef>
          </c:val>
          <c:smooth val="0"/>
          <c:extLst xmlns:c16r2="http://schemas.microsoft.com/office/drawing/2015/06/char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1">
                  <c:v>2.068093833785253E-8</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1">
                  <c:v>-3.4342620346539E-3</c:v>
                </c:pt>
                <c:pt idx="2">
                  <c:v>-7.9188592397592666E-3</c:v>
                </c:pt>
                <c:pt idx="3">
                  <c:v>-4.8156462388790483E-3</c:v>
                </c:pt>
                <c:pt idx="4">
                  <c:v>-6.9877529922764891E-3</c:v>
                </c:pt>
                <c:pt idx="5">
                  <c:v>-1.161589916293706E-2</c:v>
                </c:pt>
              </c:numCache>
            </c:numRef>
          </c:val>
          <c:smooth val="0"/>
          <c:extLst xmlns:c16r2="http://schemas.microsoft.com/office/drawing/2015/06/char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1">
                  <c:v>0.27316080642676083</c:v>
                </c:pt>
                <c:pt idx="2">
                  <c:v>0.31088704708625697</c:v>
                </c:pt>
                <c:pt idx="3">
                  <c:v>0.26299070404965375</c:v>
                </c:pt>
                <c:pt idx="4">
                  <c:v>0.24140262927817183</c:v>
                </c:pt>
                <c:pt idx="5">
                  <c:v>0.23033692949984796</c:v>
                </c:pt>
              </c:numCache>
            </c:numRef>
          </c:val>
          <c:smooth val="0"/>
          <c:extLst xmlns:c16r2="http://schemas.microsoft.com/office/drawing/2015/06/char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1">
                  <c:v>0.45101545969155143</c:v>
                </c:pt>
                <c:pt idx="2">
                  <c:v>0.43067197887828035</c:v>
                </c:pt>
                <c:pt idx="3">
                  <c:v>0.48029135124260181</c:v>
                </c:pt>
                <c:pt idx="4">
                  <c:v>0.49383242047688514</c:v>
                </c:pt>
                <c:pt idx="5">
                  <c:v>0.50224855215198361</c:v>
                </c:pt>
              </c:numCache>
            </c:numRef>
          </c:val>
          <c:smooth val="0"/>
          <c:extLst xmlns:c16r2="http://schemas.microsoft.com/office/drawing/2015/06/char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828928512"/>
        <c:axId val="828277312"/>
      </c:lineChart>
      <c:catAx>
        <c:axId val="828928512"/>
        <c:scaling>
          <c:orientation val="minMax"/>
        </c:scaling>
        <c:delete val="0"/>
        <c:axPos val="b"/>
        <c:majorTickMark val="out"/>
        <c:minorTickMark val="none"/>
        <c:tickLblPos val="nextTo"/>
        <c:crossAx val="828277312"/>
        <c:crosses val="autoZero"/>
        <c:auto val="1"/>
        <c:lblAlgn val="ctr"/>
        <c:lblOffset val="100"/>
        <c:noMultiLvlLbl val="0"/>
      </c:catAx>
      <c:valAx>
        <c:axId val="828277312"/>
        <c:scaling>
          <c:orientation val="minMax"/>
        </c:scaling>
        <c:delete val="0"/>
        <c:axPos val="l"/>
        <c:majorGridlines/>
        <c:numFmt formatCode="0.00%" sourceLinked="1"/>
        <c:majorTickMark val="out"/>
        <c:minorTickMark val="none"/>
        <c:tickLblPos val="nextTo"/>
        <c:crossAx val="828928512"/>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1">
                  <c:v>0.99989240836119164</c:v>
                </c:pt>
                <c:pt idx="2">
                  <c:v>0.99992119952809644</c:v>
                </c:pt>
                <c:pt idx="3">
                  <c:v>1.0004029309632472</c:v>
                </c:pt>
                <c:pt idx="4">
                  <c:v>0.99988305677273281</c:v>
                </c:pt>
                <c:pt idx="5">
                  <c:v>0.99985591253473827</c:v>
                </c:pt>
              </c:numCache>
            </c:numRef>
          </c:val>
          <c:smooth val="0"/>
          <c:extLst xmlns:c16r2="http://schemas.microsoft.com/office/drawing/2015/06/char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1">
                  <c:v>1.0759163880829719E-4</c:v>
                </c:pt>
                <c:pt idx="2">
                  <c:v>7.8800471903530973E-5</c:v>
                </c:pt>
                <c:pt idx="3">
                  <c:v>-4.0293096324718749E-4</c:v>
                </c:pt>
                <c:pt idx="4">
                  <c:v>1.1694322726727695E-4</c:v>
                </c:pt>
                <c:pt idx="5">
                  <c:v>1.4408746526172061E-4</c:v>
                </c:pt>
              </c:numCache>
            </c:numRef>
          </c:val>
          <c:smooth val="0"/>
          <c:extLst xmlns:c16r2="http://schemas.microsoft.com/office/drawing/2015/06/char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828930048"/>
        <c:axId val="828279616"/>
      </c:lineChart>
      <c:catAx>
        <c:axId val="828930048"/>
        <c:scaling>
          <c:orientation val="minMax"/>
        </c:scaling>
        <c:delete val="0"/>
        <c:axPos val="b"/>
        <c:majorTickMark val="out"/>
        <c:minorTickMark val="none"/>
        <c:tickLblPos val="nextTo"/>
        <c:crossAx val="828279616"/>
        <c:crosses val="autoZero"/>
        <c:auto val="1"/>
        <c:lblAlgn val="ctr"/>
        <c:lblOffset val="100"/>
        <c:noMultiLvlLbl val="0"/>
      </c:catAx>
      <c:valAx>
        <c:axId val="828279616"/>
        <c:scaling>
          <c:orientation val="minMax"/>
        </c:scaling>
        <c:delete val="0"/>
        <c:axPos val="l"/>
        <c:majorGridlines/>
        <c:numFmt formatCode="0.00%" sourceLinked="1"/>
        <c:majorTickMark val="out"/>
        <c:minorTickMark val="none"/>
        <c:tickLblPos val="nextTo"/>
        <c:crossAx val="8289300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1">
                  <c:v>0.45176215069632836</c:v>
                </c:pt>
                <c:pt idx="2">
                  <c:v>0.43133381239237978</c:v>
                </c:pt>
                <c:pt idx="3">
                  <c:v>0.48162059252992351</c:v>
                </c:pt>
                <c:pt idx="4">
                  <c:v>0.49676305183848596</c:v>
                </c:pt>
                <c:pt idx="5">
                  <c:v>0.51263840822656748</c:v>
                </c:pt>
                <c:pt idx="6">
                  <c:v>0.52951325776671399</c:v>
                </c:pt>
              </c:numCache>
            </c:numRef>
          </c:val>
          <c:smooth val="0"/>
          <c:extLst xmlns:c16r2="http://schemas.microsoft.com/office/drawing/2015/06/char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828931584"/>
        <c:axId val="828281920"/>
      </c:lineChart>
      <c:catAx>
        <c:axId val="828931584"/>
        <c:scaling>
          <c:orientation val="minMax"/>
        </c:scaling>
        <c:delete val="0"/>
        <c:axPos val="b"/>
        <c:majorTickMark val="out"/>
        <c:minorTickMark val="none"/>
        <c:tickLblPos val="nextTo"/>
        <c:crossAx val="828281920"/>
        <c:crosses val="autoZero"/>
        <c:auto val="1"/>
        <c:lblAlgn val="ctr"/>
        <c:lblOffset val="100"/>
        <c:noMultiLvlLbl val="0"/>
      </c:catAx>
      <c:valAx>
        <c:axId val="828281920"/>
        <c:scaling>
          <c:orientation val="minMax"/>
        </c:scaling>
        <c:delete val="0"/>
        <c:axPos val="l"/>
        <c:majorGridlines/>
        <c:numFmt formatCode="0.00%" sourceLinked="1"/>
        <c:majorTickMark val="out"/>
        <c:minorTickMark val="none"/>
        <c:tickLblPos val="nextTo"/>
        <c:crossAx val="82893158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1">
                  <c:v>0.99989240836119164</c:v>
                </c:pt>
                <c:pt idx="2">
                  <c:v>0.99992119952809644</c:v>
                </c:pt>
                <c:pt idx="3">
                  <c:v>1.0004029309632472</c:v>
                </c:pt>
                <c:pt idx="4">
                  <c:v>0.99988305677273281</c:v>
                </c:pt>
                <c:pt idx="5">
                  <c:v>0.99985591253473827</c:v>
                </c:pt>
              </c:numCache>
            </c:numRef>
          </c:val>
          <c:smooth val="0"/>
          <c:extLst xmlns:c16r2="http://schemas.microsoft.com/office/drawing/2015/06/char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1">
                  <c:v>1.0759163880829719E-4</c:v>
                </c:pt>
                <c:pt idx="2">
                  <c:v>7.8800471903530973E-5</c:v>
                </c:pt>
                <c:pt idx="3">
                  <c:v>-4.0293096324718749E-4</c:v>
                </c:pt>
                <c:pt idx="4">
                  <c:v>1.1694322726727695E-4</c:v>
                </c:pt>
                <c:pt idx="5">
                  <c:v>1.4408746526172061E-4</c:v>
                </c:pt>
              </c:numCache>
            </c:numRef>
          </c:val>
          <c:smooth val="0"/>
          <c:extLst xmlns:c16r2="http://schemas.microsoft.com/office/drawing/2015/06/char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844555264"/>
        <c:axId val="828283648"/>
      </c:lineChart>
      <c:catAx>
        <c:axId val="844555264"/>
        <c:scaling>
          <c:orientation val="minMax"/>
        </c:scaling>
        <c:delete val="0"/>
        <c:axPos val="b"/>
        <c:majorTickMark val="out"/>
        <c:minorTickMark val="none"/>
        <c:tickLblPos val="nextTo"/>
        <c:crossAx val="828283648"/>
        <c:crosses val="autoZero"/>
        <c:auto val="1"/>
        <c:lblAlgn val="ctr"/>
        <c:lblOffset val="100"/>
        <c:noMultiLvlLbl val="0"/>
      </c:catAx>
      <c:valAx>
        <c:axId val="828283648"/>
        <c:scaling>
          <c:orientation val="minMax"/>
        </c:scaling>
        <c:delete val="0"/>
        <c:axPos val="l"/>
        <c:majorGridlines/>
        <c:numFmt formatCode="0.00%" sourceLinked="1"/>
        <c:majorTickMark val="out"/>
        <c:minorTickMark val="none"/>
        <c:tickLblPos val="nextTo"/>
        <c:crossAx val="84455526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1">
                  <c:v>-1.5478076408050878E-3</c:v>
                </c:pt>
                <c:pt idx="2">
                  <c:v>-1.4578246018472907E-3</c:v>
                </c:pt>
                <c:pt idx="3">
                  <c:v>-3.1716189197419364E-3</c:v>
                </c:pt>
                <c:pt idx="4">
                  <c:v>-5.8168280736969891E-3</c:v>
                </c:pt>
                <c:pt idx="5">
                  <c:v>-2.0539613825755643E-2</c:v>
                </c:pt>
              </c:numCache>
            </c:numRef>
          </c:val>
          <c:smooth val="0"/>
          <c:extLst xmlns:c16r2="http://schemas.microsoft.com/office/drawing/2015/06/char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844555776"/>
        <c:axId val="844448896"/>
      </c:lineChart>
      <c:catAx>
        <c:axId val="844555776"/>
        <c:scaling>
          <c:orientation val="minMax"/>
        </c:scaling>
        <c:delete val="0"/>
        <c:axPos val="b"/>
        <c:majorTickMark val="out"/>
        <c:minorTickMark val="none"/>
        <c:tickLblPos val="nextTo"/>
        <c:crossAx val="844448896"/>
        <c:crosses val="autoZero"/>
        <c:auto val="1"/>
        <c:lblAlgn val="ctr"/>
        <c:lblOffset val="100"/>
        <c:noMultiLvlLbl val="0"/>
      </c:catAx>
      <c:valAx>
        <c:axId val="844448896"/>
        <c:scaling>
          <c:orientation val="minMax"/>
        </c:scaling>
        <c:delete val="0"/>
        <c:axPos val="l"/>
        <c:majorGridlines/>
        <c:numFmt formatCode="0.00%" sourceLinked="1"/>
        <c:majorTickMark val="out"/>
        <c:minorTickMark val="none"/>
        <c:tickLblPos val="nextTo"/>
        <c:crossAx val="8445557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1">
                  <c:v>58217861314.169998</c:v>
                </c:pt>
                <c:pt idx="2">
                  <c:v>38862189993.839996</c:v>
                </c:pt>
                <c:pt idx="3">
                  <c:v>32659583725.279999</c:v>
                </c:pt>
                <c:pt idx="4">
                  <c:v>31573928530.939999</c:v>
                </c:pt>
                <c:pt idx="5">
                  <c:v>30921801316.599998</c:v>
                </c:pt>
              </c:numCache>
            </c:numRef>
          </c:val>
          <c:extLst xmlns:c16r2="http://schemas.microsoft.com/office/drawing/2015/06/char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1">
                  <c:v>5940436371.9700003</c:v>
                </c:pt>
                <c:pt idx="2">
                  <c:v>3410104085.9699998</c:v>
                </c:pt>
                <c:pt idx="3">
                  <c:v>2538337449.0599999</c:v>
                </c:pt>
                <c:pt idx="4">
                  <c:v>2338550532.3299999</c:v>
                </c:pt>
                <c:pt idx="5">
                  <c:v>2193920307.9899998</c:v>
                </c:pt>
              </c:numCache>
            </c:numRef>
          </c:val>
          <c:extLst xmlns:c16r2="http://schemas.microsoft.com/office/drawing/2015/06/char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1">
                  <c:v>52277424942.199997</c:v>
                </c:pt>
                <c:pt idx="2">
                  <c:v>35452085907.869995</c:v>
                </c:pt>
                <c:pt idx="3">
                  <c:v>30121246276.219997</c:v>
                </c:pt>
                <c:pt idx="4">
                  <c:v>29235377998.610001</c:v>
                </c:pt>
                <c:pt idx="5">
                  <c:v>28727881008.610001</c:v>
                </c:pt>
              </c:numCache>
            </c:numRef>
          </c:val>
          <c:extLst xmlns:c16r2="http://schemas.microsoft.com/office/drawing/2015/06/char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844556800"/>
        <c:axId val="844450624"/>
      </c:barChart>
      <c:catAx>
        <c:axId val="844556800"/>
        <c:scaling>
          <c:orientation val="minMax"/>
        </c:scaling>
        <c:delete val="0"/>
        <c:axPos val="b"/>
        <c:majorTickMark val="out"/>
        <c:minorTickMark val="none"/>
        <c:tickLblPos val="nextTo"/>
        <c:crossAx val="844450624"/>
        <c:crosses val="autoZero"/>
        <c:auto val="1"/>
        <c:lblAlgn val="ctr"/>
        <c:lblOffset val="100"/>
        <c:noMultiLvlLbl val="0"/>
      </c:catAx>
      <c:valAx>
        <c:axId val="844450624"/>
        <c:scaling>
          <c:orientation val="minMax"/>
        </c:scaling>
        <c:delete val="0"/>
        <c:axPos val="l"/>
        <c:majorGridlines/>
        <c:numFmt formatCode="#,##0.00_ " sourceLinked="1"/>
        <c:majorTickMark val="out"/>
        <c:minorTickMark val="none"/>
        <c:tickLblPos val="nextTo"/>
        <c:crossAx val="8445568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1">
                  <c:v>0</c:v>
                </c:pt>
                <c:pt idx="2">
                  <c:v>0</c:v>
                </c:pt>
                <c:pt idx="3">
                  <c:v>0</c:v>
                </c:pt>
                <c:pt idx="4">
                  <c:v>0</c:v>
                </c:pt>
                <c:pt idx="5">
                  <c:v>91.970003869999999</c:v>
                </c:pt>
              </c:numCache>
            </c:numRef>
          </c:val>
          <c:smooth val="0"/>
          <c:extLst xmlns:c16r2="http://schemas.microsoft.com/office/drawing/2015/06/char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844658176"/>
        <c:axId val="844452928"/>
      </c:lineChart>
      <c:catAx>
        <c:axId val="844658176"/>
        <c:scaling>
          <c:orientation val="minMax"/>
        </c:scaling>
        <c:delete val="0"/>
        <c:axPos val="b"/>
        <c:majorTickMark val="out"/>
        <c:minorTickMark val="none"/>
        <c:tickLblPos val="nextTo"/>
        <c:crossAx val="844452928"/>
        <c:crosses val="autoZero"/>
        <c:auto val="1"/>
        <c:lblAlgn val="ctr"/>
        <c:lblOffset val="100"/>
        <c:noMultiLvlLbl val="0"/>
      </c:catAx>
      <c:valAx>
        <c:axId val="844452928"/>
        <c:scaling>
          <c:orientation val="minMax"/>
        </c:scaling>
        <c:delete val="0"/>
        <c:axPos val="l"/>
        <c:majorGridlines/>
        <c:numFmt formatCode="0.00%" sourceLinked="1"/>
        <c:majorTickMark val="out"/>
        <c:minorTickMark val="none"/>
        <c:tickLblPos val="nextTo"/>
        <c:crossAx val="8446581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1">
                  <c:v>4.3821801853594312E-5</c:v>
                </c:pt>
                <c:pt idx="2">
                  <c:v>2.6754755226387743E-5</c:v>
                </c:pt>
                <c:pt idx="3">
                  <c:v>-2.5882297546712989E-4</c:v>
                </c:pt>
                <c:pt idx="4">
                  <c:v>5.9610558107013445E-5</c:v>
                </c:pt>
                <c:pt idx="5">
                  <c:v>8.803088528122552E-5</c:v>
                </c:pt>
              </c:numCache>
            </c:numRef>
          </c:val>
          <c:smooth val="0"/>
          <c:extLst xmlns:c16r2="http://schemas.microsoft.com/office/drawing/2015/06/char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828383232"/>
        <c:axId val="844454656"/>
      </c:lineChart>
      <c:catAx>
        <c:axId val="828383232"/>
        <c:scaling>
          <c:orientation val="minMax"/>
        </c:scaling>
        <c:delete val="0"/>
        <c:axPos val="b"/>
        <c:majorTickMark val="out"/>
        <c:minorTickMark val="none"/>
        <c:tickLblPos val="nextTo"/>
        <c:crossAx val="844454656"/>
        <c:crosses val="autoZero"/>
        <c:auto val="1"/>
        <c:lblAlgn val="ctr"/>
        <c:lblOffset val="100"/>
        <c:noMultiLvlLbl val="0"/>
      </c:catAx>
      <c:valAx>
        <c:axId val="844454656"/>
        <c:scaling>
          <c:orientation val="minMax"/>
        </c:scaling>
        <c:delete val="0"/>
        <c:axPos val="l"/>
        <c:majorGridlines/>
        <c:numFmt formatCode="0.00%" sourceLinked="1"/>
        <c:majorTickMark val="out"/>
        <c:minorTickMark val="none"/>
        <c:tickLblPos val="nextTo"/>
        <c:crossAx val="82838323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1">
                  <c:v>-4.9100082302057722</c:v>
                </c:pt>
                <c:pt idx="2">
                  <c:v>-5.5246431170360397</c:v>
                </c:pt>
                <c:pt idx="3">
                  <c:v>1.3737235234459644</c:v>
                </c:pt>
                <c:pt idx="4">
                  <c:v>1.5679418105916316</c:v>
                </c:pt>
                <c:pt idx="5">
                  <c:v>2.4780112024903591</c:v>
                </c:pt>
              </c:numCache>
            </c:numRef>
          </c:val>
          <c:smooth val="0"/>
          <c:extLst xmlns:c16r2="http://schemas.microsoft.com/office/drawing/2015/06/char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1">
                  <c:v>0.87319331431609115</c:v>
                </c:pt>
                <c:pt idx="2">
                  <c:v>0.83561690666816268</c:v>
                </c:pt>
                <c:pt idx="3">
                  <c:v>0.90809142372358875</c:v>
                </c:pt>
                <c:pt idx="4">
                  <c:v>1.1412339695342506</c:v>
                </c:pt>
                <c:pt idx="5">
                  <c:v>1.4880414064993446</c:v>
                </c:pt>
              </c:numCache>
            </c:numRef>
          </c:val>
          <c:smooth val="0"/>
          <c:extLst xmlns:c16r2="http://schemas.microsoft.com/office/drawing/2015/06/char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1">
                  <c:v>0.22083020388947253</c:v>
                </c:pt>
                <c:pt idx="2">
                  <c:v>0.28230385543833936</c:v>
                </c:pt>
                <c:pt idx="3">
                  <c:v>0.52242440048158734</c:v>
                </c:pt>
                <c:pt idx="4">
                  <c:v>0.7451350464028651</c:v>
                </c:pt>
                <c:pt idx="5">
                  <c:v>0.78023716309912283</c:v>
                </c:pt>
              </c:numCache>
            </c:numRef>
          </c:val>
          <c:smooth val="0"/>
          <c:extLst xmlns:c16r2="http://schemas.microsoft.com/office/drawing/2015/06/char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1">
                  <c:v>0</c:v>
                </c:pt>
                <c:pt idx="2">
                  <c:v>0</c:v>
                </c:pt>
                <c:pt idx="3">
                  <c:v>0</c:v>
                </c:pt>
                <c:pt idx="4">
                  <c:v>0</c:v>
                </c:pt>
                <c:pt idx="5">
                  <c:v>4976.7692687774997</c:v>
                </c:pt>
              </c:numCache>
            </c:numRef>
          </c:val>
          <c:smooth val="0"/>
          <c:extLst xmlns:c16r2="http://schemas.microsoft.com/office/drawing/2015/06/char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828384256"/>
        <c:axId val="844915264"/>
      </c:lineChart>
      <c:catAx>
        <c:axId val="828384256"/>
        <c:scaling>
          <c:orientation val="minMax"/>
        </c:scaling>
        <c:delete val="0"/>
        <c:axPos val="b"/>
        <c:majorTickMark val="out"/>
        <c:minorTickMark val="none"/>
        <c:tickLblPos val="nextTo"/>
        <c:crossAx val="844915264"/>
        <c:crosses val="autoZero"/>
        <c:auto val="1"/>
        <c:lblAlgn val="ctr"/>
        <c:lblOffset val="100"/>
        <c:noMultiLvlLbl val="0"/>
      </c:catAx>
      <c:valAx>
        <c:axId val="844915264"/>
        <c:scaling>
          <c:orientation val="minMax"/>
        </c:scaling>
        <c:delete val="0"/>
        <c:axPos val="l"/>
        <c:majorGridlines/>
        <c:numFmt formatCode="#,##0.00_ " sourceLinked="1"/>
        <c:majorTickMark val="out"/>
        <c:minorTickMark val="none"/>
        <c:tickLblPos val="nextTo"/>
        <c:crossAx val="8283842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1">
                  <c:v>2.6069336117741853</c:v>
                </c:pt>
                <c:pt idx="2">
                  <c:v>1.7101081625083399</c:v>
                </c:pt>
                <c:pt idx="3">
                  <c:v>1.5356244794591813</c:v>
                </c:pt>
                <c:pt idx="4">
                  <c:v>1.7255176002526935</c:v>
                </c:pt>
                <c:pt idx="5">
                  <c:v>2.2866812759254995</c:v>
                </c:pt>
              </c:numCache>
            </c:numRef>
          </c:val>
          <c:smooth val="0"/>
          <c:extLst xmlns:c16r2="http://schemas.microsoft.com/office/drawing/2015/06/char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1">
                  <c:v>3.8190430511890248</c:v>
                </c:pt>
                <c:pt idx="2">
                  <c:v>2.6888336600684966</c:v>
                </c:pt>
                <c:pt idx="3">
                  <c:v>2.8608722532858462</c:v>
                </c:pt>
                <c:pt idx="4">
                  <c:v>3.0430479610263252</c:v>
                </c:pt>
                <c:pt idx="5">
                  <c:v>3.62793254518997</c:v>
                </c:pt>
              </c:numCache>
            </c:numRef>
          </c:val>
          <c:smooth val="0"/>
          <c:extLst xmlns:c16r2="http://schemas.microsoft.com/office/drawing/2015/06/char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1">
                  <c:v>28.872107115176732</c:v>
                </c:pt>
                <c:pt idx="2">
                  <c:v>14.154455544907542</c:v>
                </c:pt>
                <c:pt idx="3">
                  <c:v>6.6718239369276588</c:v>
                </c:pt>
                <c:pt idx="4">
                  <c:v>9.2273552832245151</c:v>
                </c:pt>
                <c:pt idx="5">
                  <c:v>67.762183169197215</c:v>
                </c:pt>
              </c:numCache>
            </c:numRef>
          </c:val>
          <c:smooth val="0"/>
          <c:extLst xmlns:c16r2="http://schemas.microsoft.com/office/drawing/2015/06/char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1">
                  <c:v>16.832674193584744</c:v>
                </c:pt>
                <c:pt idx="2">
                  <c:v>11.003693111590771</c:v>
                </c:pt>
                <c:pt idx="3">
                  <c:v>9.116518136325249</c:v>
                </c:pt>
                <c:pt idx="4">
                  <c:v>8.8130742526657766</c:v>
                </c:pt>
                <c:pt idx="5">
                  <c:v>8.677835415185104</c:v>
                </c:pt>
              </c:numCache>
            </c:numRef>
          </c:val>
          <c:smooth val="0"/>
          <c:extLst xmlns:c16r2="http://schemas.microsoft.com/office/drawing/2015/06/char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828384768"/>
        <c:axId val="844917568"/>
      </c:lineChart>
      <c:catAx>
        <c:axId val="828384768"/>
        <c:scaling>
          <c:orientation val="minMax"/>
        </c:scaling>
        <c:delete val="0"/>
        <c:axPos val="b"/>
        <c:majorTickMark val="out"/>
        <c:minorTickMark val="none"/>
        <c:tickLblPos val="nextTo"/>
        <c:crossAx val="844917568"/>
        <c:crosses val="autoZero"/>
        <c:auto val="1"/>
        <c:lblAlgn val="ctr"/>
        <c:lblOffset val="100"/>
        <c:noMultiLvlLbl val="0"/>
      </c:catAx>
      <c:valAx>
        <c:axId val="844917568"/>
        <c:scaling>
          <c:orientation val="minMax"/>
        </c:scaling>
        <c:delete val="0"/>
        <c:axPos val="l"/>
        <c:majorGridlines/>
        <c:numFmt formatCode="#,##0.00_ " sourceLinked="1"/>
        <c:majorTickMark val="out"/>
        <c:minorTickMark val="none"/>
        <c:tickLblPos val="nextTo"/>
        <c:crossAx val="828384768"/>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1">
                  <c:v>-1.3010751485112886</c:v>
                </c:pt>
                <c:pt idx="2">
                  <c:v>-2.3087529991164528</c:v>
                </c:pt>
                <c:pt idx="3">
                  <c:v>55.647157678787252</c:v>
                </c:pt>
                <c:pt idx="4">
                  <c:v>-17.518771519181868</c:v>
                </c:pt>
                <c:pt idx="5">
                  <c:v>-5.2266067125498532</c:v>
                </c:pt>
              </c:numCache>
            </c:numRef>
          </c:val>
          <c:smooth val="0"/>
          <c:extLst xmlns:c16r2="http://schemas.microsoft.com/office/drawing/2015/06/char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1">
                  <c:v>0.27837270415224791</c:v>
                </c:pt>
                <c:pt idx="2">
                  <c:v>0.1765267577465493</c:v>
                </c:pt>
                <c:pt idx="3">
                  <c:v>0.15385886156456818</c:v>
                </c:pt>
                <c:pt idx="4">
                  <c:v>0.17439392275182733</c:v>
                </c:pt>
                <c:pt idx="5">
                  <c:v>0.20406152288490351</c:v>
                </c:pt>
              </c:numCache>
            </c:numRef>
          </c:val>
          <c:smooth val="0"/>
          <c:extLst xmlns:c16r2="http://schemas.microsoft.com/office/drawing/2015/06/char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1">
                  <c:v>60.692223987076154</c:v>
                </c:pt>
                <c:pt idx="2">
                  <c:v>-11.324522472392236</c:v>
                </c:pt>
                <c:pt idx="3">
                  <c:v>-1.8437608797232883</c:v>
                </c:pt>
                <c:pt idx="4">
                  <c:v>-0.75724049866626852</c:v>
                </c:pt>
                <c:pt idx="5">
                  <c:v>-0.58136957524505284</c:v>
                </c:pt>
              </c:numCache>
            </c:numRef>
          </c:val>
          <c:smooth val="0"/>
          <c:extLst xmlns:c16r2="http://schemas.microsoft.com/office/drawing/2015/06/char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828386816"/>
        <c:axId val="844919872"/>
      </c:lineChart>
      <c:catAx>
        <c:axId val="828386816"/>
        <c:scaling>
          <c:orientation val="minMax"/>
        </c:scaling>
        <c:delete val="0"/>
        <c:axPos val="b"/>
        <c:majorTickMark val="out"/>
        <c:minorTickMark val="none"/>
        <c:tickLblPos val="nextTo"/>
        <c:crossAx val="844919872"/>
        <c:crosses val="autoZero"/>
        <c:auto val="1"/>
        <c:lblAlgn val="ctr"/>
        <c:lblOffset val="100"/>
        <c:noMultiLvlLbl val="0"/>
      </c:catAx>
      <c:valAx>
        <c:axId val="844919872"/>
        <c:scaling>
          <c:orientation val="minMax"/>
        </c:scaling>
        <c:delete val="0"/>
        <c:axPos val="l"/>
        <c:majorGridlines/>
        <c:numFmt formatCode="#,##0.00_ " sourceLinked="1"/>
        <c:majorTickMark val="out"/>
        <c:minorTickMark val="none"/>
        <c:tickLblPos val="nextTo"/>
        <c:crossAx val="8283868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1">
                  <c:v>1.9622739495308767</c:v>
                </c:pt>
                <c:pt idx="2">
                  <c:v>1.1829214819861882</c:v>
                </c:pt>
                <c:pt idx="3">
                  <c:v>0.60115491368299567</c:v>
                </c:pt>
                <c:pt idx="4">
                  <c:v>0.67298885115476226</c:v>
                </c:pt>
                <c:pt idx="5">
                  <c:v>0.97550618224538588</c:v>
                </c:pt>
              </c:numCache>
            </c:numRef>
          </c:val>
          <c:smooth val="0"/>
          <c:extLst xmlns:c16r2="http://schemas.microsoft.com/office/drawing/2015/06/char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848335360"/>
        <c:axId val="844922176"/>
      </c:lineChart>
      <c:catAx>
        <c:axId val="848335360"/>
        <c:scaling>
          <c:orientation val="minMax"/>
        </c:scaling>
        <c:delete val="0"/>
        <c:axPos val="b"/>
        <c:majorTickMark val="out"/>
        <c:minorTickMark val="none"/>
        <c:tickLblPos val="nextTo"/>
        <c:crossAx val="844922176"/>
        <c:crosses val="autoZero"/>
        <c:auto val="1"/>
        <c:lblAlgn val="ctr"/>
        <c:lblOffset val="100"/>
        <c:noMultiLvlLbl val="0"/>
      </c:catAx>
      <c:valAx>
        <c:axId val="844922176"/>
        <c:scaling>
          <c:orientation val="minMax"/>
        </c:scaling>
        <c:delete val="0"/>
        <c:axPos val="l"/>
        <c:majorGridlines/>
        <c:numFmt formatCode="0.00%" sourceLinked="1"/>
        <c:majorTickMark val="out"/>
        <c:minorTickMark val="none"/>
        <c:tickLblPos val="nextTo"/>
        <c:crossAx val="84833536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1">
                  <c:v>0.61793263104159923</c:v>
                </c:pt>
                <c:pt idx="2">
                  <c:v>0.58552660044034688</c:v>
                </c:pt>
                <c:pt idx="3">
                  <c:v>0.64965694400007534</c:v>
                </c:pt>
                <c:pt idx="4">
                  <c:v>0.6705559932687184</c:v>
                </c:pt>
                <c:pt idx="5">
                  <c:v>0.6754806737428658</c:v>
                </c:pt>
              </c:numCache>
            </c:numRef>
          </c:val>
          <c:smooth val="0"/>
          <c:extLst xmlns:c16r2="http://schemas.microsoft.com/office/drawing/2015/06/char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848336896"/>
        <c:axId val="845800576"/>
      </c:lineChart>
      <c:catAx>
        <c:axId val="848336896"/>
        <c:scaling>
          <c:orientation val="minMax"/>
        </c:scaling>
        <c:delete val="0"/>
        <c:axPos val="b"/>
        <c:majorTickMark val="out"/>
        <c:minorTickMark val="none"/>
        <c:tickLblPos val="nextTo"/>
        <c:crossAx val="845800576"/>
        <c:crosses val="autoZero"/>
        <c:auto val="1"/>
        <c:lblAlgn val="ctr"/>
        <c:lblOffset val="100"/>
        <c:noMultiLvlLbl val="0"/>
      </c:catAx>
      <c:valAx>
        <c:axId val="845800576"/>
        <c:scaling>
          <c:orientation val="minMax"/>
        </c:scaling>
        <c:delete val="0"/>
        <c:axPos val="l"/>
        <c:majorGridlines/>
        <c:numFmt formatCode="0.00%" sourceLinked="1"/>
        <c:majorTickMark val="out"/>
        <c:minorTickMark val="none"/>
        <c:tickLblPos val="nextTo"/>
        <c:crossAx val="84833689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1">
                  <c:v>26300626236.230011</c:v>
                </c:pt>
                <c:pt idx="2">
                  <c:v>16762576567.959999</c:v>
                </c:pt>
                <c:pt idx="3">
                  <c:v>15729528065.549999</c:v>
                </c:pt>
                <c:pt idx="4">
                  <c:v>15684761095.559998</c:v>
                </c:pt>
                <c:pt idx="5">
                  <c:v>15851703006.440001</c:v>
                </c:pt>
              </c:numCache>
            </c:numRef>
          </c:val>
          <c:extLst xmlns:c16r2="http://schemas.microsoft.com/office/drawing/2015/06/char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1">
                  <c:v>96019627475.080002</c:v>
                </c:pt>
                <c:pt idx="2">
                  <c:v>75898542854.720001</c:v>
                </c:pt>
                <c:pt idx="3">
                  <c:v>66234170421.290001</c:v>
                </c:pt>
                <c:pt idx="4">
                  <c:v>55311550841.119995</c:v>
                </c:pt>
                <c:pt idx="5">
                  <c:v>44129092273.259995</c:v>
                </c:pt>
              </c:numCache>
            </c:numRef>
          </c:val>
          <c:extLst xmlns:c16r2="http://schemas.microsoft.com/office/drawing/2015/06/char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848437248"/>
        <c:axId val="845803456"/>
      </c:barChart>
      <c:catAx>
        <c:axId val="848437248"/>
        <c:scaling>
          <c:orientation val="minMax"/>
        </c:scaling>
        <c:delete val="0"/>
        <c:axPos val="b"/>
        <c:majorTickMark val="out"/>
        <c:minorTickMark val="none"/>
        <c:tickLblPos val="nextTo"/>
        <c:crossAx val="845803456"/>
        <c:crosses val="autoZero"/>
        <c:auto val="1"/>
        <c:lblAlgn val="ctr"/>
        <c:lblOffset val="100"/>
        <c:noMultiLvlLbl val="0"/>
      </c:catAx>
      <c:valAx>
        <c:axId val="845803456"/>
        <c:scaling>
          <c:orientation val="minMax"/>
        </c:scaling>
        <c:delete val="0"/>
        <c:axPos val="l"/>
        <c:majorGridlines/>
        <c:numFmt formatCode="#,##0.00_ " sourceLinked="1"/>
        <c:majorTickMark val="out"/>
        <c:minorTickMark val="none"/>
        <c:tickLblPos val="nextTo"/>
        <c:crossAx val="8484372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43373</c:v>
                </c:pt>
                <c:pt idx="1">
                  <c:v>58217861314.169998</c:v>
                </c:pt>
                <c:pt idx="2">
                  <c:v>38862189993.839996</c:v>
                </c:pt>
                <c:pt idx="3">
                  <c:v>32659583725.279999</c:v>
                </c:pt>
                <c:pt idx="4">
                  <c:v>31573928530.939999</c:v>
                </c:pt>
                <c:pt idx="5">
                  <c:v>30921801316.599998</c:v>
                </c:pt>
              </c:numCache>
            </c:numRef>
          </c:val>
          <c:extLst xmlns:c16r2="http://schemas.microsoft.com/office/drawing/2015/06/char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1">
                  <c:v>35974716215.480003</c:v>
                </c:pt>
                <c:pt idx="2">
                  <c:v>22754845992.759998</c:v>
                </c:pt>
                <c:pt idx="3">
                  <c:v>21217525355.279999</c:v>
                </c:pt>
                <c:pt idx="4">
                  <c:v>21172087007.459999</c:v>
                </c:pt>
                <c:pt idx="5">
                  <c:v>20887079186.68</c:v>
                </c:pt>
              </c:numCache>
            </c:numRef>
          </c:val>
          <c:extLst xmlns:c16r2="http://schemas.microsoft.com/office/drawing/2015/06/char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848438784"/>
        <c:axId val="845805184"/>
      </c:barChart>
      <c:catAx>
        <c:axId val="848438784"/>
        <c:scaling>
          <c:orientation val="minMax"/>
        </c:scaling>
        <c:delete val="0"/>
        <c:axPos val="b"/>
        <c:majorTickMark val="out"/>
        <c:minorTickMark val="none"/>
        <c:tickLblPos val="nextTo"/>
        <c:crossAx val="845805184"/>
        <c:crosses val="autoZero"/>
        <c:auto val="1"/>
        <c:lblAlgn val="ctr"/>
        <c:lblOffset val="100"/>
        <c:noMultiLvlLbl val="0"/>
      </c:catAx>
      <c:valAx>
        <c:axId val="845805184"/>
        <c:scaling>
          <c:orientation val="minMax"/>
        </c:scaling>
        <c:delete val="0"/>
        <c:axPos val="l"/>
        <c:majorGridlines/>
        <c:numFmt formatCode="#,##0.00_ " sourceLinked="1"/>
        <c:majorTickMark val="out"/>
        <c:minorTickMark val="none"/>
        <c:tickLblPos val="nextTo"/>
        <c:crossAx val="8484387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1">
                  <c:v>280139998.44999999</c:v>
                </c:pt>
                <c:pt idx="2">
                  <c:v>275673512.30000001</c:v>
                </c:pt>
                <c:pt idx="3">
                  <c:v>216718386.62</c:v>
                </c:pt>
                <c:pt idx="4">
                  <c:v>308344285.94</c:v>
                </c:pt>
                <c:pt idx="5">
                  <c:v>367880015.48000002</c:v>
                </c:pt>
              </c:numCache>
            </c:numRef>
          </c:val>
          <c:extLst xmlns:c16r2="http://schemas.microsoft.com/office/drawing/2015/06/char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1">
                  <c:v>0</c:v>
                </c:pt>
                <c:pt idx="2">
                  <c:v>0</c:v>
                </c:pt>
                <c:pt idx="3">
                  <c:v>0</c:v>
                </c:pt>
                <c:pt idx="4">
                  <c:v>0</c:v>
                </c:pt>
                <c:pt idx="5">
                  <c:v>4000000</c:v>
                </c:pt>
              </c:numCache>
            </c:numRef>
          </c:val>
          <c:extLst xmlns:c16r2="http://schemas.microsoft.com/office/drawing/2015/06/char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848439808"/>
        <c:axId val="845806912"/>
      </c:barChart>
      <c:catAx>
        <c:axId val="848439808"/>
        <c:scaling>
          <c:orientation val="minMax"/>
        </c:scaling>
        <c:delete val="0"/>
        <c:axPos val="b"/>
        <c:majorTickMark val="out"/>
        <c:minorTickMark val="none"/>
        <c:tickLblPos val="nextTo"/>
        <c:crossAx val="845806912"/>
        <c:crosses val="autoZero"/>
        <c:auto val="1"/>
        <c:lblAlgn val="ctr"/>
        <c:lblOffset val="100"/>
        <c:noMultiLvlLbl val="0"/>
      </c:catAx>
      <c:valAx>
        <c:axId val="845806912"/>
        <c:scaling>
          <c:orientation val="minMax"/>
        </c:scaling>
        <c:delete val="0"/>
        <c:axPos val="l"/>
        <c:majorGridlines/>
        <c:numFmt formatCode="#,##0.00_ " sourceLinked="1"/>
        <c:majorTickMark val="out"/>
        <c:minorTickMark val="none"/>
        <c:tickLblPos val="nextTo"/>
        <c:crossAx val="848439808"/>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股东权益回报率分析表!$A$68</c:f>
              <c:strCache>
                <c:ptCount val="1"/>
                <c:pt idx="0">
                  <c:v>存货</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股东权益回报率分析表!$B$68:$CK$68</c:f>
              <c:numCache>
                <c:formatCode>#,##0.00_ </c:formatCode>
                <c:ptCount val="35"/>
                <c:pt idx="1">
                  <c:v>22057481376.459999</c:v>
                </c:pt>
                <c:pt idx="2">
                  <c:v>20622251825.549999</c:v>
                </c:pt>
                <c:pt idx="3">
                  <c:v>18013297022.700001</c:v>
                </c:pt>
                <c:pt idx="4">
                  <c:v>14982364367.85</c:v>
                </c:pt>
                <c:pt idx="5">
                  <c:v>11836810239.030001</c:v>
                </c:pt>
                <c:pt idx="6">
                  <c:v>9665727593.4200001</c:v>
                </c:pt>
                <c:pt idx="7">
                  <c:v>7187117552.8599997</c:v>
                </c:pt>
                <c:pt idx="8">
                  <c:v>5574126083.4200001</c:v>
                </c:pt>
                <c:pt idx="9">
                  <c:v>4192246440.3600001</c:v>
                </c:pt>
                <c:pt idx="10">
                  <c:v>3114567813.3299999</c:v>
                </c:pt>
                <c:pt idx="11">
                  <c:v>2304818947.9200001</c:v>
                </c:pt>
                <c:pt idx="12">
                  <c:v>1974710283.3499999</c:v>
                </c:pt>
                <c:pt idx="13">
                  <c:v>1860549625.24</c:v>
                </c:pt>
                <c:pt idx="14">
                  <c:v>1693741195.1099999</c:v>
                </c:pt>
                <c:pt idx="15">
                  <c:v>1215006621.05</c:v>
                </c:pt>
                <c:pt idx="16">
                  <c:v>1076612588.52</c:v>
                </c:pt>
                <c:pt idx="17">
                  <c:v>786368826.80999994</c:v>
                </c:pt>
                <c:pt idx="18">
                  <c:v>512332818.61000001</c:v>
                </c:pt>
                <c:pt idx="19">
                  <c:v>423401102.17000002</c:v>
                </c:pt>
                <c:pt idx="20">
                  <c:v>316665851.52999997</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smooth val="0"/>
          <c:extLst xmlns:c16r2="http://schemas.microsoft.com/office/drawing/2015/06/chart">
            <c:ext xmlns:c16="http://schemas.microsoft.com/office/drawing/2014/chart" uri="{C3380CC4-5D6E-409C-BE32-E72D297353CC}">
              <c16:uniqueId val="{00000000-293F-49F2-A2A0-1BABABB09BF2}"/>
            </c:ext>
          </c:extLst>
        </c:ser>
        <c:dLbls>
          <c:showLegendKey val="0"/>
          <c:showVal val="0"/>
          <c:showCatName val="0"/>
          <c:showSerName val="0"/>
          <c:showPercent val="0"/>
          <c:showBubbleSize val="0"/>
        </c:dLbls>
        <c:marker val="1"/>
        <c:smooth val="0"/>
        <c:axId val="848440832"/>
        <c:axId val="848561280"/>
      </c:lineChart>
      <c:catAx>
        <c:axId val="8484408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48561280"/>
        <c:crosses val="autoZero"/>
        <c:auto val="1"/>
        <c:lblAlgn val="ctr"/>
        <c:lblOffset val="100"/>
        <c:noMultiLvlLbl val="0"/>
      </c:catAx>
      <c:valAx>
        <c:axId val="848561280"/>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4844083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1">
                  <c:v>0.94882764732574143</c:v>
                </c:pt>
                <c:pt idx="2">
                  <c:v>0.97933742687185021</c:v>
                </c:pt>
                <c:pt idx="3">
                  <c:v>0.97976395054373189</c:v>
                </c:pt>
                <c:pt idx="4">
                  <c:v>1.0316358627305988</c:v>
                </c:pt>
                <c:pt idx="5">
                  <c:v>1.0460084763777417</c:v>
                </c:pt>
              </c:numCache>
            </c:numRef>
          </c:val>
          <c:smooth val="0"/>
          <c:extLst xmlns:c16r2="http://schemas.microsoft.com/office/drawing/2015/06/char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1">
                  <c:v>0.90348094780591381</c:v>
                </c:pt>
                <c:pt idx="2">
                  <c:v>0.89955871893206329</c:v>
                </c:pt>
                <c:pt idx="3">
                  <c:v>0.89488125486474279</c:v>
                </c:pt>
                <c:pt idx="4">
                  <c:v>0.93619255340824714</c:v>
                </c:pt>
                <c:pt idx="5">
                  <c:v>0.94330245379237432</c:v>
                </c:pt>
              </c:numCache>
            </c:numRef>
          </c:val>
          <c:smooth val="0"/>
          <c:extLst xmlns:c16r2="http://schemas.microsoft.com/office/drawing/2015/06/char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1">
                  <c:v>7.3508284447233563E-2</c:v>
                </c:pt>
                <c:pt idx="2">
                  <c:v>0.11947128367113295</c:v>
                </c:pt>
                <c:pt idx="3">
                  <c:v>8.5347740558122401E-2</c:v>
                </c:pt>
                <c:pt idx="4">
                  <c:v>0.12903627791951069</c:v>
                </c:pt>
                <c:pt idx="5">
                  <c:v>0.1132546166390815</c:v>
                </c:pt>
              </c:numCache>
            </c:numRef>
          </c:val>
          <c:smooth val="0"/>
          <c:extLst xmlns:c16r2="http://schemas.microsoft.com/office/drawing/2015/06/char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1">
                  <c:v>7.3386786940882645E-2</c:v>
                </c:pt>
                <c:pt idx="2">
                  <c:v>0.11928796834264647</c:v>
                </c:pt>
                <c:pt idx="3">
                  <c:v>8.5112186384797839E-2</c:v>
                </c:pt>
                <c:pt idx="4">
                  <c:v>0.12827503418075917</c:v>
                </c:pt>
                <c:pt idx="5">
                  <c:v>0.11095923816610886</c:v>
                </c:pt>
              </c:numCache>
            </c:numRef>
          </c:val>
          <c:smooth val="0"/>
          <c:extLst xmlns:c16r2="http://schemas.microsoft.com/office/drawing/2015/06/char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849041408"/>
        <c:axId val="848563008"/>
      </c:lineChart>
      <c:catAx>
        <c:axId val="849041408"/>
        <c:scaling>
          <c:orientation val="minMax"/>
        </c:scaling>
        <c:delete val="0"/>
        <c:axPos val="b"/>
        <c:majorTickMark val="out"/>
        <c:minorTickMark val="none"/>
        <c:tickLblPos val="nextTo"/>
        <c:crossAx val="848563008"/>
        <c:crosses val="autoZero"/>
        <c:auto val="1"/>
        <c:lblAlgn val="ctr"/>
        <c:lblOffset val="100"/>
        <c:noMultiLvlLbl val="0"/>
      </c:catAx>
      <c:valAx>
        <c:axId val="848563008"/>
        <c:scaling>
          <c:orientation val="minMax"/>
        </c:scaling>
        <c:delete val="0"/>
        <c:axPos val="l"/>
        <c:majorGridlines/>
        <c:numFmt formatCode="#,##0.00_ " sourceLinked="1"/>
        <c:majorTickMark val="out"/>
        <c:minorTickMark val="none"/>
        <c:tickLblPos val="nextTo"/>
        <c:crossAx val="84904140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1">
                  <c:v>8.0816922315284506E-3</c:v>
                </c:pt>
                <c:pt idx="2">
                  <c:v>0.84411446973708248</c:v>
                </c:pt>
                <c:pt idx="3">
                  <c:v>-0.4878374856054366</c:v>
                </c:pt>
                <c:pt idx="4">
                  <c:v>0.16640095534220217</c:v>
                </c:pt>
                <c:pt idx="5">
                  <c:v>-0.49238173572415062</c:v>
                </c:pt>
              </c:numCache>
            </c:numRef>
          </c:val>
          <c:smooth val="0"/>
          <c:extLst xmlns:c16r2="http://schemas.microsoft.com/office/drawing/2015/06/char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849117184"/>
        <c:axId val="848565312"/>
      </c:lineChart>
      <c:catAx>
        <c:axId val="849117184"/>
        <c:scaling>
          <c:orientation val="minMax"/>
        </c:scaling>
        <c:delete val="0"/>
        <c:axPos val="b"/>
        <c:majorTickMark val="out"/>
        <c:minorTickMark val="none"/>
        <c:tickLblPos val="nextTo"/>
        <c:crossAx val="848565312"/>
        <c:crosses val="autoZero"/>
        <c:auto val="1"/>
        <c:lblAlgn val="ctr"/>
        <c:lblOffset val="100"/>
        <c:noMultiLvlLbl val="0"/>
      </c:catAx>
      <c:valAx>
        <c:axId val="848565312"/>
        <c:scaling>
          <c:orientation val="minMax"/>
        </c:scaling>
        <c:delete val="0"/>
        <c:axPos val="l"/>
        <c:majorGridlines/>
        <c:numFmt formatCode="0.00%" sourceLinked="1"/>
        <c:majorTickMark val="out"/>
        <c:minorTickMark val="none"/>
        <c:tickLblPos val="nextTo"/>
        <c:crossAx val="84911718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1">
                  <c:v>1930118454.01</c:v>
                </c:pt>
                <c:pt idx="2">
                  <c:v>1999573702.98</c:v>
                </c:pt>
                <c:pt idx="3">
                  <c:v>1338774524.46</c:v>
                </c:pt>
                <c:pt idx="4">
                  <c:v>2011963265.6500001</c:v>
                </c:pt>
                <c:pt idx="5">
                  <c:v>1758892889.23</c:v>
                </c:pt>
              </c:numCache>
            </c:numRef>
          </c:val>
          <c:smooth val="0"/>
          <c:extLst xmlns:c16r2="http://schemas.microsoft.com/office/drawing/2015/06/char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1">
                  <c:v>26257155482.86937</c:v>
                </c:pt>
                <c:pt idx="2">
                  <c:v>16736856268.190777</c:v>
                </c:pt>
                <c:pt idx="3">
                  <c:v>15686115598.435617</c:v>
                </c:pt>
                <c:pt idx="4">
                  <c:v>15592229550.398281</c:v>
                </c:pt>
                <c:pt idx="5">
                  <c:v>15530429941.193651</c:v>
                </c:pt>
              </c:numCache>
            </c:numRef>
          </c:val>
          <c:smooth val="0"/>
          <c:extLst xmlns:c16r2="http://schemas.microsoft.com/office/drawing/2015/06/char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1">
                  <c:v>26300626236.230011</c:v>
                </c:pt>
                <c:pt idx="2">
                  <c:v>16762576567.959999</c:v>
                </c:pt>
                <c:pt idx="3">
                  <c:v>15729528065.549999</c:v>
                </c:pt>
                <c:pt idx="4">
                  <c:v>15684761095.559998</c:v>
                </c:pt>
                <c:pt idx="5">
                  <c:v>15851703006.440001</c:v>
                </c:pt>
              </c:numCache>
            </c:numRef>
          </c:val>
          <c:smooth val="0"/>
          <c:extLst xmlns:c16r2="http://schemas.microsoft.com/office/drawing/2015/06/char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849118720"/>
        <c:axId val="848567040"/>
      </c:lineChart>
      <c:catAx>
        <c:axId val="849118720"/>
        <c:scaling>
          <c:orientation val="minMax"/>
        </c:scaling>
        <c:delete val="0"/>
        <c:axPos val="b"/>
        <c:majorTickMark val="out"/>
        <c:minorTickMark val="none"/>
        <c:tickLblPos val="nextTo"/>
        <c:crossAx val="848567040"/>
        <c:crosses val="autoZero"/>
        <c:auto val="1"/>
        <c:lblAlgn val="ctr"/>
        <c:lblOffset val="100"/>
        <c:noMultiLvlLbl val="0"/>
      </c:catAx>
      <c:valAx>
        <c:axId val="848567040"/>
        <c:scaling>
          <c:orientation val="minMax"/>
        </c:scaling>
        <c:delete val="0"/>
        <c:axPos val="l"/>
        <c:majorGridlines/>
        <c:numFmt formatCode="#,##0.00_ " sourceLinked="1"/>
        <c:majorTickMark val="out"/>
        <c:minorTickMark val="none"/>
        <c:tickLblPos val="nextTo"/>
        <c:crossAx val="84911872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11" Type="http://schemas.openxmlformats.org/officeDocument/2006/relationships/chart" Target="../charts/chart37.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image" Target="../media/image1.png"/><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175260</xdr:colOff>
      <xdr:row>58</xdr:row>
      <xdr:rowOff>144780</xdr:rowOff>
    </xdr:from>
    <xdr:to>
      <xdr:col>32</xdr:col>
      <xdr:colOff>666750</xdr:colOff>
      <xdr:row>72</xdr:row>
      <xdr:rowOff>121920</xdr:rowOff>
    </xdr:to>
    <xdr:graphicFrame macro="">
      <xdr:nvGraphicFramePr>
        <xdr:cNvPr id="6" name="图表 5">
          <a:extLst>
            <a:ext uri="{FF2B5EF4-FFF2-40B4-BE49-F238E27FC236}">
              <a16:creationId xmlns="" xmlns:a16="http://schemas.microsoft.com/office/drawing/2014/main" id="{B4EEC7A9-63C9-4E95-8155-E3C59806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1</xdr:col>
      <xdr:colOff>222248</xdr:colOff>
      <xdr:row>37</xdr:row>
      <xdr:rowOff>9439</xdr:rowOff>
    </xdr:to>
    <xdr:pic>
      <xdr:nvPicPr>
        <xdr:cNvPr id="2" name="图片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281451</xdr:colOff>
      <xdr:row>27</xdr:row>
      <xdr:rowOff>38002</xdr:rowOff>
    </xdr:to>
    <xdr:pic>
      <xdr:nvPicPr>
        <xdr:cNvPr id="2" name="图片 1">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929045</xdr:colOff>
      <xdr:row>47</xdr:row>
      <xdr:rowOff>38016</xdr:rowOff>
    </xdr:to>
    <xdr:pic>
      <xdr:nvPicPr>
        <xdr:cNvPr id="4" name="图片 3">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CM85"/>
  <sheetViews>
    <sheetView tabSelected="1" topLeftCell="A7" workbookViewId="0">
      <selection activeCell="Y25" sqref="Y25"/>
    </sheetView>
  </sheetViews>
  <sheetFormatPr defaultRowHeight="13.5"/>
  <cols>
    <col min="1" max="1" width="34" style="188" bestFit="1" customWidth="1"/>
    <col min="2" max="2" width="12.75" style="188" bestFit="1" customWidth="1"/>
    <col min="3" max="5" width="12.75" style="188" hidden="1" customWidth="1"/>
    <col min="6" max="6" width="12.75" style="188" bestFit="1" customWidth="1"/>
    <col min="7" max="9" width="12.75" style="188" hidden="1" customWidth="1"/>
    <col min="10" max="10" width="12.75" style="188" bestFit="1" customWidth="1"/>
    <col min="11" max="13" width="12.75" style="188" hidden="1" customWidth="1"/>
    <col min="14" max="14" width="12.75" style="188" bestFit="1" customWidth="1"/>
    <col min="15" max="17" width="12.75" style="188" hidden="1" customWidth="1"/>
    <col min="18" max="18" width="12.75" style="188" bestFit="1" customWidth="1"/>
    <col min="19" max="21" width="12.75" style="188" hidden="1" customWidth="1"/>
    <col min="22" max="22" width="12.75" style="188" bestFit="1" customWidth="1"/>
    <col min="23" max="25" width="12.75" style="188" hidden="1" customWidth="1"/>
    <col min="26" max="26" width="12.75" style="188" bestFit="1" customWidth="1"/>
    <col min="27" max="29" width="12.75" style="188" hidden="1" customWidth="1"/>
    <col min="30" max="30" width="12.75" style="188" bestFit="1" customWidth="1"/>
    <col min="31" max="33" width="12.75" style="188" hidden="1" customWidth="1"/>
    <col min="34" max="34" width="12.75" style="188" bestFit="1" customWidth="1"/>
    <col min="35" max="37" width="12.75" style="188" hidden="1" customWidth="1"/>
    <col min="38" max="38" width="12.75" style="188" bestFit="1" customWidth="1"/>
    <col min="39" max="41" width="12.75" style="188" hidden="1" customWidth="1"/>
    <col min="42" max="42" width="12.75" style="188" bestFit="1" customWidth="1"/>
    <col min="43" max="45" width="12.75" style="188" hidden="1" customWidth="1"/>
    <col min="46" max="46" width="12.75" style="188" bestFit="1" customWidth="1"/>
    <col min="47" max="49" width="12.75" style="188" hidden="1" customWidth="1"/>
    <col min="50" max="50" width="12.75" style="188" bestFit="1" customWidth="1"/>
    <col min="51" max="53" width="12.75" style="188" hidden="1" customWidth="1"/>
    <col min="54" max="54" width="12.75" style="188" bestFit="1" customWidth="1"/>
    <col min="55" max="57" width="12.75" style="188" hidden="1" customWidth="1"/>
    <col min="58" max="58" width="12.75" style="188" bestFit="1" customWidth="1"/>
    <col min="59" max="61" width="12.75" style="188" hidden="1" customWidth="1"/>
    <col min="62" max="62" width="12.75" style="188" bestFit="1" customWidth="1"/>
    <col min="63" max="65" width="12.75" style="188" hidden="1" customWidth="1"/>
    <col min="66" max="66" width="12.75" style="188" bestFit="1" customWidth="1"/>
    <col min="67" max="69" width="12.75" style="188" hidden="1" customWidth="1"/>
    <col min="70" max="70" width="12.75" style="188" bestFit="1" customWidth="1"/>
    <col min="71" max="71" width="12.75" style="188" hidden="1" customWidth="1"/>
    <col min="72" max="72" width="13.875" style="188" bestFit="1" customWidth="1"/>
    <col min="73" max="73" width="12.75" style="188" hidden="1" customWidth="1"/>
    <col min="74" max="74" width="12.75" style="188" bestFit="1" customWidth="1"/>
    <col min="75" max="75" width="12.75" style="188" hidden="1" customWidth="1"/>
    <col min="76" max="76" width="12.75" style="188" bestFit="1" customWidth="1"/>
    <col min="77" max="77" width="12.75" style="188" hidden="1" customWidth="1"/>
    <col min="78" max="78" width="12.75" style="188" bestFit="1" customWidth="1"/>
    <col min="79" max="79" width="12.75" style="188" hidden="1" customWidth="1"/>
    <col min="80" max="80" width="13.875" style="188" bestFit="1" customWidth="1"/>
    <col min="81" max="81" width="12.75" style="188" hidden="1" customWidth="1"/>
    <col min="82" max="82" width="12.75" style="188" bestFit="1" customWidth="1"/>
    <col min="83" max="83" width="12.75" style="188" hidden="1" customWidth="1"/>
    <col min="84" max="84" width="11.625" style="188" bestFit="1" customWidth="1"/>
    <col min="85" max="85" width="12.75" style="188" hidden="1" customWidth="1"/>
    <col min="86" max="86" width="12.75" style="188" bestFit="1" customWidth="1"/>
    <col min="87" max="87" width="10.5" style="188" hidden="1" customWidth="1"/>
    <col min="88" max="90" width="10.5" style="188" bestFit="1" customWidth="1"/>
    <col min="91" max="91" width="9.5" style="188" hidden="1" customWidth="1"/>
    <col min="92" max="16384" width="9" style="188"/>
  </cols>
  <sheetData>
    <row r="1" spans="1:91">
      <c r="A1" s="188">
        <v>600835</v>
      </c>
      <c r="B1" s="188">
        <v>20181231</v>
      </c>
      <c r="C1" s="188">
        <v>20180930</v>
      </c>
      <c r="D1" s="188">
        <v>20180630</v>
      </c>
      <c r="E1" s="188">
        <v>20180331</v>
      </c>
      <c r="F1" s="188">
        <v>20171231</v>
      </c>
      <c r="G1" s="188">
        <v>20170930</v>
      </c>
      <c r="H1" s="188">
        <v>20170630</v>
      </c>
      <c r="I1" s="188">
        <v>20170331</v>
      </c>
      <c r="J1" s="188">
        <v>20161231</v>
      </c>
      <c r="K1" s="188">
        <v>20160930</v>
      </c>
      <c r="L1" s="188">
        <v>20160630</v>
      </c>
      <c r="M1" s="188">
        <v>20160331</v>
      </c>
      <c r="N1" s="188">
        <v>20151231</v>
      </c>
      <c r="O1" s="188">
        <v>20150930</v>
      </c>
      <c r="P1" s="188">
        <v>20150630</v>
      </c>
      <c r="Q1" s="188">
        <v>20150331</v>
      </c>
      <c r="R1" s="188">
        <v>20141231</v>
      </c>
      <c r="S1" s="188">
        <v>20140930</v>
      </c>
      <c r="T1" s="188">
        <v>20140630</v>
      </c>
      <c r="U1" s="188">
        <v>20140331</v>
      </c>
      <c r="V1" s="188">
        <v>20131231</v>
      </c>
      <c r="W1" s="188">
        <v>20130930</v>
      </c>
      <c r="X1" s="188">
        <v>20130630</v>
      </c>
      <c r="Y1" s="188">
        <v>20130331</v>
      </c>
      <c r="Z1" s="188">
        <v>20121231</v>
      </c>
      <c r="AA1" s="188">
        <v>20120930</v>
      </c>
      <c r="AB1" s="188">
        <v>20120630</v>
      </c>
      <c r="AC1" s="188">
        <v>20120331</v>
      </c>
      <c r="AD1" s="188">
        <v>20111231</v>
      </c>
      <c r="AE1" s="188">
        <v>20110930</v>
      </c>
      <c r="AF1" s="188">
        <v>20110630</v>
      </c>
      <c r="AG1" s="188">
        <v>20110331</v>
      </c>
      <c r="AH1" s="188">
        <v>20101231</v>
      </c>
      <c r="AI1" s="188">
        <v>20100930</v>
      </c>
      <c r="AJ1" s="188">
        <v>20100630</v>
      </c>
      <c r="AK1" s="188">
        <v>20100331</v>
      </c>
      <c r="AL1" s="188">
        <v>20091231</v>
      </c>
      <c r="AM1" s="188">
        <v>20090930</v>
      </c>
      <c r="AN1" s="188">
        <v>20090630</v>
      </c>
      <c r="AO1" s="188">
        <v>20090331</v>
      </c>
      <c r="AP1" s="188">
        <v>20081231</v>
      </c>
      <c r="AQ1" s="188">
        <v>20080930</v>
      </c>
      <c r="AR1" s="188">
        <v>20080630</v>
      </c>
      <c r="AS1" s="188">
        <v>20080331</v>
      </c>
      <c r="AT1" s="188">
        <v>20071231</v>
      </c>
      <c r="AU1" s="188">
        <v>20070930</v>
      </c>
      <c r="AV1" s="188">
        <v>20070630</v>
      </c>
      <c r="AW1" s="188">
        <v>20070331</v>
      </c>
      <c r="AX1" s="188">
        <v>20061231</v>
      </c>
      <c r="AY1" s="188">
        <v>20060930</v>
      </c>
      <c r="AZ1" s="188">
        <v>20060630</v>
      </c>
      <c r="BA1" s="188">
        <v>20060331</v>
      </c>
      <c r="BB1" s="188">
        <v>20051231</v>
      </c>
      <c r="BC1" s="188">
        <v>20050930</v>
      </c>
      <c r="BD1" s="188">
        <v>20050630</v>
      </c>
      <c r="BE1" s="188">
        <v>20050331</v>
      </c>
      <c r="BF1" s="188">
        <v>20041231</v>
      </c>
      <c r="BG1" s="188">
        <v>20040930</v>
      </c>
      <c r="BH1" s="188">
        <v>20040630</v>
      </c>
      <c r="BI1" s="188">
        <v>20040331</v>
      </c>
      <c r="BJ1" s="188">
        <v>20031231</v>
      </c>
      <c r="BK1" s="188">
        <v>20030930</v>
      </c>
      <c r="BL1" s="188">
        <v>20030630</v>
      </c>
      <c r="BM1" s="188">
        <v>20030331</v>
      </c>
      <c r="BN1" s="188">
        <v>20021231</v>
      </c>
      <c r="BO1" s="188">
        <v>20020930</v>
      </c>
      <c r="BP1" s="188">
        <v>20020630</v>
      </c>
      <c r="BQ1" s="188">
        <v>20020331</v>
      </c>
      <c r="BR1" s="188">
        <v>20011231</v>
      </c>
      <c r="BS1" s="188">
        <v>20010630</v>
      </c>
      <c r="BT1" s="188">
        <v>20001231</v>
      </c>
      <c r="BU1" s="188">
        <v>20000630</v>
      </c>
      <c r="BV1" s="188">
        <v>19991231</v>
      </c>
      <c r="BW1" s="188">
        <v>19990630</v>
      </c>
      <c r="BX1" s="188">
        <v>19981231</v>
      </c>
      <c r="BY1" s="188">
        <v>19980630</v>
      </c>
      <c r="BZ1" s="188">
        <v>19971231</v>
      </c>
      <c r="CA1" s="188">
        <v>19970630</v>
      </c>
      <c r="CB1" s="188">
        <v>19961231</v>
      </c>
      <c r="CC1" s="188">
        <v>19960630</v>
      </c>
      <c r="CD1" s="188">
        <v>19951231</v>
      </c>
      <c r="CE1" s="188">
        <v>19950630</v>
      </c>
      <c r="CF1" s="188">
        <v>19941231</v>
      </c>
      <c r="CG1" s="188">
        <v>19940630</v>
      </c>
      <c r="CH1" s="188">
        <v>19931231</v>
      </c>
      <c r="CI1" s="188">
        <v>19930630</v>
      </c>
      <c r="CJ1" s="188">
        <v>19921231</v>
      </c>
      <c r="CK1" s="188">
        <v>19911231</v>
      </c>
      <c r="CL1" s="188">
        <v>19901231</v>
      </c>
      <c r="CM1" s="188">
        <v>19700101</v>
      </c>
    </row>
    <row r="2" spans="1:91">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c r="BV2" s="188" t="s">
        <v>106</v>
      </c>
      <c r="BW2" s="188" t="s">
        <v>106</v>
      </c>
      <c r="BX2" s="188" t="s">
        <v>106</v>
      </c>
      <c r="BY2" s="188" t="s">
        <v>106</v>
      </c>
      <c r="BZ2" s="188" t="s">
        <v>106</v>
      </c>
      <c r="CA2" s="188" t="s">
        <v>106</v>
      </c>
      <c r="CB2" s="188" t="s">
        <v>106</v>
      </c>
      <c r="CC2" s="188" t="s">
        <v>106</v>
      </c>
      <c r="CD2" s="188" t="s">
        <v>106</v>
      </c>
      <c r="CE2" s="188" t="s">
        <v>106</v>
      </c>
      <c r="CF2" s="188" t="s">
        <v>106</v>
      </c>
      <c r="CG2" s="188" t="s">
        <v>106</v>
      </c>
      <c r="CH2" s="188" t="s">
        <v>106</v>
      </c>
      <c r="CI2" s="188" t="s">
        <v>106</v>
      </c>
      <c r="CJ2" s="188" t="s">
        <v>106</v>
      </c>
      <c r="CK2" s="188" t="s">
        <v>106</v>
      </c>
      <c r="CL2" s="188" t="s">
        <v>106</v>
      </c>
    </row>
    <row r="3" spans="1:91">
      <c r="A3" s="188" t="s">
        <v>107</v>
      </c>
    </row>
    <row r="4" spans="1:91">
      <c r="A4" s="188" t="s">
        <v>108</v>
      </c>
      <c r="B4" s="188">
        <v>13209278023.299999</v>
      </c>
      <c r="C4" s="188">
        <v>12839782161.299999</v>
      </c>
      <c r="D4" s="188">
        <v>13434469824.620001</v>
      </c>
      <c r="E4" s="188">
        <v>13152220580.23</v>
      </c>
      <c r="F4" s="188">
        <v>14413916495.690001</v>
      </c>
      <c r="G4" s="188">
        <v>13901220342.01</v>
      </c>
      <c r="H4" s="188">
        <v>13897075629.049999</v>
      </c>
      <c r="I4" s="188">
        <v>13692724818.049999</v>
      </c>
      <c r="J4" s="188">
        <v>13939115297.67</v>
      </c>
      <c r="K4" s="188">
        <v>13674882269.120001</v>
      </c>
      <c r="L4" s="188">
        <v>13661648501.629999</v>
      </c>
      <c r="M4" s="188">
        <v>12800054582.23</v>
      </c>
      <c r="N4" s="188">
        <v>12782494920.459999</v>
      </c>
      <c r="O4" s="188">
        <v>12803399125.59</v>
      </c>
      <c r="P4" s="188">
        <v>12626689494.42</v>
      </c>
      <c r="Q4" s="188">
        <v>11910401067.860001</v>
      </c>
      <c r="R4" s="188">
        <v>12118007651.73</v>
      </c>
      <c r="S4" s="188">
        <v>11898737786.469999</v>
      </c>
      <c r="T4" s="188">
        <v>12121798970.440001</v>
      </c>
      <c r="U4" s="188">
        <v>11180487625.43</v>
      </c>
      <c r="V4" s="188">
        <v>11186210179.370001</v>
      </c>
      <c r="W4" s="188">
        <v>11128631888.65</v>
      </c>
      <c r="X4" s="188">
        <v>11255867940.18</v>
      </c>
      <c r="Y4" s="188">
        <v>9735620055.8199997</v>
      </c>
      <c r="Z4" s="188">
        <v>11855937853.68</v>
      </c>
      <c r="AA4" s="188">
        <v>9694992453.1000004</v>
      </c>
      <c r="AB4" s="188">
        <v>9588252783.9300003</v>
      </c>
      <c r="AC4" s="188">
        <v>7868387805.6999998</v>
      </c>
      <c r="AD4" s="188">
        <v>8577443674.3599997</v>
      </c>
      <c r="AE4" s="188">
        <v>7966001854.2799997</v>
      </c>
      <c r="AF4" s="188">
        <v>7506749428.8699999</v>
      </c>
      <c r="AG4" s="188">
        <v>6759831525.2200003</v>
      </c>
      <c r="AH4" s="188">
        <v>7019902264.9700003</v>
      </c>
      <c r="AI4" s="188">
        <v>7052393133.9099998</v>
      </c>
      <c r="AJ4" s="188">
        <v>6719273342.8100004</v>
      </c>
      <c r="AK4" s="188">
        <v>5881188169.71</v>
      </c>
      <c r="AL4" s="188">
        <v>5905618386.6700001</v>
      </c>
      <c r="AM4" s="188">
        <v>5459021755.54</v>
      </c>
      <c r="AN4" s="188">
        <v>5077018935.1800003</v>
      </c>
      <c r="AO4" s="188">
        <v>4674093846.21</v>
      </c>
      <c r="AP4" s="188">
        <v>4158196775.0900002</v>
      </c>
      <c r="AQ4" s="188">
        <v>4119186192.75</v>
      </c>
      <c r="AR4" s="188">
        <v>4033882792.0100002</v>
      </c>
      <c r="AS4" s="188">
        <v>3728831981.5900002</v>
      </c>
      <c r="AT4" s="188">
        <v>4079426457.6500001</v>
      </c>
      <c r="AU4" s="188">
        <v>3685958912.6599998</v>
      </c>
      <c r="AV4" s="188">
        <v>3543791069.9000001</v>
      </c>
      <c r="AW4" s="188">
        <v>3494700974.5700002</v>
      </c>
      <c r="AX4" s="188">
        <v>3542831901.8600001</v>
      </c>
      <c r="AY4" s="188">
        <v>3567667232.6300001</v>
      </c>
      <c r="AZ4" s="188">
        <v>3310047895.77</v>
      </c>
      <c r="BA4" s="188">
        <v>3010214139.1599998</v>
      </c>
      <c r="BB4" s="188">
        <v>3092734316.98</v>
      </c>
      <c r="BC4" s="188">
        <v>2690512825.3400002</v>
      </c>
      <c r="BD4" s="188">
        <v>2962195209.3099999</v>
      </c>
      <c r="BE4" s="188">
        <v>3247133877.6900001</v>
      </c>
      <c r="BF4" s="188">
        <v>3421753961.6799998</v>
      </c>
      <c r="BG4" s="188">
        <v>3267321093.1100001</v>
      </c>
      <c r="BH4" s="188">
        <v>3544925113.6999998</v>
      </c>
      <c r="BI4" s="188">
        <v>3609381940.7800002</v>
      </c>
      <c r="BJ4" s="188">
        <v>3594952662.6999998</v>
      </c>
      <c r="BK4" s="188">
        <v>3429630704.0100002</v>
      </c>
      <c r="BL4" s="188">
        <v>3753413514.6700001</v>
      </c>
      <c r="BM4" s="188">
        <v>3818304134.5799999</v>
      </c>
      <c r="BN4" s="188">
        <v>3812973603.4299998</v>
      </c>
      <c r="BO4" s="188">
        <v>3618264652.5599999</v>
      </c>
      <c r="BP4" s="188">
        <v>3980972571.25</v>
      </c>
      <c r="BQ4" s="188">
        <v>3711860240.8000002</v>
      </c>
      <c r="BR4" s="188">
        <v>3538792355.7199998</v>
      </c>
      <c r="BS4" s="188">
        <v>3339641515.0500002</v>
      </c>
      <c r="BT4" s="188">
        <v>3160698893.5100002</v>
      </c>
      <c r="BU4" s="188">
        <v>2780415771.4499998</v>
      </c>
      <c r="BV4" s="188">
        <v>2732240475.52</v>
      </c>
      <c r="BW4" s="188">
        <v>1844261372.24</v>
      </c>
      <c r="BX4" s="188">
        <v>2024584662.3399999</v>
      </c>
      <c r="BY4" s="188">
        <v>16566551.32</v>
      </c>
      <c r="BZ4" s="188">
        <v>170525509.43000001</v>
      </c>
      <c r="CA4" s="188">
        <v>0</v>
      </c>
      <c r="CB4" s="188">
        <v>39275548.240000002</v>
      </c>
      <c r="CC4" s="188">
        <v>0</v>
      </c>
      <c r="CD4" s="188">
        <v>56714689.82</v>
      </c>
      <c r="CE4" s="188">
        <v>0</v>
      </c>
      <c r="CF4" s="188">
        <v>136596000</v>
      </c>
      <c r="CG4" s="188">
        <v>0</v>
      </c>
      <c r="CH4" s="188">
        <v>92708969.409999996</v>
      </c>
      <c r="CI4" s="188">
        <v>0</v>
      </c>
      <c r="CJ4" s="188">
        <v>0</v>
      </c>
      <c r="CK4" s="188">
        <v>0</v>
      </c>
      <c r="CL4" s="188">
        <v>0</v>
      </c>
      <c r="CM4" s="188">
        <v>0</v>
      </c>
    </row>
    <row r="5" spans="1:91">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100000</v>
      </c>
      <c r="BC5" s="188">
        <v>100000</v>
      </c>
      <c r="BD5" s="188">
        <v>100000</v>
      </c>
      <c r="BE5" s="188">
        <v>0</v>
      </c>
      <c r="BF5" s="188">
        <v>0</v>
      </c>
      <c r="BG5" s="188">
        <v>0</v>
      </c>
      <c r="BH5" s="188">
        <v>0</v>
      </c>
      <c r="BI5" s="188">
        <v>0</v>
      </c>
      <c r="BJ5" s="188">
        <v>0</v>
      </c>
      <c r="BK5" s="188">
        <v>5000000</v>
      </c>
      <c r="BL5" s="188">
        <v>0</v>
      </c>
      <c r="BM5" s="188">
        <v>0</v>
      </c>
      <c r="BN5" s="188">
        <v>0</v>
      </c>
      <c r="BO5" s="188">
        <v>0</v>
      </c>
      <c r="BP5" s="188">
        <v>0</v>
      </c>
      <c r="BQ5" s="188">
        <v>0</v>
      </c>
      <c r="BR5" s="188">
        <v>0</v>
      </c>
      <c r="BS5" s="188">
        <v>0</v>
      </c>
      <c r="BT5" s="188">
        <v>0</v>
      </c>
      <c r="BU5" s="188">
        <v>0</v>
      </c>
      <c r="BV5" s="188">
        <v>0</v>
      </c>
      <c r="BW5" s="188">
        <v>0</v>
      </c>
      <c r="BX5" s="188">
        <v>0</v>
      </c>
      <c r="BY5" s="188">
        <v>0</v>
      </c>
      <c r="BZ5" s="188">
        <v>0</v>
      </c>
      <c r="CA5" s="188">
        <v>0</v>
      </c>
      <c r="CB5" s="188">
        <v>0</v>
      </c>
      <c r="CC5" s="188">
        <v>0</v>
      </c>
      <c r="CD5" s="188">
        <v>4259813.8499999996</v>
      </c>
      <c r="CE5" s="188">
        <v>0</v>
      </c>
      <c r="CF5" s="188">
        <v>63347000</v>
      </c>
      <c r="CG5" s="188">
        <v>0</v>
      </c>
      <c r="CH5" s="188">
        <v>0</v>
      </c>
      <c r="CI5" s="188">
        <v>0</v>
      </c>
      <c r="CJ5" s="188">
        <v>0</v>
      </c>
      <c r="CK5" s="188">
        <v>0</v>
      </c>
      <c r="CL5" s="188">
        <v>0</v>
      </c>
      <c r="CM5" s="188">
        <v>0</v>
      </c>
    </row>
    <row r="6" spans="1:91">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v>0</v>
      </c>
      <c r="BU6" s="188">
        <v>0</v>
      </c>
      <c r="BV6" s="188">
        <v>0</v>
      </c>
      <c r="BW6" s="188">
        <v>0</v>
      </c>
      <c r="BX6" s="188">
        <v>0</v>
      </c>
      <c r="BY6" s="188">
        <v>0</v>
      </c>
      <c r="BZ6" s="188">
        <v>0</v>
      </c>
      <c r="CA6" s="188">
        <v>0</v>
      </c>
      <c r="CB6" s="188">
        <v>0</v>
      </c>
      <c r="CC6" s="188">
        <v>0</v>
      </c>
      <c r="CD6" s="188">
        <v>0</v>
      </c>
      <c r="CE6" s="188">
        <v>0</v>
      </c>
      <c r="CF6" s="188">
        <v>0</v>
      </c>
      <c r="CG6" s="188">
        <v>0</v>
      </c>
      <c r="CH6" s="188">
        <v>0</v>
      </c>
      <c r="CI6" s="188">
        <v>0</v>
      </c>
      <c r="CJ6" s="188">
        <v>0</v>
      </c>
      <c r="CK6" s="188">
        <v>0</v>
      </c>
      <c r="CL6" s="188">
        <v>0</v>
      </c>
      <c r="CM6" s="188">
        <v>0</v>
      </c>
    </row>
    <row r="7" spans="1:91">
      <c r="A7" s="188" t="s">
        <v>111</v>
      </c>
      <c r="B7" s="188">
        <v>1317927034.97</v>
      </c>
      <c r="C7" s="188">
        <v>999330052.45000005</v>
      </c>
      <c r="D7" s="188">
        <v>617426679.89999998</v>
      </c>
      <c r="E7" s="188">
        <v>538148304.73000002</v>
      </c>
      <c r="F7" s="188">
        <v>629180072.21000004</v>
      </c>
      <c r="G7" s="188">
        <v>392337645.05000001</v>
      </c>
      <c r="H7" s="188">
        <v>169709872.37</v>
      </c>
      <c r="I7" s="188">
        <v>297398903.86000001</v>
      </c>
      <c r="J7" s="188">
        <v>405885111.82999998</v>
      </c>
      <c r="K7" s="188">
        <v>431113762.32999998</v>
      </c>
      <c r="L7" s="188">
        <v>374495984.56</v>
      </c>
      <c r="M7" s="188">
        <v>270566456.16000003</v>
      </c>
      <c r="N7" s="188">
        <v>356774841.43000001</v>
      </c>
      <c r="O7" s="188">
        <v>340703582.11000001</v>
      </c>
      <c r="P7" s="188">
        <v>366120131.79000002</v>
      </c>
      <c r="Q7" s="188">
        <v>306071212.92000002</v>
      </c>
      <c r="R7" s="188">
        <v>301519953.83999997</v>
      </c>
      <c r="S7" s="188">
        <v>266124738.78999999</v>
      </c>
      <c r="T7" s="188">
        <v>278178302.57999998</v>
      </c>
      <c r="U7" s="188">
        <v>204321402.80000001</v>
      </c>
      <c r="V7" s="188">
        <v>241660925.06</v>
      </c>
      <c r="W7" s="188">
        <v>256703932.46000001</v>
      </c>
      <c r="X7" s="188">
        <v>233766283.90000001</v>
      </c>
      <c r="Y7" s="188">
        <v>137598123.81999999</v>
      </c>
      <c r="Z7" s="188">
        <v>215694856.55000001</v>
      </c>
      <c r="AA7" s="188">
        <v>102641962.67</v>
      </c>
      <c r="AB7" s="188">
        <v>92157292.200000003</v>
      </c>
      <c r="AC7" s="188">
        <v>90756680.909999996</v>
      </c>
      <c r="AD7" s="188">
        <v>300008218.35000002</v>
      </c>
      <c r="AE7" s="188">
        <v>221702226.31999999</v>
      </c>
      <c r="AF7" s="188">
        <v>243657087.36000001</v>
      </c>
      <c r="AG7" s="188">
        <v>197263796.71000001</v>
      </c>
      <c r="AH7" s="188">
        <v>233002350.72999999</v>
      </c>
      <c r="AI7" s="188">
        <v>232126490.11000001</v>
      </c>
      <c r="AJ7" s="188">
        <v>202554975.72</v>
      </c>
      <c r="AK7" s="188">
        <v>123857901.7</v>
      </c>
      <c r="AL7" s="188">
        <v>181162671.28999999</v>
      </c>
      <c r="AM7" s="188">
        <v>152982832.88999999</v>
      </c>
      <c r="AN7" s="188">
        <v>112286217.8</v>
      </c>
      <c r="AO7" s="188">
        <v>109727349.47</v>
      </c>
      <c r="AP7" s="188">
        <v>112936778.81</v>
      </c>
      <c r="AQ7" s="188">
        <v>80748931.519999996</v>
      </c>
      <c r="AR7" s="188">
        <v>127187704.95</v>
      </c>
      <c r="AS7" s="188">
        <v>90936703.329999998</v>
      </c>
      <c r="AT7" s="188">
        <v>163423318.18000001</v>
      </c>
      <c r="AU7" s="188">
        <v>86933597.849999994</v>
      </c>
      <c r="AV7" s="188">
        <v>64783707.990000002</v>
      </c>
      <c r="AW7" s="188">
        <v>41352784.490000002</v>
      </c>
      <c r="AX7" s="188">
        <v>39907646.520000003</v>
      </c>
      <c r="AY7" s="188">
        <v>57770988.659999996</v>
      </c>
      <c r="AZ7" s="188">
        <v>42241789.609999999</v>
      </c>
      <c r="BA7" s="188">
        <v>43949085.93</v>
      </c>
      <c r="BB7" s="188">
        <v>33139409.379999999</v>
      </c>
      <c r="BC7" s="188">
        <v>35383205.460000001</v>
      </c>
      <c r="BD7" s="188">
        <v>38261673.049999997</v>
      </c>
      <c r="BE7" s="188">
        <v>29178363.079999998</v>
      </c>
      <c r="BF7" s="188">
        <v>32748858.93</v>
      </c>
      <c r="BG7" s="188">
        <v>40687837.009999998</v>
      </c>
      <c r="BH7" s="188">
        <v>59733936.909999996</v>
      </c>
      <c r="BI7" s="188">
        <v>32654958.190000001</v>
      </c>
      <c r="BJ7" s="188">
        <v>41077371.539999999</v>
      </c>
      <c r="BK7" s="188">
        <v>16353610.560000001</v>
      </c>
      <c r="BL7" s="188">
        <v>27811931.77</v>
      </c>
      <c r="BM7" s="188">
        <v>32367383.41</v>
      </c>
      <c r="BN7" s="188">
        <v>35133435.439999998</v>
      </c>
      <c r="BO7" s="188">
        <v>30747150</v>
      </c>
      <c r="BP7" s="188">
        <v>29491650</v>
      </c>
      <c r="BQ7" s="188">
        <v>20788825</v>
      </c>
      <c r="BR7" s="188">
        <v>5251400</v>
      </c>
      <c r="BS7" s="188">
        <v>250868284.90000001</v>
      </c>
      <c r="BT7" s="188">
        <v>233149840</v>
      </c>
      <c r="BU7" s="188">
        <v>362788700</v>
      </c>
      <c r="BV7" s="188">
        <v>306100000</v>
      </c>
      <c r="BW7" s="188">
        <v>622274500</v>
      </c>
      <c r="BX7" s="188">
        <v>520000000</v>
      </c>
      <c r="BY7" s="188">
        <v>799602400</v>
      </c>
      <c r="BZ7" s="188">
        <v>674035046.12</v>
      </c>
      <c r="CA7" s="188">
        <v>0</v>
      </c>
      <c r="CB7" s="188">
        <v>166424386.41</v>
      </c>
      <c r="CC7" s="188">
        <v>0</v>
      </c>
      <c r="CD7" s="188">
        <v>156692751.08000001</v>
      </c>
      <c r="CE7" s="188">
        <v>0</v>
      </c>
      <c r="CF7" s="188">
        <v>0</v>
      </c>
      <c r="CG7" s="188">
        <v>0</v>
      </c>
      <c r="CH7" s="188">
        <v>0</v>
      </c>
      <c r="CI7" s="188">
        <v>0</v>
      </c>
      <c r="CJ7" s="188">
        <v>0</v>
      </c>
      <c r="CK7" s="188">
        <v>0</v>
      </c>
      <c r="CL7" s="188">
        <v>0</v>
      </c>
      <c r="CM7" s="188">
        <v>0</v>
      </c>
    </row>
    <row r="8" spans="1:91">
      <c r="A8" s="188" t="s">
        <v>112</v>
      </c>
      <c r="B8" s="188">
        <v>2278680400.3600001</v>
      </c>
      <c r="C8" s="188">
        <v>2439213882.9000001</v>
      </c>
      <c r="D8" s="188">
        <v>2766932487.77</v>
      </c>
      <c r="E8" s="188">
        <v>2477546459.5300002</v>
      </c>
      <c r="F8" s="188">
        <v>2501182017.3299999</v>
      </c>
      <c r="G8" s="188">
        <v>2501616296.4899998</v>
      </c>
      <c r="H8" s="188">
        <v>2227411696.2199998</v>
      </c>
      <c r="I8" s="188">
        <v>2082766775.4400001</v>
      </c>
      <c r="J8" s="188">
        <v>2052056991.1400001</v>
      </c>
      <c r="K8" s="188">
        <v>2379134891.1500001</v>
      </c>
      <c r="L8" s="188">
        <v>2269935022.8000002</v>
      </c>
      <c r="M8" s="188">
        <v>1982130084.79</v>
      </c>
      <c r="N8" s="188">
        <v>1972703801.95</v>
      </c>
      <c r="O8" s="188">
        <v>2133396737.5999999</v>
      </c>
      <c r="P8" s="188">
        <v>2237186006.0700002</v>
      </c>
      <c r="Q8" s="188">
        <v>2132621695.5</v>
      </c>
      <c r="R8" s="188">
        <v>2229729298.4000001</v>
      </c>
      <c r="S8" s="188">
        <v>2348996112.0500002</v>
      </c>
      <c r="T8" s="188">
        <v>2229527131.6500001</v>
      </c>
      <c r="U8" s="188">
        <v>1969879043.8800001</v>
      </c>
      <c r="V8" s="188">
        <v>1880312967.71</v>
      </c>
      <c r="W8" s="188">
        <v>1948752445.76</v>
      </c>
      <c r="X8" s="188">
        <v>1913600274.24</v>
      </c>
      <c r="Y8" s="188">
        <v>1881983587.29</v>
      </c>
      <c r="Z8" s="188">
        <v>2024831933.49</v>
      </c>
      <c r="AA8" s="188">
        <v>2274268608.6599998</v>
      </c>
      <c r="AB8" s="188">
        <v>1552099860.1099999</v>
      </c>
      <c r="AC8" s="188">
        <v>1411959382.1099999</v>
      </c>
      <c r="AD8" s="188">
        <v>1951962630.25</v>
      </c>
      <c r="AE8" s="188">
        <v>1631296887.99</v>
      </c>
      <c r="AF8" s="188">
        <v>1510731260.6800001</v>
      </c>
      <c r="AG8" s="188">
        <v>1341422321.75</v>
      </c>
      <c r="AH8" s="188">
        <v>1138816149.8800001</v>
      </c>
      <c r="AI8" s="188">
        <v>1366227881.24</v>
      </c>
      <c r="AJ8" s="188">
        <v>1237628831.5999999</v>
      </c>
      <c r="AK8" s="188">
        <v>1189174425.48</v>
      </c>
      <c r="AL8" s="188">
        <v>998917972.98000002</v>
      </c>
      <c r="AM8" s="188">
        <v>1261750567.03</v>
      </c>
      <c r="AN8" s="188">
        <v>1095690741.1099999</v>
      </c>
      <c r="AO8" s="188">
        <v>962835551.85000002</v>
      </c>
      <c r="AP8" s="188">
        <v>789621018.61000001</v>
      </c>
      <c r="AQ8" s="188">
        <v>931726293.77999997</v>
      </c>
      <c r="AR8" s="188">
        <v>846788206.38</v>
      </c>
      <c r="AS8" s="188">
        <v>814525500.52999997</v>
      </c>
      <c r="AT8" s="188">
        <v>724370215.98000002</v>
      </c>
      <c r="AU8" s="188">
        <v>875520548.90999997</v>
      </c>
      <c r="AV8" s="188">
        <v>817293044.75999999</v>
      </c>
      <c r="AW8" s="188">
        <v>776703440.70000005</v>
      </c>
      <c r="AX8" s="188">
        <v>600197562.42999995</v>
      </c>
      <c r="AY8" s="188">
        <v>701552666.80999994</v>
      </c>
      <c r="AZ8" s="188">
        <v>726702503</v>
      </c>
      <c r="BA8" s="188">
        <v>705456499.42999995</v>
      </c>
      <c r="BB8" s="188">
        <v>588412837.14999998</v>
      </c>
      <c r="BC8" s="188">
        <v>660218477.51999998</v>
      </c>
      <c r="BD8" s="188">
        <v>610414011.33000004</v>
      </c>
      <c r="BE8" s="188">
        <v>577964593.39999998</v>
      </c>
      <c r="BF8" s="188">
        <v>508935486.94999999</v>
      </c>
      <c r="BG8" s="188">
        <v>678554636.63999999</v>
      </c>
      <c r="BH8" s="188">
        <v>718226759.57000005</v>
      </c>
      <c r="BI8" s="188">
        <v>610689765.03999996</v>
      </c>
      <c r="BJ8" s="188">
        <v>524902144.35000002</v>
      </c>
      <c r="BK8" s="188">
        <v>657063861.41999996</v>
      </c>
      <c r="BL8" s="188">
        <v>878523203.46000004</v>
      </c>
      <c r="BM8" s="188">
        <v>816615329.22000003</v>
      </c>
      <c r="BN8" s="188">
        <v>739868488.25999999</v>
      </c>
      <c r="BO8" s="188">
        <v>1005775084.78</v>
      </c>
      <c r="BP8" s="188">
        <v>1031254781.88</v>
      </c>
      <c r="BQ8" s="188">
        <v>926155500.78999996</v>
      </c>
      <c r="BR8" s="188">
        <v>873450069.86000001</v>
      </c>
      <c r="BS8" s="188">
        <v>718028231.88999999</v>
      </c>
      <c r="BT8" s="188">
        <v>635151687.95000005</v>
      </c>
      <c r="BU8" s="188">
        <v>1109312358.1800001</v>
      </c>
      <c r="BV8" s="188">
        <v>1062712385.49</v>
      </c>
      <c r="BW8" s="188">
        <v>703028056.88</v>
      </c>
      <c r="BX8" s="188">
        <v>633386357.37</v>
      </c>
      <c r="BY8" s="188">
        <v>185640560.49000001</v>
      </c>
      <c r="BZ8" s="188">
        <v>320171554.04000002</v>
      </c>
      <c r="CA8" s="188">
        <v>0</v>
      </c>
      <c r="CB8" s="188">
        <v>572983344.25</v>
      </c>
      <c r="CC8" s="188">
        <v>0</v>
      </c>
      <c r="CD8" s="188">
        <v>219995063.03999999</v>
      </c>
      <c r="CE8" s="188">
        <v>0</v>
      </c>
      <c r="CF8" s="188">
        <v>0</v>
      </c>
      <c r="CG8" s="188">
        <v>0</v>
      </c>
      <c r="CH8" s="188">
        <v>61611684.850000001</v>
      </c>
      <c r="CI8" s="188">
        <v>0</v>
      </c>
      <c r="CJ8" s="188">
        <v>0</v>
      </c>
      <c r="CK8" s="188">
        <v>0</v>
      </c>
      <c r="CL8" s="188">
        <v>0</v>
      </c>
      <c r="CM8" s="188">
        <v>0</v>
      </c>
    </row>
    <row r="9" spans="1:91">
      <c r="A9" s="188" t="s">
        <v>113</v>
      </c>
      <c r="B9" s="188">
        <v>1484342262.55</v>
      </c>
      <c r="C9" s="188">
        <v>1793415036.24</v>
      </c>
      <c r="D9" s="188">
        <v>2120943048.6900001</v>
      </c>
      <c r="E9" s="188">
        <v>3037865571.3400002</v>
      </c>
      <c r="F9" s="188">
        <v>1892050067.02</v>
      </c>
      <c r="G9" s="188">
        <v>1996106693.3599999</v>
      </c>
      <c r="H9" s="188">
        <v>2319779563.5500002</v>
      </c>
      <c r="I9" s="188">
        <v>2800478216.4899998</v>
      </c>
      <c r="J9" s="188">
        <v>2681155560.1100001</v>
      </c>
      <c r="K9" s="188">
        <v>2024921117.9200001</v>
      </c>
      <c r="L9" s="188">
        <v>2372894271.79</v>
      </c>
      <c r="M9" s="188">
        <v>2901366748.52</v>
      </c>
      <c r="N9" s="188">
        <v>2670624168.71</v>
      </c>
      <c r="O9" s="188">
        <v>1962974980.9000001</v>
      </c>
      <c r="P9" s="188">
        <v>2541814926.5100002</v>
      </c>
      <c r="Q9" s="188">
        <v>2365144009.8099999</v>
      </c>
      <c r="R9" s="188">
        <v>2027935831.23</v>
      </c>
      <c r="S9" s="188">
        <v>2048123146.7</v>
      </c>
      <c r="T9" s="188">
        <v>1793178370.3199999</v>
      </c>
      <c r="U9" s="188">
        <v>2143747612.4000001</v>
      </c>
      <c r="V9" s="188">
        <v>2072837037.9100001</v>
      </c>
      <c r="W9" s="188">
        <v>1870259927.3199999</v>
      </c>
      <c r="X9" s="188">
        <v>1695755251.96</v>
      </c>
      <c r="Y9" s="188">
        <v>1991706304.8699999</v>
      </c>
      <c r="Z9" s="188">
        <v>1731820230.4300001</v>
      </c>
      <c r="AA9" s="188">
        <v>1485876694.74</v>
      </c>
      <c r="AB9" s="188">
        <v>1024475391.77</v>
      </c>
      <c r="AC9" s="188">
        <v>971550281.75</v>
      </c>
      <c r="AD9" s="188">
        <v>842265933.82000005</v>
      </c>
      <c r="AE9" s="188">
        <v>983586524.36000001</v>
      </c>
      <c r="AF9" s="188">
        <v>745353266.11000001</v>
      </c>
      <c r="AG9" s="188">
        <v>799297971.17999995</v>
      </c>
      <c r="AH9" s="188">
        <v>504201226.05000001</v>
      </c>
      <c r="AI9" s="188">
        <v>558897106.95000005</v>
      </c>
      <c r="AJ9" s="188">
        <v>506694466.04000002</v>
      </c>
      <c r="AK9" s="188">
        <v>487395442.13</v>
      </c>
      <c r="AL9" s="188">
        <v>332214189.42000002</v>
      </c>
      <c r="AM9" s="188">
        <v>355624932.06999999</v>
      </c>
      <c r="AN9" s="188">
        <v>390046833.05000001</v>
      </c>
      <c r="AO9" s="188">
        <v>306182815.25</v>
      </c>
      <c r="AP9" s="188">
        <v>255338925.27000001</v>
      </c>
      <c r="AQ9" s="188">
        <v>292294187.26999998</v>
      </c>
      <c r="AR9" s="188">
        <v>343573017.37</v>
      </c>
      <c r="AS9" s="188">
        <v>228757483.25</v>
      </c>
      <c r="AT9" s="188">
        <v>240242463.63999999</v>
      </c>
      <c r="AU9" s="188">
        <v>182099010.66999999</v>
      </c>
      <c r="AV9" s="188">
        <v>169662778.06</v>
      </c>
      <c r="AW9" s="188">
        <v>149930119.38</v>
      </c>
      <c r="AX9" s="188">
        <v>161408152.86000001</v>
      </c>
      <c r="AY9" s="188">
        <v>138265050.05000001</v>
      </c>
      <c r="AZ9" s="188">
        <v>119237954.93000001</v>
      </c>
      <c r="BA9" s="188">
        <v>68516638.129999995</v>
      </c>
      <c r="BB9" s="188">
        <v>75535758.530000001</v>
      </c>
      <c r="BC9" s="188">
        <v>89070845.420000002</v>
      </c>
      <c r="BD9" s="188">
        <v>120370087.94</v>
      </c>
      <c r="BE9" s="188">
        <v>79213747.069999993</v>
      </c>
      <c r="BF9" s="188">
        <v>62375323.619999997</v>
      </c>
      <c r="BG9" s="188">
        <v>74758546.689999998</v>
      </c>
      <c r="BH9" s="188">
        <v>89605206.760000005</v>
      </c>
      <c r="BI9" s="188">
        <v>106777465.52</v>
      </c>
      <c r="BJ9" s="188">
        <v>91558550.790000007</v>
      </c>
      <c r="BK9" s="188">
        <v>92889532.739999995</v>
      </c>
      <c r="BL9" s="188">
        <v>68771399.620000005</v>
      </c>
      <c r="BM9" s="188">
        <v>77038202.540000007</v>
      </c>
      <c r="BN9" s="188">
        <v>62643250.350000001</v>
      </c>
      <c r="BO9" s="188">
        <v>100170232.95</v>
      </c>
      <c r="BP9" s="188">
        <v>84639166.689999998</v>
      </c>
      <c r="BQ9" s="188">
        <v>62284323.619999997</v>
      </c>
      <c r="BR9" s="188">
        <v>27597253.780000001</v>
      </c>
      <c r="BS9" s="188">
        <v>63832000.93</v>
      </c>
      <c r="BT9" s="188">
        <v>47392690.469999999</v>
      </c>
      <c r="BU9" s="188">
        <v>38836057.850000001</v>
      </c>
      <c r="BV9" s="188">
        <v>48352060.759999998</v>
      </c>
      <c r="BW9" s="188">
        <v>47264373.369999997</v>
      </c>
      <c r="BX9" s="188">
        <v>77668926.040000007</v>
      </c>
      <c r="BY9" s="188">
        <v>12999499.289999999</v>
      </c>
      <c r="BZ9" s="188">
        <v>6524830.46</v>
      </c>
      <c r="CA9" s="188">
        <v>0</v>
      </c>
      <c r="CB9" s="188">
        <v>70848424.930000007</v>
      </c>
      <c r="CC9" s="188">
        <v>0</v>
      </c>
      <c r="CD9" s="188">
        <v>96469955.659999996</v>
      </c>
      <c r="CE9" s="188">
        <v>0</v>
      </c>
      <c r="CF9" s="188">
        <v>0</v>
      </c>
      <c r="CG9" s="188">
        <v>0</v>
      </c>
      <c r="CH9" s="188">
        <v>29150102.609999999</v>
      </c>
      <c r="CI9" s="188">
        <v>0</v>
      </c>
      <c r="CJ9" s="188">
        <v>0</v>
      </c>
      <c r="CK9" s="188">
        <v>0</v>
      </c>
      <c r="CL9" s="188">
        <v>0</v>
      </c>
      <c r="CM9" s="188">
        <v>0</v>
      </c>
    </row>
    <row r="10" spans="1:91">
      <c r="A10" s="188" t="s">
        <v>114</v>
      </c>
      <c r="B10" s="188">
        <v>53751585.810000002</v>
      </c>
      <c r="C10" s="188">
        <v>38925036.57</v>
      </c>
      <c r="D10" s="188">
        <v>32424323.710000001</v>
      </c>
      <c r="E10" s="188">
        <v>54414888.890000001</v>
      </c>
      <c r="F10" s="188">
        <v>51818297.909999996</v>
      </c>
      <c r="G10" s="188">
        <v>42104645.130000003</v>
      </c>
      <c r="H10" s="188">
        <v>57085627.100000001</v>
      </c>
      <c r="I10" s="188">
        <v>83910730.569999993</v>
      </c>
      <c r="J10" s="188">
        <v>58604649.450000003</v>
      </c>
      <c r="K10" s="188">
        <v>51979423.060000002</v>
      </c>
      <c r="L10" s="188">
        <v>62170536.100000001</v>
      </c>
      <c r="M10" s="188">
        <v>10496944.439999999</v>
      </c>
      <c r="N10" s="188">
        <v>94359651.400000006</v>
      </c>
      <c r="O10" s="188">
        <v>76520119.430000007</v>
      </c>
      <c r="P10" s="188">
        <v>74800977.769999996</v>
      </c>
      <c r="Q10" s="188">
        <v>11971666.67</v>
      </c>
      <c r="R10" s="188">
        <v>82644100</v>
      </c>
      <c r="S10" s="188">
        <v>87651544.430000007</v>
      </c>
      <c r="T10" s="188">
        <v>70678238.879999995</v>
      </c>
      <c r="U10" s="188">
        <v>114492394.91</v>
      </c>
      <c r="V10" s="188">
        <v>74076561.590000004</v>
      </c>
      <c r="W10" s="188">
        <v>56206048.590000004</v>
      </c>
      <c r="X10" s="188">
        <v>48820937.490000002</v>
      </c>
      <c r="Y10" s="188">
        <v>37553784.700000003</v>
      </c>
      <c r="Z10" s="188">
        <v>21873159.699999999</v>
      </c>
      <c r="AA10" s="188">
        <v>32152847.23</v>
      </c>
      <c r="AB10" s="188">
        <v>32152847.23</v>
      </c>
      <c r="AC10" s="188">
        <v>12354728.18</v>
      </c>
      <c r="AD10" s="188">
        <v>16562916.68</v>
      </c>
      <c r="AE10" s="188">
        <v>5778402.7800000003</v>
      </c>
      <c r="AF10" s="188">
        <v>1717708.33</v>
      </c>
      <c r="AG10" s="188">
        <v>0</v>
      </c>
      <c r="AH10" s="188">
        <v>21852611.109999999</v>
      </c>
      <c r="AI10" s="188">
        <v>1413437.5</v>
      </c>
      <c r="AJ10" s="188">
        <v>1413437.5</v>
      </c>
      <c r="AK10" s="188">
        <v>0</v>
      </c>
      <c r="AL10" s="188">
        <v>6289687.5</v>
      </c>
      <c r="AM10" s="188">
        <v>0</v>
      </c>
      <c r="AN10" s="188">
        <v>1873650</v>
      </c>
      <c r="AO10" s="188">
        <v>0</v>
      </c>
      <c r="AP10" s="188">
        <v>9861297.9499999993</v>
      </c>
      <c r="AQ10" s="188">
        <v>0</v>
      </c>
      <c r="AR10" s="188">
        <v>14343487.5</v>
      </c>
      <c r="AS10" s="188">
        <v>0</v>
      </c>
      <c r="AT10" s="188">
        <v>2870662.5</v>
      </c>
      <c r="AU10" s="188">
        <v>0</v>
      </c>
      <c r="AV10" s="188">
        <v>0</v>
      </c>
      <c r="AW10" s="188">
        <v>0</v>
      </c>
      <c r="AX10" s="188">
        <v>2329637.5</v>
      </c>
      <c r="AY10" s="188">
        <v>1521250</v>
      </c>
      <c r="AZ10" s="188">
        <v>1521250</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c r="BT10" s="188">
        <v>0</v>
      </c>
      <c r="BU10" s="188">
        <v>0</v>
      </c>
      <c r="BV10" s="188">
        <v>0</v>
      </c>
      <c r="BW10" s="188">
        <v>0</v>
      </c>
      <c r="BX10" s="188">
        <v>0</v>
      </c>
      <c r="BY10" s="188">
        <v>0</v>
      </c>
      <c r="BZ10" s="188">
        <v>0</v>
      </c>
      <c r="CA10" s="188">
        <v>0</v>
      </c>
      <c r="CB10" s="188">
        <v>0</v>
      </c>
      <c r="CC10" s="188">
        <v>0</v>
      </c>
      <c r="CD10" s="188">
        <v>0</v>
      </c>
      <c r="CE10" s="188">
        <v>0</v>
      </c>
      <c r="CF10" s="188">
        <v>0</v>
      </c>
      <c r="CG10" s="188">
        <v>0</v>
      </c>
      <c r="CH10" s="188">
        <v>0</v>
      </c>
      <c r="CI10" s="188">
        <v>0</v>
      </c>
      <c r="CJ10" s="188">
        <v>0</v>
      </c>
      <c r="CK10" s="188">
        <v>0</v>
      </c>
      <c r="CL10" s="188">
        <v>0</v>
      </c>
      <c r="CM10" s="188">
        <v>0</v>
      </c>
    </row>
    <row r="11" spans="1:91">
      <c r="A11" s="188" t="s">
        <v>115</v>
      </c>
      <c r="B11" s="188">
        <v>151516299</v>
      </c>
      <c r="C11" s="188">
        <v>36621585.75</v>
      </c>
      <c r="D11" s="188">
        <v>0</v>
      </c>
      <c r="E11" s="188">
        <v>0</v>
      </c>
      <c r="F11" s="188">
        <v>0</v>
      </c>
      <c r="G11" s="188">
        <v>0</v>
      </c>
      <c r="H11" s="188">
        <v>0</v>
      </c>
      <c r="I11" s="188">
        <v>0</v>
      </c>
      <c r="J11" s="188">
        <v>0</v>
      </c>
      <c r="K11" s="188">
        <v>42116842.229999997</v>
      </c>
      <c r="L11" s="188">
        <v>42116842.229999997</v>
      </c>
      <c r="M11" s="188">
        <v>24760311.289999999</v>
      </c>
      <c r="N11" s="188">
        <v>24760311.289999999</v>
      </c>
      <c r="O11" s="188">
        <v>27437781.289999999</v>
      </c>
      <c r="P11" s="188">
        <v>27437781.289999999</v>
      </c>
      <c r="Q11" s="188">
        <v>144000</v>
      </c>
      <c r="R11" s="188">
        <v>0</v>
      </c>
      <c r="S11" s="188">
        <v>0</v>
      </c>
      <c r="T11" s="188">
        <v>0</v>
      </c>
      <c r="U11" s="188">
        <v>0</v>
      </c>
      <c r="V11" s="188">
        <v>48135425.159999996</v>
      </c>
      <c r="W11" s="188">
        <v>186200.5</v>
      </c>
      <c r="X11" s="188">
        <v>120000</v>
      </c>
      <c r="Y11" s="188">
        <v>0</v>
      </c>
      <c r="Z11" s="188">
        <v>0</v>
      </c>
      <c r="AA11" s="188">
        <v>0</v>
      </c>
      <c r="AB11" s="188">
        <v>3188830</v>
      </c>
      <c r="AC11" s="188">
        <v>146250689.16999999</v>
      </c>
      <c r="AD11" s="188">
        <v>0</v>
      </c>
      <c r="AE11" s="188">
        <v>3937500</v>
      </c>
      <c r="AF11" s="188">
        <v>41864997.390000001</v>
      </c>
      <c r="AG11" s="188">
        <v>11206366</v>
      </c>
      <c r="AH11" s="188">
        <v>16318366</v>
      </c>
      <c r="AI11" s="188">
        <v>21466561.699999999</v>
      </c>
      <c r="AJ11" s="188">
        <v>24718292.899999999</v>
      </c>
      <c r="AK11" s="188">
        <v>9109781.5500000007</v>
      </c>
      <c r="AL11" s="188">
        <v>9428818.9399999995</v>
      </c>
      <c r="AM11" s="188">
        <v>18845109.550000001</v>
      </c>
      <c r="AN11" s="188">
        <v>32227649.129999999</v>
      </c>
      <c r="AO11" s="188">
        <v>38550651.409999996</v>
      </c>
      <c r="AP11" s="188">
        <v>38550651.409999996</v>
      </c>
      <c r="AQ11" s="188">
        <v>86095263.060000002</v>
      </c>
      <c r="AR11" s="188">
        <v>43133078.560000002</v>
      </c>
      <c r="AS11" s="188">
        <v>28472020.91</v>
      </c>
      <c r="AT11" s="188">
        <v>27745072.350000001</v>
      </c>
      <c r="AU11" s="188">
        <v>785141.58</v>
      </c>
      <c r="AV11" s="188">
        <v>26237494.149999999</v>
      </c>
      <c r="AW11" s="188">
        <v>785141.58</v>
      </c>
      <c r="AX11" s="188">
        <v>13730595.52</v>
      </c>
      <c r="AY11" s="188">
        <v>29551423.07</v>
      </c>
      <c r="AZ11" s="188">
        <v>40007171.07</v>
      </c>
      <c r="BA11" s="188">
        <v>7416745.9100000001</v>
      </c>
      <c r="BB11" s="188">
        <v>10500318.07</v>
      </c>
      <c r="BC11" s="188">
        <v>3116527.27</v>
      </c>
      <c r="BD11" s="188">
        <v>4257349.75</v>
      </c>
      <c r="BE11" s="188">
        <v>8136937.4199999999</v>
      </c>
      <c r="BF11" s="188">
        <v>5376039.3799999999</v>
      </c>
      <c r="BG11" s="188">
        <v>21341014.760000002</v>
      </c>
      <c r="BH11" s="188">
        <v>5303615.88</v>
      </c>
      <c r="BI11" s="188">
        <v>3613278.99</v>
      </c>
      <c r="BJ11" s="188">
        <v>5821288.0499999998</v>
      </c>
      <c r="BK11" s="188">
        <v>9454526.9900000002</v>
      </c>
      <c r="BL11" s="188">
        <v>28122776.370000001</v>
      </c>
      <c r="BM11" s="188">
        <v>15761969.119999999</v>
      </c>
      <c r="BN11" s="188">
        <v>16010558.65</v>
      </c>
      <c r="BO11" s="188">
        <v>17426615.75</v>
      </c>
      <c r="BP11" s="188">
        <v>10821909.68</v>
      </c>
      <c r="BQ11" s="188">
        <v>12072587.27</v>
      </c>
      <c r="BR11" s="188">
        <v>42452587.270000003</v>
      </c>
      <c r="BS11" s="188">
        <v>61733494.740000002</v>
      </c>
      <c r="BT11" s="188">
        <v>114632044.27</v>
      </c>
      <c r="BU11" s="188">
        <v>29400000</v>
      </c>
      <c r="BV11" s="188">
        <v>80360000</v>
      </c>
      <c r="BW11" s="188">
        <v>0</v>
      </c>
      <c r="BX11" s="188">
        <v>0</v>
      </c>
      <c r="BY11" s="188">
        <v>0</v>
      </c>
      <c r="BZ11" s="188">
        <v>0</v>
      </c>
      <c r="CA11" s="188">
        <v>0</v>
      </c>
      <c r="CB11" s="188">
        <v>0</v>
      </c>
      <c r="CC11" s="188">
        <v>0</v>
      </c>
      <c r="CD11" s="188">
        <v>0</v>
      </c>
      <c r="CE11" s="188">
        <v>0</v>
      </c>
      <c r="CF11" s="188">
        <v>0</v>
      </c>
      <c r="CG11" s="188">
        <v>0</v>
      </c>
      <c r="CH11" s="188">
        <v>0</v>
      </c>
      <c r="CI11" s="188">
        <v>0</v>
      </c>
      <c r="CJ11" s="188">
        <v>0</v>
      </c>
      <c r="CK11" s="188">
        <v>0</v>
      </c>
      <c r="CL11" s="188">
        <v>0</v>
      </c>
      <c r="CM11" s="188">
        <v>0</v>
      </c>
    </row>
    <row r="12" spans="1:91">
      <c r="A12" s="188" t="s">
        <v>116</v>
      </c>
      <c r="B12" s="188">
        <v>366401189.24000001</v>
      </c>
      <c r="C12" s="188">
        <v>337510659.19999999</v>
      </c>
      <c r="D12" s="188">
        <v>193881550.58000001</v>
      </c>
      <c r="E12" s="188">
        <v>190755514.16999999</v>
      </c>
      <c r="F12" s="188">
        <v>170326603.5</v>
      </c>
      <c r="G12" s="188">
        <v>213428653.28999999</v>
      </c>
      <c r="H12" s="188">
        <v>184634777.75</v>
      </c>
      <c r="I12" s="188">
        <v>189259398.66999999</v>
      </c>
      <c r="J12" s="188">
        <v>207081623.74000001</v>
      </c>
      <c r="K12" s="188">
        <v>223303082.28999999</v>
      </c>
      <c r="L12" s="188">
        <v>226417351.21000001</v>
      </c>
      <c r="M12" s="188">
        <v>370605874.33999997</v>
      </c>
      <c r="N12" s="188">
        <v>239168143.71000001</v>
      </c>
      <c r="O12" s="188">
        <v>219013625.18000001</v>
      </c>
      <c r="P12" s="188">
        <v>274312852.31</v>
      </c>
      <c r="Q12" s="188">
        <v>275496984.31</v>
      </c>
      <c r="R12" s="188">
        <v>180484545.44</v>
      </c>
      <c r="S12" s="188">
        <v>241509672.53</v>
      </c>
      <c r="T12" s="188">
        <v>216380798.13999999</v>
      </c>
      <c r="U12" s="188">
        <v>292379296.67000002</v>
      </c>
      <c r="V12" s="188">
        <v>277929649.75999999</v>
      </c>
      <c r="W12" s="188">
        <v>233800281.13999999</v>
      </c>
      <c r="X12" s="188">
        <v>204237895.65000001</v>
      </c>
      <c r="Y12" s="188">
        <v>213875637.88</v>
      </c>
      <c r="Z12" s="188">
        <v>176000346.38999999</v>
      </c>
      <c r="AA12" s="188">
        <v>316075586.79000002</v>
      </c>
      <c r="AB12" s="188">
        <v>187935477.86000001</v>
      </c>
      <c r="AC12" s="188">
        <v>161977001.87</v>
      </c>
      <c r="AD12" s="188">
        <v>245456014.97999999</v>
      </c>
      <c r="AE12" s="188">
        <v>222073928.77000001</v>
      </c>
      <c r="AF12" s="188">
        <v>202920618.11000001</v>
      </c>
      <c r="AG12" s="188">
        <v>185326945.22999999</v>
      </c>
      <c r="AH12" s="188">
        <v>184540951.65000001</v>
      </c>
      <c r="AI12" s="188">
        <v>157496271.34999999</v>
      </c>
      <c r="AJ12" s="188">
        <v>150683263.09999999</v>
      </c>
      <c r="AK12" s="188">
        <v>143196190.34999999</v>
      </c>
      <c r="AL12" s="188">
        <v>139601399.88</v>
      </c>
      <c r="AM12" s="188">
        <v>169329731.94</v>
      </c>
      <c r="AN12" s="188">
        <v>255501918.28999999</v>
      </c>
      <c r="AO12" s="188">
        <v>127664271.23999999</v>
      </c>
      <c r="AP12" s="188">
        <v>361543659.20999998</v>
      </c>
      <c r="AQ12" s="188">
        <v>138880816.87</v>
      </c>
      <c r="AR12" s="188">
        <v>125475167.89</v>
      </c>
      <c r="AS12" s="188">
        <v>158451091.94</v>
      </c>
      <c r="AT12" s="188">
        <v>87370218.060000002</v>
      </c>
      <c r="AU12" s="188">
        <v>131484040.39</v>
      </c>
      <c r="AV12" s="188">
        <v>125394987.87</v>
      </c>
      <c r="AW12" s="188">
        <v>118161651.11</v>
      </c>
      <c r="AX12" s="188">
        <v>92560794.060000002</v>
      </c>
      <c r="AY12" s="188">
        <v>105051007.64</v>
      </c>
      <c r="AZ12" s="188">
        <v>101501804.38</v>
      </c>
      <c r="BA12" s="188">
        <v>104329116.59</v>
      </c>
      <c r="BB12" s="188">
        <v>143267735.56</v>
      </c>
      <c r="BC12" s="188">
        <v>202141140.66999999</v>
      </c>
      <c r="BD12" s="188">
        <v>190836774.22</v>
      </c>
      <c r="BE12" s="188">
        <v>206539866.66</v>
      </c>
      <c r="BF12" s="188">
        <v>249334539.46000001</v>
      </c>
      <c r="BG12" s="188">
        <v>252937978.75</v>
      </c>
      <c r="BH12" s="188">
        <v>234318324.90000001</v>
      </c>
      <c r="BI12" s="188">
        <v>227715058.62</v>
      </c>
      <c r="BJ12" s="188">
        <v>158781274.68000001</v>
      </c>
      <c r="BK12" s="188">
        <v>190359255.49000001</v>
      </c>
      <c r="BL12" s="188">
        <v>149354984.41999999</v>
      </c>
      <c r="BM12" s="188">
        <v>165260591.75999999</v>
      </c>
      <c r="BN12" s="188">
        <v>173040779.27000001</v>
      </c>
      <c r="BO12" s="188">
        <v>170250200.99000001</v>
      </c>
      <c r="BP12" s="188">
        <v>183893487.61000001</v>
      </c>
      <c r="BQ12" s="188">
        <v>187871107.15000001</v>
      </c>
      <c r="BR12" s="188">
        <v>261079399.84</v>
      </c>
      <c r="BS12" s="188">
        <v>99053745.269999996</v>
      </c>
      <c r="BT12" s="188">
        <v>168674404.06999999</v>
      </c>
      <c r="BU12" s="188">
        <v>188495588.21000001</v>
      </c>
      <c r="BV12" s="188">
        <v>190120243.22999999</v>
      </c>
      <c r="BW12" s="188">
        <v>153782047.81</v>
      </c>
      <c r="BX12" s="188">
        <v>170045860.84999999</v>
      </c>
      <c r="BY12" s="188">
        <v>611214537.74000001</v>
      </c>
      <c r="BZ12" s="188">
        <v>596988030.34000003</v>
      </c>
      <c r="CA12" s="188">
        <v>0</v>
      </c>
      <c r="CB12" s="188">
        <v>456623376.16000003</v>
      </c>
      <c r="CC12" s="188">
        <v>0</v>
      </c>
      <c r="CD12" s="188">
        <v>112268499.27</v>
      </c>
      <c r="CE12" s="188">
        <v>0</v>
      </c>
      <c r="CF12" s="188">
        <v>0</v>
      </c>
      <c r="CG12" s="188">
        <v>0</v>
      </c>
      <c r="CH12" s="188">
        <v>106156888.91</v>
      </c>
      <c r="CI12" s="188">
        <v>0</v>
      </c>
      <c r="CJ12" s="188">
        <v>0</v>
      </c>
      <c r="CK12" s="188">
        <v>0</v>
      </c>
      <c r="CL12" s="188">
        <v>0</v>
      </c>
      <c r="CM12" s="188">
        <v>0</v>
      </c>
    </row>
    <row r="13" spans="1:91">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c r="BW13" s="188">
        <v>0</v>
      </c>
      <c r="BX13" s="188">
        <v>0</v>
      </c>
      <c r="BY13" s="188">
        <v>0</v>
      </c>
      <c r="BZ13" s="188">
        <v>0</v>
      </c>
      <c r="CA13" s="188">
        <v>0</v>
      </c>
      <c r="CB13" s="188">
        <v>0</v>
      </c>
      <c r="CC13" s="188">
        <v>0</v>
      </c>
      <c r="CD13" s="188">
        <v>0</v>
      </c>
      <c r="CE13" s="188">
        <v>0</v>
      </c>
      <c r="CF13" s="188">
        <v>0</v>
      </c>
      <c r="CG13" s="188">
        <v>0</v>
      </c>
      <c r="CH13" s="188">
        <v>0</v>
      </c>
      <c r="CI13" s="188">
        <v>0</v>
      </c>
      <c r="CJ13" s="188">
        <v>0</v>
      </c>
      <c r="CK13" s="188">
        <v>0</v>
      </c>
      <c r="CL13" s="188">
        <v>0</v>
      </c>
      <c r="CM13" s="188">
        <v>0</v>
      </c>
    </row>
    <row r="14" spans="1:91">
      <c r="A14" s="188" t="s">
        <v>118</v>
      </c>
      <c r="B14" s="188">
        <v>8981155438.8199997</v>
      </c>
      <c r="C14" s="188">
        <v>8857181572.0200005</v>
      </c>
      <c r="D14" s="188">
        <v>8696787118.8400002</v>
      </c>
      <c r="E14" s="188">
        <v>9041070237.4500008</v>
      </c>
      <c r="F14" s="188">
        <v>8745743424.1499996</v>
      </c>
      <c r="G14" s="188">
        <v>8296680230.1000004</v>
      </c>
      <c r="H14" s="188">
        <v>7664760178.1700001</v>
      </c>
      <c r="I14" s="188">
        <v>8672761743.2700005</v>
      </c>
      <c r="J14" s="188">
        <v>7387990721.1000004</v>
      </c>
      <c r="K14" s="188">
        <v>7278727447.9200001</v>
      </c>
      <c r="L14" s="188">
        <v>6885703443</v>
      </c>
      <c r="M14" s="188">
        <v>7327082307.5900002</v>
      </c>
      <c r="N14" s="188">
        <v>6872324895.7600002</v>
      </c>
      <c r="O14" s="188">
        <v>6874962940.8699999</v>
      </c>
      <c r="P14" s="188">
        <v>7040236812.9499998</v>
      </c>
      <c r="Q14" s="188">
        <v>7706885747.3000002</v>
      </c>
      <c r="R14" s="188">
        <v>7661129727.5200005</v>
      </c>
      <c r="S14" s="188">
        <v>7194945811.21</v>
      </c>
      <c r="T14" s="188">
        <v>6926487559.9099998</v>
      </c>
      <c r="U14" s="188">
        <v>7157035493.3599997</v>
      </c>
      <c r="V14" s="188">
        <v>6386461718.9399996</v>
      </c>
      <c r="W14" s="188">
        <v>5942754126.9499998</v>
      </c>
      <c r="X14" s="188">
        <v>5245807583.0299997</v>
      </c>
      <c r="Y14" s="188">
        <v>5819605785.3800001</v>
      </c>
      <c r="Z14" s="188">
        <v>4903554715.0500002</v>
      </c>
      <c r="AA14" s="188">
        <v>4531132030.2200003</v>
      </c>
      <c r="AB14" s="188">
        <v>3194786538.1500001</v>
      </c>
      <c r="AC14" s="188">
        <v>3495557999.0599999</v>
      </c>
      <c r="AD14" s="188">
        <v>4261207842.1100001</v>
      </c>
      <c r="AE14" s="188">
        <v>2644257818.6700001</v>
      </c>
      <c r="AF14" s="188">
        <v>2799677885.4200001</v>
      </c>
      <c r="AG14" s="188">
        <v>2836933574.79</v>
      </c>
      <c r="AH14" s="188">
        <v>2530295008.9200001</v>
      </c>
      <c r="AI14" s="188">
        <v>2136438716.9200001</v>
      </c>
      <c r="AJ14" s="188">
        <v>2037735523.03</v>
      </c>
      <c r="AK14" s="188">
        <v>2252049637.4499998</v>
      </c>
      <c r="AL14" s="188">
        <v>2105104591.23</v>
      </c>
      <c r="AM14" s="188">
        <v>1944766656.6700001</v>
      </c>
      <c r="AN14" s="188">
        <v>1665142709.6300001</v>
      </c>
      <c r="AO14" s="188">
        <v>1741604571.3900001</v>
      </c>
      <c r="AP14" s="188">
        <v>1842545657.25</v>
      </c>
      <c r="AQ14" s="188">
        <v>1988232581.6199999</v>
      </c>
      <c r="AR14" s="188">
        <v>1941527214.22</v>
      </c>
      <c r="AS14" s="188">
        <v>1903981244.9200001</v>
      </c>
      <c r="AT14" s="188">
        <v>1790572925.4400001</v>
      </c>
      <c r="AU14" s="188">
        <v>1759187337.8399999</v>
      </c>
      <c r="AV14" s="188">
        <v>1670307873.9100001</v>
      </c>
      <c r="AW14" s="188">
        <v>1515552791.3499999</v>
      </c>
      <c r="AX14" s="188">
        <v>1469411962.8099999</v>
      </c>
      <c r="AY14" s="188">
        <v>1105495887.1700001</v>
      </c>
      <c r="AZ14" s="188">
        <v>1071616878.51</v>
      </c>
      <c r="BA14" s="188">
        <v>1146969612.8099999</v>
      </c>
      <c r="BB14" s="188">
        <v>1228323362.1800001</v>
      </c>
      <c r="BC14" s="188">
        <v>1389820368.1800001</v>
      </c>
      <c r="BD14" s="188">
        <v>1302903022.8599999</v>
      </c>
      <c r="BE14" s="188">
        <v>1334639132.1400001</v>
      </c>
      <c r="BF14" s="188">
        <v>1266126157.55</v>
      </c>
      <c r="BG14" s="188">
        <v>1500312429.4400001</v>
      </c>
      <c r="BH14" s="188">
        <v>1414725530.3199999</v>
      </c>
      <c r="BI14" s="188">
        <v>1290044614.3699999</v>
      </c>
      <c r="BJ14" s="188">
        <v>1470715094.71</v>
      </c>
      <c r="BK14" s="188">
        <v>1379674825.9100001</v>
      </c>
      <c r="BL14" s="188">
        <v>1181608092.5</v>
      </c>
      <c r="BM14" s="188">
        <v>1171543036.9300001</v>
      </c>
      <c r="BN14" s="188">
        <v>1221307883.28</v>
      </c>
      <c r="BO14" s="188">
        <v>845476497.46000004</v>
      </c>
      <c r="BP14" s="188">
        <v>665530802.33000004</v>
      </c>
      <c r="BQ14" s="188">
        <v>731157026.74000001</v>
      </c>
      <c r="BR14" s="188">
        <v>677058191.63999999</v>
      </c>
      <c r="BS14" s="188">
        <v>652492571.75999999</v>
      </c>
      <c r="BT14" s="188">
        <v>715680046.63999999</v>
      </c>
      <c r="BU14" s="188">
        <v>683628432.84000003</v>
      </c>
      <c r="BV14" s="188">
        <v>658612706.40999997</v>
      </c>
      <c r="BW14" s="188">
        <v>466251646.36000001</v>
      </c>
      <c r="BX14" s="188">
        <v>443531927.44999999</v>
      </c>
      <c r="BY14" s="188">
        <v>232114283.25</v>
      </c>
      <c r="BZ14" s="188">
        <v>241865462.28</v>
      </c>
      <c r="CA14" s="188">
        <v>0</v>
      </c>
      <c r="CB14" s="188">
        <v>561677028.63999999</v>
      </c>
      <c r="CC14" s="188">
        <v>0</v>
      </c>
      <c r="CD14" s="188">
        <v>484681438.68000001</v>
      </c>
      <c r="CE14" s="188">
        <v>0</v>
      </c>
      <c r="CF14" s="188">
        <v>321446000</v>
      </c>
      <c r="CG14" s="188">
        <v>0</v>
      </c>
      <c r="CH14" s="188">
        <v>234817623.47</v>
      </c>
      <c r="CI14" s="188">
        <v>0</v>
      </c>
      <c r="CJ14" s="188">
        <v>0</v>
      </c>
      <c r="CK14" s="188">
        <v>0</v>
      </c>
      <c r="CL14" s="188">
        <v>0</v>
      </c>
      <c r="CM14" s="188">
        <v>0</v>
      </c>
    </row>
    <row r="15" spans="1:91">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c r="BW15" s="188">
        <v>0</v>
      </c>
      <c r="BX15" s="188">
        <v>0</v>
      </c>
      <c r="BY15" s="188">
        <v>0</v>
      </c>
      <c r="BZ15" s="188">
        <v>0</v>
      </c>
      <c r="CA15" s="188">
        <v>0</v>
      </c>
      <c r="CB15" s="188">
        <v>0</v>
      </c>
      <c r="CC15" s="188">
        <v>0</v>
      </c>
      <c r="CD15" s="188">
        <v>0</v>
      </c>
      <c r="CE15" s="188">
        <v>0</v>
      </c>
      <c r="CF15" s="188">
        <v>0</v>
      </c>
      <c r="CG15" s="188">
        <v>0</v>
      </c>
      <c r="CH15" s="188">
        <v>0</v>
      </c>
      <c r="CI15" s="188">
        <v>0</v>
      </c>
      <c r="CJ15" s="188">
        <v>0</v>
      </c>
      <c r="CK15" s="188">
        <v>0</v>
      </c>
      <c r="CL15" s="188">
        <v>0</v>
      </c>
      <c r="CM15" s="188">
        <v>0</v>
      </c>
    </row>
    <row r="16" spans="1:91">
      <c r="A16" s="188" t="s">
        <v>120</v>
      </c>
      <c r="B16" s="188">
        <v>11513498.460000001</v>
      </c>
      <c r="C16" s="188">
        <v>29925985.800000001</v>
      </c>
      <c r="D16" s="188">
        <v>25393985.800000001</v>
      </c>
      <c r="E16" s="188">
        <v>34284110.030000001</v>
      </c>
      <c r="F16" s="188">
        <v>28554340</v>
      </c>
      <c r="G16" s="188">
        <v>18719541.399999999</v>
      </c>
      <c r="H16" s="188">
        <v>22778181.399999999</v>
      </c>
      <c r="I16" s="188">
        <v>17819541.399999999</v>
      </c>
      <c r="J16" s="188">
        <v>17819541.399999999</v>
      </c>
      <c r="K16" s="188">
        <v>23818698</v>
      </c>
      <c r="L16" s="188">
        <v>23818698</v>
      </c>
      <c r="M16" s="188">
        <v>19546710.199999999</v>
      </c>
      <c r="N16" s="188">
        <v>23818698</v>
      </c>
      <c r="O16" s="188">
        <v>13818799</v>
      </c>
      <c r="P16" s="188">
        <v>13818799</v>
      </c>
      <c r="Q16" s="188">
        <v>13818799</v>
      </c>
      <c r="R16" s="188">
        <v>13818799</v>
      </c>
      <c r="S16" s="188">
        <v>12432319.199999999</v>
      </c>
      <c r="T16" s="188">
        <v>12432319.199999999</v>
      </c>
      <c r="U16" s="188">
        <v>12432319.199999999</v>
      </c>
      <c r="V16" s="188">
        <v>12432319.199999999</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2190</v>
      </c>
      <c r="BI16" s="188">
        <v>2190</v>
      </c>
      <c r="BJ16" s="188">
        <v>2190</v>
      </c>
      <c r="BK16" s="188">
        <v>0</v>
      </c>
      <c r="BL16" s="188">
        <v>0</v>
      </c>
      <c r="BM16" s="188">
        <v>0</v>
      </c>
      <c r="BN16" s="188">
        <v>0</v>
      </c>
      <c r="BO16" s="188">
        <v>0</v>
      </c>
      <c r="BP16" s="188">
        <v>0</v>
      </c>
      <c r="BQ16" s="188">
        <v>0</v>
      </c>
      <c r="BR16" s="188">
        <v>0</v>
      </c>
      <c r="BS16" s="188">
        <v>0</v>
      </c>
      <c r="BT16" s="188">
        <v>0</v>
      </c>
      <c r="BU16" s="188">
        <v>0</v>
      </c>
      <c r="BV16" s="188">
        <v>0</v>
      </c>
      <c r="BW16" s="188">
        <v>598100</v>
      </c>
      <c r="BX16" s="188">
        <v>598100</v>
      </c>
      <c r="BY16" s="188">
        <v>598100</v>
      </c>
      <c r="BZ16" s="188">
        <v>598100</v>
      </c>
      <c r="CA16" s="188">
        <v>0</v>
      </c>
      <c r="CB16" s="188">
        <v>435000</v>
      </c>
      <c r="CC16" s="188">
        <v>0</v>
      </c>
      <c r="CD16" s="188">
        <v>1204500</v>
      </c>
      <c r="CE16" s="188">
        <v>0</v>
      </c>
      <c r="CF16" s="188">
        <v>1933000</v>
      </c>
      <c r="CG16" s="188">
        <v>0</v>
      </c>
      <c r="CH16" s="188">
        <v>0</v>
      </c>
      <c r="CI16" s="188">
        <v>0</v>
      </c>
      <c r="CJ16" s="188">
        <v>0</v>
      </c>
      <c r="CK16" s="188">
        <v>0</v>
      </c>
      <c r="CL16" s="188">
        <v>0</v>
      </c>
      <c r="CM16" s="188">
        <v>0</v>
      </c>
    </row>
    <row r="17" spans="1:91">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0</v>
      </c>
      <c r="AX17" s="188">
        <v>3266798.29</v>
      </c>
      <c r="AY17" s="188">
        <v>8271751.25</v>
      </c>
      <c r="AZ17" s="188">
        <v>9827966.4199999999</v>
      </c>
      <c r="BA17" s="188">
        <v>10170093.039999999</v>
      </c>
      <c r="BB17" s="188">
        <v>5376556.71</v>
      </c>
      <c r="BC17" s="188">
        <v>10858549.359999999</v>
      </c>
      <c r="BD17" s="188">
        <v>8813118.9800000004</v>
      </c>
      <c r="BE17" s="188">
        <v>6509869.1799999997</v>
      </c>
      <c r="BF17" s="188">
        <v>3957648.21</v>
      </c>
      <c r="BG17" s="188">
        <v>5751084.0700000003</v>
      </c>
      <c r="BH17" s="188">
        <v>5101524.1900000004</v>
      </c>
      <c r="BI17" s="188">
        <v>3522773.43</v>
      </c>
      <c r="BJ17" s="188">
        <v>2183430</v>
      </c>
      <c r="BK17" s="188">
        <v>3700538.39</v>
      </c>
      <c r="BL17" s="188">
        <v>3268409.82</v>
      </c>
      <c r="BM17" s="188">
        <v>2423452.09</v>
      </c>
      <c r="BN17" s="188">
        <v>2487875.6800000002</v>
      </c>
      <c r="BO17" s="188">
        <v>18192053.809999999</v>
      </c>
      <c r="BP17" s="188">
        <v>3998924.97</v>
      </c>
      <c r="BQ17" s="188">
        <v>3518971.55</v>
      </c>
      <c r="BR17" s="188">
        <v>1374962.52</v>
      </c>
      <c r="BS17" s="188">
        <v>6585095.9299999997</v>
      </c>
      <c r="BT17" s="188">
        <v>2633044.96</v>
      </c>
      <c r="BU17" s="188">
        <v>20474267.510000002</v>
      </c>
      <c r="BV17" s="188">
        <v>16911270.969999999</v>
      </c>
      <c r="BW17" s="188">
        <v>15642609.859999999</v>
      </c>
      <c r="BX17" s="188">
        <v>17033894.98</v>
      </c>
      <c r="BY17" s="188">
        <v>29188418.5</v>
      </c>
      <c r="BZ17" s="188">
        <v>28186318.239999998</v>
      </c>
      <c r="CA17" s="188">
        <v>0</v>
      </c>
      <c r="CB17" s="188">
        <v>26171044.289999999</v>
      </c>
      <c r="CC17" s="188">
        <v>0</v>
      </c>
      <c r="CD17" s="188">
        <v>30468786.559999999</v>
      </c>
      <c r="CE17" s="188">
        <v>0</v>
      </c>
      <c r="CF17" s="188">
        <v>0</v>
      </c>
      <c r="CG17" s="188">
        <v>0</v>
      </c>
      <c r="CH17" s="188">
        <v>26637583.620000001</v>
      </c>
      <c r="CI17" s="188">
        <v>0</v>
      </c>
      <c r="CJ17" s="188">
        <v>0</v>
      </c>
      <c r="CK17" s="188">
        <v>0</v>
      </c>
      <c r="CL17" s="188">
        <v>0</v>
      </c>
      <c r="CM17" s="188">
        <v>0</v>
      </c>
    </row>
    <row r="18" spans="1:91">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c r="BL18" s="188">
        <v>0</v>
      </c>
      <c r="BM18" s="188">
        <v>0</v>
      </c>
      <c r="BN18" s="188">
        <v>0</v>
      </c>
      <c r="BO18" s="188">
        <v>0</v>
      </c>
      <c r="BP18" s="188">
        <v>0</v>
      </c>
      <c r="BQ18" s="188">
        <v>0</v>
      </c>
      <c r="BR18" s="188">
        <v>0</v>
      </c>
      <c r="BS18" s="188">
        <v>0</v>
      </c>
      <c r="BT18" s="188">
        <v>0</v>
      </c>
      <c r="BU18" s="188">
        <v>0</v>
      </c>
      <c r="BV18" s="188">
        <v>1642664.68</v>
      </c>
      <c r="BW18" s="188">
        <v>0</v>
      </c>
      <c r="BX18" s="188">
        <v>0</v>
      </c>
      <c r="BY18" s="188">
        <v>446231.17</v>
      </c>
      <c r="BZ18" s="188">
        <v>449270.29</v>
      </c>
      <c r="CA18" s="188">
        <v>0</v>
      </c>
      <c r="CB18" s="188">
        <v>0</v>
      </c>
      <c r="CC18" s="188">
        <v>0</v>
      </c>
      <c r="CD18" s="188">
        <v>1443796.51</v>
      </c>
      <c r="CE18" s="188">
        <v>0</v>
      </c>
      <c r="CF18" s="188">
        <v>0</v>
      </c>
      <c r="CG18" s="188">
        <v>0</v>
      </c>
      <c r="CH18" s="188">
        <v>0</v>
      </c>
      <c r="CI18" s="188">
        <v>0</v>
      </c>
      <c r="CJ18" s="188">
        <v>0</v>
      </c>
      <c r="CK18" s="188">
        <v>0</v>
      </c>
      <c r="CL18" s="188">
        <v>0</v>
      </c>
      <c r="CM18" s="188">
        <v>0</v>
      </c>
    </row>
    <row r="19" spans="1:91">
      <c r="A19" s="188" t="s">
        <v>123</v>
      </c>
      <c r="B19" s="188">
        <v>238168694.62</v>
      </c>
      <c r="C19" s="188">
        <v>98704150.209999993</v>
      </c>
      <c r="D19" s="188">
        <v>167939002.78999999</v>
      </c>
      <c r="E19" s="188">
        <v>67636677.420000002</v>
      </c>
      <c r="F19" s="188">
        <v>71389645.209999993</v>
      </c>
      <c r="G19" s="188">
        <v>1239402.8</v>
      </c>
      <c r="H19" s="188">
        <v>31893182.07</v>
      </c>
      <c r="I19" s="188">
        <v>1133901.99</v>
      </c>
      <c r="J19" s="188">
        <v>47986884.82</v>
      </c>
      <c r="K19" s="188">
        <v>340934.84</v>
      </c>
      <c r="L19" s="188">
        <v>456212.87</v>
      </c>
      <c r="M19" s="188">
        <v>8418955.9800000004</v>
      </c>
      <c r="N19" s="188">
        <v>121673704.20999999</v>
      </c>
      <c r="O19" s="188">
        <v>200818.97</v>
      </c>
      <c r="P19" s="188">
        <v>32871800.91</v>
      </c>
      <c r="Q19" s="188">
        <v>40130658.43</v>
      </c>
      <c r="R19" s="188">
        <v>35863204.270000003</v>
      </c>
      <c r="S19" s="188">
        <v>50044136.869999997</v>
      </c>
      <c r="T19" s="188">
        <v>48522069.799999997</v>
      </c>
      <c r="U19" s="188">
        <v>49918932.880000003</v>
      </c>
      <c r="V19" s="188">
        <v>46898955.509999998</v>
      </c>
      <c r="W19" s="188">
        <v>262622.44</v>
      </c>
      <c r="X19" s="188">
        <v>266380.34999999998</v>
      </c>
      <c r="Y19" s="188">
        <v>272238.5</v>
      </c>
      <c r="Z19" s="188">
        <v>2918225.61</v>
      </c>
      <c r="AA19" s="188">
        <v>543520.62</v>
      </c>
      <c r="AB19" s="188">
        <v>0</v>
      </c>
      <c r="AC19" s="188">
        <v>0</v>
      </c>
      <c r="AD19" s="188">
        <v>807711476.01999998</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c r="BS19" s="188">
        <v>0</v>
      </c>
      <c r="BT19" s="188">
        <v>0</v>
      </c>
      <c r="BU19" s="188">
        <v>0</v>
      </c>
      <c r="BV19" s="188">
        <v>0</v>
      </c>
      <c r="BW19" s="188">
        <v>0</v>
      </c>
      <c r="BX19" s="188">
        <v>0</v>
      </c>
      <c r="BY19" s="188">
        <v>0</v>
      </c>
      <c r="BZ19" s="188">
        <v>0</v>
      </c>
      <c r="CA19" s="188">
        <v>0</v>
      </c>
      <c r="CB19" s="188">
        <v>4000000</v>
      </c>
      <c r="CC19" s="188">
        <v>0</v>
      </c>
      <c r="CD19" s="188">
        <v>0</v>
      </c>
      <c r="CE19" s="188">
        <v>0</v>
      </c>
      <c r="CF19" s="188">
        <v>0</v>
      </c>
      <c r="CG19" s="188">
        <v>0</v>
      </c>
      <c r="CH19" s="188">
        <v>0</v>
      </c>
      <c r="CI19" s="188">
        <v>0</v>
      </c>
      <c r="CJ19" s="188">
        <v>0</v>
      </c>
      <c r="CK19" s="188">
        <v>0</v>
      </c>
      <c r="CL19" s="188">
        <v>0</v>
      </c>
      <c r="CM19" s="188">
        <v>0</v>
      </c>
    </row>
    <row r="20" spans="1:91">
      <c r="A20" s="188" t="s">
        <v>124</v>
      </c>
      <c r="B20" s="188">
        <v>28450358614.740002</v>
      </c>
      <c r="C20" s="188">
        <v>27924645225.669998</v>
      </c>
      <c r="D20" s="188">
        <v>28056198022.700001</v>
      </c>
      <c r="E20" s="188">
        <v>28593942343.790001</v>
      </c>
      <c r="F20" s="188">
        <v>28504160963.02</v>
      </c>
      <c r="G20" s="188">
        <v>27363453449.630001</v>
      </c>
      <c r="H20" s="188">
        <v>26575128707.68</v>
      </c>
      <c r="I20" s="188">
        <v>27838254029.740002</v>
      </c>
      <c r="J20" s="188">
        <v>26797696381.259998</v>
      </c>
      <c r="K20" s="188">
        <v>26130338468.860001</v>
      </c>
      <c r="L20" s="188">
        <v>25919656864.189999</v>
      </c>
      <c r="M20" s="188">
        <v>25715028975.540001</v>
      </c>
      <c r="N20" s="188">
        <v>25158703136.919998</v>
      </c>
      <c r="O20" s="188">
        <v>24452428510.939999</v>
      </c>
      <c r="P20" s="188">
        <v>25235289583.02</v>
      </c>
      <c r="Q20" s="188">
        <v>24762685841.799999</v>
      </c>
      <c r="R20" s="188">
        <v>24651133111.43</v>
      </c>
      <c r="S20" s="188">
        <v>24148565268.25</v>
      </c>
      <c r="T20" s="188">
        <v>23697183760.919998</v>
      </c>
      <c r="U20" s="188">
        <v>23124694121.529999</v>
      </c>
      <c r="V20" s="188">
        <v>22226955740.209999</v>
      </c>
      <c r="W20" s="188">
        <v>21437557473.810001</v>
      </c>
      <c r="X20" s="188">
        <v>20598242546.799999</v>
      </c>
      <c r="Y20" s="188">
        <v>19818215518.259998</v>
      </c>
      <c r="Z20" s="188">
        <v>20932631320.900002</v>
      </c>
      <c r="AA20" s="188">
        <v>18437683704.029999</v>
      </c>
      <c r="AB20" s="188">
        <v>15675049021.25</v>
      </c>
      <c r="AC20" s="188">
        <v>14158794568.75</v>
      </c>
      <c r="AD20" s="188">
        <v>17002618706.57</v>
      </c>
      <c r="AE20" s="188">
        <v>13678635143.17</v>
      </c>
      <c r="AF20" s="188">
        <v>13052672252.27</v>
      </c>
      <c r="AG20" s="188">
        <v>12131282500.879999</v>
      </c>
      <c r="AH20" s="188">
        <v>11648928929.309999</v>
      </c>
      <c r="AI20" s="188">
        <v>11526459599.68</v>
      </c>
      <c r="AJ20" s="188">
        <v>10880702132.700001</v>
      </c>
      <c r="AK20" s="188">
        <v>10085971548.370001</v>
      </c>
      <c r="AL20" s="188">
        <v>9678337717.9099998</v>
      </c>
      <c r="AM20" s="188">
        <v>9362321585.6900005</v>
      </c>
      <c r="AN20" s="188">
        <v>8629788654.1900005</v>
      </c>
      <c r="AO20" s="188">
        <v>7960659056.8199997</v>
      </c>
      <c r="AP20" s="188">
        <v>7568594763.6000004</v>
      </c>
      <c r="AQ20" s="188">
        <v>7637164266.8699999</v>
      </c>
      <c r="AR20" s="188">
        <v>7475910668.8800001</v>
      </c>
      <c r="AS20" s="188">
        <v>6953956026.4700003</v>
      </c>
      <c r="AT20" s="188">
        <v>7116021333.8000002</v>
      </c>
      <c r="AU20" s="188">
        <v>6721968589.8999996</v>
      </c>
      <c r="AV20" s="188">
        <v>6417470956.6400003</v>
      </c>
      <c r="AW20" s="188">
        <v>6097186903.1800003</v>
      </c>
      <c r="AX20" s="188">
        <v>5927901693.1899996</v>
      </c>
      <c r="AY20" s="188">
        <v>5716599713.71</v>
      </c>
      <c r="AZ20" s="188">
        <v>5424729313.9899998</v>
      </c>
      <c r="BA20" s="188">
        <v>5098284628.7600002</v>
      </c>
      <c r="BB20" s="188">
        <v>5178424496.0600004</v>
      </c>
      <c r="BC20" s="188">
        <v>5083389566.21</v>
      </c>
      <c r="BD20" s="188">
        <v>5240293126.8800001</v>
      </c>
      <c r="BE20" s="188">
        <v>5490209998.5600004</v>
      </c>
      <c r="BF20" s="188">
        <v>5551373104.4300003</v>
      </c>
      <c r="BG20" s="188">
        <v>5841664620.4700003</v>
      </c>
      <c r="BH20" s="188">
        <v>6071942202.2299995</v>
      </c>
      <c r="BI20" s="188">
        <v>5884402044.9399996</v>
      </c>
      <c r="BJ20" s="188">
        <v>5895212159.1300001</v>
      </c>
      <c r="BK20" s="188">
        <v>5784126855.5100002</v>
      </c>
      <c r="BL20" s="188">
        <v>6090874312.6300001</v>
      </c>
      <c r="BM20" s="188">
        <v>6099314099.6499996</v>
      </c>
      <c r="BN20" s="188">
        <v>6063465874.3599997</v>
      </c>
      <c r="BO20" s="188">
        <v>5806302488.3000002</v>
      </c>
      <c r="BP20" s="188">
        <v>5990603294.4099998</v>
      </c>
      <c r="BQ20" s="188">
        <v>5655708582.9200001</v>
      </c>
      <c r="BR20" s="188">
        <v>5427056220.6300001</v>
      </c>
      <c r="BS20" s="188">
        <v>5192234940.4700003</v>
      </c>
      <c r="BT20" s="188">
        <v>5078012651.8699999</v>
      </c>
      <c r="BU20" s="188">
        <v>5043072864.2299995</v>
      </c>
      <c r="BV20" s="188">
        <v>4926773495.25</v>
      </c>
      <c r="BW20" s="188">
        <v>3849984671.5700002</v>
      </c>
      <c r="BX20" s="188">
        <v>3883682797.2399998</v>
      </c>
      <c r="BY20" s="188">
        <v>1887442378.96</v>
      </c>
      <c r="BZ20" s="188">
        <v>2037743263.4300001</v>
      </c>
      <c r="CA20" s="188">
        <v>1757942713.51</v>
      </c>
      <c r="CB20" s="188">
        <v>1895573236.2</v>
      </c>
      <c r="CC20" s="188">
        <v>1549320339.25</v>
      </c>
      <c r="CD20" s="188">
        <v>1163099319.1600001</v>
      </c>
      <c r="CE20" s="188">
        <v>817473107.88</v>
      </c>
      <c r="CF20" s="188">
        <v>770880000</v>
      </c>
      <c r="CG20" s="188">
        <v>852602164.57000005</v>
      </c>
      <c r="CH20" s="188">
        <v>550850110.60000002</v>
      </c>
      <c r="CI20" s="188">
        <v>501640000</v>
      </c>
      <c r="CJ20" s="188">
        <v>305330000</v>
      </c>
      <c r="CK20" s="188">
        <v>212030000</v>
      </c>
      <c r="CL20" s="188">
        <v>219390000</v>
      </c>
      <c r="CM20" s="188">
        <v>0</v>
      </c>
    </row>
    <row r="21" spans="1:91">
      <c r="A21" s="188" t="s">
        <v>125</v>
      </c>
    </row>
    <row r="22" spans="1:91">
      <c r="A22" s="188" t="s">
        <v>126</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v>0</v>
      </c>
      <c r="BV22" s="188">
        <v>0</v>
      </c>
      <c r="BW22" s="188">
        <v>0</v>
      </c>
      <c r="BX22" s="188">
        <v>0</v>
      </c>
      <c r="BY22" s="188">
        <v>0</v>
      </c>
      <c r="BZ22" s="188">
        <v>0</v>
      </c>
      <c r="CA22" s="188">
        <v>0</v>
      </c>
      <c r="CB22" s="188">
        <v>0</v>
      </c>
      <c r="CC22" s="188">
        <v>0</v>
      </c>
      <c r="CD22" s="188">
        <v>0</v>
      </c>
      <c r="CE22" s="188">
        <v>0</v>
      </c>
      <c r="CF22" s="188">
        <v>0</v>
      </c>
      <c r="CG22" s="188">
        <v>0</v>
      </c>
      <c r="CH22" s="188">
        <v>0</v>
      </c>
      <c r="CI22" s="188">
        <v>0</v>
      </c>
      <c r="CJ22" s="188">
        <v>0</v>
      </c>
      <c r="CK22" s="188">
        <v>0</v>
      </c>
      <c r="CL22" s="188">
        <v>0</v>
      </c>
      <c r="CM22" s="188">
        <v>0</v>
      </c>
    </row>
    <row r="23" spans="1:91">
      <c r="A23" s="188" t="s">
        <v>127</v>
      </c>
      <c r="B23" s="188">
        <v>0</v>
      </c>
      <c r="C23" s="188">
        <v>0</v>
      </c>
      <c r="D23" s="188">
        <v>240846134.41</v>
      </c>
      <c r="E23" s="188">
        <v>258747900.66</v>
      </c>
      <c r="F23" s="188">
        <v>145028659.81</v>
      </c>
      <c r="G23" s="188">
        <v>214556404.59999999</v>
      </c>
      <c r="H23" s="188">
        <v>224867969.15000001</v>
      </c>
      <c r="I23" s="188">
        <v>227990593.31999999</v>
      </c>
      <c r="J23" s="188">
        <v>216262235.72</v>
      </c>
      <c r="K23" s="188">
        <v>179744050.41999999</v>
      </c>
      <c r="L23" s="188">
        <v>163359987.24000001</v>
      </c>
      <c r="M23" s="188">
        <v>170696052.94</v>
      </c>
      <c r="N23" s="188">
        <v>199435345.44999999</v>
      </c>
      <c r="O23" s="188">
        <v>184867883.74000001</v>
      </c>
      <c r="P23" s="188">
        <v>220158829.84999999</v>
      </c>
      <c r="Q23" s="188">
        <v>214541829.56</v>
      </c>
      <c r="R23" s="188">
        <v>167717019.53</v>
      </c>
      <c r="S23" s="188">
        <v>136762711.59</v>
      </c>
      <c r="T23" s="188">
        <v>103461428.31999999</v>
      </c>
      <c r="U23" s="188">
        <v>103285440.2</v>
      </c>
      <c r="V23" s="188">
        <v>106949232.08</v>
      </c>
      <c r="W23" s="188">
        <v>149836031.44</v>
      </c>
      <c r="X23" s="188">
        <v>79054447.530000001</v>
      </c>
      <c r="Y23" s="188">
        <v>65016367.689999998</v>
      </c>
      <c r="Z23" s="188">
        <v>61709668.460000001</v>
      </c>
      <c r="AA23" s="188">
        <v>63119688.979999997</v>
      </c>
      <c r="AB23" s="188">
        <v>66475571.619999997</v>
      </c>
      <c r="AC23" s="188">
        <v>72296074.890000001</v>
      </c>
      <c r="AD23" s="188">
        <v>63129086.82</v>
      </c>
      <c r="AE23" s="188">
        <v>62769322.100000001</v>
      </c>
      <c r="AF23" s="188">
        <v>55800660.539999999</v>
      </c>
      <c r="AG23" s="188">
        <v>55995971.5</v>
      </c>
      <c r="AH23" s="188">
        <v>56200040.049999997</v>
      </c>
      <c r="AI23" s="188">
        <v>57714935.25</v>
      </c>
      <c r="AJ23" s="188">
        <v>55863884.369999997</v>
      </c>
      <c r="AK23" s="188">
        <v>65953365.060000002</v>
      </c>
      <c r="AL23" s="188">
        <v>67378568.049999997</v>
      </c>
      <c r="AM23" s="188">
        <v>56909205.579999998</v>
      </c>
      <c r="AN23" s="188">
        <v>59952446.479999997</v>
      </c>
      <c r="AO23" s="188">
        <v>45998651.140000001</v>
      </c>
      <c r="AP23" s="188">
        <v>34454057.039999999</v>
      </c>
      <c r="AQ23" s="188">
        <v>43722185</v>
      </c>
      <c r="AR23" s="188">
        <v>45498411.799999997</v>
      </c>
      <c r="AS23" s="188">
        <v>67684724.040000007</v>
      </c>
      <c r="AT23" s="188">
        <v>69064699.900000006</v>
      </c>
      <c r="AU23" s="188">
        <v>72206746.420000002</v>
      </c>
      <c r="AV23" s="188">
        <v>53135688.640000001</v>
      </c>
      <c r="AW23" s="188">
        <v>16071139.970000001</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c r="BS23" s="188">
        <v>0</v>
      </c>
      <c r="BT23" s="188">
        <v>0</v>
      </c>
      <c r="BU23" s="188">
        <v>0</v>
      </c>
      <c r="BV23" s="188">
        <v>0</v>
      </c>
      <c r="BW23" s="188">
        <v>0</v>
      </c>
      <c r="BX23" s="188">
        <v>0</v>
      </c>
      <c r="BY23" s="188">
        <v>0</v>
      </c>
      <c r="BZ23" s="188">
        <v>0</v>
      </c>
      <c r="CA23" s="188">
        <v>0</v>
      </c>
      <c r="CB23" s="188">
        <v>0</v>
      </c>
      <c r="CC23" s="188">
        <v>0</v>
      </c>
      <c r="CD23" s="188">
        <v>0</v>
      </c>
      <c r="CE23" s="188">
        <v>0</v>
      </c>
      <c r="CF23" s="188">
        <v>0</v>
      </c>
      <c r="CG23" s="188">
        <v>0</v>
      </c>
      <c r="CH23" s="188">
        <v>0</v>
      </c>
      <c r="CI23" s="188">
        <v>0</v>
      </c>
      <c r="CJ23" s="188">
        <v>0</v>
      </c>
      <c r="CK23" s="188">
        <v>0</v>
      </c>
      <c r="CL23" s="188">
        <v>0</v>
      </c>
      <c r="CM23" s="188">
        <v>0</v>
      </c>
    </row>
    <row r="24" spans="1:91">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0</v>
      </c>
      <c r="BA24" s="188">
        <v>0</v>
      </c>
      <c r="BB24" s="188">
        <v>0</v>
      </c>
      <c r="BC24" s="188">
        <v>0</v>
      </c>
      <c r="BD24" s="188">
        <v>0</v>
      </c>
      <c r="BE24" s="188">
        <v>0</v>
      </c>
      <c r="BF24" s="188">
        <v>0</v>
      </c>
      <c r="BG24" s="188">
        <v>0</v>
      </c>
      <c r="BH24" s="188">
        <v>0</v>
      </c>
      <c r="BI24" s="188">
        <v>0</v>
      </c>
      <c r="BJ24" s="188">
        <v>0</v>
      </c>
      <c r="BK24" s="188">
        <v>2190</v>
      </c>
      <c r="BL24" s="188">
        <v>3800</v>
      </c>
      <c r="BM24" s="188">
        <v>3800</v>
      </c>
      <c r="BN24" s="188">
        <v>3800</v>
      </c>
      <c r="BO24" s="188">
        <v>66420</v>
      </c>
      <c r="BP24" s="188">
        <v>74420</v>
      </c>
      <c r="BQ24" s="188">
        <v>81923.509999999995</v>
      </c>
      <c r="BR24" s="188">
        <v>73923.509999999995</v>
      </c>
      <c r="BS24" s="188">
        <v>109923.51</v>
      </c>
      <c r="BT24" s="188">
        <v>109923.51</v>
      </c>
      <c r="BU24" s="188">
        <v>145923.51</v>
      </c>
      <c r="BV24" s="188">
        <v>764303.51</v>
      </c>
      <c r="BW24" s="188">
        <v>50700</v>
      </c>
      <c r="BX24" s="188">
        <v>50700</v>
      </c>
      <c r="BY24" s="188">
        <v>50700</v>
      </c>
      <c r="BZ24" s="188">
        <v>50700</v>
      </c>
      <c r="CA24" s="188">
        <v>0</v>
      </c>
      <c r="CB24" s="188">
        <v>0</v>
      </c>
      <c r="CC24" s="188">
        <v>0</v>
      </c>
      <c r="CD24" s="188">
        <v>1686650</v>
      </c>
      <c r="CE24" s="188">
        <v>0</v>
      </c>
      <c r="CF24" s="188">
        <v>0</v>
      </c>
      <c r="CG24" s="188">
        <v>0</v>
      </c>
      <c r="CH24" s="188">
        <v>0</v>
      </c>
      <c r="CI24" s="188">
        <v>0</v>
      </c>
      <c r="CJ24" s="188">
        <v>0</v>
      </c>
      <c r="CK24" s="188">
        <v>0</v>
      </c>
      <c r="CL24" s="188">
        <v>0</v>
      </c>
      <c r="CM24" s="188">
        <v>0</v>
      </c>
    </row>
    <row r="25" spans="1:91">
      <c r="A25" s="188" t="s">
        <v>129</v>
      </c>
      <c r="B25" s="188">
        <v>3034497.84</v>
      </c>
      <c r="C25" s="188">
        <v>8080316.4699999997</v>
      </c>
      <c r="D25" s="188">
        <v>10221816.470000001</v>
      </c>
      <c r="E25" s="188">
        <v>7830174.8300000001</v>
      </c>
      <c r="F25" s="188">
        <v>7365174.8300000001</v>
      </c>
      <c r="G25" s="188">
        <v>5468015.1600000001</v>
      </c>
      <c r="H25" s="188">
        <v>1409375.16</v>
      </c>
      <c r="I25" s="188">
        <v>6368015.1600000001</v>
      </c>
      <c r="J25" s="188">
        <v>6368015.1600000001</v>
      </c>
      <c r="K25" s="188">
        <v>3327070.78</v>
      </c>
      <c r="L25" s="188">
        <v>3327070.78</v>
      </c>
      <c r="M25" s="188">
        <v>3327070.78</v>
      </c>
      <c r="N25" s="188">
        <v>3327070.78</v>
      </c>
      <c r="O25" s="188">
        <v>19579469.18</v>
      </c>
      <c r="P25" s="188">
        <v>19579469.18</v>
      </c>
      <c r="Q25" s="188">
        <v>19579469.18</v>
      </c>
      <c r="R25" s="188">
        <v>19579469.18</v>
      </c>
      <c r="S25" s="188">
        <v>26194173.559999999</v>
      </c>
      <c r="T25" s="188">
        <v>26194173.559999999</v>
      </c>
      <c r="U25" s="188">
        <v>26194173.559999999</v>
      </c>
      <c r="V25" s="188">
        <v>26194173.559999999</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c r="BH25" s="188">
        <v>0</v>
      </c>
      <c r="BI25" s="188">
        <v>0</v>
      </c>
      <c r="BJ25" s="188">
        <v>0</v>
      </c>
      <c r="BK25" s="188">
        <v>0</v>
      </c>
      <c r="BL25" s="188">
        <v>0</v>
      </c>
      <c r="BM25" s="188">
        <v>0</v>
      </c>
      <c r="BN25" s="188">
        <v>0</v>
      </c>
      <c r="BO25" s="188">
        <v>0</v>
      </c>
      <c r="BP25" s="188">
        <v>0</v>
      </c>
      <c r="BQ25" s="188">
        <v>0</v>
      </c>
      <c r="BR25" s="188">
        <v>0</v>
      </c>
      <c r="BS25" s="188">
        <v>0</v>
      </c>
      <c r="BT25" s="188">
        <v>0</v>
      </c>
      <c r="BU25" s="188">
        <v>0</v>
      </c>
      <c r="BV25" s="188">
        <v>0</v>
      </c>
      <c r="BW25" s="188">
        <v>0</v>
      </c>
      <c r="BX25" s="188">
        <v>0</v>
      </c>
      <c r="BY25" s="188">
        <v>0</v>
      </c>
      <c r="BZ25" s="188">
        <v>0</v>
      </c>
      <c r="CA25" s="188">
        <v>0</v>
      </c>
      <c r="CB25" s="188">
        <v>0</v>
      </c>
      <c r="CC25" s="188">
        <v>0</v>
      </c>
      <c r="CD25" s="188">
        <v>0</v>
      </c>
      <c r="CE25" s="188">
        <v>0</v>
      </c>
      <c r="CF25" s="188">
        <v>0</v>
      </c>
      <c r="CG25" s="188">
        <v>0</v>
      </c>
      <c r="CH25" s="188">
        <v>0</v>
      </c>
      <c r="CI25" s="188">
        <v>0</v>
      </c>
      <c r="CJ25" s="188">
        <v>0</v>
      </c>
      <c r="CK25" s="188">
        <v>0</v>
      </c>
      <c r="CL25" s="188">
        <v>0</v>
      </c>
      <c r="CM25" s="188">
        <v>0</v>
      </c>
    </row>
    <row r="26" spans="1:91">
      <c r="A26" s="188" t="s">
        <v>130</v>
      </c>
      <c r="B26" s="188">
        <v>2341778052.8800001</v>
      </c>
      <c r="C26" s="188">
        <v>2400713100.29</v>
      </c>
      <c r="D26" s="188">
        <v>2377189410.6700001</v>
      </c>
      <c r="E26" s="188">
        <v>2367597031.4200001</v>
      </c>
      <c r="F26" s="188">
        <v>2311426671.52</v>
      </c>
      <c r="G26" s="188">
        <v>2288392081.96</v>
      </c>
      <c r="H26" s="188">
        <v>2282294862.8299999</v>
      </c>
      <c r="I26" s="188">
        <v>2233837352.3000002</v>
      </c>
      <c r="J26" s="188">
        <v>2191890210.3699999</v>
      </c>
      <c r="K26" s="188">
        <v>2339667829.71</v>
      </c>
      <c r="L26" s="188">
        <v>2262713452.75</v>
      </c>
      <c r="M26" s="188">
        <v>2256566693.2199998</v>
      </c>
      <c r="N26" s="188">
        <v>2210366076.8400002</v>
      </c>
      <c r="O26" s="188">
        <v>2410160947.1300001</v>
      </c>
      <c r="P26" s="188">
        <v>2358693657.8200002</v>
      </c>
      <c r="Q26" s="188">
        <v>2345319156.2399998</v>
      </c>
      <c r="R26" s="188">
        <v>2276230457.6100001</v>
      </c>
      <c r="S26" s="188">
        <v>2340355938.4899998</v>
      </c>
      <c r="T26" s="188">
        <v>2393221199.1799998</v>
      </c>
      <c r="U26" s="188">
        <v>2360283094.4400001</v>
      </c>
      <c r="V26" s="188">
        <v>2270117870.8699999</v>
      </c>
      <c r="W26" s="188">
        <v>2407282707.1599998</v>
      </c>
      <c r="X26" s="188">
        <v>2317123984.9099998</v>
      </c>
      <c r="Y26" s="188">
        <v>2219510210.8800001</v>
      </c>
      <c r="Z26" s="188">
        <v>2131732422.54</v>
      </c>
      <c r="AA26" s="188">
        <v>2172226876.9899998</v>
      </c>
      <c r="AB26" s="188">
        <v>2265233734.5900002</v>
      </c>
      <c r="AC26" s="188">
        <v>2217267087.8000002</v>
      </c>
      <c r="AD26" s="188">
        <v>1440011599.8</v>
      </c>
      <c r="AE26" s="188">
        <v>1563697761.6800001</v>
      </c>
      <c r="AF26" s="188">
        <v>1487527187.5799999</v>
      </c>
      <c r="AG26" s="188">
        <v>1418386862.03</v>
      </c>
      <c r="AH26" s="188">
        <v>1323237419.21</v>
      </c>
      <c r="AI26" s="188">
        <v>1298667691.48</v>
      </c>
      <c r="AJ26" s="188">
        <v>1264185034.75</v>
      </c>
      <c r="AK26" s="188">
        <v>1200507834.5899999</v>
      </c>
      <c r="AL26" s="188">
        <v>1131494722.24</v>
      </c>
      <c r="AM26" s="188">
        <v>1203115308.2</v>
      </c>
      <c r="AN26" s="188">
        <v>1178086908.5599999</v>
      </c>
      <c r="AO26" s="188">
        <v>1158521795.1300001</v>
      </c>
      <c r="AP26" s="188">
        <v>1110507140.27</v>
      </c>
      <c r="AQ26" s="188">
        <v>1151794723.22</v>
      </c>
      <c r="AR26" s="188">
        <v>1243417369.5899999</v>
      </c>
      <c r="AS26" s="188">
        <v>1239677615.51</v>
      </c>
      <c r="AT26" s="188">
        <v>1191708150.5699999</v>
      </c>
      <c r="AU26" s="188">
        <v>1326322379.23</v>
      </c>
      <c r="AV26" s="188">
        <v>1140914441.04</v>
      </c>
      <c r="AW26" s="188">
        <v>968365556.10000002</v>
      </c>
      <c r="AX26" s="188">
        <v>989852631.50999999</v>
      </c>
      <c r="AY26" s="188">
        <v>869365668.23000002</v>
      </c>
      <c r="AZ26" s="188">
        <v>952496973.75</v>
      </c>
      <c r="BA26" s="188">
        <v>1021096417.39</v>
      </c>
      <c r="BB26" s="188">
        <v>1045294186.1900001</v>
      </c>
      <c r="BC26" s="188">
        <v>1154952135.8499999</v>
      </c>
      <c r="BD26" s="188">
        <v>1208095296.1300001</v>
      </c>
      <c r="BE26" s="188">
        <v>1269096586.26</v>
      </c>
      <c r="BF26" s="188">
        <v>1257565314.01</v>
      </c>
      <c r="BG26" s="188">
        <v>1385433957.53</v>
      </c>
      <c r="BH26" s="188">
        <v>1280619853.51</v>
      </c>
      <c r="BI26" s="188">
        <v>1260093686.24</v>
      </c>
      <c r="BJ26" s="188">
        <v>1251585737.74</v>
      </c>
      <c r="BK26" s="188">
        <v>1378706639.8199999</v>
      </c>
      <c r="BL26" s="188">
        <v>1312739401.5799999</v>
      </c>
      <c r="BM26" s="188">
        <v>1305432200.0799999</v>
      </c>
      <c r="BN26" s="188">
        <v>1287626615.3</v>
      </c>
      <c r="BO26" s="188">
        <v>1223139270.1400001</v>
      </c>
      <c r="BP26" s="188">
        <v>1231288866.79</v>
      </c>
      <c r="BQ26" s="188">
        <v>1218420163.3599999</v>
      </c>
      <c r="BR26" s="188">
        <v>1152056969.23</v>
      </c>
      <c r="BS26" s="188">
        <v>1239193499.74</v>
      </c>
      <c r="BT26" s="188">
        <v>906850693.00999999</v>
      </c>
      <c r="BU26" s="188">
        <v>1016309854.13</v>
      </c>
      <c r="BV26" s="188">
        <v>932094536.98000002</v>
      </c>
      <c r="BW26" s="188">
        <v>293417662.94999999</v>
      </c>
      <c r="BX26" s="188">
        <v>304068928.55000001</v>
      </c>
      <c r="BY26" s="188">
        <v>174963752.03</v>
      </c>
      <c r="BZ26" s="188">
        <v>0</v>
      </c>
      <c r="CA26" s="188">
        <v>226652181.53999999</v>
      </c>
      <c r="CB26" s="188">
        <v>227281865.81999999</v>
      </c>
      <c r="CC26" s="188">
        <v>347484905.30000001</v>
      </c>
      <c r="CD26" s="188">
        <v>0</v>
      </c>
      <c r="CE26" s="188">
        <v>330539122.72000003</v>
      </c>
      <c r="CF26" s="188">
        <v>235301000</v>
      </c>
      <c r="CG26" s="188">
        <v>173344753.63999999</v>
      </c>
      <c r="CH26" s="188">
        <v>115070535.19</v>
      </c>
      <c r="CI26" s="188">
        <v>0</v>
      </c>
      <c r="CJ26" s="188">
        <v>66170000</v>
      </c>
      <c r="CK26" s="188">
        <v>0</v>
      </c>
      <c r="CL26" s="188">
        <v>0</v>
      </c>
      <c r="CM26" s="188">
        <v>0</v>
      </c>
    </row>
    <row r="27" spans="1:91">
      <c r="A27" s="188" t="s">
        <v>131</v>
      </c>
      <c r="B27" s="188">
        <v>89297111.709999993</v>
      </c>
      <c r="C27" s="188">
        <v>57202427.549999997</v>
      </c>
      <c r="D27" s="188">
        <v>57815085.149999999</v>
      </c>
      <c r="E27" s="188">
        <v>58427742.75</v>
      </c>
      <c r="F27" s="188">
        <v>59040400.350000001</v>
      </c>
      <c r="G27" s="188">
        <v>59653057.950000003</v>
      </c>
      <c r="H27" s="188">
        <v>60265715.549999997</v>
      </c>
      <c r="I27" s="188">
        <v>60878373.149999999</v>
      </c>
      <c r="J27" s="188">
        <v>61491030.75</v>
      </c>
      <c r="K27" s="188">
        <v>62103688.350000001</v>
      </c>
      <c r="L27" s="188">
        <v>62716318.950000003</v>
      </c>
      <c r="M27" s="188">
        <v>63363090.600000001</v>
      </c>
      <c r="N27" s="188">
        <v>63941661.149999999</v>
      </c>
      <c r="O27" s="188">
        <v>64609943.090000004</v>
      </c>
      <c r="P27" s="188">
        <v>65176275.090000004</v>
      </c>
      <c r="Q27" s="188">
        <v>67999491.650000006</v>
      </c>
      <c r="R27" s="188">
        <v>66509852.630000003</v>
      </c>
      <c r="S27" s="188">
        <v>67179650.329999998</v>
      </c>
      <c r="T27" s="188">
        <v>67851420.930000007</v>
      </c>
      <c r="U27" s="188">
        <v>68523206.549999997</v>
      </c>
      <c r="V27" s="188">
        <v>69203320.269999996</v>
      </c>
      <c r="W27" s="188">
        <v>70155584.379999995</v>
      </c>
      <c r="X27" s="188">
        <v>70746959.290000007</v>
      </c>
      <c r="Y27" s="188">
        <v>71338334.200000003</v>
      </c>
      <c r="Z27" s="188">
        <v>71929709.109999999</v>
      </c>
      <c r="AA27" s="188">
        <v>72611306.319999993</v>
      </c>
      <c r="AB27" s="188">
        <v>73292903.530000001</v>
      </c>
      <c r="AC27" s="188">
        <v>73974500.739999995</v>
      </c>
      <c r="AD27" s="188">
        <v>74671873.359999999</v>
      </c>
      <c r="AE27" s="188">
        <v>75378095.290000007</v>
      </c>
      <c r="AF27" s="188">
        <v>76084317.219999999</v>
      </c>
      <c r="AG27" s="188">
        <v>76790539.150000006</v>
      </c>
      <c r="AH27" s="188">
        <v>77496761.079999998</v>
      </c>
      <c r="AI27" s="188">
        <v>77485297.780000001</v>
      </c>
      <c r="AJ27" s="188">
        <v>78481910.930000007</v>
      </c>
      <c r="AK27" s="188">
        <v>79391512.299999997</v>
      </c>
      <c r="AL27" s="188">
        <v>80347014.790000007</v>
      </c>
      <c r="AM27" s="188">
        <v>82624673.769999996</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v>0</v>
      </c>
      <c r="BU27" s="188">
        <v>0</v>
      </c>
      <c r="BV27" s="188">
        <v>0</v>
      </c>
      <c r="BW27" s="188">
        <v>0</v>
      </c>
      <c r="BX27" s="188">
        <v>0</v>
      </c>
      <c r="BY27" s="188">
        <v>0</v>
      </c>
      <c r="BZ27" s="188">
        <v>0</v>
      </c>
      <c r="CA27" s="188">
        <v>0</v>
      </c>
      <c r="CB27" s="188">
        <v>0</v>
      </c>
      <c r="CC27" s="188">
        <v>0</v>
      </c>
      <c r="CD27" s="188">
        <v>0</v>
      </c>
      <c r="CE27" s="188">
        <v>0</v>
      </c>
      <c r="CF27" s="188">
        <v>0</v>
      </c>
      <c r="CG27" s="188">
        <v>0</v>
      </c>
      <c r="CH27" s="188">
        <v>0</v>
      </c>
      <c r="CI27" s="188">
        <v>0</v>
      </c>
      <c r="CJ27" s="188">
        <v>0</v>
      </c>
      <c r="CK27" s="188">
        <v>0</v>
      </c>
      <c r="CL27" s="188">
        <v>0</v>
      </c>
      <c r="CM27" s="188">
        <v>0</v>
      </c>
    </row>
    <row r="28" spans="1:91">
      <c r="A28" s="188" t="s">
        <v>132</v>
      </c>
      <c r="B28" s="188">
        <v>1531094117.8699999</v>
      </c>
      <c r="C28" s="188">
        <v>1539915721.5799999</v>
      </c>
      <c r="D28" s="188">
        <v>1493538760.76</v>
      </c>
      <c r="E28" s="188">
        <v>1517538915.6800001</v>
      </c>
      <c r="F28" s="188">
        <v>1556978833.7</v>
      </c>
      <c r="G28" s="188">
        <v>1593456836.79</v>
      </c>
      <c r="H28" s="188">
        <v>1598033914.01</v>
      </c>
      <c r="I28" s="188">
        <v>1649034932.6900001</v>
      </c>
      <c r="J28" s="188">
        <v>1621991860.8699999</v>
      </c>
      <c r="K28" s="188">
        <v>1553127343.0899999</v>
      </c>
      <c r="L28" s="188">
        <v>1462837359.55</v>
      </c>
      <c r="M28" s="188">
        <v>1486209823.1199999</v>
      </c>
      <c r="N28" s="188">
        <v>1521035167.47</v>
      </c>
      <c r="O28" s="188">
        <v>1544918696.03</v>
      </c>
      <c r="P28" s="188">
        <v>1425317035.03</v>
      </c>
      <c r="Q28" s="188">
        <v>1569748959.5899999</v>
      </c>
      <c r="R28" s="188">
        <v>1641901631.98</v>
      </c>
      <c r="S28" s="188">
        <v>1511426623.9100001</v>
      </c>
      <c r="T28" s="188">
        <v>1529017510.9100001</v>
      </c>
      <c r="U28" s="188">
        <v>1540025646.5699999</v>
      </c>
      <c r="V28" s="188">
        <v>1566074154.1099999</v>
      </c>
      <c r="W28" s="188">
        <v>1549382370.24</v>
      </c>
      <c r="X28" s="188">
        <v>1497161919.8</v>
      </c>
      <c r="Y28" s="188">
        <v>1652565835.9300001</v>
      </c>
      <c r="Z28" s="188">
        <v>1661877092.25</v>
      </c>
      <c r="AA28" s="188">
        <v>1828271779.6300001</v>
      </c>
      <c r="AB28" s="188">
        <v>1186431227.6300001</v>
      </c>
      <c r="AC28" s="188">
        <v>1219342834.78</v>
      </c>
      <c r="AD28" s="188">
        <v>1862977643.77</v>
      </c>
      <c r="AE28" s="188">
        <v>1347747479.29</v>
      </c>
      <c r="AF28" s="188">
        <v>1453694520.6500001</v>
      </c>
      <c r="AG28" s="188">
        <v>1454220182.3299999</v>
      </c>
      <c r="AH28" s="188">
        <v>1473349520.3699999</v>
      </c>
      <c r="AI28" s="188">
        <v>1405648372.9200001</v>
      </c>
      <c r="AJ28" s="188">
        <v>1486631258.72</v>
      </c>
      <c r="AK28" s="188">
        <v>1542517480.3099999</v>
      </c>
      <c r="AL28" s="188">
        <v>1508837339.8599999</v>
      </c>
      <c r="AM28" s="188">
        <v>1553754145.3900001</v>
      </c>
      <c r="AN28" s="188">
        <v>1370123019.8800001</v>
      </c>
      <c r="AO28" s="188">
        <v>1327735620.28</v>
      </c>
      <c r="AP28" s="188">
        <v>1350524692.3</v>
      </c>
      <c r="AQ28" s="188">
        <v>1236073520.22</v>
      </c>
      <c r="AR28" s="188">
        <v>1190807706.8499999</v>
      </c>
      <c r="AS28" s="188">
        <v>1148227427.8599999</v>
      </c>
      <c r="AT28" s="188">
        <v>1217601361.01</v>
      </c>
      <c r="AU28" s="188">
        <v>1215903497.0599999</v>
      </c>
      <c r="AV28" s="188">
        <v>1253895583.5899999</v>
      </c>
      <c r="AW28" s="188">
        <v>1082151946.3</v>
      </c>
      <c r="AX28" s="188">
        <v>1159777509.1900001</v>
      </c>
      <c r="AY28" s="188">
        <v>1078699455.7</v>
      </c>
      <c r="AZ28" s="188">
        <v>1091207759.4000001</v>
      </c>
      <c r="BA28" s="188">
        <v>1107213334.47</v>
      </c>
      <c r="BB28" s="188">
        <v>1135600112.3900001</v>
      </c>
      <c r="BC28" s="188">
        <v>1017337911.29</v>
      </c>
      <c r="BD28" s="188">
        <v>1063808742.02</v>
      </c>
      <c r="BE28" s="188">
        <v>1029440439.05</v>
      </c>
      <c r="BF28" s="188">
        <v>1031665043.39</v>
      </c>
      <c r="BG28" s="188">
        <v>896191580.02999997</v>
      </c>
      <c r="BH28" s="188">
        <v>857067268.90999997</v>
      </c>
      <c r="BI28" s="188">
        <v>946558153.67999995</v>
      </c>
      <c r="BJ28" s="188">
        <v>961572974.53999996</v>
      </c>
      <c r="BK28" s="188">
        <v>784209913.70000005</v>
      </c>
      <c r="BL28" s="188">
        <v>776117162.10000002</v>
      </c>
      <c r="BM28" s="188">
        <v>786602185.23000002</v>
      </c>
      <c r="BN28" s="188">
        <v>810257491.19000006</v>
      </c>
      <c r="BO28" s="188">
        <v>701542847.19000006</v>
      </c>
      <c r="BP28" s="188">
        <v>722929123.01999998</v>
      </c>
      <c r="BQ28" s="188">
        <v>686886455.90999997</v>
      </c>
      <c r="BR28" s="188">
        <v>686892285.38</v>
      </c>
      <c r="BS28" s="188">
        <v>729302406.55999994</v>
      </c>
      <c r="BT28" s="188">
        <v>736711131.88</v>
      </c>
      <c r="BU28" s="188">
        <v>772263675.87</v>
      </c>
      <c r="BV28" s="188">
        <v>799893332.64999998</v>
      </c>
      <c r="BW28" s="188">
        <v>719897556.69000006</v>
      </c>
      <c r="BX28" s="188">
        <v>663825239.13</v>
      </c>
      <c r="BY28" s="188">
        <v>247902009.53999999</v>
      </c>
      <c r="BZ28" s="188">
        <v>258284275.15000001</v>
      </c>
      <c r="CA28" s="188">
        <v>280317753.69</v>
      </c>
      <c r="CB28" s="188">
        <v>291914454.87</v>
      </c>
      <c r="CC28" s="188">
        <v>300124322.94</v>
      </c>
      <c r="CD28" s="188">
        <v>351535439.48000002</v>
      </c>
      <c r="CE28" s="188">
        <v>322121519.99000001</v>
      </c>
      <c r="CF28" s="188">
        <v>310211000</v>
      </c>
      <c r="CG28" s="188">
        <v>293699924.44999999</v>
      </c>
      <c r="CH28" s="188">
        <v>297352570.06999999</v>
      </c>
      <c r="CI28" s="188">
        <v>0</v>
      </c>
      <c r="CJ28" s="188">
        <v>0</v>
      </c>
      <c r="CK28" s="188">
        <v>0</v>
      </c>
      <c r="CL28" s="188">
        <v>0</v>
      </c>
      <c r="CM28" s="188">
        <v>0</v>
      </c>
    </row>
    <row r="29" spans="1:91">
      <c r="A29" s="188" t="s">
        <v>133</v>
      </c>
      <c r="B29" s="188">
        <v>278078835.72000003</v>
      </c>
      <c r="C29" s="188">
        <v>255028125.78</v>
      </c>
      <c r="D29" s="188">
        <v>282842697.69999999</v>
      </c>
      <c r="E29" s="188">
        <v>250433048.77000001</v>
      </c>
      <c r="F29" s="188">
        <v>219596614.91999999</v>
      </c>
      <c r="G29" s="188">
        <v>187519817.13</v>
      </c>
      <c r="H29" s="188">
        <v>180005301.02000001</v>
      </c>
      <c r="I29" s="188">
        <v>150588612.36000001</v>
      </c>
      <c r="J29" s="188">
        <v>204316421.75</v>
      </c>
      <c r="K29" s="188">
        <v>294404699.12</v>
      </c>
      <c r="L29" s="188">
        <v>393432489.30000001</v>
      </c>
      <c r="M29" s="188">
        <v>317680649.69</v>
      </c>
      <c r="N29" s="188">
        <v>249126188.41</v>
      </c>
      <c r="O29" s="188">
        <v>229275493.81999999</v>
      </c>
      <c r="P29" s="188">
        <v>432550223.10000002</v>
      </c>
      <c r="Q29" s="188">
        <v>368382711.47000003</v>
      </c>
      <c r="R29" s="188">
        <v>338406849.99000001</v>
      </c>
      <c r="S29" s="188">
        <v>510261692.25999999</v>
      </c>
      <c r="T29" s="188">
        <v>299193016.25999999</v>
      </c>
      <c r="U29" s="188">
        <v>362512552.56999999</v>
      </c>
      <c r="V29" s="188">
        <v>338591484.85000002</v>
      </c>
      <c r="W29" s="188">
        <v>336935799.75</v>
      </c>
      <c r="X29" s="188">
        <v>384351781.38</v>
      </c>
      <c r="Y29" s="188">
        <v>261974023.75999999</v>
      </c>
      <c r="Z29" s="188">
        <v>371459033.30000001</v>
      </c>
      <c r="AA29" s="188">
        <v>157464016.69</v>
      </c>
      <c r="AB29" s="188">
        <v>149628461.09999999</v>
      </c>
      <c r="AC29" s="188">
        <v>119744174.68000001</v>
      </c>
      <c r="AD29" s="188">
        <v>96463819.280000001</v>
      </c>
      <c r="AE29" s="188">
        <v>118271623.94</v>
      </c>
      <c r="AF29" s="188">
        <v>125201776.86</v>
      </c>
      <c r="AG29" s="188">
        <v>142430200.88</v>
      </c>
      <c r="AH29" s="188">
        <v>126206510.34999999</v>
      </c>
      <c r="AI29" s="188">
        <v>221472314.21000001</v>
      </c>
      <c r="AJ29" s="188">
        <v>147486223.09999999</v>
      </c>
      <c r="AK29" s="188">
        <v>107719065.03</v>
      </c>
      <c r="AL29" s="188">
        <v>118928402.94</v>
      </c>
      <c r="AM29" s="188">
        <v>121794740.31</v>
      </c>
      <c r="AN29" s="188">
        <v>84367757.310000002</v>
      </c>
      <c r="AO29" s="188">
        <v>116823993.33</v>
      </c>
      <c r="AP29" s="188">
        <v>90505083.659999996</v>
      </c>
      <c r="AQ29" s="188">
        <v>124082506.65000001</v>
      </c>
      <c r="AR29" s="188">
        <v>132050094.53</v>
      </c>
      <c r="AS29" s="188">
        <v>179457842.68000001</v>
      </c>
      <c r="AT29" s="188">
        <v>95499666.030000001</v>
      </c>
      <c r="AU29" s="188">
        <v>110579641.02</v>
      </c>
      <c r="AV29" s="188">
        <v>58712549.390000001</v>
      </c>
      <c r="AW29" s="188">
        <v>229356746.72999999</v>
      </c>
      <c r="AX29" s="188">
        <v>175750234.56999999</v>
      </c>
      <c r="AY29" s="188">
        <v>202221136.06999999</v>
      </c>
      <c r="AZ29" s="188">
        <v>177727557.09999999</v>
      </c>
      <c r="BA29" s="188">
        <v>162909254.5</v>
      </c>
      <c r="BB29" s="188">
        <v>128239074.05</v>
      </c>
      <c r="BC29" s="188">
        <v>141040249.38</v>
      </c>
      <c r="BD29" s="188">
        <v>127518385.53</v>
      </c>
      <c r="BE29" s="188">
        <v>104061264.39</v>
      </c>
      <c r="BF29" s="188">
        <v>99972589.859999999</v>
      </c>
      <c r="BG29" s="188">
        <v>92740817.569999993</v>
      </c>
      <c r="BH29" s="188">
        <v>142710455.46000001</v>
      </c>
      <c r="BI29" s="188">
        <v>140078247.72999999</v>
      </c>
      <c r="BJ29" s="188">
        <v>137009776.94999999</v>
      </c>
      <c r="BK29" s="188">
        <v>225473290.21000001</v>
      </c>
      <c r="BL29" s="188">
        <v>211901556.71000001</v>
      </c>
      <c r="BM29" s="188">
        <v>151163904.06</v>
      </c>
      <c r="BN29" s="188">
        <v>135337447.19999999</v>
      </c>
      <c r="BO29" s="188">
        <v>86239947.370000005</v>
      </c>
      <c r="BP29" s="188">
        <v>99780992.230000004</v>
      </c>
      <c r="BQ29" s="188">
        <v>112336411.34999999</v>
      </c>
      <c r="BR29" s="188">
        <v>130779812.3</v>
      </c>
      <c r="BS29" s="188">
        <v>181888727.41</v>
      </c>
      <c r="BT29" s="188">
        <v>117061775.62</v>
      </c>
      <c r="BU29" s="188">
        <v>238215309.41</v>
      </c>
      <c r="BV29" s="188">
        <v>178850829.75</v>
      </c>
      <c r="BW29" s="188">
        <v>124877461.87</v>
      </c>
      <c r="BX29" s="188">
        <v>204799798.27000001</v>
      </c>
      <c r="BY29" s="188">
        <v>99054088.640000001</v>
      </c>
      <c r="BZ29" s="188">
        <v>99253057.989999995</v>
      </c>
      <c r="CA29" s="188">
        <v>105157139.23999999</v>
      </c>
      <c r="CB29" s="188">
        <v>100213654.70999999</v>
      </c>
      <c r="CC29" s="188">
        <v>70726365.120000005</v>
      </c>
      <c r="CD29" s="188">
        <v>89263083.810000002</v>
      </c>
      <c r="CE29" s="188">
        <v>0</v>
      </c>
      <c r="CF29" s="188">
        <v>96948000</v>
      </c>
      <c r="CG29" s="188">
        <v>97171473.030000001</v>
      </c>
      <c r="CH29" s="188">
        <v>69608770.909999996</v>
      </c>
      <c r="CI29" s="188">
        <v>0</v>
      </c>
      <c r="CJ29" s="188">
        <v>0</v>
      </c>
      <c r="CK29" s="188">
        <v>0</v>
      </c>
      <c r="CL29" s="188">
        <v>0</v>
      </c>
      <c r="CM29" s="188">
        <v>0</v>
      </c>
    </row>
    <row r="30" spans="1:91">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c r="BO30" s="188">
        <v>0</v>
      </c>
      <c r="BP30" s="188">
        <v>0</v>
      </c>
      <c r="BQ30" s="188">
        <v>0</v>
      </c>
      <c r="BR30" s="188">
        <v>0</v>
      </c>
      <c r="BS30" s="188">
        <v>0</v>
      </c>
      <c r="BT30" s="188">
        <v>0</v>
      </c>
      <c r="BU30" s="188">
        <v>0</v>
      </c>
      <c r="BV30" s="188">
        <v>0</v>
      </c>
      <c r="BW30" s="188">
        <v>0</v>
      </c>
      <c r="BX30" s="188">
        <v>0</v>
      </c>
      <c r="BY30" s="188">
        <v>0</v>
      </c>
      <c r="BZ30" s="188">
        <v>0</v>
      </c>
      <c r="CA30" s="188">
        <v>0</v>
      </c>
      <c r="CB30" s="188">
        <v>0</v>
      </c>
      <c r="CC30" s="188">
        <v>0</v>
      </c>
      <c r="CD30" s="188">
        <v>0</v>
      </c>
      <c r="CE30" s="188">
        <v>0</v>
      </c>
      <c r="CF30" s="188">
        <v>0</v>
      </c>
      <c r="CG30" s="188">
        <v>0</v>
      </c>
      <c r="CH30" s="188">
        <v>0</v>
      </c>
      <c r="CI30" s="188">
        <v>0</v>
      </c>
      <c r="CJ30" s="188">
        <v>0</v>
      </c>
      <c r="CK30" s="188">
        <v>0</v>
      </c>
      <c r="CL30" s="188">
        <v>0</v>
      </c>
      <c r="CM30" s="188">
        <v>0</v>
      </c>
    </row>
    <row r="31" spans="1:91">
      <c r="A31" s="188" t="s">
        <v>135</v>
      </c>
      <c r="B31" s="188">
        <v>0</v>
      </c>
      <c r="C31" s="188">
        <v>0</v>
      </c>
      <c r="D31" s="188">
        <v>0</v>
      </c>
      <c r="E31" s="188">
        <v>0</v>
      </c>
      <c r="F31" s="188">
        <v>0</v>
      </c>
      <c r="G31" s="188">
        <v>0</v>
      </c>
      <c r="H31" s="188">
        <v>0</v>
      </c>
      <c r="I31" s="188">
        <v>0</v>
      </c>
      <c r="J31" s="188">
        <v>0</v>
      </c>
      <c r="K31" s="188">
        <v>0</v>
      </c>
      <c r="L31" s="188">
        <v>4693849.82</v>
      </c>
      <c r="M31" s="188">
        <v>0</v>
      </c>
      <c r="N31" s="188">
        <v>0</v>
      </c>
      <c r="O31" s="188">
        <v>0</v>
      </c>
      <c r="P31" s="188">
        <v>0</v>
      </c>
      <c r="Q31" s="188">
        <v>0</v>
      </c>
      <c r="R31" s="188">
        <v>0</v>
      </c>
      <c r="S31" s="188">
        <v>0</v>
      </c>
      <c r="T31" s="188">
        <v>0</v>
      </c>
      <c r="U31" s="188">
        <v>0</v>
      </c>
      <c r="V31" s="188">
        <v>0</v>
      </c>
      <c r="W31" s="188">
        <v>179596.24</v>
      </c>
      <c r="X31" s="188">
        <v>157282.06</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-19055.87</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c r="BS31" s="188">
        <v>-155790.98000000001</v>
      </c>
      <c r="BT31" s="188">
        <v>-7682.9</v>
      </c>
      <c r="BU31" s="188">
        <v>1397696.43</v>
      </c>
      <c r="BV31" s="188">
        <v>872811.88</v>
      </c>
      <c r="BW31" s="188">
        <v>951614.34</v>
      </c>
      <c r="BX31" s="188">
        <v>0</v>
      </c>
      <c r="BY31" s="188">
        <v>-282206.99</v>
      </c>
      <c r="BZ31" s="188">
        <v>72850.240000000005</v>
      </c>
      <c r="CA31" s="188">
        <v>187404.51</v>
      </c>
      <c r="CB31" s="188">
        <v>-78504.75</v>
      </c>
      <c r="CC31" s="188">
        <v>242347.25</v>
      </c>
      <c r="CD31" s="188">
        <v>115772.51</v>
      </c>
      <c r="CE31" s="188">
        <v>0</v>
      </c>
      <c r="CF31" s="188">
        <v>73000</v>
      </c>
      <c r="CG31" s="188">
        <v>0</v>
      </c>
      <c r="CH31" s="188">
        <v>0</v>
      </c>
      <c r="CI31" s="188">
        <v>0</v>
      </c>
      <c r="CJ31" s="188">
        <v>0</v>
      </c>
      <c r="CK31" s="188">
        <v>0</v>
      </c>
      <c r="CL31" s="188">
        <v>0</v>
      </c>
      <c r="CM31" s="188">
        <v>0</v>
      </c>
    </row>
    <row r="32" spans="1:91">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c r="BW32" s="188">
        <v>0</v>
      </c>
      <c r="BX32" s="188">
        <v>0</v>
      </c>
      <c r="BY32" s="188">
        <v>0</v>
      </c>
      <c r="BZ32" s="188">
        <v>0</v>
      </c>
      <c r="CA32" s="188">
        <v>0</v>
      </c>
      <c r="CB32" s="188">
        <v>0</v>
      </c>
      <c r="CC32" s="188">
        <v>0</v>
      </c>
      <c r="CD32" s="188">
        <v>0</v>
      </c>
      <c r="CE32" s="188">
        <v>0</v>
      </c>
      <c r="CF32" s="188">
        <v>0</v>
      </c>
      <c r="CG32" s="188">
        <v>0</v>
      </c>
      <c r="CH32" s="188">
        <v>0</v>
      </c>
      <c r="CI32" s="188">
        <v>0</v>
      </c>
      <c r="CJ32" s="188">
        <v>0</v>
      </c>
      <c r="CK32" s="188">
        <v>0</v>
      </c>
      <c r="CL32" s="188">
        <v>0</v>
      </c>
      <c r="CM32" s="188">
        <v>0</v>
      </c>
    </row>
    <row r="33" spans="1:91">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c r="BW33" s="188">
        <v>0</v>
      </c>
      <c r="BX33" s="188">
        <v>0</v>
      </c>
      <c r="BY33" s="188">
        <v>0</v>
      </c>
      <c r="BZ33" s="188">
        <v>0</v>
      </c>
      <c r="CA33" s="188">
        <v>0</v>
      </c>
      <c r="CB33" s="188">
        <v>0</v>
      </c>
      <c r="CC33" s="188">
        <v>0</v>
      </c>
      <c r="CD33" s="188">
        <v>0</v>
      </c>
      <c r="CE33" s="188">
        <v>0</v>
      </c>
      <c r="CF33" s="188">
        <v>0</v>
      </c>
      <c r="CG33" s="188">
        <v>0</v>
      </c>
      <c r="CH33" s="188">
        <v>0</v>
      </c>
      <c r="CI33" s="188">
        <v>0</v>
      </c>
      <c r="CJ33" s="188">
        <v>0</v>
      </c>
      <c r="CK33" s="188">
        <v>0</v>
      </c>
      <c r="CL33" s="188">
        <v>0</v>
      </c>
      <c r="CM33" s="188">
        <v>0</v>
      </c>
    </row>
    <row r="34" spans="1:91">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c r="BH34" s="188">
        <v>0</v>
      </c>
      <c r="BI34" s="188">
        <v>0</v>
      </c>
      <c r="BJ34" s="188">
        <v>0</v>
      </c>
      <c r="BK34" s="188">
        <v>0</v>
      </c>
      <c r="BL34" s="188">
        <v>0</v>
      </c>
      <c r="BM34" s="188">
        <v>0</v>
      </c>
      <c r="BN34" s="188">
        <v>0</v>
      </c>
      <c r="BO34" s="188">
        <v>0</v>
      </c>
      <c r="BP34" s="188">
        <v>0</v>
      </c>
      <c r="BQ34" s="188">
        <v>0</v>
      </c>
      <c r="BR34" s="188">
        <v>0</v>
      </c>
      <c r="BS34" s="188">
        <v>0</v>
      </c>
      <c r="BT34" s="188">
        <v>0</v>
      </c>
      <c r="BU34" s="188">
        <v>0</v>
      </c>
      <c r="BV34" s="188">
        <v>0</v>
      </c>
      <c r="BW34" s="188">
        <v>0</v>
      </c>
      <c r="BX34" s="188">
        <v>0</v>
      </c>
      <c r="BY34" s="188">
        <v>0</v>
      </c>
      <c r="BZ34" s="188">
        <v>0</v>
      </c>
      <c r="CA34" s="188">
        <v>0</v>
      </c>
      <c r="CB34" s="188">
        <v>0</v>
      </c>
      <c r="CC34" s="188">
        <v>0</v>
      </c>
      <c r="CD34" s="188">
        <v>0</v>
      </c>
      <c r="CE34" s="188">
        <v>0</v>
      </c>
      <c r="CF34" s="188">
        <v>0</v>
      </c>
      <c r="CG34" s="188">
        <v>0</v>
      </c>
      <c r="CH34" s="188">
        <v>0</v>
      </c>
      <c r="CI34" s="188">
        <v>0</v>
      </c>
      <c r="CJ34" s="188">
        <v>0</v>
      </c>
      <c r="CK34" s="188">
        <v>0</v>
      </c>
      <c r="CL34" s="188">
        <v>0</v>
      </c>
      <c r="CM34" s="188">
        <v>0</v>
      </c>
    </row>
    <row r="35" spans="1:91">
      <c r="A35" s="188" t="s">
        <v>139</v>
      </c>
      <c r="B35" s="188">
        <v>362401783.69</v>
      </c>
      <c r="C35" s="188">
        <v>384972241.42000002</v>
      </c>
      <c r="D35" s="188">
        <v>387476798.29000002</v>
      </c>
      <c r="E35" s="188">
        <v>390718917.75</v>
      </c>
      <c r="F35" s="188">
        <v>393831918.13</v>
      </c>
      <c r="G35" s="188">
        <v>394154643.39999998</v>
      </c>
      <c r="H35" s="188">
        <v>397194103.83999997</v>
      </c>
      <c r="I35" s="188">
        <v>398469959.94</v>
      </c>
      <c r="J35" s="188">
        <v>401501865.01999998</v>
      </c>
      <c r="K35" s="188">
        <v>405498312.36000001</v>
      </c>
      <c r="L35" s="188">
        <v>414117324.30000001</v>
      </c>
      <c r="M35" s="188">
        <v>202447508.09999999</v>
      </c>
      <c r="N35" s="188">
        <v>204155756.61000001</v>
      </c>
      <c r="O35" s="188">
        <v>205694495.71000001</v>
      </c>
      <c r="P35" s="188">
        <v>268250656.80000001</v>
      </c>
      <c r="Q35" s="188">
        <v>360306496.13</v>
      </c>
      <c r="R35" s="188">
        <v>362470636.56999999</v>
      </c>
      <c r="S35" s="188">
        <v>261421428.44</v>
      </c>
      <c r="T35" s="188">
        <v>374059451.63</v>
      </c>
      <c r="U35" s="188">
        <v>267466567.25</v>
      </c>
      <c r="V35" s="188">
        <v>269863546.00999999</v>
      </c>
      <c r="W35" s="188">
        <v>247480093.28</v>
      </c>
      <c r="X35" s="188">
        <v>248682819.62</v>
      </c>
      <c r="Y35" s="188">
        <v>246827498.16</v>
      </c>
      <c r="Z35" s="188">
        <v>255995361.00999999</v>
      </c>
      <c r="AA35" s="188">
        <v>247791372.86000001</v>
      </c>
      <c r="AB35" s="188">
        <v>196006011.58000001</v>
      </c>
      <c r="AC35" s="188">
        <v>197824567.53999999</v>
      </c>
      <c r="AD35" s="188">
        <v>256303475.49000001</v>
      </c>
      <c r="AE35" s="188">
        <v>302687875.52999997</v>
      </c>
      <c r="AF35" s="188">
        <v>309603401.69</v>
      </c>
      <c r="AG35" s="188">
        <v>312481030.72000003</v>
      </c>
      <c r="AH35" s="188">
        <v>315432492</v>
      </c>
      <c r="AI35" s="188">
        <v>340102416.92000002</v>
      </c>
      <c r="AJ35" s="188">
        <v>346983480.17000002</v>
      </c>
      <c r="AK35" s="188">
        <v>350935452.31999999</v>
      </c>
      <c r="AL35" s="188">
        <v>354630274.79000002</v>
      </c>
      <c r="AM35" s="188">
        <v>358793179.75999999</v>
      </c>
      <c r="AN35" s="188">
        <v>226183973.84</v>
      </c>
      <c r="AO35" s="188">
        <v>228176922.94999999</v>
      </c>
      <c r="AP35" s="188">
        <v>230169872.06</v>
      </c>
      <c r="AQ35" s="188">
        <v>232507169.97999999</v>
      </c>
      <c r="AR35" s="188">
        <v>234491683.46000001</v>
      </c>
      <c r="AS35" s="188">
        <v>259929027.09</v>
      </c>
      <c r="AT35" s="188">
        <v>265196860.91</v>
      </c>
      <c r="AU35" s="188">
        <v>241149339.74000001</v>
      </c>
      <c r="AV35" s="188">
        <v>243293359.13999999</v>
      </c>
      <c r="AW35" s="188">
        <v>253465917.38999999</v>
      </c>
      <c r="AX35" s="188">
        <v>260827691.86000001</v>
      </c>
      <c r="AY35" s="188">
        <v>249079706.19</v>
      </c>
      <c r="AZ35" s="188">
        <v>251169711.52000001</v>
      </c>
      <c r="BA35" s="188">
        <v>251958609.87</v>
      </c>
      <c r="BB35" s="188">
        <v>253677897.72999999</v>
      </c>
      <c r="BC35" s="188">
        <v>281081786.68000001</v>
      </c>
      <c r="BD35" s="188">
        <v>269681664.13</v>
      </c>
      <c r="BE35" s="188">
        <v>271413857.83999997</v>
      </c>
      <c r="BF35" s="188">
        <v>272038721.18000001</v>
      </c>
      <c r="BG35" s="188">
        <v>243295612.38</v>
      </c>
      <c r="BH35" s="188">
        <v>244861185.56999999</v>
      </c>
      <c r="BI35" s="188">
        <v>264898234.03</v>
      </c>
      <c r="BJ35" s="188">
        <v>268069931.06</v>
      </c>
      <c r="BK35" s="188">
        <v>293195014.95999998</v>
      </c>
      <c r="BL35" s="188">
        <v>189094309.68000001</v>
      </c>
      <c r="BM35" s="188">
        <v>189756941.00999999</v>
      </c>
      <c r="BN35" s="188">
        <v>191336578.24000001</v>
      </c>
      <c r="BO35" s="188">
        <v>42376683.780000001</v>
      </c>
      <c r="BP35" s="188">
        <v>42380772.740000002</v>
      </c>
      <c r="BQ35" s="188">
        <v>42931195.939999998</v>
      </c>
      <c r="BR35" s="188">
        <v>28147358.850000001</v>
      </c>
      <c r="BS35" s="188">
        <v>42772035.009999998</v>
      </c>
      <c r="BT35" s="188">
        <v>34874342.969999999</v>
      </c>
      <c r="BU35" s="188">
        <v>61310339.060000002</v>
      </c>
      <c r="BV35" s="188">
        <v>51608907.68</v>
      </c>
      <c r="BW35" s="188">
        <v>51506616.920000002</v>
      </c>
      <c r="BX35" s="188">
        <v>48457275.630000003</v>
      </c>
      <c r="BY35" s="188">
        <v>42059995.490000002</v>
      </c>
      <c r="BZ35" s="188">
        <v>41958457.960000001</v>
      </c>
      <c r="CA35" s="188">
        <v>0</v>
      </c>
      <c r="CB35" s="188">
        <v>49528541.299999997</v>
      </c>
      <c r="CC35" s="188">
        <v>0</v>
      </c>
      <c r="CD35" s="188">
        <v>49332881.299999997</v>
      </c>
      <c r="CE35" s="188">
        <v>19681108.73</v>
      </c>
      <c r="CF35" s="188">
        <v>0</v>
      </c>
      <c r="CG35" s="188">
        <v>0</v>
      </c>
      <c r="CH35" s="188">
        <v>2740561.26</v>
      </c>
      <c r="CI35" s="188">
        <v>0</v>
      </c>
      <c r="CJ35" s="188">
        <v>0</v>
      </c>
      <c r="CK35" s="188">
        <v>0</v>
      </c>
      <c r="CL35" s="188">
        <v>0</v>
      </c>
      <c r="CM35" s="188">
        <v>0</v>
      </c>
    </row>
    <row r="36" spans="1:91">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c r="BJ36" s="188">
        <v>0</v>
      </c>
      <c r="BK36" s="188">
        <v>0</v>
      </c>
      <c r="BL36" s="188">
        <v>0</v>
      </c>
      <c r="BM36" s="188">
        <v>0</v>
      </c>
      <c r="BN36" s="188">
        <v>0</v>
      </c>
      <c r="BO36" s="188">
        <v>0</v>
      </c>
      <c r="BP36" s="188">
        <v>0</v>
      </c>
      <c r="BQ36" s="188">
        <v>0</v>
      </c>
      <c r="BR36" s="188">
        <v>0</v>
      </c>
      <c r="BS36" s="188">
        <v>0</v>
      </c>
      <c r="BT36" s="188">
        <v>0</v>
      </c>
      <c r="BU36" s="188">
        <v>0</v>
      </c>
      <c r="BV36" s="188">
        <v>0</v>
      </c>
      <c r="BW36" s="188">
        <v>0</v>
      </c>
      <c r="BX36" s="188">
        <v>0</v>
      </c>
      <c r="BY36" s="188">
        <v>0</v>
      </c>
      <c r="BZ36" s="188">
        <v>0</v>
      </c>
      <c r="CA36" s="188">
        <v>0</v>
      </c>
      <c r="CB36" s="188">
        <v>0</v>
      </c>
      <c r="CC36" s="188">
        <v>0</v>
      </c>
      <c r="CD36" s="188">
        <v>0</v>
      </c>
      <c r="CE36" s="188">
        <v>0</v>
      </c>
      <c r="CF36" s="188">
        <v>0</v>
      </c>
      <c r="CG36" s="188">
        <v>0</v>
      </c>
      <c r="CH36" s="188">
        <v>0</v>
      </c>
      <c r="CI36" s="188">
        <v>0</v>
      </c>
      <c r="CJ36" s="188">
        <v>0</v>
      </c>
      <c r="CK36" s="188">
        <v>0</v>
      </c>
      <c r="CL36" s="188">
        <v>0</v>
      </c>
      <c r="CM36" s="188">
        <v>0</v>
      </c>
    </row>
    <row r="37" spans="1:91">
      <c r="A37" s="188" t="s">
        <v>141</v>
      </c>
      <c r="B37" s="188">
        <v>0</v>
      </c>
      <c r="C37" s="188">
        <v>12482506.73</v>
      </c>
      <c r="D37" s="188">
        <v>12482506.73</v>
      </c>
      <c r="E37" s="188">
        <v>12482506.73</v>
      </c>
      <c r="F37" s="188">
        <v>12482506.73</v>
      </c>
      <c r="G37" s="188">
        <v>12482506.73</v>
      </c>
      <c r="H37" s="188">
        <v>12482506.73</v>
      </c>
      <c r="I37" s="188">
        <v>12482506.73</v>
      </c>
      <c r="J37" s="188">
        <v>12482506.73</v>
      </c>
      <c r="K37" s="188">
        <v>32734042.199999999</v>
      </c>
      <c r="L37" s="188">
        <v>32734042.199999999</v>
      </c>
      <c r="M37" s="188">
        <v>32734042.199999999</v>
      </c>
      <c r="N37" s="188">
        <v>32734042.199999999</v>
      </c>
      <c r="O37" s="188">
        <v>12482506.73</v>
      </c>
      <c r="P37" s="188">
        <v>12482506.73</v>
      </c>
      <c r="Q37" s="188">
        <v>12482506.73</v>
      </c>
      <c r="R37" s="188">
        <v>12482506.73</v>
      </c>
      <c r="S37" s="188">
        <v>12482506.73</v>
      </c>
      <c r="T37" s="188">
        <v>12482506.73</v>
      </c>
      <c r="U37" s="188">
        <v>12482506.73</v>
      </c>
      <c r="V37" s="188">
        <v>12482506.73</v>
      </c>
      <c r="W37" s="188">
        <v>12482506.73</v>
      </c>
      <c r="X37" s="188">
        <v>12482506.73</v>
      </c>
      <c r="Y37" s="188">
        <v>12482506.73</v>
      </c>
      <c r="Z37" s="188">
        <v>12482506.73</v>
      </c>
      <c r="AA37" s="188">
        <v>12482506.74</v>
      </c>
      <c r="AB37" s="188">
        <v>12482506.73</v>
      </c>
      <c r="AC37" s="188">
        <v>12482506.74</v>
      </c>
      <c r="AD37" s="188">
        <v>12482506.74</v>
      </c>
      <c r="AE37" s="188">
        <v>12482506.720000001</v>
      </c>
      <c r="AF37" s="188">
        <v>12482506.73</v>
      </c>
      <c r="AG37" s="188">
        <v>12482506.73</v>
      </c>
      <c r="AH37" s="188">
        <v>16109673.57</v>
      </c>
      <c r="AI37" s="188">
        <v>77068187.049999997</v>
      </c>
      <c r="AJ37" s="188">
        <v>77068187.049999997</v>
      </c>
      <c r="AK37" s="188">
        <v>77068187.049999997</v>
      </c>
      <c r="AL37" s="188">
        <v>77068187.049999997</v>
      </c>
      <c r="AM37" s="188">
        <v>62141595.939999998</v>
      </c>
      <c r="AN37" s="188">
        <v>3627166.84</v>
      </c>
      <c r="AO37" s="188">
        <v>3627166.84</v>
      </c>
      <c r="AP37" s="188">
        <v>3627166.84</v>
      </c>
      <c r="AQ37" s="188">
        <v>3627166.84</v>
      </c>
      <c r="AR37" s="188">
        <v>3627166.84</v>
      </c>
      <c r="AS37" s="188">
        <v>3627166.84</v>
      </c>
      <c r="AT37" s="188">
        <v>3627166.84</v>
      </c>
      <c r="AU37" s="188">
        <v>3415582.14</v>
      </c>
      <c r="AV37" s="188">
        <v>3415582.14</v>
      </c>
      <c r="AW37" s="188">
        <v>3415582.14</v>
      </c>
      <c r="AX37" s="188">
        <v>0</v>
      </c>
      <c r="AY37" s="188">
        <v>0</v>
      </c>
      <c r="AZ37" s="188">
        <v>0</v>
      </c>
      <c r="BA37" s="188">
        <v>0</v>
      </c>
      <c r="BB37" s="188">
        <v>0</v>
      </c>
      <c r="BC37" s="188">
        <v>0</v>
      </c>
      <c r="BD37" s="188">
        <v>0</v>
      </c>
      <c r="BE37" s="188">
        <v>0</v>
      </c>
      <c r="BF37" s="188">
        <v>0</v>
      </c>
      <c r="BG37" s="188">
        <v>0</v>
      </c>
      <c r="BH37" s="188">
        <v>0</v>
      </c>
      <c r="BI37" s="188">
        <v>0</v>
      </c>
      <c r="BJ37" s="188">
        <v>0</v>
      </c>
      <c r="BK37" s="188">
        <v>0</v>
      </c>
      <c r="BL37" s="188">
        <v>0</v>
      </c>
      <c r="BM37" s="188">
        <v>0</v>
      </c>
      <c r="BN37" s="188">
        <v>0</v>
      </c>
      <c r="BO37" s="188">
        <v>0</v>
      </c>
      <c r="BP37" s="188">
        <v>0</v>
      </c>
      <c r="BQ37" s="188">
        <v>0</v>
      </c>
      <c r="BR37" s="188">
        <v>0</v>
      </c>
      <c r="BS37" s="188">
        <v>0</v>
      </c>
      <c r="BT37" s="188">
        <v>0</v>
      </c>
      <c r="BU37" s="188">
        <v>0</v>
      </c>
      <c r="BV37" s="188">
        <v>0</v>
      </c>
      <c r="BW37" s="188">
        <v>0</v>
      </c>
      <c r="BX37" s="188">
        <v>0</v>
      </c>
      <c r="BY37" s="188">
        <v>0</v>
      </c>
      <c r="BZ37" s="188">
        <v>0</v>
      </c>
      <c r="CA37" s="188">
        <v>0</v>
      </c>
      <c r="CB37" s="188">
        <v>0</v>
      </c>
      <c r="CC37" s="188">
        <v>0</v>
      </c>
      <c r="CD37" s="188">
        <v>0</v>
      </c>
      <c r="CE37" s="188">
        <v>0</v>
      </c>
      <c r="CF37" s="188">
        <v>0</v>
      </c>
      <c r="CG37" s="188">
        <v>0</v>
      </c>
      <c r="CH37" s="188">
        <v>0</v>
      </c>
      <c r="CI37" s="188">
        <v>0</v>
      </c>
      <c r="CJ37" s="188">
        <v>0</v>
      </c>
      <c r="CK37" s="188">
        <v>0</v>
      </c>
      <c r="CL37" s="188">
        <v>0</v>
      </c>
      <c r="CM37" s="188">
        <v>0</v>
      </c>
    </row>
    <row r="38" spans="1:91">
      <c r="A38" s="188" t="s">
        <v>142</v>
      </c>
      <c r="B38" s="188">
        <v>22425197.059999999</v>
      </c>
      <c r="C38" s="188">
        <v>25289369.57</v>
      </c>
      <c r="D38" s="188">
        <v>25743421.280000001</v>
      </c>
      <c r="E38" s="188">
        <v>25369716.66</v>
      </c>
      <c r="F38" s="188">
        <v>25994490.379999999</v>
      </c>
      <c r="G38" s="188">
        <v>23582192.710000001</v>
      </c>
      <c r="H38" s="188">
        <v>23345054.850000001</v>
      </c>
      <c r="I38" s="188">
        <v>23785941.870000001</v>
      </c>
      <c r="J38" s="188">
        <v>24377748.219999999</v>
      </c>
      <c r="K38" s="188">
        <v>25076717.300000001</v>
      </c>
      <c r="L38" s="188">
        <v>26581382.34</v>
      </c>
      <c r="M38" s="188">
        <v>27388053.219999999</v>
      </c>
      <c r="N38" s="188">
        <v>27952383.77</v>
      </c>
      <c r="O38" s="188">
        <v>21456507.359999999</v>
      </c>
      <c r="P38" s="188">
        <v>31769859.960000001</v>
      </c>
      <c r="Q38" s="188">
        <v>32743780.82</v>
      </c>
      <c r="R38" s="188">
        <v>34404825.380000003</v>
      </c>
      <c r="S38" s="188">
        <v>48109373.799999997</v>
      </c>
      <c r="T38" s="188">
        <v>36909353.009999998</v>
      </c>
      <c r="U38" s="188">
        <v>46376380.18</v>
      </c>
      <c r="V38" s="188">
        <v>37594458.509999998</v>
      </c>
      <c r="W38" s="188">
        <v>37045763.189999998</v>
      </c>
      <c r="X38" s="188">
        <v>37600354.240000002</v>
      </c>
      <c r="Y38" s="188">
        <v>38226975.100000001</v>
      </c>
      <c r="Z38" s="188">
        <v>38872579.880000003</v>
      </c>
      <c r="AA38" s="188">
        <v>39738539.969999999</v>
      </c>
      <c r="AB38" s="188">
        <v>38122290</v>
      </c>
      <c r="AC38" s="188">
        <v>38649939.390000001</v>
      </c>
      <c r="AD38" s="188">
        <v>42672927.439999998</v>
      </c>
      <c r="AE38" s="188">
        <v>40780879.579999998</v>
      </c>
      <c r="AF38" s="188">
        <v>41373067.460000001</v>
      </c>
      <c r="AG38" s="188">
        <v>41868589.350000001</v>
      </c>
      <c r="AH38" s="188">
        <v>42609219.859999999</v>
      </c>
      <c r="AI38" s="188">
        <v>25487718.670000002</v>
      </c>
      <c r="AJ38" s="188">
        <v>25948705.260000002</v>
      </c>
      <c r="AK38" s="188">
        <v>7652788.6799999997</v>
      </c>
      <c r="AL38" s="188">
        <v>8242770.6200000001</v>
      </c>
      <c r="AM38" s="188">
        <v>28879759.010000002</v>
      </c>
      <c r="AN38" s="188">
        <v>25711427.050000001</v>
      </c>
      <c r="AO38" s="188">
        <v>26582410.25</v>
      </c>
      <c r="AP38" s="188">
        <v>27934076.68</v>
      </c>
      <c r="AQ38" s="188">
        <v>14039274.92</v>
      </c>
      <c r="AR38" s="188">
        <v>14279528.720000001</v>
      </c>
      <c r="AS38" s="188">
        <v>14554096.33</v>
      </c>
      <c r="AT38" s="188">
        <v>10711006.800000001</v>
      </c>
      <c r="AU38" s="188">
        <v>10848319.17</v>
      </c>
      <c r="AV38" s="188">
        <v>10985631.539999999</v>
      </c>
      <c r="AW38" s="188">
        <v>11122943.91</v>
      </c>
      <c r="AX38" s="188">
        <v>11260256.279999999</v>
      </c>
      <c r="AY38" s="188">
        <v>11397568.65</v>
      </c>
      <c r="AZ38" s="188">
        <v>11218861.32</v>
      </c>
      <c r="BA38" s="188">
        <v>11327444.640000001</v>
      </c>
      <c r="BB38" s="188">
        <v>11436027.960000001</v>
      </c>
      <c r="BC38" s="188">
        <v>14789222.439999999</v>
      </c>
      <c r="BD38" s="188">
        <v>14864813.65</v>
      </c>
      <c r="BE38" s="188">
        <v>15089085.34</v>
      </c>
      <c r="BF38" s="188">
        <v>15161442.140000001</v>
      </c>
      <c r="BG38" s="188">
        <v>16106281.08</v>
      </c>
      <c r="BH38" s="188">
        <v>15649341.43</v>
      </c>
      <c r="BI38" s="188">
        <v>15873221.779999999</v>
      </c>
      <c r="BJ38" s="188">
        <v>15757102.130000001</v>
      </c>
      <c r="BK38" s="188">
        <v>16020982.16</v>
      </c>
      <c r="BL38" s="188">
        <v>16204863.289999999</v>
      </c>
      <c r="BM38" s="188">
        <v>16388743.1</v>
      </c>
      <c r="BN38" s="188">
        <v>16572623.57</v>
      </c>
      <c r="BO38" s="188">
        <v>67465567.480000004</v>
      </c>
      <c r="BP38" s="188">
        <v>55315725.409999996</v>
      </c>
      <c r="BQ38" s="188">
        <v>55516952.159999996</v>
      </c>
      <c r="BR38" s="188">
        <v>8073214.7800000003</v>
      </c>
      <c r="BS38" s="188">
        <v>21023684.329999998</v>
      </c>
      <c r="BT38" s="188">
        <v>23871227.510000002</v>
      </c>
      <c r="BU38" s="188">
        <v>15157796.93</v>
      </c>
      <c r="BV38" s="188">
        <v>16810618.91</v>
      </c>
      <c r="BW38" s="188">
        <v>16919883.969999999</v>
      </c>
      <c r="BX38" s="188">
        <v>17908615.07</v>
      </c>
      <c r="BY38" s="188">
        <v>10309594.16</v>
      </c>
      <c r="BZ38" s="188">
        <v>0</v>
      </c>
      <c r="CA38" s="188">
        <v>0</v>
      </c>
      <c r="CB38" s="188">
        <v>0</v>
      </c>
      <c r="CC38" s="188">
        <v>0</v>
      </c>
      <c r="CD38" s="188">
        <v>0</v>
      </c>
      <c r="CE38" s="188">
        <v>0</v>
      </c>
      <c r="CF38" s="188">
        <v>0</v>
      </c>
      <c r="CG38" s="188">
        <v>0</v>
      </c>
      <c r="CH38" s="188">
        <v>0</v>
      </c>
      <c r="CI38" s="188">
        <v>0</v>
      </c>
      <c r="CJ38" s="188">
        <v>0</v>
      </c>
      <c r="CK38" s="188">
        <v>0</v>
      </c>
      <c r="CL38" s="188">
        <v>0</v>
      </c>
      <c r="CM38" s="188">
        <v>0</v>
      </c>
    </row>
    <row r="39" spans="1:91">
      <c r="A39" s="188" t="s">
        <v>143</v>
      </c>
      <c r="B39" s="188">
        <v>332491481.31</v>
      </c>
      <c r="C39" s="188">
        <v>280516439.10000002</v>
      </c>
      <c r="D39" s="188">
        <v>287457618.22000003</v>
      </c>
      <c r="E39" s="188">
        <v>276803432.69999999</v>
      </c>
      <c r="F39" s="188">
        <v>284468499.72000003</v>
      </c>
      <c r="G39" s="188">
        <v>189659562.69</v>
      </c>
      <c r="H39" s="188">
        <v>166876968.88999999</v>
      </c>
      <c r="I39" s="188">
        <v>194442775.68000001</v>
      </c>
      <c r="J39" s="188">
        <v>202660912.94</v>
      </c>
      <c r="K39" s="188">
        <v>200586287.63</v>
      </c>
      <c r="L39" s="188">
        <v>201696388.78999999</v>
      </c>
      <c r="M39" s="188">
        <v>173155868.44</v>
      </c>
      <c r="N39" s="188">
        <v>181957265.94</v>
      </c>
      <c r="O39" s="188">
        <v>212138740.53</v>
      </c>
      <c r="P39" s="188">
        <v>221385820.53</v>
      </c>
      <c r="Q39" s="188">
        <v>219691594.66999999</v>
      </c>
      <c r="R39" s="188">
        <v>198258338.47999999</v>
      </c>
      <c r="S39" s="188">
        <v>203294555.49000001</v>
      </c>
      <c r="T39" s="188">
        <v>197928564.84999999</v>
      </c>
      <c r="U39" s="188">
        <v>206340650.06999999</v>
      </c>
      <c r="V39" s="188">
        <v>196433264.06999999</v>
      </c>
      <c r="W39" s="188">
        <v>189613719.19</v>
      </c>
      <c r="X39" s="188">
        <v>173843976.78999999</v>
      </c>
      <c r="Y39" s="188">
        <v>200605367.56999999</v>
      </c>
      <c r="Z39" s="188">
        <v>204986935.97</v>
      </c>
      <c r="AA39" s="188">
        <v>186747691.91999999</v>
      </c>
      <c r="AB39" s="188">
        <v>123870193.34</v>
      </c>
      <c r="AC39" s="188">
        <v>118560500.20999999</v>
      </c>
      <c r="AD39" s="188">
        <v>180798828.83000001</v>
      </c>
      <c r="AE39" s="188">
        <v>114476487.09999999</v>
      </c>
      <c r="AF39" s="188">
        <v>115384373.29000001</v>
      </c>
      <c r="AG39" s="188">
        <v>107030597.65000001</v>
      </c>
      <c r="AH39" s="188">
        <v>108077747.11</v>
      </c>
      <c r="AI39" s="188">
        <v>89673628.579999998</v>
      </c>
      <c r="AJ39" s="188">
        <v>86303207.370000005</v>
      </c>
      <c r="AK39" s="188">
        <v>82441513.650000006</v>
      </c>
      <c r="AL39" s="188">
        <v>86363466.200000003</v>
      </c>
      <c r="AM39" s="188">
        <v>70024279.890000001</v>
      </c>
      <c r="AN39" s="188">
        <v>62687829.549999997</v>
      </c>
      <c r="AO39" s="188">
        <v>63167136.82</v>
      </c>
      <c r="AP39" s="188">
        <v>60682944.390000001</v>
      </c>
      <c r="AQ39" s="188">
        <v>64441466.950000003</v>
      </c>
      <c r="AR39" s="188">
        <v>64019407.909999996</v>
      </c>
      <c r="AS39" s="188">
        <v>57911493.5</v>
      </c>
      <c r="AT39" s="188">
        <v>56677875.560000002</v>
      </c>
      <c r="AU39" s="188">
        <v>28966830.420000002</v>
      </c>
      <c r="AV39" s="188">
        <v>30150836.600000001</v>
      </c>
      <c r="AW39" s="188">
        <v>31459892.359999999</v>
      </c>
      <c r="AX39" s="188">
        <v>0</v>
      </c>
      <c r="AY39" s="188">
        <v>0</v>
      </c>
      <c r="AZ39" s="188">
        <v>0</v>
      </c>
      <c r="BA39" s="188">
        <v>0</v>
      </c>
      <c r="BB39" s="188">
        <v>0</v>
      </c>
      <c r="BC39" s="188">
        <v>0</v>
      </c>
      <c r="BD39" s="188">
        <v>0</v>
      </c>
      <c r="BE39" s="188">
        <v>0</v>
      </c>
      <c r="BF39" s="188">
        <v>0</v>
      </c>
      <c r="BG39" s="188">
        <v>0</v>
      </c>
      <c r="BH39" s="188">
        <v>0</v>
      </c>
      <c r="BI39" s="188">
        <v>0</v>
      </c>
      <c r="BJ39" s="188">
        <v>0</v>
      </c>
      <c r="BK39" s="188">
        <v>0</v>
      </c>
      <c r="BL39" s="188">
        <v>0</v>
      </c>
      <c r="BM39" s="188">
        <v>0</v>
      </c>
      <c r="BN39" s="188">
        <v>0</v>
      </c>
      <c r="BO39" s="188">
        <v>0</v>
      </c>
      <c r="BP39" s="188">
        <v>0</v>
      </c>
      <c r="BQ39" s="188">
        <v>0</v>
      </c>
      <c r="BR39" s="188">
        <v>0</v>
      </c>
      <c r="BS39" s="188">
        <v>0</v>
      </c>
      <c r="BT39" s="188">
        <v>0</v>
      </c>
      <c r="BU39" s="188">
        <v>0</v>
      </c>
      <c r="BV39" s="188">
        <v>0</v>
      </c>
      <c r="BW39" s="188">
        <v>0</v>
      </c>
      <c r="BX39" s="188">
        <v>0</v>
      </c>
      <c r="BY39" s="188">
        <v>0</v>
      </c>
      <c r="BZ39" s="188">
        <v>0</v>
      </c>
      <c r="CA39" s="188">
        <v>0</v>
      </c>
      <c r="CB39" s="188">
        <v>0</v>
      </c>
      <c r="CC39" s="188">
        <v>0</v>
      </c>
      <c r="CD39" s="188">
        <v>0</v>
      </c>
      <c r="CE39" s="188">
        <v>0</v>
      </c>
      <c r="CF39" s="188">
        <v>0</v>
      </c>
      <c r="CG39" s="188">
        <v>0</v>
      </c>
      <c r="CH39" s="188">
        <v>0</v>
      </c>
      <c r="CI39" s="188">
        <v>0</v>
      </c>
      <c r="CJ39" s="188">
        <v>0</v>
      </c>
      <c r="CK39" s="188">
        <v>0</v>
      </c>
      <c r="CL39" s="188">
        <v>0</v>
      </c>
      <c r="CM39" s="188">
        <v>0</v>
      </c>
    </row>
    <row r="40" spans="1:91">
      <c r="A40" s="188" t="s">
        <v>144</v>
      </c>
      <c r="B40" s="188">
        <v>660288.43000000005</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8684612.9299999997</v>
      </c>
      <c r="AO40" s="188">
        <v>0</v>
      </c>
      <c r="AP40" s="188">
        <v>0</v>
      </c>
      <c r="AQ40" s="188">
        <v>0</v>
      </c>
      <c r="AR40" s="188">
        <v>0</v>
      </c>
      <c r="AS40" s="188">
        <v>0</v>
      </c>
      <c r="AT40" s="188">
        <v>0</v>
      </c>
      <c r="AU40" s="188">
        <v>0</v>
      </c>
      <c r="AV40" s="188">
        <v>134492721.5</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0</v>
      </c>
      <c r="BP40" s="188">
        <v>610209.04</v>
      </c>
      <c r="BQ40" s="188">
        <v>1110824.5900000001</v>
      </c>
      <c r="BR40" s="188">
        <v>1876288.43</v>
      </c>
      <c r="BS40" s="188">
        <v>0</v>
      </c>
      <c r="BT40" s="188">
        <v>0</v>
      </c>
      <c r="BU40" s="188">
        <v>0</v>
      </c>
      <c r="BV40" s="188">
        <v>101005.71</v>
      </c>
      <c r="BW40" s="188">
        <v>0</v>
      </c>
      <c r="BX40" s="188">
        <v>470783.19</v>
      </c>
      <c r="BY40" s="188">
        <v>0</v>
      </c>
      <c r="BZ40" s="188">
        <v>11777010.560000001</v>
      </c>
      <c r="CA40" s="188">
        <v>0</v>
      </c>
      <c r="CB40" s="188">
        <v>18491731.039999999</v>
      </c>
      <c r="CC40" s="188">
        <v>0</v>
      </c>
      <c r="CD40" s="188">
        <v>20209139.52</v>
      </c>
      <c r="CE40" s="188">
        <v>21809664.98</v>
      </c>
      <c r="CF40" s="188">
        <v>0</v>
      </c>
      <c r="CG40" s="188">
        <v>0</v>
      </c>
      <c r="CH40" s="188">
        <v>18643.12</v>
      </c>
      <c r="CI40" s="188">
        <v>0</v>
      </c>
      <c r="CJ40" s="188">
        <v>0</v>
      </c>
      <c r="CK40" s="188">
        <v>0</v>
      </c>
      <c r="CL40" s="188">
        <v>0</v>
      </c>
      <c r="CM40" s="188">
        <v>0</v>
      </c>
    </row>
    <row r="41" spans="1:91">
      <c r="A41" s="188" t="s">
        <v>145</v>
      </c>
      <c r="B41" s="188">
        <v>5211229603.2600002</v>
      </c>
      <c r="C41" s="188">
        <v>5213161338.5</v>
      </c>
      <c r="D41" s="188">
        <v>5175614249.6800003</v>
      </c>
      <c r="E41" s="188">
        <v>5165949387.9499998</v>
      </c>
      <c r="F41" s="188">
        <v>5016213770.0900002</v>
      </c>
      <c r="G41" s="188">
        <v>4968925119.1199999</v>
      </c>
      <c r="H41" s="188">
        <v>4946775772.0299997</v>
      </c>
      <c r="I41" s="188">
        <v>4957879063.1999998</v>
      </c>
      <c r="J41" s="188">
        <v>4943342807.5299997</v>
      </c>
      <c r="K41" s="188">
        <v>5096270040.96</v>
      </c>
      <c r="L41" s="188">
        <v>5028209666.0200005</v>
      </c>
      <c r="M41" s="188">
        <v>4733568852.3100004</v>
      </c>
      <c r="N41" s="188">
        <v>4694030958.6199999</v>
      </c>
      <c r="O41" s="188">
        <v>4905184683.3199997</v>
      </c>
      <c r="P41" s="188">
        <v>5055364334.0900002</v>
      </c>
      <c r="Q41" s="188">
        <v>5210795996.04</v>
      </c>
      <c r="R41" s="188">
        <v>5117961588.0799999</v>
      </c>
      <c r="S41" s="188">
        <v>5117488654.6000004</v>
      </c>
      <c r="T41" s="188">
        <v>5040318625.3800001</v>
      </c>
      <c r="U41" s="188">
        <v>4993490218.1199999</v>
      </c>
      <c r="V41" s="188">
        <v>4893504011.0600004</v>
      </c>
      <c r="W41" s="188">
        <v>5000394171.6000004</v>
      </c>
      <c r="X41" s="188">
        <v>4821206032.3500004</v>
      </c>
      <c r="Y41" s="188">
        <v>4768547120.0200005</v>
      </c>
      <c r="Z41" s="188">
        <v>4811045309.25</v>
      </c>
      <c r="AA41" s="188">
        <v>4780453780.1000004</v>
      </c>
      <c r="AB41" s="188">
        <v>4111542900.1199999</v>
      </c>
      <c r="AC41" s="188">
        <v>4070142186.77</v>
      </c>
      <c r="AD41" s="188">
        <v>4029511761.5300002</v>
      </c>
      <c r="AE41" s="188">
        <v>3638292031.23</v>
      </c>
      <c r="AF41" s="188">
        <v>3677151812.02</v>
      </c>
      <c r="AG41" s="188">
        <v>3621686480.3400002</v>
      </c>
      <c r="AH41" s="188">
        <v>3538719383.5999999</v>
      </c>
      <c r="AI41" s="188">
        <v>3593320562.8600001</v>
      </c>
      <c r="AJ41" s="188">
        <v>3568951891.7199998</v>
      </c>
      <c r="AK41" s="188">
        <v>3514187198.9899998</v>
      </c>
      <c r="AL41" s="188">
        <v>3433290746.54</v>
      </c>
      <c r="AM41" s="188">
        <v>3538036887.8499999</v>
      </c>
      <c r="AN41" s="188">
        <v>3019425142.4400001</v>
      </c>
      <c r="AO41" s="188">
        <v>2970633696.7399998</v>
      </c>
      <c r="AP41" s="188">
        <v>2908405033.2399998</v>
      </c>
      <c r="AQ41" s="188">
        <v>2870288013.7800002</v>
      </c>
      <c r="AR41" s="188">
        <v>2928191369.6999998</v>
      </c>
      <c r="AS41" s="188">
        <v>2971069393.8499999</v>
      </c>
      <c r="AT41" s="188">
        <v>2910086787.6199999</v>
      </c>
      <c r="AU41" s="188">
        <v>3009392335.1999998</v>
      </c>
      <c r="AV41" s="188">
        <v>2928996393.5799999</v>
      </c>
      <c r="AW41" s="188">
        <v>2595409724.9000001</v>
      </c>
      <c r="AX41" s="188">
        <v>2597468323.4099998</v>
      </c>
      <c r="AY41" s="188">
        <v>2410763534.8400002</v>
      </c>
      <c r="AZ41" s="188">
        <v>2483820863.0900002</v>
      </c>
      <c r="BA41" s="188">
        <v>2554486005</v>
      </c>
      <c r="BB41" s="188">
        <v>2574247298.3200002</v>
      </c>
      <c r="BC41" s="188">
        <v>2609201305.6399999</v>
      </c>
      <c r="BD41" s="188">
        <v>2683968901.46</v>
      </c>
      <c r="BE41" s="188">
        <v>2689101232.8800001</v>
      </c>
      <c r="BF41" s="188">
        <v>2676403110.5799999</v>
      </c>
      <c r="BG41" s="188">
        <v>2633768248.5900002</v>
      </c>
      <c r="BH41" s="188">
        <v>2540908104.8800001</v>
      </c>
      <c r="BI41" s="188">
        <v>2627501543.46</v>
      </c>
      <c r="BJ41" s="188">
        <v>2633995522.4200001</v>
      </c>
      <c r="BK41" s="188">
        <v>2697608030.8499999</v>
      </c>
      <c r="BL41" s="188">
        <v>2506061093.3600001</v>
      </c>
      <c r="BM41" s="188">
        <v>2449347773.48</v>
      </c>
      <c r="BN41" s="188">
        <v>2441134555.5</v>
      </c>
      <c r="BO41" s="188">
        <v>2120830735.96</v>
      </c>
      <c r="BP41" s="188">
        <v>2152380109.23</v>
      </c>
      <c r="BQ41" s="188">
        <v>2117283926.8199999</v>
      </c>
      <c r="BR41" s="188">
        <v>2007899852.48</v>
      </c>
      <c r="BS41" s="188">
        <v>2214134485.5799999</v>
      </c>
      <c r="BT41" s="188">
        <v>1814339827.5999999</v>
      </c>
      <c r="BU41" s="188">
        <v>2086744304.6300001</v>
      </c>
      <c r="BV41" s="188">
        <v>1960182316.27</v>
      </c>
      <c r="BW41" s="188">
        <v>1207621496.74</v>
      </c>
      <c r="BX41" s="188">
        <v>1240321581.52</v>
      </c>
      <c r="BY41" s="188">
        <v>574057932.87</v>
      </c>
      <c r="BZ41" s="188">
        <v>588541562.14999998</v>
      </c>
      <c r="CA41" s="188">
        <v>677037774.94000006</v>
      </c>
      <c r="CB41" s="188">
        <v>687351742.99000001</v>
      </c>
      <c r="CC41" s="188">
        <v>787223472.25</v>
      </c>
      <c r="CD41" s="188">
        <v>751275240.24000001</v>
      </c>
      <c r="CE41" s="188">
        <v>790420550.49000001</v>
      </c>
      <c r="CF41" s="188">
        <v>674985000</v>
      </c>
      <c r="CG41" s="188">
        <v>569657728.32000005</v>
      </c>
      <c r="CH41" s="188">
        <v>484791080.55000001</v>
      </c>
      <c r="CI41" s="188">
        <v>0</v>
      </c>
      <c r="CJ41" s="188">
        <v>0</v>
      </c>
      <c r="CK41" s="188">
        <v>0</v>
      </c>
      <c r="CL41" s="188">
        <v>0</v>
      </c>
      <c r="CM41" s="188">
        <v>0</v>
      </c>
    </row>
    <row r="42" spans="1:91">
      <c r="A42" s="188" t="s">
        <v>146</v>
      </c>
      <c r="B42" s="188">
        <v>33661588218</v>
      </c>
      <c r="C42" s="188">
        <v>33137806564.169998</v>
      </c>
      <c r="D42" s="188">
        <v>33231812272.380001</v>
      </c>
      <c r="E42" s="188">
        <v>33759891731.740002</v>
      </c>
      <c r="F42" s="188">
        <v>33520374733.110001</v>
      </c>
      <c r="G42" s="188">
        <v>32332378568.75</v>
      </c>
      <c r="H42" s="188">
        <v>31521904479.709999</v>
      </c>
      <c r="I42" s="188">
        <v>32796133092.939999</v>
      </c>
      <c r="J42" s="188">
        <v>31741039188.790001</v>
      </c>
      <c r="K42" s="188">
        <v>31226608509.82</v>
      </c>
      <c r="L42" s="188">
        <v>30947866530.209999</v>
      </c>
      <c r="M42" s="188">
        <v>30448597827.849998</v>
      </c>
      <c r="N42" s="188">
        <v>29852734095.540001</v>
      </c>
      <c r="O42" s="188">
        <v>29357613194.259998</v>
      </c>
      <c r="P42" s="188">
        <v>30290653917.110001</v>
      </c>
      <c r="Q42" s="188">
        <v>29973481837.84</v>
      </c>
      <c r="R42" s="188">
        <v>29769094699.509998</v>
      </c>
      <c r="S42" s="188">
        <v>29266053922.849998</v>
      </c>
      <c r="T42" s="188">
        <v>28737502386.299999</v>
      </c>
      <c r="U42" s="188">
        <v>28118184339.650002</v>
      </c>
      <c r="V42" s="188">
        <v>27120459751.27</v>
      </c>
      <c r="W42" s="188">
        <v>26437951645.41</v>
      </c>
      <c r="X42" s="188">
        <v>25419448579.150002</v>
      </c>
      <c r="Y42" s="188">
        <v>24586762638.279999</v>
      </c>
      <c r="Z42" s="188">
        <v>25743676630.150002</v>
      </c>
      <c r="AA42" s="188">
        <v>23218137484.130001</v>
      </c>
      <c r="AB42" s="188">
        <v>19786591921.369999</v>
      </c>
      <c r="AC42" s="188">
        <v>18228936755.52</v>
      </c>
      <c r="AD42" s="188">
        <v>21032130468.099998</v>
      </c>
      <c r="AE42" s="188">
        <v>17316927174.400002</v>
      </c>
      <c r="AF42" s="188">
        <v>16729824064.290001</v>
      </c>
      <c r="AG42" s="188">
        <v>15752968981.219999</v>
      </c>
      <c r="AH42" s="188">
        <v>15187648312.91</v>
      </c>
      <c r="AI42" s="188">
        <v>15119780162.540001</v>
      </c>
      <c r="AJ42" s="188">
        <v>14449654024.42</v>
      </c>
      <c r="AK42" s="188">
        <v>13600158747.360001</v>
      </c>
      <c r="AL42" s="188">
        <v>13111628464.450001</v>
      </c>
      <c r="AM42" s="188">
        <v>12900358473.540001</v>
      </c>
      <c r="AN42" s="188">
        <v>11649213796.629999</v>
      </c>
      <c r="AO42" s="188">
        <v>10931292753.559999</v>
      </c>
      <c r="AP42" s="188">
        <v>10476999796.84</v>
      </c>
      <c r="AQ42" s="188">
        <v>10507452280.65</v>
      </c>
      <c r="AR42" s="188">
        <v>10404102038.58</v>
      </c>
      <c r="AS42" s="188">
        <v>9925025420.3199997</v>
      </c>
      <c r="AT42" s="188">
        <v>10026108121.42</v>
      </c>
      <c r="AU42" s="188">
        <v>9731360925.1000004</v>
      </c>
      <c r="AV42" s="188">
        <v>9346467350.2199993</v>
      </c>
      <c r="AW42" s="188">
        <v>8692596628.0799999</v>
      </c>
      <c r="AX42" s="188">
        <v>8525370016.6000004</v>
      </c>
      <c r="AY42" s="188">
        <v>8127363248.5500002</v>
      </c>
      <c r="AZ42" s="188">
        <v>7908550177.0799999</v>
      </c>
      <c r="BA42" s="188">
        <v>7652770633.7600002</v>
      </c>
      <c r="BB42" s="188">
        <v>7752671794.3800001</v>
      </c>
      <c r="BC42" s="188">
        <v>7692590871.8500004</v>
      </c>
      <c r="BD42" s="188">
        <v>7924262028.3400002</v>
      </c>
      <c r="BE42" s="188">
        <v>8179311231.4399996</v>
      </c>
      <c r="BF42" s="188">
        <v>8227776215.0100002</v>
      </c>
      <c r="BG42" s="188">
        <v>8475432869.0600004</v>
      </c>
      <c r="BH42" s="188">
        <v>8612850307.1100006</v>
      </c>
      <c r="BI42" s="188">
        <v>8511903588.3999996</v>
      </c>
      <c r="BJ42" s="188">
        <v>8529207681.5500002</v>
      </c>
      <c r="BK42" s="188">
        <v>8481734886.3599997</v>
      </c>
      <c r="BL42" s="188">
        <v>8596935405.9899998</v>
      </c>
      <c r="BM42" s="188">
        <v>8548661873.1300001</v>
      </c>
      <c r="BN42" s="188">
        <v>8504600429.8599997</v>
      </c>
      <c r="BO42" s="188">
        <v>7927133224.2600002</v>
      </c>
      <c r="BP42" s="188">
        <v>8142983403.6400003</v>
      </c>
      <c r="BQ42" s="188">
        <v>7772992509.7399998</v>
      </c>
      <c r="BR42" s="188">
        <v>7434956073.1099997</v>
      </c>
      <c r="BS42" s="188">
        <v>7406369426.0500002</v>
      </c>
      <c r="BT42" s="188">
        <v>6892352479.4700003</v>
      </c>
      <c r="BU42" s="188">
        <v>7129817168.8599997</v>
      </c>
      <c r="BV42" s="188">
        <v>6886955811.5200005</v>
      </c>
      <c r="BW42" s="188">
        <v>5057606168.3100004</v>
      </c>
      <c r="BX42" s="188">
        <v>5124004378.7600002</v>
      </c>
      <c r="BY42" s="188">
        <v>2461500311.8299999</v>
      </c>
      <c r="BZ42" s="188">
        <v>2626284825.5799999</v>
      </c>
      <c r="CA42" s="188">
        <v>2434980488.4499998</v>
      </c>
      <c r="CB42" s="188">
        <v>2582924979.1900001</v>
      </c>
      <c r="CC42" s="188">
        <v>2336543811.5</v>
      </c>
      <c r="CD42" s="188">
        <v>1914374559.4000001</v>
      </c>
      <c r="CE42" s="188">
        <v>1607893658.3699999</v>
      </c>
      <c r="CF42" s="188">
        <v>1445865000</v>
      </c>
      <c r="CG42" s="188">
        <v>1422259892.8900001</v>
      </c>
      <c r="CH42" s="188">
        <v>1035641191.15</v>
      </c>
      <c r="CI42" s="188">
        <v>756550000</v>
      </c>
      <c r="CJ42" s="188">
        <v>540650000</v>
      </c>
      <c r="CK42" s="188">
        <v>287000000</v>
      </c>
      <c r="CL42" s="188">
        <v>291120000</v>
      </c>
      <c r="CM42" s="188">
        <v>0</v>
      </c>
    </row>
    <row r="43" spans="1:91">
      <c r="A43" s="188" t="s">
        <v>147</v>
      </c>
    </row>
    <row r="44" spans="1:91">
      <c r="A44" s="188" t="s">
        <v>148</v>
      </c>
      <c r="B44" s="188">
        <v>39000000</v>
      </c>
      <c r="C44" s="188">
        <v>39000000</v>
      </c>
      <c r="D44" s="188">
        <v>39000000</v>
      </c>
      <c r="E44" s="188">
        <v>39000000</v>
      </c>
      <c r="F44" s="188">
        <v>34500000</v>
      </c>
      <c r="G44" s="188">
        <v>34500000</v>
      </c>
      <c r="H44" s="188">
        <v>29500000</v>
      </c>
      <c r="I44" s="188">
        <v>29500000</v>
      </c>
      <c r="J44" s="188">
        <v>29500000</v>
      </c>
      <c r="K44" s="188">
        <v>39000000</v>
      </c>
      <c r="L44" s="188">
        <v>39000000</v>
      </c>
      <c r="M44" s="188">
        <v>43500000</v>
      </c>
      <c r="N44" s="188">
        <v>49917220</v>
      </c>
      <c r="O44" s="188">
        <v>51947150.439999998</v>
      </c>
      <c r="P44" s="188">
        <v>51758412.549999997</v>
      </c>
      <c r="Q44" s="188">
        <v>166270000</v>
      </c>
      <c r="R44" s="188">
        <v>162948000</v>
      </c>
      <c r="S44" s="188">
        <v>192516000</v>
      </c>
      <c r="T44" s="188">
        <v>188500000</v>
      </c>
      <c r="U44" s="188">
        <v>200650000</v>
      </c>
      <c r="V44" s="188">
        <v>190528397.47999999</v>
      </c>
      <c r="W44" s="188">
        <v>331500000</v>
      </c>
      <c r="X44" s="188">
        <v>321500000</v>
      </c>
      <c r="Y44" s="188">
        <v>321500000</v>
      </c>
      <c r="Z44" s="188">
        <v>433381900</v>
      </c>
      <c r="AA44" s="188">
        <v>369910000</v>
      </c>
      <c r="AB44" s="188">
        <v>260400000</v>
      </c>
      <c r="AC44" s="188">
        <v>258340000</v>
      </c>
      <c r="AD44" s="188">
        <v>274645000</v>
      </c>
      <c r="AE44" s="188">
        <v>246500000</v>
      </c>
      <c r="AF44" s="188">
        <v>316500000</v>
      </c>
      <c r="AG44" s="188">
        <v>226500000</v>
      </c>
      <c r="AH44" s="188">
        <v>231084536</v>
      </c>
      <c r="AI44" s="188">
        <v>304500000</v>
      </c>
      <c r="AJ44" s="188">
        <v>378500000</v>
      </c>
      <c r="AK44" s="188">
        <v>408500000</v>
      </c>
      <c r="AL44" s="188">
        <v>440500000</v>
      </c>
      <c r="AM44" s="188">
        <v>610000000</v>
      </c>
      <c r="AN44" s="188">
        <v>276500000</v>
      </c>
      <c r="AO44" s="188">
        <v>331500000</v>
      </c>
      <c r="AP44" s="188">
        <v>350500000</v>
      </c>
      <c r="AQ44" s="188">
        <v>323500000</v>
      </c>
      <c r="AR44" s="188">
        <v>394555709</v>
      </c>
      <c r="AS44" s="188">
        <v>365500000</v>
      </c>
      <c r="AT44" s="188">
        <v>368715528</v>
      </c>
      <c r="AU44" s="188">
        <v>330500000</v>
      </c>
      <c r="AV44" s="188">
        <v>354000000</v>
      </c>
      <c r="AW44" s="188">
        <v>364475880</v>
      </c>
      <c r="AX44" s="188">
        <v>358275880</v>
      </c>
      <c r="AY44" s="188">
        <v>350000000</v>
      </c>
      <c r="AZ44" s="188">
        <v>396000000</v>
      </c>
      <c r="BA44" s="188">
        <v>505300000</v>
      </c>
      <c r="BB44" s="188">
        <v>540500000</v>
      </c>
      <c r="BC44" s="188">
        <v>547300000</v>
      </c>
      <c r="BD44" s="188">
        <v>588300000</v>
      </c>
      <c r="BE44" s="188">
        <v>675037000</v>
      </c>
      <c r="BF44" s="188">
        <v>633537000</v>
      </c>
      <c r="BG44" s="188">
        <v>616290000</v>
      </c>
      <c r="BH44" s="188">
        <v>719730000</v>
      </c>
      <c r="BI44" s="188">
        <v>765960000</v>
      </c>
      <c r="BJ44" s="188">
        <v>781494800</v>
      </c>
      <c r="BK44" s="188">
        <v>853264800</v>
      </c>
      <c r="BL44" s="188">
        <v>1298364800</v>
      </c>
      <c r="BM44" s="188">
        <v>1431067000</v>
      </c>
      <c r="BN44" s="188">
        <v>1337907000</v>
      </c>
      <c r="BO44" s="188">
        <v>1214207000</v>
      </c>
      <c r="BP44" s="188">
        <v>1176757000</v>
      </c>
      <c r="BQ44" s="188">
        <v>1145757000</v>
      </c>
      <c r="BR44" s="188">
        <v>1058617000</v>
      </c>
      <c r="BS44" s="188">
        <v>1018292000</v>
      </c>
      <c r="BT44" s="188">
        <v>867456630</v>
      </c>
      <c r="BU44" s="188">
        <v>891011400</v>
      </c>
      <c r="BV44" s="188">
        <v>834217990</v>
      </c>
      <c r="BW44" s="188">
        <v>727020320</v>
      </c>
      <c r="BX44" s="188">
        <v>709078840</v>
      </c>
      <c r="BY44" s="188">
        <v>602506560</v>
      </c>
      <c r="BZ44" s="188">
        <v>634557000</v>
      </c>
      <c r="CA44" s="188">
        <v>0</v>
      </c>
      <c r="CB44" s="188">
        <v>529874106</v>
      </c>
      <c r="CC44" s="188">
        <v>0</v>
      </c>
      <c r="CD44" s="188">
        <v>321795360</v>
      </c>
      <c r="CE44" s="188">
        <v>0</v>
      </c>
      <c r="CF44" s="188">
        <v>184694000</v>
      </c>
      <c r="CG44" s="188">
        <v>0</v>
      </c>
      <c r="CH44" s="188">
        <v>234825329.94</v>
      </c>
      <c r="CI44" s="188">
        <v>0</v>
      </c>
      <c r="CJ44" s="188">
        <v>0</v>
      </c>
      <c r="CK44" s="188">
        <v>0</v>
      </c>
      <c r="CL44" s="188">
        <v>0</v>
      </c>
      <c r="CM44" s="188">
        <v>0</v>
      </c>
    </row>
    <row r="45" spans="1:91">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6281727</v>
      </c>
      <c r="AB45" s="188">
        <v>0</v>
      </c>
      <c r="AC45" s="188">
        <v>0</v>
      </c>
      <c r="AD45" s="188">
        <v>4466223</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c r="BT45" s="188">
        <v>0</v>
      </c>
      <c r="BU45" s="188">
        <v>0</v>
      </c>
      <c r="BV45" s="188">
        <v>0</v>
      </c>
      <c r="BW45" s="188">
        <v>0</v>
      </c>
      <c r="BX45" s="188">
        <v>0</v>
      </c>
      <c r="BY45" s="188">
        <v>0</v>
      </c>
      <c r="BZ45" s="188">
        <v>0</v>
      </c>
      <c r="CA45" s="188">
        <v>0</v>
      </c>
      <c r="CB45" s="188">
        <v>0</v>
      </c>
      <c r="CC45" s="188">
        <v>0</v>
      </c>
      <c r="CD45" s="188">
        <v>0</v>
      </c>
      <c r="CE45" s="188">
        <v>0</v>
      </c>
      <c r="CF45" s="188">
        <v>0</v>
      </c>
      <c r="CG45" s="188">
        <v>0</v>
      </c>
      <c r="CH45" s="188">
        <v>0</v>
      </c>
      <c r="CI45" s="188">
        <v>0</v>
      </c>
      <c r="CJ45" s="188">
        <v>0</v>
      </c>
      <c r="CK45" s="188">
        <v>0</v>
      </c>
      <c r="CL45" s="188">
        <v>0</v>
      </c>
      <c r="CM45" s="188">
        <v>0</v>
      </c>
    </row>
    <row r="46" spans="1:91">
      <c r="A46" s="188" t="s">
        <v>150</v>
      </c>
      <c r="B46" s="188">
        <v>0</v>
      </c>
      <c r="C46" s="188">
        <v>0</v>
      </c>
      <c r="D46" s="188">
        <v>76857855.700000003</v>
      </c>
      <c r="E46" s="188">
        <v>87521805.5</v>
      </c>
      <c r="F46" s="188">
        <v>105318169.41</v>
      </c>
      <c r="G46" s="188">
        <v>88720552.200000003</v>
      </c>
      <c r="H46" s="188">
        <v>80587776.489999995</v>
      </c>
      <c r="I46" s="188">
        <v>83693789.209999993</v>
      </c>
      <c r="J46" s="188">
        <v>79179571.939999998</v>
      </c>
      <c r="K46" s="188">
        <v>90729043.870000005</v>
      </c>
      <c r="L46" s="188">
        <v>102497060</v>
      </c>
      <c r="M46" s="188">
        <v>88586732.739999995</v>
      </c>
      <c r="N46" s="188">
        <v>117924161.56</v>
      </c>
      <c r="O46" s="188">
        <v>90435285.159999996</v>
      </c>
      <c r="P46" s="188">
        <v>84067573.590000004</v>
      </c>
      <c r="Q46" s="188">
        <v>109918483.68000001</v>
      </c>
      <c r="R46" s="188">
        <v>92652020.489999995</v>
      </c>
      <c r="S46" s="188">
        <v>101462212.66</v>
      </c>
      <c r="T46" s="188">
        <v>93600805.010000005</v>
      </c>
      <c r="U46" s="188">
        <v>90641759.980000004</v>
      </c>
      <c r="V46" s="188">
        <v>110652869.25</v>
      </c>
      <c r="W46" s="188">
        <v>84407613.390000001</v>
      </c>
      <c r="X46" s="188">
        <v>79150966.349999994</v>
      </c>
      <c r="Y46" s="188">
        <v>57679053.829999998</v>
      </c>
      <c r="Z46" s="188">
        <v>62182949.380000003</v>
      </c>
      <c r="AA46" s="188">
        <v>29647455.559999999</v>
      </c>
      <c r="AB46" s="188">
        <v>25046814.870000001</v>
      </c>
      <c r="AC46" s="188">
        <v>41501445.729999997</v>
      </c>
      <c r="AD46" s="188">
        <v>44437096.530000001</v>
      </c>
      <c r="AE46" s="188">
        <v>36688248.93</v>
      </c>
      <c r="AF46" s="188">
        <v>24050282.050000001</v>
      </c>
      <c r="AG46" s="188">
        <v>26355656.690000001</v>
      </c>
      <c r="AH46" s="188">
        <v>17325166.829999998</v>
      </c>
      <c r="AI46" s="188">
        <v>31597620.09</v>
      </c>
      <c r="AJ46" s="188">
        <v>32451837.370000001</v>
      </c>
      <c r="AK46" s="188">
        <v>19118042.75</v>
      </c>
      <c r="AL46" s="188">
        <v>21889473</v>
      </c>
      <c r="AM46" s="188">
        <v>23428171</v>
      </c>
      <c r="AN46" s="188">
        <v>11437135.130000001</v>
      </c>
      <c r="AO46" s="188">
        <v>5573640</v>
      </c>
      <c r="AP46" s="188">
        <v>292000</v>
      </c>
      <c r="AQ46" s="188">
        <v>1064770</v>
      </c>
      <c r="AR46" s="188">
        <v>3642520</v>
      </c>
      <c r="AS46" s="188">
        <v>4172150</v>
      </c>
      <c r="AT46" s="188">
        <v>944050</v>
      </c>
      <c r="AU46" s="188">
        <v>1431900</v>
      </c>
      <c r="AV46" s="188">
        <v>2770000</v>
      </c>
      <c r="AW46" s="188">
        <v>3000000</v>
      </c>
      <c r="AX46" s="188">
        <v>2417250</v>
      </c>
      <c r="AY46" s="188">
        <v>6146115.2400000002</v>
      </c>
      <c r="AZ46" s="188">
        <v>6100000</v>
      </c>
      <c r="BA46" s="188">
        <v>8715000</v>
      </c>
      <c r="BB46" s="188">
        <v>5540000</v>
      </c>
      <c r="BC46" s="188">
        <v>2287900</v>
      </c>
      <c r="BD46" s="188">
        <v>10865452.640000001</v>
      </c>
      <c r="BE46" s="188">
        <v>6820000</v>
      </c>
      <c r="BF46" s="188">
        <v>26720000</v>
      </c>
      <c r="BG46" s="188">
        <v>12213188.800000001</v>
      </c>
      <c r="BH46" s="188">
        <v>5660730</v>
      </c>
      <c r="BI46" s="188">
        <v>990000</v>
      </c>
      <c r="BJ46" s="188">
        <v>3450000</v>
      </c>
      <c r="BK46" s="188">
        <v>17194794.199999999</v>
      </c>
      <c r="BL46" s="188">
        <v>5118800</v>
      </c>
      <c r="BM46" s="188">
        <v>4559800</v>
      </c>
      <c r="BN46" s="188">
        <v>7094949.4000000004</v>
      </c>
      <c r="BO46" s="188">
        <v>2433719.6</v>
      </c>
      <c r="BP46" s="188">
        <v>1983691.6</v>
      </c>
      <c r="BQ46" s="188">
        <v>2340210</v>
      </c>
      <c r="BR46" s="188">
        <v>1230000</v>
      </c>
      <c r="BS46" s="188">
        <v>3098483.18</v>
      </c>
      <c r="BT46" s="188">
        <v>5350000</v>
      </c>
      <c r="BU46" s="188">
        <v>26896195.309999999</v>
      </c>
      <c r="BV46" s="188">
        <v>38322431.530000001</v>
      </c>
      <c r="BW46" s="188">
        <v>52284373.18</v>
      </c>
      <c r="BX46" s="188">
        <v>15723433.779999999</v>
      </c>
      <c r="BY46" s="188">
        <v>128323300.19</v>
      </c>
      <c r="BZ46" s="188">
        <v>250941844.80000001</v>
      </c>
      <c r="CA46" s="188">
        <v>0</v>
      </c>
      <c r="CB46" s="188">
        <v>464910503.25999999</v>
      </c>
      <c r="CC46" s="188">
        <v>0</v>
      </c>
      <c r="CD46" s="188">
        <v>138885416.56999999</v>
      </c>
      <c r="CE46" s="188">
        <v>0</v>
      </c>
      <c r="CF46" s="188">
        <v>0</v>
      </c>
      <c r="CG46" s="188">
        <v>0</v>
      </c>
      <c r="CH46" s="188">
        <v>24031185.399999999</v>
      </c>
      <c r="CI46" s="188">
        <v>0</v>
      </c>
      <c r="CJ46" s="188">
        <v>0</v>
      </c>
      <c r="CK46" s="188">
        <v>0</v>
      </c>
      <c r="CL46" s="188">
        <v>0</v>
      </c>
      <c r="CM46" s="188">
        <v>0</v>
      </c>
    </row>
    <row r="47" spans="1:91">
      <c r="A47" s="188" t="s">
        <v>151</v>
      </c>
      <c r="B47" s="188">
        <v>0</v>
      </c>
      <c r="C47" s="188">
        <v>0</v>
      </c>
      <c r="D47" s="188">
        <v>2517378070.8899999</v>
      </c>
      <c r="E47" s="188">
        <v>1804642810.1800001</v>
      </c>
      <c r="F47" s="188">
        <v>2249319523.23</v>
      </c>
      <c r="G47" s="188">
        <v>1838095854.8499999</v>
      </c>
      <c r="H47" s="188">
        <v>1482783604.7</v>
      </c>
      <c r="I47" s="188">
        <v>1825105436.01</v>
      </c>
      <c r="J47" s="188">
        <v>1792884979.6900001</v>
      </c>
      <c r="K47" s="188">
        <v>1914212950.1600001</v>
      </c>
      <c r="L47" s="188">
        <v>1814264019.0699999</v>
      </c>
      <c r="M47" s="188">
        <v>1588467452.97</v>
      </c>
      <c r="N47" s="188">
        <v>1611808884.4100001</v>
      </c>
      <c r="O47" s="188">
        <v>1797951811.9300001</v>
      </c>
      <c r="P47" s="188">
        <v>1869387867.8499999</v>
      </c>
      <c r="Q47" s="188">
        <v>1749316342</v>
      </c>
      <c r="R47" s="188">
        <v>2024844816.1600001</v>
      </c>
      <c r="S47" s="188">
        <v>2063838599.74</v>
      </c>
      <c r="T47" s="188">
        <v>1909828679.5899999</v>
      </c>
      <c r="U47" s="188">
        <v>1776899285.0799999</v>
      </c>
      <c r="V47" s="188">
        <v>2130323705</v>
      </c>
      <c r="W47" s="188">
        <v>1980032549.6900001</v>
      </c>
      <c r="X47" s="188">
        <v>1748690804.72</v>
      </c>
      <c r="Y47" s="188">
        <v>1573904907.9000001</v>
      </c>
      <c r="Z47" s="188">
        <v>1987324728.52</v>
      </c>
      <c r="AA47" s="188">
        <v>2137108028.0999999</v>
      </c>
      <c r="AB47" s="188">
        <v>1439114751.1300001</v>
      </c>
      <c r="AC47" s="188">
        <v>1229328347.0699999</v>
      </c>
      <c r="AD47" s="188">
        <v>2231200865.73</v>
      </c>
      <c r="AE47" s="188">
        <v>1791464407.74</v>
      </c>
      <c r="AF47" s="188">
        <v>1858035096.0999999</v>
      </c>
      <c r="AG47" s="188">
        <v>1750291802.03</v>
      </c>
      <c r="AH47" s="188">
        <v>1845507394.9000001</v>
      </c>
      <c r="AI47" s="188">
        <v>1821264618.5999999</v>
      </c>
      <c r="AJ47" s="188">
        <v>1749083756.3299999</v>
      </c>
      <c r="AK47" s="188">
        <v>1349096499.8199999</v>
      </c>
      <c r="AL47" s="188">
        <v>1425621794.23</v>
      </c>
      <c r="AM47" s="188">
        <v>1430009173.51</v>
      </c>
      <c r="AN47" s="188">
        <v>1420491728.3499999</v>
      </c>
      <c r="AO47" s="188">
        <v>1210386619.75</v>
      </c>
      <c r="AP47" s="188">
        <v>1268639641.8900001</v>
      </c>
      <c r="AQ47" s="188">
        <v>1200947866.1800001</v>
      </c>
      <c r="AR47" s="188">
        <v>1172051332.6500001</v>
      </c>
      <c r="AS47" s="188">
        <v>837359441.94000006</v>
      </c>
      <c r="AT47" s="188">
        <v>1016380092.88</v>
      </c>
      <c r="AU47" s="188">
        <v>640815935.80999994</v>
      </c>
      <c r="AV47" s="188">
        <v>579568763.19000006</v>
      </c>
      <c r="AW47" s="188">
        <v>612795961.75</v>
      </c>
      <c r="AX47" s="188">
        <v>518133720.68000001</v>
      </c>
      <c r="AY47" s="188">
        <v>333771881.81999999</v>
      </c>
      <c r="AZ47" s="188">
        <v>340941196.70999998</v>
      </c>
      <c r="BA47" s="188">
        <v>227781328.88</v>
      </c>
      <c r="BB47" s="188">
        <v>336038430.44</v>
      </c>
      <c r="BC47" s="188">
        <v>283144642.33999997</v>
      </c>
      <c r="BD47" s="188">
        <v>272731787.57999998</v>
      </c>
      <c r="BE47" s="188">
        <v>240911059.49000001</v>
      </c>
      <c r="BF47" s="188">
        <v>340172525.63999999</v>
      </c>
      <c r="BG47" s="188">
        <v>300336087.74000001</v>
      </c>
      <c r="BH47" s="188">
        <v>409767393.89999998</v>
      </c>
      <c r="BI47" s="188">
        <v>297836346.06999999</v>
      </c>
      <c r="BJ47" s="188">
        <v>336282248.62</v>
      </c>
      <c r="BK47" s="188">
        <v>361435958.88999999</v>
      </c>
      <c r="BL47" s="188">
        <v>302427088.17000002</v>
      </c>
      <c r="BM47" s="188">
        <v>370566245.02999997</v>
      </c>
      <c r="BN47" s="188">
        <v>359059202.19</v>
      </c>
      <c r="BO47" s="188">
        <v>579972808.02999997</v>
      </c>
      <c r="BP47" s="188">
        <v>916443559.75</v>
      </c>
      <c r="BQ47" s="188">
        <v>963579867.5</v>
      </c>
      <c r="BR47" s="188">
        <v>917129148.96000004</v>
      </c>
      <c r="BS47" s="188">
        <v>928090632.48000002</v>
      </c>
      <c r="BT47" s="188">
        <v>975659674.52999997</v>
      </c>
      <c r="BU47" s="188">
        <v>1130775527.8800001</v>
      </c>
      <c r="BV47" s="188">
        <v>1123317364.0899999</v>
      </c>
      <c r="BW47" s="188">
        <v>1016321120.66</v>
      </c>
      <c r="BX47" s="188">
        <v>988049808.90999997</v>
      </c>
      <c r="BY47" s="188">
        <v>287479493.19999999</v>
      </c>
      <c r="BZ47" s="188">
        <v>250663482.97</v>
      </c>
      <c r="CA47" s="188">
        <v>0</v>
      </c>
      <c r="CB47" s="188">
        <v>368577235.04000002</v>
      </c>
      <c r="CC47" s="188">
        <v>0</v>
      </c>
      <c r="CD47" s="188">
        <v>188486835.84</v>
      </c>
      <c r="CE47" s="188">
        <v>0</v>
      </c>
      <c r="CF47" s="188">
        <v>110650000</v>
      </c>
      <c r="CG47" s="188">
        <v>0</v>
      </c>
      <c r="CH47" s="188">
        <v>127204764.61</v>
      </c>
      <c r="CI47" s="188">
        <v>0</v>
      </c>
      <c r="CJ47" s="188">
        <v>0</v>
      </c>
      <c r="CK47" s="188">
        <v>0</v>
      </c>
      <c r="CL47" s="188">
        <v>0</v>
      </c>
      <c r="CM47" s="188">
        <v>0</v>
      </c>
    </row>
    <row r="48" spans="1:91">
      <c r="A48" s="188" t="s">
        <v>152</v>
      </c>
      <c r="B48" s="188">
        <v>2000</v>
      </c>
      <c r="C48" s="188">
        <v>0</v>
      </c>
      <c r="D48" s="188">
        <v>15778362163.91</v>
      </c>
      <c r="E48" s="188">
        <v>16957902466.709999</v>
      </c>
      <c r="F48" s="188">
        <v>16408535921.82</v>
      </c>
      <c r="G48" s="188">
        <v>16410670524.530001</v>
      </c>
      <c r="H48" s="188">
        <v>15957654552.629999</v>
      </c>
      <c r="I48" s="188">
        <v>16944113335.02</v>
      </c>
      <c r="J48" s="188">
        <v>16125819117.059999</v>
      </c>
      <c r="K48" s="188">
        <v>16157375933.27</v>
      </c>
      <c r="L48" s="188">
        <v>15881193828.59</v>
      </c>
      <c r="M48" s="188">
        <v>15954418323.16</v>
      </c>
      <c r="N48" s="188">
        <v>15480921327.58</v>
      </c>
      <c r="O48" s="188">
        <v>15181206568.58</v>
      </c>
      <c r="P48" s="188">
        <v>14914630862.5</v>
      </c>
      <c r="Q48" s="188">
        <v>15286937362.440001</v>
      </c>
      <c r="R48" s="188">
        <v>14817460454.35</v>
      </c>
      <c r="S48" s="188">
        <v>14567865612.950001</v>
      </c>
      <c r="T48" s="188">
        <v>13806204900.01</v>
      </c>
      <c r="U48" s="188">
        <v>13846164852.83</v>
      </c>
      <c r="V48" s="188">
        <v>12763964328.549999</v>
      </c>
      <c r="W48" s="188">
        <v>12533966581.6</v>
      </c>
      <c r="X48" s="188">
        <v>11890329954.6</v>
      </c>
      <c r="Y48" s="188">
        <v>11566390596.379999</v>
      </c>
      <c r="Z48" s="188">
        <v>10801315553.99</v>
      </c>
      <c r="AA48" s="188">
        <v>9779086699.5499992</v>
      </c>
      <c r="AB48" s="188">
        <v>8373867175.9099998</v>
      </c>
      <c r="AC48" s="188">
        <v>7404987766.3199997</v>
      </c>
      <c r="AD48" s="188">
        <v>7272013724.7399998</v>
      </c>
      <c r="AE48" s="188">
        <v>6328106052.8100004</v>
      </c>
      <c r="AF48" s="188">
        <v>5763650926.1499996</v>
      </c>
      <c r="AG48" s="188">
        <v>5079613349.2799997</v>
      </c>
      <c r="AH48" s="188">
        <v>4663632721.5200005</v>
      </c>
      <c r="AI48" s="188">
        <v>4627383245.1700001</v>
      </c>
      <c r="AJ48" s="188">
        <v>3979577919.3400002</v>
      </c>
      <c r="AK48" s="188">
        <v>3694142541.21</v>
      </c>
      <c r="AL48" s="188">
        <v>3312780065.9499998</v>
      </c>
      <c r="AM48" s="188">
        <v>3172131086.1700001</v>
      </c>
      <c r="AN48" s="188">
        <v>2506864572.0599999</v>
      </c>
      <c r="AO48" s="188">
        <v>2151774970.27</v>
      </c>
      <c r="AP48" s="188">
        <v>1936043794.1500001</v>
      </c>
      <c r="AQ48" s="188">
        <v>2210239250.9400001</v>
      </c>
      <c r="AR48" s="188">
        <v>2089371802.8900001</v>
      </c>
      <c r="AS48" s="188">
        <v>2145180858.95</v>
      </c>
      <c r="AT48" s="188">
        <v>2186370342.2199998</v>
      </c>
      <c r="AU48" s="188">
        <v>2249558149.0500002</v>
      </c>
      <c r="AV48" s="188">
        <v>2021106657.9400001</v>
      </c>
      <c r="AW48" s="188">
        <v>1676742272.6700001</v>
      </c>
      <c r="AX48" s="188">
        <v>1687022635.99</v>
      </c>
      <c r="AY48" s="188">
        <v>1629284176.0699999</v>
      </c>
      <c r="AZ48" s="188">
        <v>1427654963.1600001</v>
      </c>
      <c r="BA48" s="188">
        <v>1300915597.1199999</v>
      </c>
      <c r="BB48" s="188">
        <v>1275787545.3800001</v>
      </c>
      <c r="BC48" s="188">
        <v>1408011652.5999999</v>
      </c>
      <c r="BD48" s="188">
        <v>1435548564.8399999</v>
      </c>
      <c r="BE48" s="188">
        <v>1517910431.55</v>
      </c>
      <c r="BF48" s="188">
        <v>1593889772.71</v>
      </c>
      <c r="BG48" s="188">
        <v>2099738356.3499999</v>
      </c>
      <c r="BH48" s="188">
        <v>1928630629.3900001</v>
      </c>
      <c r="BI48" s="188">
        <v>1936171299.5799999</v>
      </c>
      <c r="BJ48" s="188">
        <v>2080245004.1400001</v>
      </c>
      <c r="BK48" s="188">
        <v>2089242023.96</v>
      </c>
      <c r="BL48" s="188">
        <v>1801159740.5999999</v>
      </c>
      <c r="BM48" s="188">
        <v>1612936235.47</v>
      </c>
      <c r="BN48" s="188">
        <v>1722456521.73</v>
      </c>
      <c r="BO48" s="188">
        <v>1469774017.5599999</v>
      </c>
      <c r="BP48" s="188">
        <v>1204019783.6900001</v>
      </c>
      <c r="BQ48" s="188">
        <v>1057353065.67</v>
      </c>
      <c r="BR48" s="188">
        <v>988322704.76999998</v>
      </c>
      <c r="BS48" s="188">
        <v>819093721.94000006</v>
      </c>
      <c r="BT48" s="188">
        <v>844645517.49000001</v>
      </c>
      <c r="BU48" s="188">
        <v>795767780.92999995</v>
      </c>
      <c r="BV48" s="188">
        <v>741838770.83000004</v>
      </c>
      <c r="BW48" s="188">
        <v>645848526.59000003</v>
      </c>
      <c r="BX48" s="188">
        <v>687264214.17999995</v>
      </c>
      <c r="BY48" s="188">
        <v>0</v>
      </c>
      <c r="BZ48" s="188">
        <v>0</v>
      </c>
      <c r="CA48" s="188">
        <v>0</v>
      </c>
      <c r="CB48" s="188">
        <v>2999752.95</v>
      </c>
      <c r="CC48" s="188">
        <v>0</v>
      </c>
      <c r="CD48" s="188">
        <v>11363414.5</v>
      </c>
      <c r="CE48" s="188">
        <v>0</v>
      </c>
      <c r="CF48" s="188">
        <v>0</v>
      </c>
      <c r="CG48" s="188">
        <v>0</v>
      </c>
      <c r="CH48" s="188">
        <v>13848498.68</v>
      </c>
      <c r="CI48" s="188">
        <v>0</v>
      </c>
      <c r="CJ48" s="188">
        <v>0</v>
      </c>
      <c r="CK48" s="188">
        <v>0</v>
      </c>
      <c r="CL48" s="188">
        <v>0</v>
      </c>
      <c r="CM48" s="188">
        <v>0</v>
      </c>
    </row>
    <row r="49" spans="1:91">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c r="BH49" s="188">
        <v>0</v>
      </c>
      <c r="BI49" s="188">
        <v>0</v>
      </c>
      <c r="BJ49" s="188">
        <v>0</v>
      </c>
      <c r="BK49" s="188">
        <v>0</v>
      </c>
      <c r="BL49" s="188">
        <v>0</v>
      </c>
      <c r="BM49" s="188">
        <v>0</v>
      </c>
      <c r="BN49" s="188">
        <v>0</v>
      </c>
      <c r="BO49" s="188">
        <v>0</v>
      </c>
      <c r="BP49" s="188">
        <v>0</v>
      </c>
      <c r="BQ49" s="188">
        <v>0</v>
      </c>
      <c r="BR49" s="188">
        <v>0</v>
      </c>
      <c r="BS49" s="188">
        <v>0</v>
      </c>
      <c r="BT49" s="188">
        <v>0</v>
      </c>
      <c r="BU49" s="188">
        <v>0</v>
      </c>
      <c r="BV49" s="188">
        <v>0</v>
      </c>
      <c r="BW49" s="188">
        <v>0</v>
      </c>
      <c r="BX49" s="188">
        <v>0</v>
      </c>
      <c r="BY49" s="188">
        <v>0</v>
      </c>
      <c r="BZ49" s="188">
        <v>0</v>
      </c>
      <c r="CA49" s="188">
        <v>0</v>
      </c>
      <c r="CB49" s="188">
        <v>0</v>
      </c>
      <c r="CC49" s="188">
        <v>0</v>
      </c>
      <c r="CD49" s="188">
        <v>0</v>
      </c>
      <c r="CE49" s="188">
        <v>0</v>
      </c>
      <c r="CF49" s="188">
        <v>0</v>
      </c>
      <c r="CG49" s="188">
        <v>0</v>
      </c>
      <c r="CH49" s="188">
        <v>0</v>
      </c>
      <c r="CI49" s="188">
        <v>0</v>
      </c>
      <c r="CJ49" s="188">
        <v>0</v>
      </c>
      <c r="CK49" s="188">
        <v>0</v>
      </c>
      <c r="CL49" s="188">
        <v>0</v>
      </c>
      <c r="CM49" s="188">
        <v>0</v>
      </c>
    </row>
    <row r="50" spans="1:91">
      <c r="A50" s="188" t="s">
        <v>154</v>
      </c>
      <c r="B50" s="188">
        <v>483907885.82999998</v>
      </c>
      <c r="C50" s="188">
        <v>418486811.93000001</v>
      </c>
      <c r="D50" s="188">
        <v>436243146.44999999</v>
      </c>
      <c r="E50" s="188">
        <v>485996079.95999998</v>
      </c>
      <c r="F50" s="188">
        <v>545036990.58000004</v>
      </c>
      <c r="G50" s="188">
        <v>444797266.66000003</v>
      </c>
      <c r="H50" s="188">
        <v>477054452.92000002</v>
      </c>
      <c r="I50" s="188">
        <v>513929695.92000002</v>
      </c>
      <c r="J50" s="188">
        <v>550439860.23000002</v>
      </c>
      <c r="K50" s="188">
        <v>427913324.94999999</v>
      </c>
      <c r="L50" s="188">
        <v>461772599.87</v>
      </c>
      <c r="M50" s="188">
        <v>493046166.38999999</v>
      </c>
      <c r="N50" s="188">
        <v>531330287.31</v>
      </c>
      <c r="O50" s="188">
        <v>411182067.94</v>
      </c>
      <c r="P50" s="188">
        <v>462903688.63</v>
      </c>
      <c r="Q50" s="188">
        <v>390731950.42000002</v>
      </c>
      <c r="R50" s="188">
        <v>599557598.23000002</v>
      </c>
      <c r="S50" s="188">
        <v>469686996.18000001</v>
      </c>
      <c r="T50" s="188">
        <v>437731202.48000002</v>
      </c>
      <c r="U50" s="188">
        <v>460192708.93000001</v>
      </c>
      <c r="V50" s="188">
        <v>556810174.33000004</v>
      </c>
      <c r="W50" s="188">
        <v>338355613.24000001</v>
      </c>
      <c r="X50" s="188">
        <v>298877258.32999998</v>
      </c>
      <c r="Y50" s="188">
        <v>378312990.02999997</v>
      </c>
      <c r="Z50" s="188">
        <v>443360546.51999998</v>
      </c>
      <c r="AA50" s="188">
        <v>470360737.07999998</v>
      </c>
      <c r="AB50" s="188">
        <v>257750108.96000001</v>
      </c>
      <c r="AC50" s="188">
        <v>275940040.68000001</v>
      </c>
      <c r="AD50" s="188">
        <v>775641196.73000002</v>
      </c>
      <c r="AE50" s="188">
        <v>248173238.69999999</v>
      </c>
      <c r="AF50" s="188">
        <v>225848783.86000001</v>
      </c>
      <c r="AG50" s="188">
        <v>224426213.90000001</v>
      </c>
      <c r="AH50" s="188">
        <v>249756012.86000001</v>
      </c>
      <c r="AI50" s="188">
        <v>189532965.56</v>
      </c>
      <c r="AJ50" s="188">
        <v>160801635.58000001</v>
      </c>
      <c r="AK50" s="188">
        <v>155668429.27000001</v>
      </c>
      <c r="AL50" s="188">
        <v>202063672.66</v>
      </c>
      <c r="AM50" s="188">
        <v>128695298.02</v>
      </c>
      <c r="AN50" s="188">
        <v>127070624.19</v>
      </c>
      <c r="AO50" s="188">
        <v>162089847.08000001</v>
      </c>
      <c r="AP50" s="188">
        <v>182809192.11000001</v>
      </c>
      <c r="AQ50" s="188">
        <v>123343504.34</v>
      </c>
      <c r="AR50" s="188">
        <v>116792452.18000001</v>
      </c>
      <c r="AS50" s="188">
        <v>129481551.75</v>
      </c>
      <c r="AT50" s="188">
        <v>209565774.99000001</v>
      </c>
      <c r="AU50" s="188">
        <v>162755887.24000001</v>
      </c>
      <c r="AV50" s="188">
        <v>158527674.59</v>
      </c>
      <c r="AW50" s="188">
        <v>152255767.65000001</v>
      </c>
      <c r="AX50" s="188">
        <v>117807446.38</v>
      </c>
      <c r="AY50" s="188">
        <v>60253388.350000001</v>
      </c>
      <c r="AZ50" s="188">
        <v>69963389.340000004</v>
      </c>
      <c r="BA50" s="188">
        <v>72262493.040000007</v>
      </c>
      <c r="BB50" s="188">
        <v>104526590.81</v>
      </c>
      <c r="BC50" s="188">
        <v>72819402.129999995</v>
      </c>
      <c r="BD50" s="188">
        <v>112145348.55</v>
      </c>
      <c r="BE50" s="188">
        <v>200068013.81</v>
      </c>
      <c r="BF50" s="188">
        <v>201011437.16999999</v>
      </c>
      <c r="BG50" s="188">
        <v>198888096.13</v>
      </c>
      <c r="BH50" s="188">
        <v>206719189.43000001</v>
      </c>
      <c r="BI50" s="188">
        <v>200991093.94999999</v>
      </c>
      <c r="BJ50" s="188">
        <v>196267263.24000001</v>
      </c>
      <c r="BK50" s="188">
        <v>157395222.31</v>
      </c>
      <c r="BL50" s="188">
        <v>180968794.38</v>
      </c>
      <c r="BM50" s="188">
        <v>294991557.00999999</v>
      </c>
      <c r="BN50" s="188">
        <v>260959583.02000001</v>
      </c>
      <c r="BO50" s="188">
        <v>60260432.420000002</v>
      </c>
      <c r="BP50" s="188">
        <v>127193977.16</v>
      </c>
      <c r="BQ50" s="188">
        <v>97583032.030000001</v>
      </c>
      <c r="BR50" s="188">
        <v>82936536.969999999</v>
      </c>
      <c r="BS50" s="188">
        <v>84317316.650000006</v>
      </c>
      <c r="BT50" s="188">
        <v>70958903.140000001</v>
      </c>
      <c r="BU50" s="188">
        <v>55559896.020000003</v>
      </c>
      <c r="BV50" s="188">
        <v>65770182.789999999</v>
      </c>
      <c r="BW50" s="188">
        <v>8195899.0499999998</v>
      </c>
      <c r="BX50" s="188">
        <v>47583337.82</v>
      </c>
      <c r="BY50" s="188">
        <v>7670917.5099999998</v>
      </c>
      <c r="BZ50" s="188">
        <v>5985135.2800000003</v>
      </c>
      <c r="CA50" s="188">
        <v>0</v>
      </c>
      <c r="CB50" s="188">
        <v>5554018.4000000004</v>
      </c>
      <c r="CC50" s="188">
        <v>0</v>
      </c>
      <c r="CD50" s="188">
        <v>6881629.6500000004</v>
      </c>
      <c r="CE50" s="188">
        <v>0</v>
      </c>
      <c r="CF50" s="188">
        <v>0</v>
      </c>
      <c r="CG50" s="188">
        <v>0</v>
      </c>
      <c r="CH50" s="188">
        <v>1117734.48</v>
      </c>
      <c r="CI50" s="188">
        <v>0</v>
      </c>
      <c r="CJ50" s="188">
        <v>0</v>
      </c>
      <c r="CK50" s="188">
        <v>0</v>
      </c>
      <c r="CL50" s="188">
        <v>0</v>
      </c>
      <c r="CM50" s="188">
        <v>0</v>
      </c>
    </row>
    <row r="51" spans="1:91">
      <c r="A51" s="188" t="s">
        <v>155</v>
      </c>
      <c r="B51" s="188">
        <v>222582408.43000001</v>
      </c>
      <c r="C51" s="188">
        <v>107388343.98999999</v>
      </c>
      <c r="D51" s="188">
        <v>113207462.09</v>
      </c>
      <c r="E51" s="188">
        <v>195652623.19999999</v>
      </c>
      <c r="F51" s="188">
        <v>336623394.32999998</v>
      </c>
      <c r="G51" s="188">
        <v>79316551.599999994</v>
      </c>
      <c r="H51" s="188">
        <v>110660073.06</v>
      </c>
      <c r="I51" s="188">
        <v>154993929.96000001</v>
      </c>
      <c r="J51" s="188">
        <v>296210081.89999998</v>
      </c>
      <c r="K51" s="188">
        <v>36306086.460000001</v>
      </c>
      <c r="L51" s="188">
        <v>94528421.620000005</v>
      </c>
      <c r="M51" s="188">
        <v>142799275.27000001</v>
      </c>
      <c r="N51" s="188">
        <v>224788062.59999999</v>
      </c>
      <c r="O51" s="188">
        <v>53874449.009999998</v>
      </c>
      <c r="P51" s="188">
        <v>115702934.2</v>
      </c>
      <c r="Q51" s="188">
        <v>114843963.97</v>
      </c>
      <c r="R51" s="188">
        <v>137718368.78999999</v>
      </c>
      <c r="S51" s="188">
        <v>100779882.16</v>
      </c>
      <c r="T51" s="188">
        <v>108709483.94</v>
      </c>
      <c r="U51" s="188">
        <v>136717320.87</v>
      </c>
      <c r="V51" s="188">
        <v>127377369.83</v>
      </c>
      <c r="W51" s="188">
        <v>77313093.420000002</v>
      </c>
      <c r="X51" s="188">
        <v>44250594.469999999</v>
      </c>
      <c r="Y51" s="188">
        <v>55500261.43</v>
      </c>
      <c r="Z51" s="188">
        <v>262708487.84999999</v>
      </c>
      <c r="AA51" s="188">
        <v>89545495.290000007</v>
      </c>
      <c r="AB51" s="188">
        <v>80492404.650000006</v>
      </c>
      <c r="AC51" s="188">
        <v>59428951.189999998</v>
      </c>
      <c r="AD51" s="188">
        <v>78265705.890000001</v>
      </c>
      <c r="AE51" s="188">
        <v>142170288.09</v>
      </c>
      <c r="AF51" s="188">
        <v>101939044.56</v>
      </c>
      <c r="AG51" s="188">
        <v>24485495.399999999</v>
      </c>
      <c r="AH51" s="188">
        <v>102926445.75</v>
      </c>
      <c r="AI51" s="188">
        <v>75808497.260000005</v>
      </c>
      <c r="AJ51" s="188">
        <v>111124539.26000001</v>
      </c>
      <c r="AK51" s="188">
        <v>105465438.59</v>
      </c>
      <c r="AL51" s="188">
        <v>157284409.05000001</v>
      </c>
      <c r="AM51" s="188">
        <v>105654947.47</v>
      </c>
      <c r="AN51" s="188">
        <v>73181119.099999994</v>
      </c>
      <c r="AO51" s="188">
        <v>164159666.28</v>
      </c>
      <c r="AP51" s="188">
        <v>84755557.260000005</v>
      </c>
      <c r="AQ51" s="188">
        <v>97428252.430000007</v>
      </c>
      <c r="AR51" s="188">
        <v>106600223.79000001</v>
      </c>
      <c r="AS51" s="188">
        <v>118867188.42</v>
      </c>
      <c r="AT51" s="188">
        <v>134812189.12</v>
      </c>
      <c r="AU51" s="188">
        <v>89407760.629999995</v>
      </c>
      <c r="AV51" s="188">
        <v>78170345.489999995</v>
      </c>
      <c r="AW51" s="188">
        <v>133966214.01000001</v>
      </c>
      <c r="AX51" s="188">
        <v>59712491.460000001</v>
      </c>
      <c r="AY51" s="188">
        <v>31199998.510000002</v>
      </c>
      <c r="AZ51" s="188">
        <v>48963475.030000001</v>
      </c>
      <c r="BA51" s="188">
        <v>88799677.400000006</v>
      </c>
      <c r="BB51" s="188">
        <v>112709663.7</v>
      </c>
      <c r="BC51" s="188">
        <v>60932894.020000003</v>
      </c>
      <c r="BD51" s="188">
        <v>88297895.010000005</v>
      </c>
      <c r="BE51" s="188">
        <v>84074765.040000007</v>
      </c>
      <c r="BF51" s="188">
        <v>96888661.170000002</v>
      </c>
      <c r="BG51" s="188">
        <v>39355388.740000002</v>
      </c>
      <c r="BH51" s="188">
        <v>23461107.920000002</v>
      </c>
      <c r="BI51" s="188">
        <v>56786857.509999998</v>
      </c>
      <c r="BJ51" s="188">
        <v>96520861.920000002</v>
      </c>
      <c r="BK51" s="188">
        <v>44241544.170000002</v>
      </c>
      <c r="BL51" s="188">
        <v>49165714.659999996</v>
      </c>
      <c r="BM51" s="188">
        <v>51171311.310000002</v>
      </c>
      <c r="BN51" s="188">
        <v>49319384.890000001</v>
      </c>
      <c r="BO51" s="188">
        <v>41234235.630000003</v>
      </c>
      <c r="BP51" s="188">
        <v>76655112.120000005</v>
      </c>
      <c r="BQ51" s="188">
        <v>62427605.840000004</v>
      </c>
      <c r="BR51" s="188">
        <v>49938634.100000001</v>
      </c>
      <c r="BS51" s="188">
        <v>58057951.280000001</v>
      </c>
      <c r="BT51" s="188">
        <v>69377594.540000007</v>
      </c>
      <c r="BU51" s="188">
        <v>66533701.509999998</v>
      </c>
      <c r="BV51" s="188">
        <v>71419477.040000007</v>
      </c>
      <c r="BW51" s="188">
        <v>113590781.09999999</v>
      </c>
      <c r="BX51" s="188">
        <v>166764560.69</v>
      </c>
      <c r="BY51" s="188">
        <v>70981691.609999999</v>
      </c>
      <c r="BZ51" s="188">
        <v>69401727.780000001</v>
      </c>
      <c r="CA51" s="188">
        <v>0</v>
      </c>
      <c r="CB51" s="188">
        <v>-14922586.68</v>
      </c>
      <c r="CC51" s="188">
        <v>0</v>
      </c>
      <c r="CD51" s="188">
        <v>831641.43</v>
      </c>
      <c r="CE51" s="188">
        <v>0</v>
      </c>
      <c r="CF51" s="188">
        <v>-2290000</v>
      </c>
      <c r="CG51" s="188">
        <v>0</v>
      </c>
      <c r="CH51" s="188">
        <v>7971944.8700000001</v>
      </c>
      <c r="CI51" s="188">
        <v>0</v>
      </c>
      <c r="CJ51" s="188">
        <v>0</v>
      </c>
      <c r="CK51" s="188">
        <v>0</v>
      </c>
      <c r="CL51" s="188">
        <v>0</v>
      </c>
      <c r="CM51" s="188">
        <v>0</v>
      </c>
    </row>
    <row r="52" spans="1:91">
      <c r="A52" s="188" t="s">
        <v>156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2219387</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0</v>
      </c>
      <c r="AY52" s="188">
        <v>0</v>
      </c>
      <c r="AZ52" s="188">
        <v>0</v>
      </c>
      <c r="BA52" s="188">
        <v>0</v>
      </c>
      <c r="BB52" s="188">
        <v>0</v>
      </c>
      <c r="BC52" s="188">
        <v>0</v>
      </c>
      <c r="BD52" s="188">
        <v>0</v>
      </c>
      <c r="BE52" s="188">
        <v>0</v>
      </c>
      <c r="BF52" s="188">
        <v>0</v>
      </c>
      <c r="BG52" s="188">
        <v>0</v>
      </c>
      <c r="BH52" s="188">
        <v>0</v>
      </c>
      <c r="BI52" s="188">
        <v>0</v>
      </c>
      <c r="BJ52" s="188">
        <v>0</v>
      </c>
      <c r="BK52" s="188">
        <v>0</v>
      </c>
      <c r="BL52" s="188">
        <v>0</v>
      </c>
      <c r="BM52" s="188">
        <v>0</v>
      </c>
      <c r="BN52" s="188">
        <v>0</v>
      </c>
      <c r="BO52" s="188">
        <v>0</v>
      </c>
      <c r="BP52" s="188">
        <v>0</v>
      </c>
      <c r="BQ52" s="188">
        <v>0</v>
      </c>
      <c r="BR52" s="188">
        <v>0</v>
      </c>
      <c r="BS52" s="188">
        <v>0</v>
      </c>
      <c r="BT52" s="188">
        <v>0</v>
      </c>
      <c r="BU52" s="188">
        <v>0</v>
      </c>
      <c r="BV52" s="188">
        <v>0</v>
      </c>
      <c r="BW52" s="188">
        <v>0</v>
      </c>
      <c r="BX52" s="188">
        <v>0</v>
      </c>
      <c r="BY52" s="188">
        <v>0</v>
      </c>
      <c r="BZ52" s="188">
        <v>0</v>
      </c>
      <c r="CA52" s="188">
        <v>0</v>
      </c>
      <c r="CB52" s="188">
        <v>0</v>
      </c>
      <c r="CC52" s="188">
        <v>0</v>
      </c>
      <c r="CD52" s="188">
        <v>0</v>
      </c>
      <c r="CE52" s="188">
        <v>0</v>
      </c>
      <c r="CF52" s="188">
        <v>0</v>
      </c>
      <c r="CG52" s="188">
        <v>0</v>
      </c>
      <c r="CH52" s="188">
        <v>0</v>
      </c>
      <c r="CI52" s="188">
        <v>0</v>
      </c>
      <c r="CJ52" s="188">
        <v>0</v>
      </c>
      <c r="CK52" s="188">
        <v>0</v>
      </c>
      <c r="CL52" s="188">
        <v>0</v>
      </c>
      <c r="CM52" s="188">
        <v>0</v>
      </c>
    </row>
    <row r="53" spans="1:91">
      <c r="A53" s="188" t="s">
        <v>157</v>
      </c>
      <c r="B53" s="188">
        <v>184592.69</v>
      </c>
      <c r="C53" s="188">
        <v>321055.48</v>
      </c>
      <c r="D53" s="188">
        <v>732312430.88</v>
      </c>
      <c r="E53" s="188">
        <v>187956.68</v>
      </c>
      <c r="F53" s="188">
        <v>870410.19</v>
      </c>
      <c r="G53" s="188">
        <v>113743123.98999999</v>
      </c>
      <c r="H53" s="188">
        <v>764495069.66999996</v>
      </c>
      <c r="I53" s="188">
        <v>1289662.4099999999</v>
      </c>
      <c r="J53" s="188">
        <v>1289662.4099999999</v>
      </c>
      <c r="K53" s="188">
        <v>137726582.41</v>
      </c>
      <c r="L53" s="188">
        <v>787037342.40999997</v>
      </c>
      <c r="M53" s="188">
        <v>1289662.4099999999</v>
      </c>
      <c r="N53" s="188">
        <v>1289662.4099999999</v>
      </c>
      <c r="O53" s="188">
        <v>63204319.649999999</v>
      </c>
      <c r="P53" s="188">
        <v>831611565</v>
      </c>
      <c r="Q53" s="188">
        <v>452685</v>
      </c>
      <c r="R53" s="188">
        <v>692085.14</v>
      </c>
      <c r="S53" s="188">
        <v>52775274.240000002</v>
      </c>
      <c r="T53" s="188">
        <v>1052135840.48</v>
      </c>
      <c r="U53" s="188">
        <v>1176562.24</v>
      </c>
      <c r="V53" s="188">
        <v>2086462.24</v>
      </c>
      <c r="W53" s="188">
        <v>53741976.670000002</v>
      </c>
      <c r="X53" s="188">
        <v>732407882.01999998</v>
      </c>
      <c r="Y53" s="188">
        <v>1774387.34</v>
      </c>
      <c r="Z53" s="188">
        <v>1774387.34</v>
      </c>
      <c r="AA53" s="188">
        <v>68820877.079999998</v>
      </c>
      <c r="AB53" s="188">
        <v>714449869.48000002</v>
      </c>
      <c r="AC53" s="188">
        <v>988096.67</v>
      </c>
      <c r="AD53" s="188">
        <v>1059437.08</v>
      </c>
      <c r="AE53" s="188">
        <v>6202112.1500000004</v>
      </c>
      <c r="AF53" s="188">
        <v>263132112.15000001</v>
      </c>
      <c r="AG53" s="188">
        <v>992882.86</v>
      </c>
      <c r="AH53" s="188">
        <v>1176637.77</v>
      </c>
      <c r="AI53" s="188">
        <v>69439313.459999993</v>
      </c>
      <c r="AJ53" s="188">
        <v>281325447.45999998</v>
      </c>
      <c r="AK53" s="188">
        <v>25184072.84</v>
      </c>
      <c r="AL53" s="188">
        <v>25306407.460000001</v>
      </c>
      <c r="AM53" s="188">
        <v>108325652.86</v>
      </c>
      <c r="AN53" s="188">
        <v>420451983.66000003</v>
      </c>
      <c r="AO53" s="188">
        <v>65010950.859999999</v>
      </c>
      <c r="AP53" s="188">
        <v>65010950.859999999</v>
      </c>
      <c r="AQ53" s="188">
        <v>84632530.930000007</v>
      </c>
      <c r="AR53" s="188">
        <v>372318905.47000003</v>
      </c>
      <c r="AS53" s="188">
        <v>43213634.93</v>
      </c>
      <c r="AT53" s="188">
        <v>44288109.770000003</v>
      </c>
      <c r="AU53" s="188">
        <v>54341932.829999998</v>
      </c>
      <c r="AV53" s="188">
        <v>319264432.52999997</v>
      </c>
      <c r="AW53" s="188">
        <v>33902616.829999998</v>
      </c>
      <c r="AX53" s="188">
        <v>33902616.829999998</v>
      </c>
      <c r="AY53" s="188">
        <v>179475468.03</v>
      </c>
      <c r="AZ53" s="188">
        <v>299373482.26999998</v>
      </c>
      <c r="BA53" s="188">
        <v>15082286.01</v>
      </c>
      <c r="BB53" s="188">
        <v>10591636.66</v>
      </c>
      <c r="BC53" s="188">
        <v>27228651.460000001</v>
      </c>
      <c r="BD53" s="188">
        <v>215651038.53999999</v>
      </c>
      <c r="BE53" s="188">
        <v>25537143.440000001</v>
      </c>
      <c r="BF53" s="188">
        <v>19472806.489999998</v>
      </c>
      <c r="BG53" s="188">
        <v>19698608.93</v>
      </c>
      <c r="BH53" s="188">
        <v>232494010.44</v>
      </c>
      <c r="BI53" s="188">
        <v>19179643.98</v>
      </c>
      <c r="BJ53" s="188">
        <v>16065471.57</v>
      </c>
      <c r="BK53" s="188">
        <v>43569214.75</v>
      </c>
      <c r="BL53" s="188">
        <v>246368290.06999999</v>
      </c>
      <c r="BM53" s="188">
        <v>91578714.030000001</v>
      </c>
      <c r="BN53" s="188">
        <v>27851089.530000001</v>
      </c>
      <c r="BO53" s="188">
        <v>39662609.43</v>
      </c>
      <c r="BP53" s="188">
        <v>283532691.08999997</v>
      </c>
      <c r="BQ53" s="188">
        <v>82394943.739999995</v>
      </c>
      <c r="BR53" s="188">
        <v>94133175.359999999</v>
      </c>
      <c r="BS53" s="188">
        <v>262523853.59999999</v>
      </c>
      <c r="BT53" s="188">
        <v>175655544.66</v>
      </c>
      <c r="BU53" s="188">
        <v>172517845.40000001</v>
      </c>
      <c r="BV53" s="188">
        <v>67785291.349999994</v>
      </c>
      <c r="BW53" s="188">
        <v>51135992.259999998</v>
      </c>
      <c r="BX53" s="188">
        <v>13917863.050000001</v>
      </c>
      <c r="BY53" s="188">
        <v>0</v>
      </c>
      <c r="BZ53" s="188">
        <v>0</v>
      </c>
      <c r="CA53" s="188">
        <v>0</v>
      </c>
      <c r="CB53" s="188">
        <v>12394176.439999999</v>
      </c>
      <c r="CC53" s="188">
        <v>0</v>
      </c>
      <c r="CD53" s="188">
        <v>116006110.2</v>
      </c>
      <c r="CE53" s="188">
        <v>0</v>
      </c>
      <c r="CF53" s="188">
        <v>0</v>
      </c>
      <c r="CG53" s="188">
        <v>0</v>
      </c>
      <c r="CH53" s="188">
        <v>0</v>
      </c>
      <c r="CI53" s="188">
        <v>0</v>
      </c>
      <c r="CJ53" s="188">
        <v>0</v>
      </c>
      <c r="CK53" s="188">
        <v>0</v>
      </c>
      <c r="CL53" s="188">
        <v>0</v>
      </c>
      <c r="CM53" s="188">
        <v>0</v>
      </c>
    </row>
    <row r="54" spans="1:91">
      <c r="A54" s="188" t="s">
        <v>158</v>
      </c>
      <c r="B54" s="188">
        <v>1071958383.01</v>
      </c>
      <c r="C54" s="188">
        <v>858247607.53999996</v>
      </c>
      <c r="D54" s="188">
        <v>853014256.66999996</v>
      </c>
      <c r="E54" s="188">
        <v>804530301.85000002</v>
      </c>
      <c r="F54" s="188">
        <v>955844978.44000006</v>
      </c>
      <c r="G54" s="188">
        <v>817660599.84000003</v>
      </c>
      <c r="H54" s="188">
        <v>802448516.42999995</v>
      </c>
      <c r="I54" s="188">
        <v>766742422.57000005</v>
      </c>
      <c r="J54" s="188">
        <v>782141609.47000003</v>
      </c>
      <c r="K54" s="188">
        <v>754607880.41999996</v>
      </c>
      <c r="L54" s="188">
        <v>772710258.91999996</v>
      </c>
      <c r="M54" s="188">
        <v>753466019.60000002</v>
      </c>
      <c r="N54" s="188">
        <v>795975344.35000002</v>
      </c>
      <c r="O54" s="188">
        <v>847358643.35000002</v>
      </c>
      <c r="P54" s="188">
        <v>2332405847.1999998</v>
      </c>
      <c r="Q54" s="188">
        <v>822681466.62</v>
      </c>
      <c r="R54" s="188">
        <v>929870830.38</v>
      </c>
      <c r="S54" s="188">
        <v>903630734.10000002</v>
      </c>
      <c r="T54" s="188">
        <v>929006311.92999995</v>
      </c>
      <c r="U54" s="188">
        <v>824834836.67999995</v>
      </c>
      <c r="V54" s="188">
        <v>849628877.84000003</v>
      </c>
      <c r="W54" s="188">
        <v>875905723.46000004</v>
      </c>
      <c r="X54" s="188">
        <v>813494332.17999995</v>
      </c>
      <c r="Y54" s="188">
        <v>751182474.60000002</v>
      </c>
      <c r="Z54" s="188">
        <v>771204826.52999997</v>
      </c>
      <c r="AA54" s="188">
        <v>793852747.57000005</v>
      </c>
      <c r="AB54" s="188">
        <v>596118097.33000004</v>
      </c>
      <c r="AC54" s="188">
        <v>601357083.32000005</v>
      </c>
      <c r="AD54" s="188">
        <v>780702574.49000001</v>
      </c>
      <c r="AE54" s="188">
        <v>588137932.57000005</v>
      </c>
      <c r="AF54" s="188">
        <v>591021286.47000003</v>
      </c>
      <c r="AG54" s="188">
        <v>579489641.48000002</v>
      </c>
      <c r="AH54" s="188">
        <v>528285240.81999999</v>
      </c>
      <c r="AI54" s="188">
        <v>604103707.72000003</v>
      </c>
      <c r="AJ54" s="188">
        <v>620051089.22000003</v>
      </c>
      <c r="AK54" s="188">
        <v>547940006.40999997</v>
      </c>
      <c r="AL54" s="188">
        <v>490657810.44</v>
      </c>
      <c r="AM54" s="188">
        <v>444320168.89999998</v>
      </c>
      <c r="AN54" s="188">
        <v>361541346.74000001</v>
      </c>
      <c r="AO54" s="188">
        <v>389334642.83999997</v>
      </c>
      <c r="AP54" s="188">
        <v>358418001.56</v>
      </c>
      <c r="AQ54" s="188">
        <v>407585272.32999998</v>
      </c>
      <c r="AR54" s="188">
        <v>313708527.79000002</v>
      </c>
      <c r="AS54" s="188">
        <v>380886988.42000002</v>
      </c>
      <c r="AT54" s="188">
        <v>359363809.19999999</v>
      </c>
      <c r="AU54" s="188">
        <v>597871045.54999995</v>
      </c>
      <c r="AV54" s="188">
        <v>498963688.98000002</v>
      </c>
      <c r="AW54" s="188">
        <v>401270100.81</v>
      </c>
      <c r="AX54" s="188">
        <v>530746000.97000003</v>
      </c>
      <c r="AY54" s="188">
        <v>426427565.57999998</v>
      </c>
      <c r="AZ54" s="188">
        <v>391604917.29000002</v>
      </c>
      <c r="BA54" s="188">
        <v>200117366.09999999</v>
      </c>
      <c r="BB54" s="188">
        <v>390779576.20999998</v>
      </c>
      <c r="BC54" s="188">
        <v>330317534.36000001</v>
      </c>
      <c r="BD54" s="188">
        <v>312638275.82999998</v>
      </c>
      <c r="BE54" s="188">
        <v>274271381.80000001</v>
      </c>
      <c r="BF54" s="188">
        <v>310343370.92000002</v>
      </c>
      <c r="BG54" s="188">
        <v>311869129.42000002</v>
      </c>
      <c r="BH54" s="188">
        <v>266732595.06</v>
      </c>
      <c r="BI54" s="188">
        <v>336158557.70999998</v>
      </c>
      <c r="BJ54" s="188">
        <v>298305020.27999997</v>
      </c>
      <c r="BK54" s="188">
        <v>189886867.25999999</v>
      </c>
      <c r="BL54" s="188">
        <v>234169317.66</v>
      </c>
      <c r="BM54" s="188">
        <v>254372680.49000001</v>
      </c>
      <c r="BN54" s="188">
        <v>479698254.39999998</v>
      </c>
      <c r="BO54" s="188">
        <v>226461271.41</v>
      </c>
      <c r="BP54" s="188">
        <v>252145019.18000001</v>
      </c>
      <c r="BQ54" s="188">
        <v>288238198.56</v>
      </c>
      <c r="BR54" s="188">
        <v>354227910.04000002</v>
      </c>
      <c r="BS54" s="188">
        <v>384705199.56999999</v>
      </c>
      <c r="BT54" s="188">
        <v>261891166.06</v>
      </c>
      <c r="BU54" s="188">
        <v>175076211.15000001</v>
      </c>
      <c r="BV54" s="188">
        <v>312181039.26999998</v>
      </c>
      <c r="BW54" s="188">
        <v>197878542.97</v>
      </c>
      <c r="BX54" s="188">
        <v>362214877.29000002</v>
      </c>
      <c r="BY54" s="188">
        <v>124160656.52</v>
      </c>
      <c r="BZ54" s="188">
        <v>159620177.44</v>
      </c>
      <c r="CA54" s="188">
        <v>0</v>
      </c>
      <c r="CB54" s="188">
        <v>43350158.399999999</v>
      </c>
      <c r="CC54" s="188">
        <v>0</v>
      </c>
      <c r="CD54" s="188">
        <v>39100817.579999998</v>
      </c>
      <c r="CE54" s="188">
        <v>0</v>
      </c>
      <c r="CF54" s="188">
        <v>20292000</v>
      </c>
      <c r="CG54" s="188">
        <v>0</v>
      </c>
      <c r="CH54" s="188">
        <v>39515275.899999999</v>
      </c>
      <c r="CI54" s="188">
        <v>0</v>
      </c>
      <c r="CJ54" s="188">
        <v>0</v>
      </c>
      <c r="CK54" s="188">
        <v>0</v>
      </c>
      <c r="CL54" s="188">
        <v>0</v>
      </c>
      <c r="CM54" s="188">
        <v>0</v>
      </c>
    </row>
    <row r="55" spans="1:91">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6613234.6200000001</v>
      </c>
      <c r="AY55" s="188">
        <v>12076942.74</v>
      </c>
      <c r="AZ55" s="188">
        <v>8560956.5299999993</v>
      </c>
      <c r="BA55" s="188">
        <v>160583962.71000001</v>
      </c>
      <c r="BB55" s="188">
        <v>2958729</v>
      </c>
      <c r="BC55" s="188">
        <v>9265338.4299999997</v>
      </c>
      <c r="BD55" s="188">
        <v>8069514.46</v>
      </c>
      <c r="BE55" s="188">
        <v>8933005.0500000007</v>
      </c>
      <c r="BF55" s="188">
        <v>1016335.71</v>
      </c>
      <c r="BG55" s="188">
        <v>18624076.440000001</v>
      </c>
      <c r="BH55" s="188">
        <v>18279875.75</v>
      </c>
      <c r="BI55" s="188">
        <v>21582885.09</v>
      </c>
      <c r="BJ55" s="188">
        <v>2030258.48</v>
      </c>
      <c r="BK55" s="188">
        <v>148678500.22999999</v>
      </c>
      <c r="BL55" s="188">
        <v>117416829.34999999</v>
      </c>
      <c r="BM55" s="188">
        <v>93443655.099999994</v>
      </c>
      <c r="BN55" s="188">
        <v>949470.08</v>
      </c>
      <c r="BO55" s="188">
        <v>110738980.40000001</v>
      </c>
      <c r="BP55" s="188">
        <v>93093852.109999999</v>
      </c>
      <c r="BQ55" s="188">
        <v>53621526.609999999</v>
      </c>
      <c r="BR55" s="188">
        <v>1133172</v>
      </c>
      <c r="BS55" s="188">
        <v>15051764.859999999</v>
      </c>
      <c r="BT55" s="188">
        <v>35557</v>
      </c>
      <c r="BU55" s="188">
        <v>52012470.869999997</v>
      </c>
      <c r="BV55" s="188">
        <v>1781939.17</v>
      </c>
      <c r="BW55" s="188">
        <v>31182989.539999999</v>
      </c>
      <c r="BX55" s="188">
        <v>1446520.97</v>
      </c>
      <c r="BY55" s="188">
        <v>400000</v>
      </c>
      <c r="BZ55" s="188">
        <v>0</v>
      </c>
      <c r="CA55" s="188">
        <v>0</v>
      </c>
      <c r="CB55" s="188">
        <v>690172.45</v>
      </c>
      <c r="CC55" s="188">
        <v>0</v>
      </c>
      <c r="CD55" s="188">
        <v>2863421.04</v>
      </c>
      <c r="CE55" s="188">
        <v>0</v>
      </c>
      <c r="CF55" s="188">
        <v>0</v>
      </c>
      <c r="CG55" s="188">
        <v>0</v>
      </c>
      <c r="CH55" s="188">
        <v>34557065.049999997</v>
      </c>
      <c r="CI55" s="188">
        <v>0</v>
      </c>
      <c r="CJ55" s="188">
        <v>0</v>
      </c>
      <c r="CK55" s="188">
        <v>0</v>
      </c>
      <c r="CL55" s="188">
        <v>0</v>
      </c>
      <c r="CM55" s="188">
        <v>0</v>
      </c>
    </row>
    <row r="56" spans="1:91">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c r="BW56" s="188">
        <v>0</v>
      </c>
      <c r="BX56" s="188">
        <v>0</v>
      </c>
      <c r="BY56" s="188">
        <v>0</v>
      </c>
      <c r="BZ56" s="188">
        <v>0</v>
      </c>
      <c r="CA56" s="188">
        <v>0</v>
      </c>
      <c r="CB56" s="188">
        <v>0</v>
      </c>
      <c r="CC56" s="188">
        <v>0</v>
      </c>
      <c r="CD56" s="188">
        <v>0</v>
      </c>
      <c r="CE56" s="188">
        <v>0</v>
      </c>
      <c r="CF56" s="188">
        <v>0</v>
      </c>
      <c r="CG56" s="188">
        <v>0</v>
      </c>
      <c r="CH56" s="188">
        <v>0</v>
      </c>
      <c r="CI56" s="188">
        <v>0</v>
      </c>
      <c r="CJ56" s="188">
        <v>0</v>
      </c>
      <c r="CK56" s="188">
        <v>0</v>
      </c>
      <c r="CL56" s="188">
        <v>0</v>
      </c>
      <c r="CM56" s="188">
        <v>0</v>
      </c>
    </row>
    <row r="57" spans="1:91">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c r="BW57" s="188">
        <v>0</v>
      </c>
      <c r="BX57" s="188">
        <v>0</v>
      </c>
      <c r="BY57" s="188">
        <v>0</v>
      </c>
      <c r="BZ57" s="188">
        <v>0</v>
      </c>
      <c r="CA57" s="188">
        <v>0</v>
      </c>
      <c r="CB57" s="188">
        <v>0</v>
      </c>
      <c r="CC57" s="188">
        <v>0</v>
      </c>
      <c r="CD57" s="188">
        <v>0</v>
      </c>
      <c r="CE57" s="188">
        <v>0</v>
      </c>
      <c r="CF57" s="188">
        <v>0</v>
      </c>
      <c r="CG57" s="188">
        <v>0</v>
      </c>
      <c r="CH57" s="188">
        <v>0</v>
      </c>
      <c r="CI57" s="188">
        <v>0</v>
      </c>
      <c r="CJ57" s="188">
        <v>0</v>
      </c>
      <c r="CK57" s="188">
        <v>0</v>
      </c>
      <c r="CL57" s="188">
        <v>0</v>
      </c>
      <c r="CM57" s="188">
        <v>0</v>
      </c>
    </row>
    <row r="58" spans="1:91">
      <c r="A58" s="188" t="s">
        <v>162</v>
      </c>
      <c r="B58" s="188">
        <v>104185</v>
      </c>
      <c r="C58" s="188">
        <v>104185</v>
      </c>
      <c r="D58" s="188">
        <v>104185</v>
      </c>
      <c r="E58" s="188">
        <v>104185</v>
      </c>
      <c r="F58" s="188">
        <v>104185</v>
      </c>
      <c r="G58" s="188">
        <v>241589.37</v>
      </c>
      <c r="H58" s="188">
        <v>246038.04</v>
      </c>
      <c r="I58" s="188">
        <v>81140.570000000007</v>
      </c>
      <c r="J58" s="188">
        <v>104185</v>
      </c>
      <c r="K58" s="188">
        <v>9244185</v>
      </c>
      <c r="L58" s="188">
        <v>104185</v>
      </c>
      <c r="M58" s="188">
        <v>104185</v>
      </c>
      <c r="N58" s="188">
        <v>104185</v>
      </c>
      <c r="O58" s="188">
        <v>0</v>
      </c>
      <c r="P58" s="188">
        <v>10840442.460000001</v>
      </c>
      <c r="Q58" s="188">
        <v>0</v>
      </c>
      <c r="R58" s="188">
        <v>11304959.539999999</v>
      </c>
      <c r="S58" s="188">
        <v>1385062269</v>
      </c>
      <c r="T58" s="188">
        <v>1386829062.24</v>
      </c>
      <c r="U58" s="188">
        <v>1385055084</v>
      </c>
      <c r="V58" s="188">
        <v>1373832732.76</v>
      </c>
      <c r="W58" s="188">
        <v>4131456</v>
      </c>
      <c r="X58" s="188">
        <v>4146105.6</v>
      </c>
      <c r="Y58" s="188">
        <v>0</v>
      </c>
      <c r="Z58" s="188">
        <v>1295718112</v>
      </c>
      <c r="AA58" s="188">
        <v>1109694023</v>
      </c>
      <c r="AB58" s="188">
        <v>50000000</v>
      </c>
      <c r="AC58" s="188">
        <v>50000000</v>
      </c>
      <c r="AD58" s="188">
        <v>53862451.700000003</v>
      </c>
      <c r="AE58" s="188">
        <v>0</v>
      </c>
      <c r="AF58" s="188">
        <v>0</v>
      </c>
      <c r="AG58" s="188">
        <v>0</v>
      </c>
      <c r="AH58" s="188">
        <v>0</v>
      </c>
      <c r="AI58" s="188">
        <v>0</v>
      </c>
      <c r="AJ58" s="188">
        <v>5000000</v>
      </c>
      <c r="AK58" s="188">
        <v>5000000</v>
      </c>
      <c r="AL58" s="188">
        <v>5000000</v>
      </c>
      <c r="AM58" s="188">
        <v>0</v>
      </c>
      <c r="AN58" s="188">
        <v>0</v>
      </c>
      <c r="AO58" s="188">
        <v>0</v>
      </c>
      <c r="AP58" s="188">
        <v>5000000</v>
      </c>
      <c r="AQ58" s="188">
        <v>0</v>
      </c>
      <c r="AR58" s="188">
        <v>0</v>
      </c>
      <c r="AS58" s="188">
        <v>0</v>
      </c>
      <c r="AT58" s="188">
        <v>0</v>
      </c>
      <c r="AU58" s="188">
        <v>0</v>
      </c>
      <c r="AV58" s="188">
        <v>0</v>
      </c>
      <c r="AW58" s="188">
        <v>15000000</v>
      </c>
      <c r="AX58" s="188">
        <v>15000000</v>
      </c>
      <c r="AY58" s="188">
        <v>15000000</v>
      </c>
      <c r="AZ58" s="188">
        <v>25000000</v>
      </c>
      <c r="BA58" s="188">
        <v>30000000</v>
      </c>
      <c r="BB58" s="188">
        <v>30000000</v>
      </c>
      <c r="BC58" s="188">
        <v>10000000</v>
      </c>
      <c r="BD58" s="188">
        <v>31000000</v>
      </c>
      <c r="BE58" s="188">
        <v>6000000</v>
      </c>
      <c r="BF58" s="188">
        <v>6000000</v>
      </c>
      <c r="BG58" s="188">
        <v>0</v>
      </c>
      <c r="BH58" s="188">
        <v>0</v>
      </c>
      <c r="BI58" s="188">
        <v>0</v>
      </c>
      <c r="BJ58" s="188">
        <v>0</v>
      </c>
      <c r="BK58" s="188">
        <v>0</v>
      </c>
      <c r="BL58" s="188">
        <v>0</v>
      </c>
      <c r="BM58" s="188">
        <v>0</v>
      </c>
      <c r="BN58" s="188">
        <v>0</v>
      </c>
      <c r="BO58" s="188">
        <v>5020000</v>
      </c>
      <c r="BP58" s="188">
        <v>5020000</v>
      </c>
      <c r="BQ58" s="188">
        <v>10040000</v>
      </c>
      <c r="BR58" s="188">
        <v>5020000</v>
      </c>
      <c r="BS58" s="188">
        <v>11420000</v>
      </c>
      <c r="BT58" s="188">
        <v>5020000</v>
      </c>
      <c r="BU58" s="188">
        <v>9940000</v>
      </c>
      <c r="BV58" s="188">
        <v>13140000</v>
      </c>
      <c r="BW58" s="188">
        <v>3458671.93</v>
      </c>
      <c r="BX58" s="188">
        <v>2150000</v>
      </c>
      <c r="BY58" s="188">
        <v>2000000</v>
      </c>
      <c r="BZ58" s="188">
        <v>2000000</v>
      </c>
      <c r="CA58" s="188">
        <v>0</v>
      </c>
      <c r="CB58" s="188">
        <v>0</v>
      </c>
      <c r="CC58" s="188">
        <v>0</v>
      </c>
      <c r="CD58" s="188">
        <v>100000</v>
      </c>
      <c r="CE58" s="188">
        <v>0</v>
      </c>
      <c r="CF58" s="188">
        <v>2100000</v>
      </c>
      <c r="CG58" s="188">
        <v>0</v>
      </c>
      <c r="CH58" s="188">
        <v>0</v>
      </c>
      <c r="CI58" s="188">
        <v>0</v>
      </c>
      <c r="CJ58" s="188">
        <v>0</v>
      </c>
      <c r="CK58" s="188">
        <v>0</v>
      </c>
      <c r="CL58" s="188">
        <v>0</v>
      </c>
      <c r="CM58" s="188">
        <v>0</v>
      </c>
    </row>
    <row r="59" spans="1:91">
      <c r="A59" s="188" t="s">
        <v>163</v>
      </c>
      <c r="B59" s="188">
        <v>86413026.079999998</v>
      </c>
      <c r="C59" s="188">
        <v>85760593.299999997</v>
      </c>
      <c r="D59" s="188">
        <v>84621842.060000002</v>
      </c>
      <c r="E59" s="188">
        <v>83636286.109999999</v>
      </c>
      <c r="F59" s="188">
        <v>80779126.390000001</v>
      </c>
      <c r="G59" s="188">
        <v>92077486.590000004</v>
      </c>
      <c r="H59" s="188">
        <v>92665692.049999997</v>
      </c>
      <c r="I59" s="188">
        <v>90565619.209999993</v>
      </c>
      <c r="J59" s="188">
        <v>90936545.739999995</v>
      </c>
      <c r="K59" s="188">
        <v>108544254.14</v>
      </c>
      <c r="L59" s="188">
        <v>117792982.34</v>
      </c>
      <c r="M59" s="188">
        <v>120432191.44</v>
      </c>
      <c r="N59" s="188">
        <v>119318845.92</v>
      </c>
      <c r="O59" s="188">
        <v>85952523.989999995</v>
      </c>
      <c r="P59" s="188">
        <v>182957290.99000001</v>
      </c>
      <c r="Q59" s="188">
        <v>196562640.66</v>
      </c>
      <c r="R59" s="188">
        <v>193917871.19</v>
      </c>
      <c r="S59" s="188">
        <v>205996328.03999999</v>
      </c>
      <c r="T59" s="188">
        <v>185064515.49000001</v>
      </c>
      <c r="U59" s="188">
        <v>162584375.81</v>
      </c>
      <c r="V59" s="188">
        <v>166392003.33000001</v>
      </c>
      <c r="W59" s="188">
        <v>193326039.83000001</v>
      </c>
      <c r="X59" s="188">
        <v>204768859.34</v>
      </c>
      <c r="Y59" s="188">
        <v>256675618.16</v>
      </c>
      <c r="Z59" s="188">
        <v>255485823.87</v>
      </c>
      <c r="AA59" s="188">
        <v>492405127.98000002</v>
      </c>
      <c r="AB59" s="188">
        <v>29130105.079999998</v>
      </c>
      <c r="AC59" s="188">
        <v>28991860.079999998</v>
      </c>
      <c r="AD59" s="188">
        <v>538726877.86000001</v>
      </c>
      <c r="AE59" s="188">
        <v>53979889.469999999</v>
      </c>
      <c r="AF59" s="188">
        <v>52097442.380000003</v>
      </c>
      <c r="AG59" s="188">
        <v>47083836.090000004</v>
      </c>
      <c r="AH59" s="188">
        <v>44013077.140000001</v>
      </c>
      <c r="AI59" s="188">
        <v>47969370.93</v>
      </c>
      <c r="AJ59" s="188">
        <v>47529931.579999998</v>
      </c>
      <c r="AK59" s="188">
        <v>44861630.590000004</v>
      </c>
      <c r="AL59" s="188">
        <v>43239740</v>
      </c>
      <c r="AM59" s="188">
        <v>46926540.119999997</v>
      </c>
      <c r="AN59" s="188">
        <v>43988789.609999999</v>
      </c>
      <c r="AO59" s="188">
        <v>4397448.51</v>
      </c>
      <c r="AP59" s="188">
        <v>10718110.609999999</v>
      </c>
      <c r="AQ59" s="188">
        <v>3715634.42</v>
      </c>
      <c r="AR59" s="188">
        <v>8719104.8000000007</v>
      </c>
      <c r="AS59" s="188">
        <v>4544461</v>
      </c>
      <c r="AT59" s="188">
        <v>7789600</v>
      </c>
      <c r="AU59" s="188">
        <v>0</v>
      </c>
      <c r="AV59" s="188">
        <v>0</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c r="BT59" s="188">
        <v>0</v>
      </c>
      <c r="BU59" s="188">
        <v>0</v>
      </c>
      <c r="BV59" s="188">
        <v>0</v>
      </c>
      <c r="BW59" s="188">
        <v>0</v>
      </c>
      <c r="BX59" s="188">
        <v>0</v>
      </c>
      <c r="BY59" s="188">
        <v>0</v>
      </c>
      <c r="BZ59" s="188">
        <v>0</v>
      </c>
      <c r="CA59" s="188">
        <v>0</v>
      </c>
      <c r="CB59" s="188">
        <v>0</v>
      </c>
      <c r="CC59" s="188">
        <v>0</v>
      </c>
      <c r="CD59" s="188">
        <v>0</v>
      </c>
      <c r="CE59" s="188">
        <v>0</v>
      </c>
      <c r="CF59" s="188">
        <v>0</v>
      </c>
      <c r="CG59" s="188">
        <v>0</v>
      </c>
      <c r="CH59" s="188">
        <v>0</v>
      </c>
      <c r="CI59" s="188">
        <v>0</v>
      </c>
      <c r="CJ59" s="188">
        <v>0</v>
      </c>
      <c r="CK59" s="188">
        <v>0</v>
      </c>
      <c r="CL59" s="188">
        <v>0</v>
      </c>
      <c r="CM59" s="188">
        <v>0</v>
      </c>
    </row>
    <row r="60" spans="1:91">
      <c r="A60" s="188" t="s">
        <v>164</v>
      </c>
      <c r="B60" s="188">
        <v>20156016257.799999</v>
      </c>
      <c r="C60" s="188">
        <v>19853688155.299999</v>
      </c>
      <c r="D60" s="188">
        <v>20631101413.650002</v>
      </c>
      <c r="E60" s="188">
        <v>20459174515.189999</v>
      </c>
      <c r="F60" s="188">
        <v>20716932699.389999</v>
      </c>
      <c r="G60" s="188">
        <v>19919823549.630001</v>
      </c>
      <c r="H60" s="188">
        <v>19798095775.990002</v>
      </c>
      <c r="I60" s="188">
        <v>20410015030.880001</v>
      </c>
      <c r="J60" s="188">
        <v>19748505613.439999</v>
      </c>
      <c r="K60" s="188">
        <v>19675660240.68</v>
      </c>
      <c r="L60" s="188">
        <v>20070900697.82</v>
      </c>
      <c r="M60" s="188">
        <v>19186110008.98</v>
      </c>
      <c r="N60" s="188">
        <v>18933377981.139999</v>
      </c>
      <c r="O60" s="188">
        <v>18583112820.049999</v>
      </c>
      <c r="P60" s="188">
        <v>20856266484.970001</v>
      </c>
      <c r="Q60" s="188">
        <v>18837714894.790001</v>
      </c>
      <c r="R60" s="188">
        <v>18970967004.27</v>
      </c>
      <c r="S60" s="188">
        <v>20043613909.07</v>
      </c>
      <c r="T60" s="188">
        <v>20097610801.169998</v>
      </c>
      <c r="U60" s="188">
        <v>18884916786.419998</v>
      </c>
      <c r="V60" s="188">
        <v>18271596920.610001</v>
      </c>
      <c r="W60" s="188">
        <v>16472680647.299999</v>
      </c>
      <c r="X60" s="188">
        <v>16137616757.610001</v>
      </c>
      <c r="Y60" s="188">
        <v>14962920289.67</v>
      </c>
      <c r="Z60" s="188">
        <v>16314457316</v>
      </c>
      <c r="AA60" s="188">
        <v>15346712918.209999</v>
      </c>
      <c r="AB60" s="188">
        <v>11826369327.41</v>
      </c>
      <c r="AC60" s="188">
        <v>9950863591.0599995</v>
      </c>
      <c r="AD60" s="188">
        <v>12055021153.75</v>
      </c>
      <c r="AE60" s="188">
        <v>9441422170.4599991</v>
      </c>
      <c r="AF60" s="188">
        <v>9196274973.7199993</v>
      </c>
      <c r="AG60" s="188">
        <v>7959238877.7299995</v>
      </c>
      <c r="AH60" s="188">
        <v>7683707233.5900002</v>
      </c>
      <c r="AI60" s="188">
        <v>7773818725.79</v>
      </c>
      <c r="AJ60" s="188">
        <v>7365446156.1400003</v>
      </c>
      <c r="AK60" s="188">
        <v>6354976661.4799995</v>
      </c>
      <c r="AL60" s="188">
        <v>6124343372.79</v>
      </c>
      <c r="AM60" s="188">
        <v>6069491038.0500002</v>
      </c>
      <c r="AN60" s="188">
        <v>5241527298.8400002</v>
      </c>
      <c r="AO60" s="188">
        <v>4484227785.5900002</v>
      </c>
      <c r="AP60" s="188">
        <v>4262187248.4400001</v>
      </c>
      <c r="AQ60" s="188">
        <v>4452457081.5699997</v>
      </c>
      <c r="AR60" s="188">
        <v>4577760578.5699997</v>
      </c>
      <c r="AS60" s="188">
        <v>4029206275.4099998</v>
      </c>
      <c r="AT60" s="188">
        <v>4328229496.1800003</v>
      </c>
      <c r="AU60" s="188">
        <v>4126682611.1100001</v>
      </c>
      <c r="AV60" s="188">
        <v>4012371562.7199998</v>
      </c>
      <c r="AW60" s="188">
        <v>3393408813.7199998</v>
      </c>
      <c r="AX60" s="188">
        <v>3330319703.9099998</v>
      </c>
      <c r="AY60" s="188">
        <v>3044507406.9899998</v>
      </c>
      <c r="AZ60" s="188">
        <v>3014792969.0700002</v>
      </c>
      <c r="BA60" s="188">
        <v>2609990503.8600001</v>
      </c>
      <c r="BB60" s="188">
        <v>2809969343.29</v>
      </c>
      <c r="BC60" s="188">
        <v>2751751336.1700001</v>
      </c>
      <c r="BD60" s="188">
        <v>3075392858.5100002</v>
      </c>
      <c r="BE60" s="188">
        <v>3039613964.3200002</v>
      </c>
      <c r="BF60" s="188">
        <v>3229313425.23</v>
      </c>
      <c r="BG60" s="188">
        <v>3618392318.8499999</v>
      </c>
      <c r="BH60" s="188">
        <v>3812831021.8299999</v>
      </c>
      <c r="BI60" s="188">
        <v>3637069425.2399998</v>
      </c>
      <c r="BJ60" s="188">
        <v>3812017298.71</v>
      </c>
      <c r="BK60" s="188">
        <v>3904949965.96</v>
      </c>
      <c r="BL60" s="188">
        <v>4235180494.5300002</v>
      </c>
      <c r="BM60" s="188">
        <v>4204697200.9299998</v>
      </c>
      <c r="BN60" s="188">
        <v>4245476503.7800002</v>
      </c>
      <c r="BO60" s="188">
        <v>3749762028.1399999</v>
      </c>
      <c r="BP60" s="188">
        <v>4136903555.4299998</v>
      </c>
      <c r="BQ60" s="188">
        <v>3763385062.6599998</v>
      </c>
      <c r="BR60" s="188">
        <v>3552781085.8299999</v>
      </c>
      <c r="BS60" s="188">
        <v>3586199264.4899998</v>
      </c>
      <c r="BT60" s="188">
        <v>3277418884.4699998</v>
      </c>
      <c r="BU60" s="188">
        <v>3377434694.8000002</v>
      </c>
      <c r="BV60" s="188">
        <v>3271128522.9099998</v>
      </c>
      <c r="BW60" s="188">
        <v>2849717973.9099998</v>
      </c>
      <c r="BX60" s="188">
        <v>2996757881.0799999</v>
      </c>
      <c r="BY60" s="188">
        <v>1225663644.96</v>
      </c>
      <c r="BZ60" s="188">
        <v>1375170843.52</v>
      </c>
      <c r="CA60" s="188">
        <v>1250996152</v>
      </c>
      <c r="CB60" s="188">
        <v>1412852739.24</v>
      </c>
      <c r="CC60" s="188">
        <v>1130877457.01</v>
      </c>
      <c r="CD60" s="188">
        <v>826354594.00999999</v>
      </c>
      <c r="CE60" s="188">
        <v>518981060.12</v>
      </c>
      <c r="CF60" s="188">
        <v>351641000</v>
      </c>
      <c r="CG60" s="188">
        <v>402854967.94999999</v>
      </c>
      <c r="CH60" s="188">
        <v>487416196.41000003</v>
      </c>
      <c r="CI60" s="188">
        <v>484140000</v>
      </c>
      <c r="CJ60" s="188">
        <v>342710000</v>
      </c>
      <c r="CK60" s="188">
        <v>177920000</v>
      </c>
      <c r="CL60" s="188">
        <v>184440000</v>
      </c>
      <c r="CM60" s="188">
        <v>0</v>
      </c>
    </row>
    <row r="61" spans="1:91">
      <c r="A61" s="188" t="s">
        <v>165</v>
      </c>
    </row>
    <row r="62" spans="1:91">
      <c r="A62" s="188" t="s">
        <v>166</v>
      </c>
      <c r="B62" s="188">
        <v>0</v>
      </c>
      <c r="C62" s="188">
        <v>0</v>
      </c>
      <c r="D62" s="188">
        <v>143000</v>
      </c>
      <c r="E62" s="188">
        <v>0</v>
      </c>
      <c r="F62" s="188">
        <v>0</v>
      </c>
      <c r="G62" s="188">
        <v>0</v>
      </c>
      <c r="H62" s="188">
        <v>0</v>
      </c>
      <c r="I62" s="188">
        <v>0</v>
      </c>
      <c r="J62" s="188">
        <v>0</v>
      </c>
      <c r="K62" s="188">
        <v>0</v>
      </c>
      <c r="L62" s="188">
        <v>0</v>
      </c>
      <c r="M62" s="188">
        <v>0</v>
      </c>
      <c r="N62" s="188">
        <v>0</v>
      </c>
      <c r="O62" s="188">
        <v>0</v>
      </c>
      <c r="P62" s="188">
        <v>42239624.340000004</v>
      </c>
      <c r="Q62" s="188">
        <v>1435909344.8</v>
      </c>
      <c r="R62" s="188">
        <v>1416282497.4000001</v>
      </c>
      <c r="S62" s="188">
        <v>55674211.799999997</v>
      </c>
      <c r="T62" s="188">
        <v>48366168.219999999</v>
      </c>
      <c r="U62" s="188">
        <v>46679317</v>
      </c>
      <c r="V62" s="188">
        <v>45068319.740000002</v>
      </c>
      <c r="W62" s="188">
        <v>1427719300</v>
      </c>
      <c r="X62" s="188">
        <v>1434737631.5999999</v>
      </c>
      <c r="Y62" s="188">
        <v>1461995244.5999999</v>
      </c>
      <c r="Z62" s="188">
        <v>1462792987.5</v>
      </c>
      <c r="AA62" s="188">
        <v>190210977</v>
      </c>
      <c r="AB62" s="188">
        <v>0</v>
      </c>
      <c r="AC62" s="188">
        <v>0</v>
      </c>
      <c r="AD62" s="188">
        <v>1482841204.2</v>
      </c>
      <c r="AE62" s="188">
        <v>50000000</v>
      </c>
      <c r="AF62" s="188">
        <v>50000000</v>
      </c>
      <c r="AG62" s="188">
        <v>50000000</v>
      </c>
      <c r="AH62" s="188">
        <v>50000000</v>
      </c>
      <c r="AI62" s="188">
        <v>50000000</v>
      </c>
      <c r="AJ62" s="188">
        <v>50000000</v>
      </c>
      <c r="AK62" s="188">
        <v>160051234.65000001</v>
      </c>
      <c r="AL62" s="188">
        <v>160053922.36000001</v>
      </c>
      <c r="AM62" s="188">
        <v>5066161.46</v>
      </c>
      <c r="AN62" s="188">
        <v>5068023.79</v>
      </c>
      <c r="AO62" s="188">
        <v>5059065.22</v>
      </c>
      <c r="AP62" s="188">
        <v>5081364.59</v>
      </c>
      <c r="AQ62" s="188">
        <v>10111946</v>
      </c>
      <c r="AR62" s="188">
        <v>10133585.32</v>
      </c>
      <c r="AS62" s="188">
        <v>10172046.130000001</v>
      </c>
      <c r="AT62" s="188">
        <v>10236812.93</v>
      </c>
      <c r="AU62" s="188">
        <v>10256864.68</v>
      </c>
      <c r="AV62" s="188">
        <v>10269543.289999999</v>
      </c>
      <c r="AW62" s="188">
        <v>10309204.76</v>
      </c>
      <c r="AX62" s="188">
        <v>10332375.48</v>
      </c>
      <c r="AY62" s="188">
        <v>10339610.119999999</v>
      </c>
      <c r="AZ62" s="188">
        <v>10399623.810000001</v>
      </c>
      <c r="BA62" s="188">
        <v>25491637.18</v>
      </c>
      <c r="BB62" s="188">
        <v>25528759.670000002</v>
      </c>
      <c r="BC62" s="188">
        <v>45000000</v>
      </c>
      <c r="BD62" s="188">
        <v>34000000</v>
      </c>
      <c r="BE62" s="188">
        <v>64000000</v>
      </c>
      <c r="BF62" s="188">
        <v>64000000</v>
      </c>
      <c r="BG62" s="188">
        <v>39000000</v>
      </c>
      <c r="BH62" s="188">
        <v>39000000</v>
      </c>
      <c r="BI62" s="188">
        <v>59000000</v>
      </c>
      <c r="BJ62" s="188">
        <v>59000000</v>
      </c>
      <c r="BK62" s="188">
        <v>78250000</v>
      </c>
      <c r="BL62" s="188">
        <v>59250000</v>
      </c>
      <c r="BM62" s="188">
        <v>43250000</v>
      </c>
      <c r="BN62" s="188">
        <v>43250000</v>
      </c>
      <c r="BO62" s="188">
        <v>49638110.170000002</v>
      </c>
      <c r="BP62" s="188">
        <v>49638110.170000002</v>
      </c>
      <c r="BQ62" s="188">
        <v>18776220.34</v>
      </c>
      <c r="BR62" s="188">
        <v>3888110.17</v>
      </c>
      <c r="BS62" s="188">
        <v>5508110.1699999999</v>
      </c>
      <c r="BT62" s="188">
        <v>3888110.17</v>
      </c>
      <c r="BU62" s="188">
        <v>11543110.17</v>
      </c>
      <c r="BV62" s="188">
        <v>11543110.17</v>
      </c>
      <c r="BW62" s="188">
        <v>11369970.67</v>
      </c>
      <c r="BX62" s="188">
        <v>13294970.67</v>
      </c>
      <c r="BY62" s="188">
        <v>657800</v>
      </c>
      <c r="BZ62" s="188">
        <v>2392800</v>
      </c>
      <c r="CA62" s="188">
        <v>0</v>
      </c>
      <c r="CB62" s="188">
        <v>3076400</v>
      </c>
      <c r="CC62" s="188">
        <v>0</v>
      </c>
      <c r="CD62" s="188">
        <v>4410000</v>
      </c>
      <c r="CE62" s="188">
        <v>0</v>
      </c>
      <c r="CF62" s="188">
        <v>4410000</v>
      </c>
      <c r="CG62" s="188">
        <v>0</v>
      </c>
      <c r="CH62" s="188">
        <v>45851731</v>
      </c>
      <c r="CI62" s="188">
        <v>0</v>
      </c>
      <c r="CJ62" s="188">
        <v>0</v>
      </c>
      <c r="CK62" s="188">
        <v>0</v>
      </c>
      <c r="CL62" s="188">
        <v>0</v>
      </c>
      <c r="CM62" s="188">
        <v>0</v>
      </c>
    </row>
    <row r="63" spans="1:91">
      <c r="A63" s="188" t="s">
        <v>167</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v>0</v>
      </c>
      <c r="BM63" s="188">
        <v>0</v>
      </c>
      <c r="BN63" s="188">
        <v>0</v>
      </c>
      <c r="BO63" s="188">
        <v>0</v>
      </c>
      <c r="BP63" s="188">
        <v>0</v>
      </c>
      <c r="BQ63" s="188">
        <v>0</v>
      </c>
      <c r="BR63" s="188">
        <v>0</v>
      </c>
      <c r="BS63" s="188">
        <v>0</v>
      </c>
      <c r="BT63" s="188">
        <v>0</v>
      </c>
      <c r="BU63" s="188">
        <v>0</v>
      </c>
      <c r="BV63" s="188">
        <v>0</v>
      </c>
      <c r="BW63" s="188">
        <v>0</v>
      </c>
      <c r="BX63" s="188">
        <v>0</v>
      </c>
      <c r="BY63" s="188">
        <v>0</v>
      </c>
      <c r="BZ63" s="188">
        <v>0</v>
      </c>
      <c r="CA63" s="188">
        <v>0</v>
      </c>
      <c r="CB63" s="188">
        <v>0</v>
      </c>
      <c r="CC63" s="188">
        <v>0</v>
      </c>
      <c r="CD63" s="188">
        <v>0</v>
      </c>
      <c r="CE63" s="188">
        <v>0</v>
      </c>
      <c r="CF63" s="188">
        <v>0</v>
      </c>
      <c r="CG63" s="188">
        <v>0</v>
      </c>
      <c r="CH63" s="188">
        <v>0</v>
      </c>
      <c r="CI63" s="188">
        <v>0</v>
      </c>
      <c r="CJ63" s="188">
        <v>0</v>
      </c>
      <c r="CK63" s="188">
        <v>0</v>
      </c>
      <c r="CL63" s="188">
        <v>0</v>
      </c>
      <c r="CM63" s="188">
        <v>0</v>
      </c>
    </row>
    <row r="64" spans="1:91">
      <c r="A64" s="188" t="s">
        <v>168</v>
      </c>
      <c r="B64" s="188">
        <v>143000</v>
      </c>
      <c r="C64" s="188">
        <v>143000</v>
      </c>
      <c r="D64" s="188">
        <v>0</v>
      </c>
      <c r="E64" s="188">
        <v>892406.14</v>
      </c>
      <c r="F64" s="188">
        <v>892406.16</v>
      </c>
      <c r="G64" s="188">
        <v>143000</v>
      </c>
      <c r="H64" s="188">
        <v>143000</v>
      </c>
      <c r="I64" s="188">
        <v>143000</v>
      </c>
      <c r="J64" s="188">
        <v>143000</v>
      </c>
      <c r="K64" s="188">
        <v>143000</v>
      </c>
      <c r="L64" s="188">
        <v>147635.48000000001</v>
      </c>
      <c r="M64" s="188">
        <v>285058.53000000003</v>
      </c>
      <c r="N64" s="188">
        <v>143000</v>
      </c>
      <c r="O64" s="188">
        <v>693236.91</v>
      </c>
      <c r="P64" s="188">
        <v>392545.04</v>
      </c>
      <c r="Q64" s="188">
        <v>197889.82</v>
      </c>
      <c r="R64" s="188">
        <v>143000</v>
      </c>
      <c r="S64" s="188">
        <v>562704.63</v>
      </c>
      <c r="T64" s="188">
        <v>476676.41</v>
      </c>
      <c r="U64" s="188">
        <v>173276.71</v>
      </c>
      <c r="V64" s="188">
        <v>143000</v>
      </c>
      <c r="W64" s="188">
        <v>524388.35</v>
      </c>
      <c r="X64" s="188">
        <v>397282.14</v>
      </c>
      <c r="Y64" s="188">
        <v>191314.89</v>
      </c>
      <c r="Z64" s="188">
        <v>143000</v>
      </c>
      <c r="AA64" s="188">
        <v>143000</v>
      </c>
      <c r="AB64" s="188">
        <v>143000</v>
      </c>
      <c r="AC64" s="188">
        <v>143000</v>
      </c>
      <c r="AD64" s="188">
        <v>143000</v>
      </c>
      <c r="AE64" s="188">
        <v>1753920.89</v>
      </c>
      <c r="AF64" s="188">
        <v>1753920.89</v>
      </c>
      <c r="AG64" s="188">
        <v>1753920.89</v>
      </c>
      <c r="AH64" s="188">
        <v>1753920.89</v>
      </c>
      <c r="AI64" s="188">
        <v>1753920.89</v>
      </c>
      <c r="AJ64" s="188">
        <v>1753920.89</v>
      </c>
      <c r="AK64" s="188">
        <v>1753920.89</v>
      </c>
      <c r="AL64" s="188">
        <v>1753920.89</v>
      </c>
      <c r="AM64" s="188">
        <v>1753920.89</v>
      </c>
      <c r="AN64" s="188">
        <v>1753920.89</v>
      </c>
      <c r="AO64" s="188">
        <v>1753920.89</v>
      </c>
      <c r="AP64" s="188">
        <v>1753920.89</v>
      </c>
      <c r="AQ64" s="188">
        <v>1753920.89</v>
      </c>
      <c r="AR64" s="188">
        <v>1753920.89</v>
      </c>
      <c r="AS64" s="188">
        <v>1753920.89</v>
      </c>
      <c r="AT64" s="188">
        <v>1753920.89</v>
      </c>
      <c r="AU64" s="188">
        <v>1753920.89</v>
      </c>
      <c r="AV64" s="188">
        <v>1753920.89</v>
      </c>
      <c r="AW64" s="188">
        <v>1753920.89</v>
      </c>
      <c r="AX64" s="188">
        <v>1753920.89</v>
      </c>
      <c r="AY64" s="188">
        <v>60275051.700000003</v>
      </c>
      <c r="AZ64" s="188">
        <v>61994914.93</v>
      </c>
      <c r="BA64" s="188">
        <v>6569509.0199999996</v>
      </c>
      <c r="BB64" s="188">
        <v>20703600.969999999</v>
      </c>
      <c r="BC64" s="188">
        <v>6843307.2699999996</v>
      </c>
      <c r="BD64" s="188">
        <v>6128372.75</v>
      </c>
      <c r="BE64" s="188">
        <v>5736905.1500000004</v>
      </c>
      <c r="BF64" s="188">
        <v>6569905.1500000004</v>
      </c>
      <c r="BG64" s="188">
        <v>9741007.2699999996</v>
      </c>
      <c r="BH64" s="188">
        <v>9620507.2699999996</v>
      </c>
      <c r="BI64" s="188">
        <v>9980507.2699999996</v>
      </c>
      <c r="BJ64" s="188">
        <v>10056710.560000001</v>
      </c>
      <c r="BK64" s="188">
        <v>9592440.0199999996</v>
      </c>
      <c r="BL64" s="188">
        <v>9591378.0199999996</v>
      </c>
      <c r="BM64" s="188">
        <v>10125118.140000001</v>
      </c>
      <c r="BN64" s="188">
        <v>10092793.359999999</v>
      </c>
      <c r="BO64" s="188">
        <v>2412974.15</v>
      </c>
      <c r="BP64" s="188">
        <v>2413774.15</v>
      </c>
      <c r="BQ64" s="188">
        <v>2353908.9500000002</v>
      </c>
      <c r="BR64" s="188">
        <v>2357708.9500000002</v>
      </c>
      <c r="BS64" s="188">
        <v>10427035</v>
      </c>
      <c r="BT64" s="188">
        <v>11503864.26</v>
      </c>
      <c r="BU64" s="188">
        <v>10037035</v>
      </c>
      <c r="BV64" s="188">
        <v>10037035</v>
      </c>
      <c r="BW64" s="188">
        <v>10037035</v>
      </c>
      <c r="BX64" s="188">
        <v>10037035</v>
      </c>
      <c r="BY64" s="188">
        <v>10037035</v>
      </c>
      <c r="BZ64" s="188">
        <v>10037035</v>
      </c>
      <c r="CA64" s="188">
        <v>0</v>
      </c>
      <c r="CB64" s="188">
        <v>10037035</v>
      </c>
      <c r="CC64" s="188">
        <v>0</v>
      </c>
      <c r="CD64" s="188">
        <v>10037035</v>
      </c>
      <c r="CE64" s="188">
        <v>0</v>
      </c>
      <c r="CF64" s="188">
        <v>0</v>
      </c>
      <c r="CG64" s="188">
        <v>0</v>
      </c>
      <c r="CH64" s="188">
        <v>9683363.3699999992</v>
      </c>
      <c r="CI64" s="188">
        <v>0</v>
      </c>
      <c r="CJ64" s="188">
        <v>0</v>
      </c>
      <c r="CK64" s="188">
        <v>0</v>
      </c>
      <c r="CL64" s="188">
        <v>0</v>
      </c>
      <c r="CM64" s="188">
        <v>0</v>
      </c>
    </row>
    <row r="65" spans="1:91">
      <c r="A65" s="188" t="s">
        <v>169</v>
      </c>
      <c r="B65" s="188">
        <v>115358620.47</v>
      </c>
      <c r="C65" s="188">
        <v>115372320.29000001</v>
      </c>
      <c r="D65" s="188">
        <v>114684317.73999999</v>
      </c>
      <c r="E65" s="188">
        <v>114687144.44</v>
      </c>
      <c r="F65" s="188">
        <v>125422047.83</v>
      </c>
      <c r="G65" s="188">
        <v>116727812.28</v>
      </c>
      <c r="H65" s="188">
        <v>116747281.38</v>
      </c>
      <c r="I65" s="188">
        <v>118835608.81999999</v>
      </c>
      <c r="J65" s="188">
        <v>126508741.19</v>
      </c>
      <c r="K65" s="188">
        <v>129450508.3</v>
      </c>
      <c r="L65" s="188">
        <v>129636625.72</v>
      </c>
      <c r="M65" s="188">
        <v>134895261</v>
      </c>
      <c r="N65" s="188">
        <v>134895261</v>
      </c>
      <c r="O65" s="188">
        <v>58695816.829999998</v>
      </c>
      <c r="P65" s="188">
        <v>88874228.849999994</v>
      </c>
      <c r="Q65" s="188">
        <v>93004017.579999998</v>
      </c>
      <c r="R65" s="188">
        <v>97836603.989999995</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c r="BH65" s="188">
        <v>0</v>
      </c>
      <c r="BI65" s="188">
        <v>0</v>
      </c>
      <c r="BJ65" s="188">
        <v>0</v>
      </c>
      <c r="BK65" s="188">
        <v>0</v>
      </c>
      <c r="BL65" s="188">
        <v>0</v>
      </c>
      <c r="BM65" s="188">
        <v>0</v>
      </c>
      <c r="BN65" s="188">
        <v>0</v>
      </c>
      <c r="BO65" s="188">
        <v>0</v>
      </c>
      <c r="BP65" s="188">
        <v>0</v>
      </c>
      <c r="BQ65" s="188">
        <v>0</v>
      </c>
      <c r="BR65" s="188">
        <v>0</v>
      </c>
      <c r="BS65" s="188">
        <v>0</v>
      </c>
      <c r="BT65" s="188">
        <v>0</v>
      </c>
      <c r="BU65" s="188">
        <v>0</v>
      </c>
      <c r="BV65" s="188">
        <v>0</v>
      </c>
      <c r="BW65" s="188">
        <v>0</v>
      </c>
      <c r="BX65" s="188">
        <v>0</v>
      </c>
      <c r="BY65" s="188">
        <v>0</v>
      </c>
      <c r="BZ65" s="188">
        <v>0</v>
      </c>
      <c r="CA65" s="188">
        <v>0</v>
      </c>
      <c r="CB65" s="188">
        <v>0</v>
      </c>
      <c r="CC65" s="188">
        <v>0</v>
      </c>
      <c r="CD65" s="188">
        <v>0</v>
      </c>
      <c r="CE65" s="188">
        <v>0</v>
      </c>
      <c r="CF65" s="188">
        <v>0</v>
      </c>
      <c r="CG65" s="188">
        <v>0</v>
      </c>
      <c r="CH65" s="188">
        <v>0</v>
      </c>
      <c r="CI65" s="188">
        <v>0</v>
      </c>
      <c r="CJ65" s="188">
        <v>0</v>
      </c>
      <c r="CK65" s="188">
        <v>0</v>
      </c>
      <c r="CL65" s="188">
        <v>0</v>
      </c>
      <c r="CM65" s="188">
        <v>0</v>
      </c>
    </row>
    <row r="66" spans="1:91">
      <c r="A66" s="188" t="s">
        <v>170</v>
      </c>
      <c r="B66" s="188">
        <v>0</v>
      </c>
      <c r="C66" s="188">
        <v>0</v>
      </c>
      <c r="D66" s="188">
        <v>0</v>
      </c>
      <c r="E66" s="188">
        <v>0</v>
      </c>
      <c r="F66" s="188">
        <v>0</v>
      </c>
      <c r="G66" s="188">
        <v>0</v>
      </c>
      <c r="H66" s="188">
        <v>0</v>
      </c>
      <c r="I66" s="188">
        <v>0</v>
      </c>
      <c r="J66" s="188">
        <v>0</v>
      </c>
      <c r="K66" s="188">
        <v>0</v>
      </c>
      <c r="L66" s="188">
        <v>0</v>
      </c>
      <c r="M66" s="188">
        <v>0</v>
      </c>
      <c r="N66" s="188">
        <v>0</v>
      </c>
      <c r="O66" s="188">
        <v>451133256.63</v>
      </c>
      <c r="P66" s="188">
        <v>368324094.19</v>
      </c>
      <c r="Q66" s="188">
        <v>508597141.54000002</v>
      </c>
      <c r="R66" s="188">
        <v>527514094.19</v>
      </c>
      <c r="S66" s="188">
        <v>533555166.83999997</v>
      </c>
      <c r="T66" s="188">
        <v>528287554.30000001</v>
      </c>
      <c r="U66" s="188">
        <v>546999793.61000001</v>
      </c>
      <c r="V66" s="188">
        <v>478594799.04000002</v>
      </c>
      <c r="W66" s="188">
        <v>490792556.92000002</v>
      </c>
      <c r="X66" s="188">
        <v>491781980.81999999</v>
      </c>
      <c r="Y66" s="188">
        <v>336824140.51999998</v>
      </c>
      <c r="Z66" s="188">
        <v>337097926.5</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1840934.52</v>
      </c>
      <c r="AV66" s="188">
        <v>1774934.52</v>
      </c>
      <c r="AW66" s="188">
        <v>1374934.52</v>
      </c>
      <c r="AX66" s="188">
        <v>1110772.1599999999</v>
      </c>
      <c r="AY66" s="188">
        <v>329526.07</v>
      </c>
      <c r="AZ66" s="188">
        <v>1086477.29</v>
      </c>
      <c r="BA66" s="188">
        <v>380880.39</v>
      </c>
      <c r="BB66" s="188">
        <v>1160509.9099999999</v>
      </c>
      <c r="BC66" s="188">
        <v>425900</v>
      </c>
      <c r="BD66" s="188">
        <v>1139334.52</v>
      </c>
      <c r="BE66" s="188">
        <v>1139334.52</v>
      </c>
      <c r="BF66" s="188">
        <v>1139334.52</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c r="CL66" s="188">
        <v>0</v>
      </c>
      <c r="CM66" s="188">
        <v>0</v>
      </c>
    </row>
    <row r="67" spans="1:91">
      <c r="A67" s="188" t="s">
        <v>171</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c r="BS67" s="188">
        <v>0</v>
      </c>
      <c r="BT67" s="188">
        <v>0</v>
      </c>
      <c r="BU67" s="188">
        <v>0</v>
      </c>
      <c r="BV67" s="188">
        <v>0</v>
      </c>
      <c r="BW67" s="188">
        <v>0</v>
      </c>
      <c r="BX67" s="188">
        <v>0</v>
      </c>
      <c r="BY67" s="188">
        <v>0</v>
      </c>
      <c r="BZ67" s="188">
        <v>0</v>
      </c>
      <c r="CA67" s="188">
        <v>0</v>
      </c>
      <c r="CB67" s="188">
        <v>0</v>
      </c>
      <c r="CC67" s="188">
        <v>0</v>
      </c>
      <c r="CD67" s="188">
        <v>0</v>
      </c>
      <c r="CE67" s="188">
        <v>0</v>
      </c>
      <c r="CF67" s="188">
        <v>0</v>
      </c>
      <c r="CG67" s="188">
        <v>0</v>
      </c>
      <c r="CH67" s="188">
        <v>0</v>
      </c>
      <c r="CI67" s="188">
        <v>0</v>
      </c>
      <c r="CJ67" s="188">
        <v>0</v>
      </c>
      <c r="CK67" s="188">
        <v>0</v>
      </c>
      <c r="CL67" s="188">
        <v>0</v>
      </c>
      <c r="CM67" s="188">
        <v>0</v>
      </c>
    </row>
    <row r="68" spans="1:91">
      <c r="A68" s="188" t="s">
        <v>172</v>
      </c>
      <c r="B68" s="188">
        <v>61574415.850000001</v>
      </c>
      <c r="C68" s="188">
        <v>62765220.07</v>
      </c>
      <c r="D68" s="188">
        <v>60880442.770000003</v>
      </c>
      <c r="E68" s="188">
        <v>66757206.229999997</v>
      </c>
      <c r="F68" s="188">
        <v>38462336.270000003</v>
      </c>
      <c r="G68" s="188">
        <v>54196561.490000002</v>
      </c>
      <c r="H68" s="188">
        <v>56909393.329999998</v>
      </c>
      <c r="I68" s="188">
        <v>57824989.609999999</v>
      </c>
      <c r="J68" s="188">
        <v>55027840.439999998</v>
      </c>
      <c r="K68" s="188">
        <v>41021119.869999997</v>
      </c>
      <c r="L68" s="188">
        <v>41599818.229999997</v>
      </c>
      <c r="M68" s="188">
        <v>57463600.049999997</v>
      </c>
      <c r="N68" s="188">
        <v>64383640.159999996</v>
      </c>
      <c r="O68" s="188">
        <v>61101424.75</v>
      </c>
      <c r="P68" s="188">
        <v>78368970.950000003</v>
      </c>
      <c r="Q68" s="188">
        <v>92463910.909999996</v>
      </c>
      <c r="R68" s="188">
        <v>78467210.099999994</v>
      </c>
      <c r="S68" s="188">
        <v>92707825.519999996</v>
      </c>
      <c r="T68" s="188">
        <v>85077428.640000001</v>
      </c>
      <c r="U68" s="188">
        <v>85761514.969999999</v>
      </c>
      <c r="V68" s="188">
        <v>87126358.530000001</v>
      </c>
      <c r="W68" s="188">
        <v>99993098.420000002</v>
      </c>
      <c r="X68" s="188">
        <v>82631973.120000005</v>
      </c>
      <c r="Y68" s="188">
        <v>128139916.58</v>
      </c>
      <c r="Z68" s="188">
        <v>128521843.11</v>
      </c>
      <c r="AA68" s="188">
        <v>107383347.84</v>
      </c>
      <c r="AB68" s="188">
        <v>41411694.719999999</v>
      </c>
      <c r="AC68" s="188">
        <v>43050828.079999998</v>
      </c>
      <c r="AD68" s="188">
        <v>72624175.909999996</v>
      </c>
      <c r="AE68" s="188">
        <v>41130884.609999999</v>
      </c>
      <c r="AF68" s="188">
        <v>39575463.509999998</v>
      </c>
      <c r="AG68" s="188">
        <v>39931048.210000001</v>
      </c>
      <c r="AH68" s="188">
        <v>40264134.43</v>
      </c>
      <c r="AI68" s="188">
        <v>42449400.32</v>
      </c>
      <c r="AJ68" s="188">
        <v>42653466.369999997</v>
      </c>
      <c r="AK68" s="188">
        <v>45069702.460000001</v>
      </c>
      <c r="AL68" s="188">
        <v>47336763.479999997</v>
      </c>
      <c r="AM68" s="188">
        <v>14075722.1</v>
      </c>
      <c r="AN68" s="188">
        <v>14836532.33</v>
      </c>
      <c r="AO68" s="188">
        <v>11348083.5</v>
      </c>
      <c r="AP68" s="188">
        <v>10223461.91</v>
      </c>
      <c r="AQ68" s="188">
        <v>25097550.68</v>
      </c>
      <c r="AR68" s="188">
        <v>25005134.829999998</v>
      </c>
      <c r="AS68" s="188">
        <v>27487284.390000001</v>
      </c>
      <c r="AT68" s="188">
        <v>27134956.109999999</v>
      </c>
      <c r="AU68" s="188">
        <v>33429408.100000001</v>
      </c>
      <c r="AV68" s="188">
        <v>26112266.84</v>
      </c>
      <c r="AW68" s="188">
        <v>8949288.2699999996</v>
      </c>
      <c r="AX68" s="188">
        <v>0</v>
      </c>
      <c r="AY68" s="188">
        <v>0</v>
      </c>
      <c r="AZ68" s="188">
        <v>0</v>
      </c>
      <c r="BA68" s="188">
        <v>0</v>
      </c>
      <c r="BB68" s="188">
        <v>0</v>
      </c>
      <c r="BC68" s="188">
        <v>0</v>
      </c>
      <c r="BD68" s="188">
        <v>0</v>
      </c>
      <c r="BE68" s="188">
        <v>0</v>
      </c>
      <c r="BF68" s="188">
        <v>0</v>
      </c>
      <c r="BG68" s="188">
        <v>0</v>
      </c>
      <c r="BH68" s="188">
        <v>0</v>
      </c>
      <c r="BI68" s="188">
        <v>0</v>
      </c>
      <c r="BJ68" s="188">
        <v>0</v>
      </c>
      <c r="BK68" s="188">
        <v>0</v>
      </c>
      <c r="BL68" s="188">
        <v>0</v>
      </c>
      <c r="BM68" s="188">
        <v>0</v>
      </c>
      <c r="BN68" s="188">
        <v>0</v>
      </c>
      <c r="BO68" s="188">
        <v>0</v>
      </c>
      <c r="BP68" s="188">
        <v>0</v>
      </c>
      <c r="BQ68" s="188">
        <v>0</v>
      </c>
      <c r="BR68" s="188">
        <v>0</v>
      </c>
      <c r="BS68" s="188">
        <v>7808390.7699999996</v>
      </c>
      <c r="BT68" s="188">
        <v>0</v>
      </c>
      <c r="BU68" s="188">
        <v>3339026.36</v>
      </c>
      <c r="BV68" s="188">
        <v>0</v>
      </c>
      <c r="BW68" s="188">
        <v>0</v>
      </c>
      <c r="BX68" s="188">
        <v>0</v>
      </c>
      <c r="BY68" s="188">
        <v>0</v>
      </c>
      <c r="BZ68" s="188">
        <v>0</v>
      </c>
      <c r="CA68" s="188">
        <v>0</v>
      </c>
      <c r="CB68" s="188">
        <v>0</v>
      </c>
      <c r="CC68" s="188">
        <v>0</v>
      </c>
      <c r="CD68" s="188">
        <v>0</v>
      </c>
      <c r="CE68" s="188">
        <v>0</v>
      </c>
      <c r="CF68" s="188">
        <v>0</v>
      </c>
      <c r="CG68" s="188">
        <v>0</v>
      </c>
      <c r="CH68" s="188">
        <v>0</v>
      </c>
      <c r="CI68" s="188">
        <v>0</v>
      </c>
      <c r="CJ68" s="188">
        <v>0</v>
      </c>
      <c r="CK68" s="188">
        <v>0</v>
      </c>
      <c r="CL68" s="188">
        <v>0</v>
      </c>
      <c r="CM68" s="188">
        <v>0</v>
      </c>
    </row>
    <row r="69" spans="1:91">
      <c r="A69" s="188" t="s">
        <v>173</v>
      </c>
      <c r="B69" s="188">
        <v>198869564.88</v>
      </c>
      <c r="C69" s="188">
        <v>201319103.75</v>
      </c>
      <c r="D69" s="188">
        <v>203568642.62</v>
      </c>
      <c r="E69" s="188">
        <v>205818181.49000001</v>
      </c>
      <c r="F69" s="188">
        <v>208067720.34</v>
      </c>
      <c r="G69" s="188">
        <v>210517259.21000001</v>
      </c>
      <c r="H69" s="188">
        <v>214246798.08000001</v>
      </c>
      <c r="I69" s="188">
        <v>216496336.94999999</v>
      </c>
      <c r="J69" s="188">
        <v>218745875.81999999</v>
      </c>
      <c r="K69" s="188">
        <v>224721625.30000001</v>
      </c>
      <c r="L69" s="188">
        <v>230434798.15000001</v>
      </c>
      <c r="M69" s="188">
        <v>232443108.97999999</v>
      </c>
      <c r="N69" s="188">
        <v>232283109</v>
      </c>
      <c r="O69" s="188">
        <v>52750000</v>
      </c>
      <c r="P69" s="188">
        <v>52750000</v>
      </c>
      <c r="Q69" s="188">
        <v>54050000</v>
      </c>
      <c r="R69" s="188">
        <v>54050000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c r="BH69" s="188">
        <v>0</v>
      </c>
      <c r="BI69" s="188">
        <v>0</v>
      </c>
      <c r="BJ69" s="188">
        <v>0</v>
      </c>
      <c r="BK69" s="188">
        <v>0</v>
      </c>
      <c r="BL69" s="188">
        <v>0</v>
      </c>
      <c r="BM69" s="188">
        <v>0</v>
      </c>
      <c r="BN69" s="188">
        <v>0</v>
      </c>
      <c r="BO69" s="188">
        <v>0</v>
      </c>
      <c r="BP69" s="188">
        <v>0</v>
      </c>
      <c r="BQ69" s="188">
        <v>0</v>
      </c>
      <c r="BR69" s="188">
        <v>0</v>
      </c>
      <c r="BS69" s="188">
        <v>0</v>
      </c>
      <c r="BT69" s="188">
        <v>0</v>
      </c>
      <c r="BU69" s="188">
        <v>0</v>
      </c>
      <c r="BV69" s="188">
        <v>0</v>
      </c>
      <c r="BW69" s="188">
        <v>0</v>
      </c>
      <c r="BX69" s="188">
        <v>0</v>
      </c>
      <c r="BY69" s="188">
        <v>0</v>
      </c>
      <c r="BZ69" s="188">
        <v>0</v>
      </c>
      <c r="CA69" s="188">
        <v>0</v>
      </c>
      <c r="CB69" s="188">
        <v>0</v>
      </c>
      <c r="CC69" s="188">
        <v>0</v>
      </c>
      <c r="CD69" s="188">
        <v>0</v>
      </c>
      <c r="CE69" s="188">
        <v>0</v>
      </c>
      <c r="CF69" s="188">
        <v>0</v>
      </c>
      <c r="CG69" s="188">
        <v>0</v>
      </c>
      <c r="CH69" s="188">
        <v>0</v>
      </c>
      <c r="CI69" s="188">
        <v>0</v>
      </c>
      <c r="CJ69" s="188">
        <v>0</v>
      </c>
      <c r="CK69" s="188">
        <v>0</v>
      </c>
      <c r="CL69" s="188">
        <v>0</v>
      </c>
      <c r="CM69" s="188">
        <v>0</v>
      </c>
    </row>
    <row r="70" spans="1:91">
      <c r="A70" s="188" t="s">
        <v>174</v>
      </c>
      <c r="B70" s="188">
        <v>0</v>
      </c>
      <c r="C70" s="188">
        <v>0</v>
      </c>
      <c r="D70" s="188">
        <v>0</v>
      </c>
      <c r="E70" s="188">
        <v>0</v>
      </c>
      <c r="F70" s="188">
        <v>0</v>
      </c>
      <c r="G70" s="188">
        <v>1223071.97</v>
      </c>
      <c r="H70" s="188">
        <v>1223071.97</v>
      </c>
      <c r="I70" s="188">
        <v>1396766.99</v>
      </c>
      <c r="J70" s="188">
        <v>1645900.19</v>
      </c>
      <c r="K70" s="188">
        <v>1280744.1299999999</v>
      </c>
      <c r="L70" s="188">
        <v>1280744.1100000001</v>
      </c>
      <c r="M70" s="188">
        <v>1165704.7</v>
      </c>
      <c r="N70" s="188">
        <v>1165704.6599999999</v>
      </c>
      <c r="O70" s="188">
        <v>124336.65</v>
      </c>
      <c r="P70" s="188">
        <v>9746385</v>
      </c>
      <c r="Q70" s="188">
        <v>30760912.850000001</v>
      </c>
      <c r="R70" s="188">
        <v>11929625</v>
      </c>
      <c r="S70" s="188">
        <v>115465195.89</v>
      </c>
      <c r="T70" s="188">
        <v>128488624.03</v>
      </c>
      <c r="U70" s="188">
        <v>133373494.23</v>
      </c>
      <c r="V70" s="188">
        <v>136726125.74000001</v>
      </c>
      <c r="W70" s="188">
        <v>304428001.45999998</v>
      </c>
      <c r="X70" s="188">
        <v>308638023.68000001</v>
      </c>
      <c r="Y70" s="188">
        <v>348748892.81</v>
      </c>
      <c r="Z70" s="188">
        <v>370263167.26999998</v>
      </c>
      <c r="AA70" s="188">
        <v>498699481.50999999</v>
      </c>
      <c r="AB70" s="188">
        <v>5765650</v>
      </c>
      <c r="AC70" s="188">
        <v>5765650</v>
      </c>
      <c r="AD70" s="188">
        <v>43265572.689999998</v>
      </c>
      <c r="AE70" s="188">
        <v>17498983.329999998</v>
      </c>
      <c r="AF70" s="188">
        <v>17498983.329999998</v>
      </c>
      <c r="AG70" s="188">
        <v>17498983.329999998</v>
      </c>
      <c r="AH70" s="188">
        <v>17548983.329999998</v>
      </c>
      <c r="AI70" s="188">
        <v>16346050</v>
      </c>
      <c r="AJ70" s="188">
        <v>17466050</v>
      </c>
      <c r="AK70" s="188">
        <v>18115650</v>
      </c>
      <c r="AL70" s="188">
        <v>10115650</v>
      </c>
      <c r="AM70" s="188">
        <v>12940816.34</v>
      </c>
      <c r="AN70" s="188">
        <v>3500000</v>
      </c>
      <c r="AO70" s="188">
        <v>3700940</v>
      </c>
      <c r="AP70" s="188">
        <v>3010940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0</v>
      </c>
      <c r="BR70" s="188">
        <v>0</v>
      </c>
      <c r="BS70" s="188">
        <v>1055171.3600000001</v>
      </c>
      <c r="BT70" s="188">
        <v>-30079893.239999998</v>
      </c>
      <c r="BU70" s="188">
        <v>1099891.96</v>
      </c>
      <c r="BV70" s="188">
        <v>1099891.96</v>
      </c>
      <c r="BW70" s="188">
        <v>0</v>
      </c>
      <c r="BX70" s="188">
        <v>0</v>
      </c>
      <c r="BY70" s="188">
        <v>0</v>
      </c>
      <c r="BZ70" s="188">
        <v>-4451806.22</v>
      </c>
      <c r="CA70" s="188">
        <v>0</v>
      </c>
      <c r="CB70" s="188">
        <v>-4175163.53</v>
      </c>
      <c r="CC70" s="188">
        <v>0</v>
      </c>
      <c r="CD70" s="188">
        <v>-4244677.6399999997</v>
      </c>
      <c r="CE70" s="188">
        <v>0</v>
      </c>
      <c r="CF70" s="188">
        <v>0</v>
      </c>
      <c r="CG70" s="188">
        <v>0</v>
      </c>
      <c r="CH70" s="188">
        <v>0</v>
      </c>
      <c r="CI70" s="188">
        <v>0</v>
      </c>
      <c r="CJ70" s="188">
        <v>0</v>
      </c>
      <c r="CK70" s="188">
        <v>0</v>
      </c>
      <c r="CL70" s="188">
        <v>0</v>
      </c>
      <c r="CM70" s="188">
        <v>0</v>
      </c>
    </row>
    <row r="71" spans="1:91">
      <c r="A71" s="188" t="s">
        <v>175</v>
      </c>
      <c r="B71" s="188">
        <v>375945601.19999999</v>
      </c>
      <c r="C71" s="188">
        <v>379599644.11000001</v>
      </c>
      <c r="D71" s="188">
        <v>379276403.13</v>
      </c>
      <c r="E71" s="188">
        <v>388154938.30000001</v>
      </c>
      <c r="F71" s="188">
        <v>372844510.60000002</v>
      </c>
      <c r="G71" s="188">
        <v>382807704.94999999</v>
      </c>
      <c r="H71" s="188">
        <v>389269544.75999999</v>
      </c>
      <c r="I71" s="188">
        <v>394696702.37</v>
      </c>
      <c r="J71" s="188">
        <v>402071357.63999999</v>
      </c>
      <c r="K71" s="188">
        <v>396616997.60000002</v>
      </c>
      <c r="L71" s="188">
        <v>403099621.69</v>
      </c>
      <c r="M71" s="188">
        <v>426252733.25999999</v>
      </c>
      <c r="N71" s="188">
        <v>432870714.81999999</v>
      </c>
      <c r="O71" s="188">
        <v>624498071.76999998</v>
      </c>
      <c r="P71" s="188">
        <v>640695848.37</v>
      </c>
      <c r="Q71" s="188">
        <v>2214983217.5</v>
      </c>
      <c r="R71" s="188">
        <v>2186223030.6799998</v>
      </c>
      <c r="S71" s="188">
        <v>829344884.97000003</v>
      </c>
      <c r="T71" s="188">
        <v>827540481.40999997</v>
      </c>
      <c r="U71" s="188">
        <v>847356746.92999995</v>
      </c>
      <c r="V71" s="188">
        <v>782027953.46000004</v>
      </c>
      <c r="W71" s="188">
        <v>2323457345.1500001</v>
      </c>
      <c r="X71" s="188">
        <v>2318186891.3600001</v>
      </c>
      <c r="Y71" s="188">
        <v>2275899509.4000001</v>
      </c>
      <c r="Z71" s="188">
        <v>2298818924.3800001</v>
      </c>
      <c r="AA71" s="188">
        <v>796436806.35000002</v>
      </c>
      <c r="AB71" s="188">
        <v>47320344.719999999</v>
      </c>
      <c r="AC71" s="188">
        <v>48959478.079999998</v>
      </c>
      <c r="AD71" s="188">
        <v>1598873952.8</v>
      </c>
      <c r="AE71" s="188">
        <v>110383788.83</v>
      </c>
      <c r="AF71" s="188">
        <v>108828367.73</v>
      </c>
      <c r="AG71" s="188">
        <v>109183952.43000001</v>
      </c>
      <c r="AH71" s="188">
        <v>109567038.65000001</v>
      </c>
      <c r="AI71" s="188">
        <v>110549371.20999999</v>
      </c>
      <c r="AJ71" s="188">
        <v>111873437.26000001</v>
      </c>
      <c r="AK71" s="188">
        <v>224990508</v>
      </c>
      <c r="AL71" s="188">
        <v>219260256.72999999</v>
      </c>
      <c r="AM71" s="188">
        <v>33836620.789999999</v>
      </c>
      <c r="AN71" s="188">
        <v>25158477.010000002</v>
      </c>
      <c r="AO71" s="188">
        <v>21862009.609999999</v>
      </c>
      <c r="AP71" s="188">
        <v>20069687.390000001</v>
      </c>
      <c r="AQ71" s="188">
        <v>36963417.57</v>
      </c>
      <c r="AR71" s="188">
        <v>36892641.039999999</v>
      </c>
      <c r="AS71" s="188">
        <v>39413251.409999996</v>
      </c>
      <c r="AT71" s="188">
        <v>39125689.93</v>
      </c>
      <c r="AU71" s="188">
        <v>47281128.189999998</v>
      </c>
      <c r="AV71" s="188">
        <v>39910665.539999999</v>
      </c>
      <c r="AW71" s="188">
        <v>22387348.440000001</v>
      </c>
      <c r="AX71" s="188">
        <v>13197068.529999999</v>
      </c>
      <c r="AY71" s="188">
        <v>70944187.890000001</v>
      </c>
      <c r="AZ71" s="188">
        <v>73481016.030000001</v>
      </c>
      <c r="BA71" s="188">
        <v>32442026.59</v>
      </c>
      <c r="BB71" s="188">
        <v>47392870.549999997</v>
      </c>
      <c r="BC71" s="188">
        <v>52269207.270000003</v>
      </c>
      <c r="BD71" s="188">
        <v>41267707.270000003</v>
      </c>
      <c r="BE71" s="188">
        <v>70876239.670000002</v>
      </c>
      <c r="BF71" s="188">
        <v>71709239.670000002</v>
      </c>
      <c r="BG71" s="188">
        <v>48741007.270000003</v>
      </c>
      <c r="BH71" s="188">
        <v>48620507.270000003</v>
      </c>
      <c r="BI71" s="188">
        <v>68980507.269999996</v>
      </c>
      <c r="BJ71" s="188">
        <v>69056710.560000002</v>
      </c>
      <c r="BK71" s="188">
        <v>87842440.019999996</v>
      </c>
      <c r="BL71" s="188">
        <v>68841378.019999996</v>
      </c>
      <c r="BM71" s="188">
        <v>53375118.140000001</v>
      </c>
      <c r="BN71" s="188">
        <v>53342793.359999999</v>
      </c>
      <c r="BO71" s="188">
        <v>52051084.32</v>
      </c>
      <c r="BP71" s="188">
        <v>52051884.32</v>
      </c>
      <c r="BQ71" s="188">
        <v>21130129.289999999</v>
      </c>
      <c r="BR71" s="188">
        <v>6245819.1200000001</v>
      </c>
      <c r="BS71" s="188">
        <v>24798707.300000001</v>
      </c>
      <c r="BT71" s="188">
        <v>15391974.43</v>
      </c>
      <c r="BU71" s="188">
        <v>21699712.260000002</v>
      </c>
      <c r="BV71" s="188">
        <v>17762193.960000001</v>
      </c>
      <c r="BW71" s="188">
        <v>16700834.92</v>
      </c>
      <c r="BX71" s="188">
        <v>18637712.379999999</v>
      </c>
      <c r="BY71" s="188">
        <v>6237527.5800000001</v>
      </c>
      <c r="BZ71" s="188">
        <v>7978028.7800000003</v>
      </c>
      <c r="CA71" s="188">
        <v>9367983.4800000004</v>
      </c>
      <c r="CB71" s="188">
        <v>8938271.4700000007</v>
      </c>
      <c r="CC71" s="188">
        <v>21954491.920000002</v>
      </c>
      <c r="CD71" s="188">
        <v>10202357.359999999</v>
      </c>
      <c r="CE71" s="188">
        <v>12315352.42</v>
      </c>
      <c r="CF71" s="188">
        <v>14486000</v>
      </c>
      <c r="CG71" s="188">
        <v>15176572.18</v>
      </c>
      <c r="CH71" s="188">
        <v>55535094.369999997</v>
      </c>
      <c r="CI71" s="188">
        <v>68620000</v>
      </c>
      <c r="CJ71" s="188">
        <v>35070000</v>
      </c>
      <c r="CK71" s="188">
        <v>16410000</v>
      </c>
      <c r="CL71" s="188">
        <v>31250000</v>
      </c>
      <c r="CM71" s="188">
        <v>0</v>
      </c>
    </row>
    <row r="72" spans="1:91">
      <c r="A72" s="188" t="s">
        <v>176</v>
      </c>
      <c r="B72" s="188">
        <v>20531961859</v>
      </c>
      <c r="C72" s="188">
        <v>20233287799.41</v>
      </c>
      <c r="D72" s="188">
        <v>21010377816.779999</v>
      </c>
      <c r="E72" s="188">
        <v>20847329453.490002</v>
      </c>
      <c r="F72" s="188">
        <v>21089777209.990002</v>
      </c>
      <c r="G72" s="188">
        <v>20302631254.580002</v>
      </c>
      <c r="H72" s="188">
        <v>20187365320.75</v>
      </c>
      <c r="I72" s="188">
        <v>20804711733.25</v>
      </c>
      <c r="J72" s="188">
        <v>20150576971.080002</v>
      </c>
      <c r="K72" s="188">
        <v>20072277238.279999</v>
      </c>
      <c r="L72" s="188">
        <v>20474000319.509998</v>
      </c>
      <c r="M72" s="188">
        <v>19612362742.240002</v>
      </c>
      <c r="N72" s="188">
        <v>19366248695.959999</v>
      </c>
      <c r="O72" s="188">
        <v>19207610891.82</v>
      </c>
      <c r="P72" s="188">
        <v>21496962333.34</v>
      </c>
      <c r="Q72" s="188">
        <v>21052698112.290001</v>
      </c>
      <c r="R72" s="188">
        <v>21157190034.950001</v>
      </c>
      <c r="S72" s="188">
        <v>20872958794.040001</v>
      </c>
      <c r="T72" s="188">
        <v>20925151282.580002</v>
      </c>
      <c r="U72" s="188">
        <v>19732273533.349998</v>
      </c>
      <c r="V72" s="188">
        <v>19053624874.07</v>
      </c>
      <c r="W72" s="188">
        <v>18796137992.450001</v>
      </c>
      <c r="X72" s="188">
        <v>18455803648.970001</v>
      </c>
      <c r="Y72" s="188">
        <v>17238819799.07</v>
      </c>
      <c r="Z72" s="188">
        <v>18613276240.380001</v>
      </c>
      <c r="AA72" s="188">
        <v>16143149724.559999</v>
      </c>
      <c r="AB72" s="188">
        <v>11873689672.129999</v>
      </c>
      <c r="AC72" s="188">
        <v>9999823069.1399994</v>
      </c>
      <c r="AD72" s="188">
        <v>13653895106.549999</v>
      </c>
      <c r="AE72" s="188">
        <v>9551805959.2900009</v>
      </c>
      <c r="AF72" s="188">
        <v>9305103341.4500008</v>
      </c>
      <c r="AG72" s="188">
        <v>8068422830.1599998</v>
      </c>
      <c r="AH72" s="188">
        <v>7793274272.2399998</v>
      </c>
      <c r="AI72" s="188">
        <v>7884368097</v>
      </c>
      <c r="AJ72" s="188">
        <v>7477319593.3999996</v>
      </c>
      <c r="AK72" s="188">
        <v>6579967169.4799995</v>
      </c>
      <c r="AL72" s="188">
        <v>6343603629.5200005</v>
      </c>
      <c r="AM72" s="188">
        <v>6103327658.8400002</v>
      </c>
      <c r="AN72" s="188">
        <v>5266685775.8500004</v>
      </c>
      <c r="AO72" s="188">
        <v>4506089795.1999998</v>
      </c>
      <c r="AP72" s="188">
        <v>4282256935.8299999</v>
      </c>
      <c r="AQ72" s="188">
        <v>4489420499.1400003</v>
      </c>
      <c r="AR72" s="188">
        <v>4614653219.6099997</v>
      </c>
      <c r="AS72" s="188">
        <v>4068619526.8200002</v>
      </c>
      <c r="AT72" s="188">
        <v>4367355186.1099997</v>
      </c>
      <c r="AU72" s="188">
        <v>4173963739.3000002</v>
      </c>
      <c r="AV72" s="188">
        <v>4052282228.2600002</v>
      </c>
      <c r="AW72" s="188">
        <v>3415796162.1599998</v>
      </c>
      <c r="AX72" s="188">
        <v>3343516772.4400001</v>
      </c>
      <c r="AY72" s="188">
        <v>3115451594.8800001</v>
      </c>
      <c r="AZ72" s="188">
        <v>3088273985.0999999</v>
      </c>
      <c r="BA72" s="188">
        <v>2642432530.4499998</v>
      </c>
      <c r="BB72" s="188">
        <v>2857362213.8400002</v>
      </c>
      <c r="BC72" s="188">
        <v>2804020543.4400001</v>
      </c>
      <c r="BD72" s="188">
        <v>3116660565.7800002</v>
      </c>
      <c r="BE72" s="188">
        <v>3110490203.9899998</v>
      </c>
      <c r="BF72" s="188">
        <v>3301022664.9000001</v>
      </c>
      <c r="BG72" s="188">
        <v>3667133326.1199999</v>
      </c>
      <c r="BH72" s="188">
        <v>3861451529.0999999</v>
      </c>
      <c r="BI72" s="188">
        <v>3706049932.5100002</v>
      </c>
      <c r="BJ72" s="188">
        <v>3881074009.27</v>
      </c>
      <c r="BK72" s="188">
        <v>3992792405.98</v>
      </c>
      <c r="BL72" s="188">
        <v>4304021872.5500002</v>
      </c>
      <c r="BM72" s="188">
        <v>4258072319.0700002</v>
      </c>
      <c r="BN72" s="188">
        <v>4298819297.1400003</v>
      </c>
      <c r="BO72" s="188">
        <v>3801813112.46</v>
      </c>
      <c r="BP72" s="188">
        <v>4188955439.75</v>
      </c>
      <c r="BQ72" s="188">
        <v>3784515191.9499998</v>
      </c>
      <c r="BR72" s="188">
        <v>3559026904.9499998</v>
      </c>
      <c r="BS72" s="188">
        <v>3610997971.79</v>
      </c>
      <c r="BT72" s="188">
        <v>3292810858.9000001</v>
      </c>
      <c r="BU72" s="188">
        <v>3399134407.0599999</v>
      </c>
      <c r="BV72" s="188">
        <v>3288890716.8699999</v>
      </c>
      <c r="BW72" s="188">
        <v>2866418808.8299999</v>
      </c>
      <c r="BX72" s="188">
        <v>3015395593.46</v>
      </c>
      <c r="BY72" s="188">
        <v>1231901172.54</v>
      </c>
      <c r="BZ72" s="188">
        <v>1383148872.3</v>
      </c>
      <c r="CA72" s="188">
        <v>1260364135.48</v>
      </c>
      <c r="CB72" s="188">
        <v>1421791010.71</v>
      </c>
      <c r="CC72" s="188">
        <v>1152831948.9300001</v>
      </c>
      <c r="CD72" s="188">
        <v>836556951.37</v>
      </c>
      <c r="CE72" s="188">
        <v>531296412.54000002</v>
      </c>
      <c r="CF72" s="188">
        <v>366127000</v>
      </c>
      <c r="CG72" s="188">
        <v>418031540.13</v>
      </c>
      <c r="CH72" s="188">
        <v>542951290.77999997</v>
      </c>
      <c r="CI72" s="188">
        <v>552760000</v>
      </c>
      <c r="CJ72" s="188">
        <v>377780000</v>
      </c>
      <c r="CK72" s="188">
        <v>194330000</v>
      </c>
      <c r="CL72" s="188">
        <v>215690000</v>
      </c>
      <c r="CM72" s="188">
        <v>0</v>
      </c>
    </row>
    <row r="73" spans="1:91">
      <c r="A73" s="188" t="s">
        <v>177</v>
      </c>
    </row>
    <row r="74" spans="1:91">
      <c r="A74" s="188" t="s">
        <v>178</v>
      </c>
      <c r="B74" s="188">
        <v>1022739308</v>
      </c>
      <c r="C74" s="188">
        <v>1022739308</v>
      </c>
      <c r="D74" s="188">
        <v>1022739308</v>
      </c>
      <c r="E74" s="188">
        <v>1022739308</v>
      </c>
      <c r="F74" s="188">
        <v>1022739308</v>
      </c>
      <c r="G74" s="188">
        <v>1022739308</v>
      </c>
      <c r="H74" s="188">
        <v>1022739308</v>
      </c>
      <c r="I74" s="188">
        <v>1022739308</v>
      </c>
      <c r="J74" s="188">
        <v>1022739308</v>
      </c>
      <c r="K74" s="188">
        <v>1022739308</v>
      </c>
      <c r="L74" s="188">
        <v>1022739308</v>
      </c>
      <c r="M74" s="188">
        <v>1022739308</v>
      </c>
      <c r="N74" s="188">
        <v>1022739308</v>
      </c>
      <c r="O74" s="188">
        <v>1022739308</v>
      </c>
      <c r="P74" s="188">
        <v>1022739308</v>
      </c>
      <c r="Q74" s="188">
        <v>1022739308</v>
      </c>
      <c r="R74" s="188">
        <v>1022739308</v>
      </c>
      <c r="S74" s="188">
        <v>1022739308</v>
      </c>
      <c r="T74" s="188">
        <v>1022739308</v>
      </c>
      <c r="U74" s="188">
        <v>1022739308</v>
      </c>
      <c r="V74" s="188">
        <v>1022739308</v>
      </c>
      <c r="W74" s="188">
        <v>1022739308</v>
      </c>
      <c r="X74" s="188">
        <v>1022739308</v>
      </c>
      <c r="Y74" s="188">
        <v>1022739308</v>
      </c>
      <c r="Z74" s="188">
        <v>1022739308</v>
      </c>
      <c r="AA74" s="188">
        <v>1022739308</v>
      </c>
      <c r="AB74" s="188">
        <v>1022739308</v>
      </c>
      <c r="AC74" s="188">
        <v>1022739308</v>
      </c>
      <c r="AD74" s="188">
        <v>1022739308</v>
      </c>
      <c r="AE74" s="188">
        <v>1022739308</v>
      </c>
      <c r="AF74" s="188">
        <v>1022739308</v>
      </c>
      <c r="AG74" s="188">
        <v>1022739308</v>
      </c>
      <c r="AH74" s="188">
        <v>1022739308</v>
      </c>
      <c r="AI74" s="188">
        <v>1022739308</v>
      </c>
      <c r="AJ74" s="188">
        <v>1022739308</v>
      </c>
      <c r="AK74" s="188">
        <v>1022739308</v>
      </c>
      <c r="AL74" s="188">
        <v>1022739308</v>
      </c>
      <c r="AM74" s="188">
        <v>1022739308</v>
      </c>
      <c r="AN74" s="188">
        <v>1022739308</v>
      </c>
      <c r="AO74" s="188">
        <v>1022739308</v>
      </c>
      <c r="AP74" s="188">
        <v>1022739308</v>
      </c>
      <c r="AQ74" s="188">
        <v>1022739308</v>
      </c>
      <c r="AR74" s="188">
        <v>852282757</v>
      </c>
      <c r="AS74" s="188">
        <v>852282757</v>
      </c>
      <c r="AT74" s="188">
        <v>852282757</v>
      </c>
      <c r="AU74" s="188">
        <v>852282757</v>
      </c>
      <c r="AV74" s="188">
        <v>852282757</v>
      </c>
      <c r="AW74" s="188">
        <v>852282757</v>
      </c>
      <c r="AX74" s="188">
        <v>852282757</v>
      </c>
      <c r="AY74" s="188">
        <v>852282757</v>
      </c>
      <c r="AZ74" s="188">
        <v>852282757</v>
      </c>
      <c r="BA74" s="188">
        <v>852282757</v>
      </c>
      <c r="BB74" s="188">
        <v>852282757</v>
      </c>
      <c r="BC74" s="188">
        <v>852282757</v>
      </c>
      <c r="BD74" s="188">
        <v>852282757</v>
      </c>
      <c r="BE74" s="188">
        <v>852282757</v>
      </c>
      <c r="BF74" s="188">
        <v>852282757</v>
      </c>
      <c r="BG74" s="188">
        <v>852282757</v>
      </c>
      <c r="BH74" s="188">
        <v>710235631</v>
      </c>
      <c r="BI74" s="188">
        <v>710235631</v>
      </c>
      <c r="BJ74" s="188">
        <v>710235631</v>
      </c>
      <c r="BK74" s="188">
        <v>710235631</v>
      </c>
      <c r="BL74" s="188">
        <v>710235631</v>
      </c>
      <c r="BM74" s="188">
        <v>591863026</v>
      </c>
      <c r="BN74" s="188">
        <v>591863026</v>
      </c>
      <c r="BO74" s="188">
        <v>591863026</v>
      </c>
      <c r="BP74" s="188">
        <v>538057296</v>
      </c>
      <c r="BQ74" s="188">
        <v>538057296</v>
      </c>
      <c r="BR74" s="188">
        <v>538057296</v>
      </c>
      <c r="BS74" s="188">
        <v>448381080</v>
      </c>
      <c r="BT74" s="188">
        <v>448381080</v>
      </c>
      <c r="BU74" s="188">
        <v>448381080</v>
      </c>
      <c r="BV74" s="188">
        <v>448381080</v>
      </c>
      <c r="BW74" s="188">
        <v>328381080</v>
      </c>
      <c r="BX74" s="188">
        <v>328381080</v>
      </c>
      <c r="BY74" s="188">
        <v>328381080</v>
      </c>
      <c r="BZ74" s="188">
        <v>328381080</v>
      </c>
      <c r="CA74" s="188">
        <v>328381080</v>
      </c>
      <c r="CB74" s="188">
        <v>328381080</v>
      </c>
      <c r="CC74" s="188">
        <v>328381080</v>
      </c>
      <c r="CD74" s="188">
        <v>273650900</v>
      </c>
      <c r="CE74" s="188">
        <v>273650900</v>
      </c>
      <c r="CF74" s="188">
        <v>273651000</v>
      </c>
      <c r="CG74" s="188">
        <v>273650900</v>
      </c>
      <c r="CH74" s="188">
        <v>203650900</v>
      </c>
      <c r="CI74" s="188">
        <v>0</v>
      </c>
      <c r="CJ74" s="188">
        <v>0</v>
      </c>
      <c r="CK74" s="188">
        <v>0</v>
      </c>
      <c r="CL74" s="188">
        <v>0</v>
      </c>
      <c r="CM74" s="188">
        <v>0</v>
      </c>
    </row>
    <row r="75" spans="1:91">
      <c r="A75" s="188" t="s">
        <v>179</v>
      </c>
      <c r="B75" s="188">
        <v>2038642490.52</v>
      </c>
      <c r="C75" s="188">
        <v>2039257706.1500001</v>
      </c>
      <c r="D75" s="188">
        <v>2039257706.1500001</v>
      </c>
      <c r="E75" s="188">
        <v>2039257706.1500001</v>
      </c>
      <c r="F75" s="188">
        <v>2039257706.1500001</v>
      </c>
      <c r="G75" s="188">
        <v>2040369939.8499999</v>
      </c>
      <c r="H75" s="188">
        <v>2040369939.8499999</v>
      </c>
      <c r="I75" s="188">
        <v>2040369939.8499999</v>
      </c>
      <c r="J75" s="188">
        <v>2040369939.8499999</v>
      </c>
      <c r="K75" s="188">
        <v>2040369939.8499999</v>
      </c>
      <c r="L75" s="188">
        <v>2040369939.8599999</v>
      </c>
      <c r="M75" s="188">
        <v>2044371070.28</v>
      </c>
      <c r="N75" s="188">
        <v>2044371070.28</v>
      </c>
      <c r="O75" s="188">
        <v>2045566883.75</v>
      </c>
      <c r="P75" s="188">
        <v>2044371070.28</v>
      </c>
      <c r="Q75" s="188">
        <v>1639996070.28</v>
      </c>
      <c r="R75" s="188">
        <v>1639996070.28</v>
      </c>
      <c r="S75" s="188">
        <v>1700880260.95</v>
      </c>
      <c r="T75" s="188">
        <v>1652552705.24</v>
      </c>
      <c r="U75" s="188">
        <v>1673759344.55</v>
      </c>
      <c r="V75" s="188">
        <v>1661771296.45</v>
      </c>
      <c r="W75" s="188">
        <v>1688174464.0699999</v>
      </c>
      <c r="X75" s="188">
        <v>1611037795.8099999</v>
      </c>
      <c r="Y75" s="188">
        <v>1621549515.03</v>
      </c>
      <c r="Z75" s="188">
        <v>1601618149.1099999</v>
      </c>
      <c r="AA75" s="188">
        <v>1656058738.6700001</v>
      </c>
      <c r="AB75" s="188">
        <v>1477074053.1700001</v>
      </c>
      <c r="AC75" s="188">
        <v>1481439430.6199999</v>
      </c>
      <c r="AD75" s="188">
        <v>2234240676</v>
      </c>
      <c r="AE75" s="188">
        <v>1476301521.28</v>
      </c>
      <c r="AF75" s="188">
        <v>1471105574.99</v>
      </c>
      <c r="AG75" s="188">
        <v>1471231045.75</v>
      </c>
      <c r="AH75" s="188">
        <v>1471393540.9200001</v>
      </c>
      <c r="AI75" s="188">
        <v>1472527705.55</v>
      </c>
      <c r="AJ75" s="188">
        <v>1471117696.6500001</v>
      </c>
      <c r="AK75" s="188">
        <v>1474888519.6099999</v>
      </c>
      <c r="AL75" s="188">
        <v>1475955651.1400001</v>
      </c>
      <c r="AM75" s="188">
        <v>1475482718.0699999</v>
      </c>
      <c r="AN75" s="188">
        <v>1446570162.6400001</v>
      </c>
      <c r="AO75" s="188">
        <v>1436104816.1300001</v>
      </c>
      <c r="AP75" s="188">
        <v>1427446370.5599999</v>
      </c>
      <c r="AQ75" s="188">
        <v>1434397466.53</v>
      </c>
      <c r="AR75" s="188">
        <v>1606186187.6300001</v>
      </c>
      <c r="AS75" s="188">
        <v>1622763647.1600001</v>
      </c>
      <c r="AT75" s="188">
        <v>1625836133.4300001</v>
      </c>
      <c r="AU75" s="188">
        <v>1631986276.4200001</v>
      </c>
      <c r="AV75" s="188">
        <v>1619187502.77</v>
      </c>
      <c r="AW75" s="188">
        <v>1587234934.6600001</v>
      </c>
      <c r="AX75" s="188">
        <v>1585431086.6800001</v>
      </c>
      <c r="AY75" s="188">
        <v>1585589112.8299999</v>
      </c>
      <c r="AZ75" s="188">
        <v>1585589112.8299999</v>
      </c>
      <c r="BA75" s="188">
        <v>1585323490.8299999</v>
      </c>
      <c r="BB75" s="188">
        <v>1585319455.1700001</v>
      </c>
      <c r="BC75" s="188">
        <v>1583577566.8199999</v>
      </c>
      <c r="BD75" s="188">
        <v>1583555869.0799999</v>
      </c>
      <c r="BE75" s="188">
        <v>1583418930.3499999</v>
      </c>
      <c r="BF75" s="188">
        <v>1583418930.3499999</v>
      </c>
      <c r="BG75" s="188">
        <v>1571862177.3699999</v>
      </c>
      <c r="BH75" s="188">
        <v>1712502786.74</v>
      </c>
      <c r="BI75" s="188">
        <v>1711306590.52</v>
      </c>
      <c r="BJ75" s="188">
        <v>1711306590.6199999</v>
      </c>
      <c r="BK75" s="188">
        <v>1695205445.3499999</v>
      </c>
      <c r="BL75" s="188">
        <v>1695161344.1800001</v>
      </c>
      <c r="BM75" s="188">
        <v>1813483605.1800001</v>
      </c>
      <c r="BN75" s="188">
        <v>1810398617.79</v>
      </c>
      <c r="BO75" s="188">
        <v>1804848341.3</v>
      </c>
      <c r="BP75" s="188">
        <v>1858037220.9300001</v>
      </c>
      <c r="BQ75" s="188">
        <v>1855704250.52</v>
      </c>
      <c r="BR75" s="188">
        <v>1855135466.0899999</v>
      </c>
      <c r="BS75" s="188">
        <v>1938468355.0699999</v>
      </c>
      <c r="BT75" s="188">
        <v>1943307076.45</v>
      </c>
      <c r="BU75" s="188">
        <v>1935403531.1800001</v>
      </c>
      <c r="BV75" s="188">
        <v>1934771760.48</v>
      </c>
      <c r="BW75" s="188">
        <v>665586424.62</v>
      </c>
      <c r="BX75" s="188">
        <v>665566716.62</v>
      </c>
      <c r="BY75" s="188">
        <v>665134231.63</v>
      </c>
      <c r="BZ75" s="188">
        <v>665053179.01999998</v>
      </c>
      <c r="CA75" s="188">
        <v>662117383.08000004</v>
      </c>
      <c r="CB75" s="188">
        <v>659592080.08000004</v>
      </c>
      <c r="CC75" s="188">
        <v>641372232.88999999</v>
      </c>
      <c r="CD75" s="188">
        <v>641372232.88999999</v>
      </c>
      <c r="CE75" s="188">
        <v>641372232.88999999</v>
      </c>
      <c r="CF75" s="188">
        <v>641324000</v>
      </c>
      <c r="CG75" s="188">
        <v>638403784.88999999</v>
      </c>
      <c r="CH75" s="188">
        <v>274599680.88999999</v>
      </c>
      <c r="CI75" s="188">
        <v>0</v>
      </c>
      <c r="CJ75" s="188">
        <v>0</v>
      </c>
      <c r="CK75" s="188">
        <v>0</v>
      </c>
      <c r="CL75" s="188">
        <v>0</v>
      </c>
      <c r="CM75" s="188">
        <v>0</v>
      </c>
    </row>
    <row r="76" spans="1:91">
      <c r="A76" s="188" t="s">
        <v>180</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0</v>
      </c>
      <c r="BU76" s="188">
        <v>0</v>
      </c>
      <c r="BV76" s="188">
        <v>0</v>
      </c>
      <c r="BW76" s="188">
        <v>0</v>
      </c>
      <c r="BX76" s="188">
        <v>0</v>
      </c>
      <c r="BY76" s="188">
        <v>0</v>
      </c>
      <c r="BZ76" s="188">
        <v>0</v>
      </c>
      <c r="CA76" s="188">
        <v>0</v>
      </c>
      <c r="CB76" s="188">
        <v>0</v>
      </c>
      <c r="CC76" s="188">
        <v>0</v>
      </c>
      <c r="CD76" s="188">
        <v>0</v>
      </c>
      <c r="CE76" s="188">
        <v>0</v>
      </c>
      <c r="CF76" s="188">
        <v>0</v>
      </c>
      <c r="CG76" s="188">
        <v>0</v>
      </c>
      <c r="CH76" s="188">
        <v>0</v>
      </c>
      <c r="CI76" s="188">
        <v>0</v>
      </c>
      <c r="CJ76" s="188">
        <v>0</v>
      </c>
      <c r="CK76" s="188">
        <v>0</v>
      </c>
      <c r="CL76" s="188">
        <v>0</v>
      </c>
      <c r="CM76" s="188">
        <v>0</v>
      </c>
    </row>
    <row r="77" spans="1:91">
      <c r="A77" s="188" t="s">
        <v>181</v>
      </c>
      <c r="B77" s="188">
        <v>629797.03</v>
      </c>
      <c r="C77" s="188">
        <v>379578.15</v>
      </c>
      <c r="D77" s="188">
        <v>379578.33</v>
      </c>
      <c r="E77" s="188">
        <v>173795.25</v>
      </c>
      <c r="F77" s="188">
        <v>66372390.090000004</v>
      </c>
      <c r="G77" s="188">
        <v>113293730.97</v>
      </c>
      <c r="H77" s="188">
        <v>121027404.41</v>
      </c>
      <c r="I77" s="188">
        <v>123267249.14</v>
      </c>
      <c r="J77" s="188">
        <v>114470980.94</v>
      </c>
      <c r="K77" s="188">
        <v>87087424.519999996</v>
      </c>
      <c r="L77" s="188">
        <v>88580627.120000005</v>
      </c>
      <c r="M77" s="188">
        <v>93899299.579999998</v>
      </c>
      <c r="N77" s="188">
        <v>115453768.95999999</v>
      </c>
      <c r="O77" s="188">
        <v>102599232.11</v>
      </c>
      <c r="P77" s="188">
        <v>44633232.530000001</v>
      </c>
      <c r="Q77" s="188">
        <v>39963589.479999997</v>
      </c>
      <c r="R77" s="188">
        <v>23472079.469999999</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v>0</v>
      </c>
      <c r="BU77" s="188">
        <v>0</v>
      </c>
      <c r="BV77" s="188">
        <v>0</v>
      </c>
      <c r="BW77" s="188">
        <v>0</v>
      </c>
      <c r="BX77" s="188">
        <v>0</v>
      </c>
      <c r="BY77" s="188">
        <v>0</v>
      </c>
      <c r="BZ77" s="188">
        <v>0</v>
      </c>
      <c r="CA77" s="188">
        <v>0</v>
      </c>
      <c r="CB77" s="188">
        <v>0</v>
      </c>
      <c r="CC77" s="188">
        <v>0</v>
      </c>
      <c r="CD77" s="188">
        <v>0</v>
      </c>
      <c r="CE77" s="188">
        <v>0</v>
      </c>
      <c r="CF77" s="188">
        <v>0</v>
      </c>
      <c r="CG77" s="188">
        <v>0</v>
      </c>
      <c r="CH77" s="188">
        <v>0</v>
      </c>
      <c r="CI77" s="188">
        <v>0</v>
      </c>
      <c r="CJ77" s="188">
        <v>0</v>
      </c>
      <c r="CK77" s="188">
        <v>0</v>
      </c>
      <c r="CL77" s="188">
        <v>0</v>
      </c>
      <c r="CM77" s="188">
        <v>0</v>
      </c>
    </row>
    <row r="78" spans="1:91">
      <c r="A78" s="188" t="s">
        <v>182</v>
      </c>
      <c r="B78" s="188">
        <v>7867938.5199999996</v>
      </c>
      <c r="C78" s="188">
        <v>9228506.5899999999</v>
      </c>
      <c r="D78" s="188">
        <v>10686138.02</v>
      </c>
      <c r="E78" s="188">
        <v>10518980.310000001</v>
      </c>
      <c r="F78" s="188">
        <v>9676689.0999999996</v>
      </c>
      <c r="G78" s="188">
        <v>10108157.33</v>
      </c>
      <c r="H78" s="188">
        <v>10313683.810000001</v>
      </c>
      <c r="I78" s="188">
        <v>9975294.5600000005</v>
      </c>
      <c r="J78" s="188">
        <v>9720622.4700000007</v>
      </c>
      <c r="K78" s="188">
        <v>10006355.1</v>
      </c>
      <c r="L78" s="188">
        <v>10447557.050000001</v>
      </c>
      <c r="M78" s="188">
        <v>9803979.8900000006</v>
      </c>
      <c r="N78" s="188">
        <v>9923266.0700000003</v>
      </c>
      <c r="O78" s="188">
        <v>7711188.0499999998</v>
      </c>
      <c r="P78" s="188">
        <v>9181367.3699999992</v>
      </c>
      <c r="Q78" s="188">
        <v>8122985.5700000003</v>
      </c>
      <c r="R78" s="188">
        <v>8122985.5700000003</v>
      </c>
      <c r="S78" s="188">
        <v>0</v>
      </c>
      <c r="T78" s="188">
        <v>7595223.2199999997</v>
      </c>
      <c r="U78" s="188">
        <v>0</v>
      </c>
      <c r="V78" s="188">
        <v>6102812.6600000001</v>
      </c>
      <c r="W78" s="188">
        <v>0</v>
      </c>
      <c r="X78" s="188">
        <v>6460515.2800000003</v>
      </c>
      <c r="Y78" s="188">
        <v>5530696.96</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c r="BH78" s="188">
        <v>0</v>
      </c>
      <c r="BI78" s="188">
        <v>0</v>
      </c>
      <c r="BJ78" s="188">
        <v>0</v>
      </c>
      <c r="BK78" s="188">
        <v>0</v>
      </c>
      <c r="BL78" s="188">
        <v>0</v>
      </c>
      <c r="BM78" s="188">
        <v>0</v>
      </c>
      <c r="BN78" s="188">
        <v>0</v>
      </c>
      <c r="BO78" s="188">
        <v>0</v>
      </c>
      <c r="BP78" s="188">
        <v>0</v>
      </c>
      <c r="BQ78" s="188">
        <v>0</v>
      </c>
      <c r="BR78" s="188">
        <v>0</v>
      </c>
      <c r="BS78" s="188">
        <v>0</v>
      </c>
      <c r="BT78" s="188">
        <v>0</v>
      </c>
      <c r="BU78" s="188">
        <v>0</v>
      </c>
      <c r="BV78" s="188">
        <v>0</v>
      </c>
      <c r="BW78" s="188">
        <v>0</v>
      </c>
      <c r="BX78" s="188">
        <v>0</v>
      </c>
      <c r="BY78" s="188">
        <v>0</v>
      </c>
      <c r="BZ78" s="188">
        <v>0</v>
      </c>
      <c r="CA78" s="188">
        <v>0</v>
      </c>
      <c r="CB78" s="188">
        <v>0</v>
      </c>
      <c r="CC78" s="188">
        <v>0</v>
      </c>
      <c r="CD78" s="188">
        <v>0</v>
      </c>
      <c r="CE78" s="188">
        <v>0</v>
      </c>
      <c r="CF78" s="188">
        <v>0</v>
      </c>
      <c r="CG78" s="188">
        <v>0</v>
      </c>
      <c r="CH78" s="188">
        <v>0</v>
      </c>
      <c r="CI78" s="188">
        <v>0</v>
      </c>
      <c r="CJ78" s="188">
        <v>0</v>
      </c>
      <c r="CK78" s="188">
        <v>0</v>
      </c>
      <c r="CL78" s="188">
        <v>0</v>
      </c>
      <c r="CM78" s="188">
        <v>0</v>
      </c>
    </row>
    <row r="79" spans="1:91">
      <c r="A79" s="188" t="s">
        <v>183</v>
      </c>
      <c r="B79" s="188">
        <v>1320646920.6600001</v>
      </c>
      <c r="C79" s="188">
        <v>1320646920.6600001</v>
      </c>
      <c r="D79" s="188">
        <v>1320646920.6600001</v>
      </c>
      <c r="E79" s="188">
        <v>1320646920.6600001</v>
      </c>
      <c r="F79" s="188">
        <v>1320646920.6600001</v>
      </c>
      <c r="G79" s="188">
        <v>1320646920.6600001</v>
      </c>
      <c r="H79" s="188">
        <v>1320646920.6600001</v>
      </c>
      <c r="I79" s="188">
        <v>1320646920.6600001</v>
      </c>
      <c r="J79" s="188">
        <v>1320646920.6600001</v>
      </c>
      <c r="K79" s="188">
        <v>1320646920.6600001</v>
      </c>
      <c r="L79" s="188">
        <v>1320646920.6600001</v>
      </c>
      <c r="M79" s="188">
        <v>1320646920.6600001</v>
      </c>
      <c r="N79" s="188">
        <v>1320646920.6600001</v>
      </c>
      <c r="O79" s="188">
        <v>1320646920.6600001</v>
      </c>
      <c r="P79" s="188">
        <v>1320646920.6600001</v>
      </c>
      <c r="Q79" s="188">
        <v>1320646920.6600001</v>
      </c>
      <c r="R79" s="188">
        <v>1320646920.6600001</v>
      </c>
      <c r="S79" s="188">
        <v>1321118748.78</v>
      </c>
      <c r="T79" s="188">
        <v>1321118748.78</v>
      </c>
      <c r="U79" s="188">
        <v>1320646920.6600001</v>
      </c>
      <c r="V79" s="188">
        <v>1320646920.6600001</v>
      </c>
      <c r="W79" s="188">
        <v>1306295323.8699999</v>
      </c>
      <c r="X79" s="188">
        <v>1306295323.8699999</v>
      </c>
      <c r="Y79" s="188">
        <v>1306295323.8699999</v>
      </c>
      <c r="Z79" s="188">
        <v>1306295323.8699999</v>
      </c>
      <c r="AA79" s="188">
        <v>1219623867.3599999</v>
      </c>
      <c r="AB79" s="188">
        <v>1219623867.3599999</v>
      </c>
      <c r="AC79" s="188">
        <v>1234599718.03</v>
      </c>
      <c r="AD79" s="188">
        <v>1234599718.03</v>
      </c>
      <c r="AE79" s="188">
        <v>1155823454.77</v>
      </c>
      <c r="AF79" s="188">
        <v>1155823454.77</v>
      </c>
      <c r="AG79" s="188">
        <v>1157766101.1500001</v>
      </c>
      <c r="AH79" s="188">
        <v>1157766101.1500001</v>
      </c>
      <c r="AI79" s="188">
        <v>1003506333.84</v>
      </c>
      <c r="AJ79" s="188">
        <v>1003506333.84</v>
      </c>
      <c r="AK79" s="188">
        <v>1003506333.84</v>
      </c>
      <c r="AL79" s="188">
        <v>1003506333.84</v>
      </c>
      <c r="AM79" s="188">
        <v>870530104.05999994</v>
      </c>
      <c r="AN79" s="188">
        <v>870530104.05999994</v>
      </c>
      <c r="AO79" s="188">
        <v>870313024.05999994</v>
      </c>
      <c r="AP79" s="188">
        <v>870313024.05999994</v>
      </c>
      <c r="AQ79" s="188">
        <v>747142301.03999996</v>
      </c>
      <c r="AR79" s="188">
        <v>747142301.03999996</v>
      </c>
      <c r="AS79" s="188">
        <v>747153162.12</v>
      </c>
      <c r="AT79" s="188">
        <v>747153162.12</v>
      </c>
      <c r="AU79" s="188">
        <v>396808306.86000001</v>
      </c>
      <c r="AV79" s="188">
        <v>826758649.22000003</v>
      </c>
      <c r="AW79" s="188">
        <v>826864618.09000003</v>
      </c>
      <c r="AX79" s="188">
        <v>838333509.35000002</v>
      </c>
      <c r="AY79" s="188">
        <v>748346692.34000003</v>
      </c>
      <c r="AZ79" s="188">
        <v>748346692.34000003</v>
      </c>
      <c r="BA79" s="188">
        <v>748197550.34000003</v>
      </c>
      <c r="BB79" s="188">
        <v>748197550.34000003</v>
      </c>
      <c r="BC79" s="188">
        <v>668527882.49000001</v>
      </c>
      <c r="BD79" s="188">
        <v>668527882.49000001</v>
      </c>
      <c r="BE79" s="188">
        <v>665605093.65999997</v>
      </c>
      <c r="BF79" s="188">
        <v>666815227.25</v>
      </c>
      <c r="BG79" s="188">
        <v>567984565.92999995</v>
      </c>
      <c r="BH79" s="188">
        <v>567984565.92999995</v>
      </c>
      <c r="BI79" s="188">
        <v>567984565.94000006</v>
      </c>
      <c r="BJ79" s="188">
        <v>567244885.92999995</v>
      </c>
      <c r="BK79" s="188">
        <v>419337334.51999998</v>
      </c>
      <c r="BL79" s="188">
        <v>418925284.51999998</v>
      </c>
      <c r="BM79" s="188">
        <v>417678847.70999998</v>
      </c>
      <c r="BN79" s="188">
        <v>417678847.70999998</v>
      </c>
      <c r="BO79" s="188">
        <v>284703861.92000002</v>
      </c>
      <c r="BP79" s="188">
        <v>284703861.92000002</v>
      </c>
      <c r="BQ79" s="188">
        <v>284703861.92000002</v>
      </c>
      <c r="BR79" s="188">
        <v>284703861.92000002</v>
      </c>
      <c r="BS79" s="188">
        <v>176995325.03999999</v>
      </c>
      <c r="BT79" s="188">
        <v>175028150.86000001</v>
      </c>
      <c r="BU79" s="188">
        <v>166077140.02000001</v>
      </c>
      <c r="BV79" s="188">
        <v>163213138.47</v>
      </c>
      <c r="BW79" s="188">
        <v>163539774.94999999</v>
      </c>
      <c r="BX79" s="188">
        <v>143804245.41</v>
      </c>
      <c r="BY79" s="188">
        <v>143505737.25</v>
      </c>
      <c r="BZ79" s="188">
        <v>144024016.50999999</v>
      </c>
      <c r="CA79" s="188">
        <v>132232212.09999999</v>
      </c>
      <c r="CB79" s="188">
        <v>130443089.94</v>
      </c>
      <c r="CC79" s="188">
        <v>137978409.43000001</v>
      </c>
      <c r="CD79" s="188">
        <v>127164283.31</v>
      </c>
      <c r="CE79" s="188">
        <v>69601738.090000004</v>
      </c>
      <c r="CF79" s="188">
        <v>34778000</v>
      </c>
      <c r="CG79" s="188">
        <v>10546287.800000001</v>
      </c>
      <c r="CH79" s="188">
        <v>1136843.69</v>
      </c>
      <c r="CI79" s="188">
        <v>0</v>
      </c>
      <c r="CJ79" s="188">
        <v>0</v>
      </c>
      <c r="CK79" s="188">
        <v>0</v>
      </c>
      <c r="CL79" s="188">
        <v>0</v>
      </c>
      <c r="CM79" s="188">
        <v>0</v>
      </c>
    </row>
    <row r="80" spans="1:91">
      <c r="A80" s="188" t="s">
        <v>184</v>
      </c>
      <c r="B80" s="188">
        <v>0</v>
      </c>
      <c r="C80" s="188">
        <v>0</v>
      </c>
      <c r="D80" s="188">
        <v>0</v>
      </c>
      <c r="E80" s="188">
        <v>0</v>
      </c>
      <c r="F80" s="188">
        <v>0</v>
      </c>
      <c r="G80" s="188">
        <v>0</v>
      </c>
      <c r="H80" s="188">
        <v>0</v>
      </c>
      <c r="I80" s="188">
        <v>0</v>
      </c>
      <c r="J80" s="188">
        <v>0</v>
      </c>
      <c r="K80" s="188">
        <v>0</v>
      </c>
      <c r="L80" s="188">
        <v>0</v>
      </c>
      <c r="M80" s="188">
        <v>0</v>
      </c>
      <c r="N80" s="188">
        <v>0</v>
      </c>
      <c r="O80" s="188">
        <v>0</v>
      </c>
      <c r="P80" s="188">
        <v>0</v>
      </c>
      <c r="Q80" s="188">
        <v>0</v>
      </c>
      <c r="R80" s="188">
        <v>0</v>
      </c>
      <c r="S80" s="188">
        <v>0</v>
      </c>
      <c r="T80" s="188">
        <v>0</v>
      </c>
      <c r="U80" s="188">
        <v>0</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c r="BH80" s="188">
        <v>0</v>
      </c>
      <c r="BI80" s="188">
        <v>0</v>
      </c>
      <c r="BJ80" s="188">
        <v>0</v>
      </c>
      <c r="BK80" s="188">
        <v>0</v>
      </c>
      <c r="BL80" s="188">
        <v>0</v>
      </c>
      <c r="BM80" s="188">
        <v>0</v>
      </c>
      <c r="BN80" s="188">
        <v>0</v>
      </c>
      <c r="BO80" s="188">
        <v>0</v>
      </c>
      <c r="BP80" s="188">
        <v>0</v>
      </c>
      <c r="BQ80" s="188">
        <v>0</v>
      </c>
      <c r="BR80" s="188">
        <v>0</v>
      </c>
      <c r="BS80" s="188">
        <v>0</v>
      </c>
      <c r="BT80" s="188">
        <v>0</v>
      </c>
      <c r="BU80" s="188">
        <v>0</v>
      </c>
      <c r="BV80" s="188">
        <v>0</v>
      </c>
      <c r="BW80" s="188">
        <v>0</v>
      </c>
      <c r="BX80" s="188">
        <v>0</v>
      </c>
      <c r="BY80" s="188">
        <v>0</v>
      </c>
      <c r="BZ80" s="188">
        <v>0</v>
      </c>
      <c r="CA80" s="188">
        <v>0</v>
      </c>
      <c r="CB80" s="188">
        <v>0</v>
      </c>
      <c r="CC80" s="188">
        <v>0</v>
      </c>
      <c r="CD80" s="188">
        <v>0</v>
      </c>
      <c r="CE80" s="188">
        <v>0</v>
      </c>
      <c r="CF80" s="188">
        <v>0</v>
      </c>
      <c r="CG80" s="188">
        <v>0</v>
      </c>
      <c r="CH80" s="188">
        <v>0</v>
      </c>
      <c r="CI80" s="188">
        <v>0</v>
      </c>
      <c r="CJ80" s="188">
        <v>0</v>
      </c>
      <c r="CK80" s="188">
        <v>0</v>
      </c>
      <c r="CL80" s="188">
        <v>0</v>
      </c>
      <c r="CM80" s="188">
        <v>0</v>
      </c>
    </row>
    <row r="81" spans="1:91">
      <c r="A81" s="188" t="s">
        <v>185</v>
      </c>
      <c r="B81" s="188">
        <v>6413591829.21</v>
      </c>
      <c r="C81" s="188">
        <v>6268215598.3400002</v>
      </c>
      <c r="D81" s="188">
        <v>5868614909.8299999</v>
      </c>
      <c r="E81" s="188">
        <v>5965940979.4300003</v>
      </c>
      <c r="F81" s="188">
        <v>5577151227.1899996</v>
      </c>
      <c r="G81" s="188">
        <v>5311163331.9200001</v>
      </c>
      <c r="H81" s="188">
        <v>4896807682.0500002</v>
      </c>
      <c r="I81" s="188">
        <v>4945628537.3100004</v>
      </c>
      <c r="J81" s="188">
        <v>4706636692.1599998</v>
      </c>
      <c r="K81" s="188">
        <v>4482064685.4499998</v>
      </c>
      <c r="L81" s="188">
        <v>4081461765.5700002</v>
      </c>
      <c r="M81" s="188">
        <v>3825332919.0599999</v>
      </c>
      <c r="N81" s="188">
        <v>3605977097.1999998</v>
      </c>
      <c r="O81" s="188">
        <v>3472895693.0100002</v>
      </c>
      <c r="P81" s="188">
        <v>2449011020.0900002</v>
      </c>
      <c r="Q81" s="188">
        <v>2387834552.3699999</v>
      </c>
      <c r="R81" s="188">
        <v>2245638061.9099998</v>
      </c>
      <c r="S81" s="188">
        <v>2209874647.98</v>
      </c>
      <c r="T81" s="188">
        <v>1929639224.1600001</v>
      </c>
      <c r="U81" s="188">
        <v>1926794884.0599999</v>
      </c>
      <c r="V81" s="188">
        <v>1755367292.51</v>
      </c>
      <c r="W81" s="188">
        <v>1525522712.6099999</v>
      </c>
      <c r="X81" s="188">
        <v>1187407491.71</v>
      </c>
      <c r="Y81" s="188">
        <v>1206017366.04</v>
      </c>
      <c r="Z81" s="188">
        <v>1118011764.1300001</v>
      </c>
      <c r="AA81" s="188">
        <v>1190436982.6500001</v>
      </c>
      <c r="AB81" s="188">
        <v>2458630791.4000001</v>
      </c>
      <c r="AC81" s="188">
        <v>2505863990.2399998</v>
      </c>
      <c r="AD81" s="188">
        <v>892086351.51999998</v>
      </c>
      <c r="AE81" s="188">
        <v>2262280196.29</v>
      </c>
      <c r="AF81" s="188">
        <v>2063057777.46</v>
      </c>
      <c r="AG81" s="188">
        <v>2025245485.3199999</v>
      </c>
      <c r="AH81" s="188">
        <v>1835178732.7</v>
      </c>
      <c r="AI81" s="188">
        <v>1888951064.6700001</v>
      </c>
      <c r="AJ81" s="188">
        <v>1712125791.28</v>
      </c>
      <c r="AK81" s="188">
        <v>1631238047.0899999</v>
      </c>
      <c r="AL81" s="188">
        <v>1461790072.1400001</v>
      </c>
      <c r="AM81" s="188">
        <v>1647612547.3800001</v>
      </c>
      <c r="AN81" s="188">
        <v>1489433745.72</v>
      </c>
      <c r="AO81" s="188">
        <v>1393782064.77</v>
      </c>
      <c r="AP81" s="188">
        <v>1257123188.75</v>
      </c>
      <c r="AQ81" s="188">
        <v>1230328682.04</v>
      </c>
      <c r="AR81" s="188">
        <v>1088674614.52</v>
      </c>
      <c r="AS81" s="188">
        <v>980521327.10000002</v>
      </c>
      <c r="AT81" s="188">
        <v>848115182.62</v>
      </c>
      <c r="AU81" s="188">
        <v>1118613055.72</v>
      </c>
      <c r="AV81" s="188">
        <v>525357157.43000001</v>
      </c>
      <c r="AW81" s="188">
        <v>403461761.73000002</v>
      </c>
      <c r="AX81" s="188">
        <v>371544386</v>
      </c>
      <c r="AY81" s="188">
        <v>363429189.26999998</v>
      </c>
      <c r="AZ81" s="188">
        <v>244467864.97999999</v>
      </c>
      <c r="BA81" s="188">
        <v>254618309.40000001</v>
      </c>
      <c r="BB81" s="188">
        <v>192812684.94999999</v>
      </c>
      <c r="BC81" s="188">
        <v>292526515.91000003</v>
      </c>
      <c r="BD81" s="188">
        <v>281230052.56999999</v>
      </c>
      <c r="BE81" s="188">
        <v>406650004.85000002</v>
      </c>
      <c r="BF81" s="188">
        <v>334116866.01999998</v>
      </c>
      <c r="BG81" s="188">
        <v>445681844.19</v>
      </c>
      <c r="BH81" s="188">
        <v>455559933.64999998</v>
      </c>
      <c r="BI81" s="188">
        <v>344656493.63999999</v>
      </c>
      <c r="BJ81" s="188">
        <v>264614110.94</v>
      </c>
      <c r="BK81" s="188">
        <v>363358290.55000001</v>
      </c>
      <c r="BL81" s="188">
        <v>278089580.66000003</v>
      </c>
      <c r="BM81" s="188">
        <v>133770782.09999999</v>
      </c>
      <c r="BN81" s="188">
        <v>119842474.04000001</v>
      </c>
      <c r="BO81" s="188">
        <v>257284974.88</v>
      </c>
      <c r="BP81" s="188">
        <v>170190260.5</v>
      </c>
      <c r="BQ81" s="188">
        <v>105853126.12</v>
      </c>
      <c r="BR81" s="188">
        <v>36818416.619999997</v>
      </c>
      <c r="BS81" s="188">
        <v>164751884.61000001</v>
      </c>
      <c r="BT81" s="188">
        <v>24363807.969999999</v>
      </c>
      <c r="BU81" s="188">
        <v>241854991.44</v>
      </c>
      <c r="BV81" s="188">
        <v>99358862.480000004</v>
      </c>
      <c r="BW81" s="188">
        <v>189774679.28999999</v>
      </c>
      <c r="BX81" s="188">
        <v>110559227.73</v>
      </c>
      <c r="BY81" s="188">
        <v>92578090.409999996</v>
      </c>
      <c r="BZ81" s="188">
        <v>105677677.75</v>
      </c>
      <c r="CA81" s="188">
        <v>51885677.789999999</v>
      </c>
      <c r="CB81" s="188">
        <v>42717718.460000001</v>
      </c>
      <c r="CC81" s="188">
        <v>75980140.25</v>
      </c>
      <c r="CD81" s="188">
        <v>35630191.829999998</v>
      </c>
      <c r="CE81" s="188">
        <v>91994293.900000006</v>
      </c>
      <c r="CF81" s="188">
        <v>129889000</v>
      </c>
      <c r="CG81" s="188">
        <v>81321459.170000002</v>
      </c>
      <c r="CH81" s="188">
        <v>12975517.09</v>
      </c>
      <c r="CI81" s="188">
        <v>0</v>
      </c>
      <c r="CJ81" s="188">
        <v>0</v>
      </c>
      <c r="CK81" s="188">
        <v>0</v>
      </c>
      <c r="CL81" s="188">
        <v>0</v>
      </c>
      <c r="CM81" s="188">
        <v>0</v>
      </c>
    </row>
    <row r="82" spans="1:91">
      <c r="A82" s="188" t="s">
        <v>186</v>
      </c>
      <c r="B82" s="188">
        <v>10804118283.940001</v>
      </c>
      <c r="C82" s="188">
        <v>10660467617.889999</v>
      </c>
      <c r="D82" s="188">
        <v>10262324560.99</v>
      </c>
      <c r="E82" s="188">
        <v>10359277689.799999</v>
      </c>
      <c r="F82" s="188">
        <v>10035844241.190001</v>
      </c>
      <c r="G82" s="188">
        <v>9818321388.7299995</v>
      </c>
      <c r="H82" s="188">
        <v>9411904938.7800007</v>
      </c>
      <c r="I82" s="188">
        <v>9462627249.5200005</v>
      </c>
      <c r="J82" s="188">
        <v>9214584464.0799999</v>
      </c>
      <c r="K82" s="188">
        <v>8962914633.5799999</v>
      </c>
      <c r="L82" s="188">
        <v>8564246118.2600002</v>
      </c>
      <c r="M82" s="188">
        <v>8316793497.4700003</v>
      </c>
      <c r="N82" s="188">
        <v>8119111431.1700001</v>
      </c>
      <c r="O82" s="188">
        <v>7972159225.5799999</v>
      </c>
      <c r="P82" s="188">
        <v>6890582918.9300003</v>
      </c>
      <c r="Q82" s="188">
        <v>6419303426.3599997</v>
      </c>
      <c r="R82" s="188">
        <v>6260615425.8900003</v>
      </c>
      <c r="S82" s="188">
        <v>6225947085.6499996</v>
      </c>
      <c r="T82" s="188">
        <v>5920010876.6199999</v>
      </c>
      <c r="U82" s="188">
        <v>5932471151.8199997</v>
      </c>
      <c r="V82" s="188">
        <v>5754430707.2799997</v>
      </c>
      <c r="W82" s="188">
        <v>5509307337.1700001</v>
      </c>
      <c r="X82" s="188">
        <v>5128803585.04</v>
      </c>
      <c r="Y82" s="188">
        <v>5193939340.8599997</v>
      </c>
      <c r="Z82" s="188">
        <v>5104562436.54</v>
      </c>
      <c r="AA82" s="188">
        <v>5165480694.8100004</v>
      </c>
      <c r="AB82" s="188">
        <v>6178068019.9300003</v>
      </c>
      <c r="AC82" s="188">
        <v>6244642446.8900003</v>
      </c>
      <c r="AD82" s="188">
        <v>5486019637.04</v>
      </c>
      <c r="AE82" s="188">
        <v>5917144480.3400002</v>
      </c>
      <c r="AF82" s="188">
        <v>5712726115.2200003</v>
      </c>
      <c r="AG82" s="188">
        <v>5676981940.2200003</v>
      </c>
      <c r="AH82" s="188">
        <v>5487077682.7700005</v>
      </c>
      <c r="AI82" s="188">
        <v>5387724412.0600004</v>
      </c>
      <c r="AJ82" s="188">
        <v>5209489129.7700005</v>
      </c>
      <c r="AK82" s="188">
        <v>5118843967.54</v>
      </c>
      <c r="AL82" s="188">
        <v>4950057722.3900003</v>
      </c>
      <c r="AM82" s="188">
        <v>5001722265.6700001</v>
      </c>
      <c r="AN82" s="188">
        <v>4816975925.0699997</v>
      </c>
      <c r="AO82" s="188">
        <v>4708998614.4499998</v>
      </c>
      <c r="AP82" s="188">
        <v>4564542108.1999998</v>
      </c>
      <c r="AQ82" s="188">
        <v>4422815579.9300003</v>
      </c>
      <c r="AR82" s="188">
        <v>4280982623.73</v>
      </c>
      <c r="AS82" s="188">
        <v>4190628054.0300002</v>
      </c>
      <c r="AT82" s="188">
        <v>4064286599.1199999</v>
      </c>
      <c r="AU82" s="188">
        <v>3989341897.48</v>
      </c>
      <c r="AV82" s="188">
        <v>3813591525.6199999</v>
      </c>
      <c r="AW82" s="188">
        <v>3659883322.9499998</v>
      </c>
      <c r="AX82" s="188">
        <v>3638341267.0599999</v>
      </c>
      <c r="AY82" s="188">
        <v>3539015570.1799998</v>
      </c>
      <c r="AZ82" s="188">
        <v>3421458575.0700002</v>
      </c>
      <c r="BA82" s="188">
        <v>3431964940.5599999</v>
      </c>
      <c r="BB82" s="188">
        <v>3370999396.0100002</v>
      </c>
      <c r="BC82" s="188">
        <v>3396914722.2199998</v>
      </c>
      <c r="BD82" s="188">
        <v>3385596561.1399999</v>
      </c>
      <c r="BE82" s="188">
        <v>3507956785.8600001</v>
      </c>
      <c r="BF82" s="188">
        <v>3436633780.6199999</v>
      </c>
      <c r="BG82" s="188">
        <v>3437811344.4899998</v>
      </c>
      <c r="BH82" s="188">
        <v>3446282917.3200002</v>
      </c>
      <c r="BI82" s="188">
        <v>3334183281.0999999</v>
      </c>
      <c r="BJ82" s="188">
        <v>3253401218.4899998</v>
      </c>
      <c r="BK82" s="188">
        <v>3188136701.4200001</v>
      </c>
      <c r="BL82" s="188">
        <v>3102411840.3600001</v>
      </c>
      <c r="BM82" s="188">
        <v>2956796260.9899998</v>
      </c>
      <c r="BN82" s="188">
        <v>2939782965.54</v>
      </c>
      <c r="BO82" s="188">
        <v>2938700204.0999999</v>
      </c>
      <c r="BP82" s="188">
        <v>2850988639.3499999</v>
      </c>
      <c r="BQ82" s="188">
        <v>2784318534.5599999</v>
      </c>
      <c r="BR82" s="188">
        <v>2714715040.6300001</v>
      </c>
      <c r="BS82" s="188">
        <v>2728596644.7199998</v>
      </c>
      <c r="BT82" s="188">
        <v>2591080115.2800002</v>
      </c>
      <c r="BU82" s="188">
        <v>2791716742.6399999</v>
      </c>
      <c r="BV82" s="188">
        <v>2645724841.4299998</v>
      </c>
      <c r="BW82" s="188">
        <v>1347281958.8599999</v>
      </c>
      <c r="BX82" s="188">
        <v>1248311269.76</v>
      </c>
      <c r="BY82" s="188">
        <v>1229599139.29</v>
      </c>
      <c r="BZ82" s="188">
        <v>1243135953.28</v>
      </c>
      <c r="CA82" s="188">
        <v>1174616352.97</v>
      </c>
      <c r="CB82" s="188">
        <v>1161133968.48</v>
      </c>
      <c r="CC82" s="188">
        <v>1183711862.5699999</v>
      </c>
      <c r="CD82" s="188">
        <v>1077817608.03</v>
      </c>
      <c r="CE82" s="188">
        <v>1076619164.8800001</v>
      </c>
      <c r="CF82" s="188">
        <v>1079642000</v>
      </c>
      <c r="CG82" s="188">
        <v>1003922431.86</v>
      </c>
      <c r="CH82" s="188">
        <v>492362941.67000002</v>
      </c>
      <c r="CI82" s="188">
        <v>203800000</v>
      </c>
      <c r="CJ82" s="188">
        <v>162870000</v>
      </c>
      <c r="CK82" s="188">
        <v>92660000</v>
      </c>
      <c r="CL82" s="188">
        <v>75420000</v>
      </c>
      <c r="CM82" s="188">
        <v>0</v>
      </c>
    </row>
    <row r="83" spans="1:91">
      <c r="A83" s="188" t="s">
        <v>187</v>
      </c>
      <c r="B83" s="188">
        <v>2325508075.0599999</v>
      </c>
      <c r="C83" s="188">
        <v>2244051146.8699999</v>
      </c>
      <c r="D83" s="188">
        <v>1959109894.6099999</v>
      </c>
      <c r="E83" s="188">
        <v>2553284588.4499998</v>
      </c>
      <c r="F83" s="188">
        <v>2394753281.9299998</v>
      </c>
      <c r="G83" s="188">
        <v>2211425925.4400001</v>
      </c>
      <c r="H83" s="188">
        <v>1922634220.1800001</v>
      </c>
      <c r="I83" s="188">
        <v>2528794110.1700001</v>
      </c>
      <c r="J83" s="188">
        <v>2375877753.6300001</v>
      </c>
      <c r="K83" s="188">
        <v>2191416637.96</v>
      </c>
      <c r="L83" s="188">
        <v>1909620092.4400001</v>
      </c>
      <c r="M83" s="188">
        <v>2519441588.1399999</v>
      </c>
      <c r="N83" s="188">
        <v>2367373968.4099998</v>
      </c>
      <c r="O83" s="188">
        <v>2177843076.8600001</v>
      </c>
      <c r="P83" s="188">
        <v>1903108664.8399999</v>
      </c>
      <c r="Q83" s="188">
        <v>2501480299.1900001</v>
      </c>
      <c r="R83" s="188">
        <v>2351289238.6700001</v>
      </c>
      <c r="S83" s="188">
        <v>2167148043.1599998</v>
      </c>
      <c r="T83" s="188">
        <v>1892340227.0999999</v>
      </c>
      <c r="U83" s="188">
        <v>2453439654.48</v>
      </c>
      <c r="V83" s="188">
        <v>2312404169.9200001</v>
      </c>
      <c r="W83" s="188">
        <v>2132506315.79</v>
      </c>
      <c r="X83" s="188">
        <v>1834841345.1400001</v>
      </c>
      <c r="Y83" s="188">
        <v>2154003498.3499999</v>
      </c>
      <c r="Z83" s="188">
        <v>2025837953.23</v>
      </c>
      <c r="AA83" s="188">
        <v>1909507064.76</v>
      </c>
      <c r="AB83" s="188">
        <v>1734834229.3099999</v>
      </c>
      <c r="AC83" s="188">
        <v>1984471239.49</v>
      </c>
      <c r="AD83" s="188">
        <v>1892215724.51</v>
      </c>
      <c r="AE83" s="188">
        <v>1847976734.77</v>
      </c>
      <c r="AF83" s="188">
        <v>1711994607.6199999</v>
      </c>
      <c r="AG83" s="188">
        <v>2007564210.8399999</v>
      </c>
      <c r="AH83" s="188">
        <v>1907296357.9000001</v>
      </c>
      <c r="AI83" s="188">
        <v>1847687653.48</v>
      </c>
      <c r="AJ83" s="188">
        <v>1762845301.25</v>
      </c>
      <c r="AK83" s="188">
        <v>1901347610.3399999</v>
      </c>
      <c r="AL83" s="188">
        <v>1817967112.54</v>
      </c>
      <c r="AM83" s="188">
        <v>1795308549.03</v>
      </c>
      <c r="AN83" s="188">
        <v>1565552095.71</v>
      </c>
      <c r="AO83" s="188">
        <v>1716204343.9100001</v>
      </c>
      <c r="AP83" s="188">
        <v>1630200752.8099999</v>
      </c>
      <c r="AQ83" s="188">
        <v>1595216201.5799999</v>
      </c>
      <c r="AR83" s="188">
        <v>1508466195.24</v>
      </c>
      <c r="AS83" s="188">
        <v>1665777839.47</v>
      </c>
      <c r="AT83" s="188">
        <v>1594466336.1900001</v>
      </c>
      <c r="AU83" s="188">
        <v>1568055288.3199999</v>
      </c>
      <c r="AV83" s="188">
        <v>1480593596.3399999</v>
      </c>
      <c r="AW83" s="188">
        <v>1616917142.97</v>
      </c>
      <c r="AX83" s="188">
        <v>1543511977.0999999</v>
      </c>
      <c r="AY83" s="188">
        <v>1472896083.49</v>
      </c>
      <c r="AZ83" s="188">
        <v>1398817616.9100001</v>
      </c>
      <c r="BA83" s="188">
        <v>1578373162.75</v>
      </c>
      <c r="BB83" s="188">
        <v>1524310184.53</v>
      </c>
      <c r="BC83" s="188">
        <v>1491655606.1900001</v>
      </c>
      <c r="BD83" s="188">
        <v>1422004901.4200001</v>
      </c>
      <c r="BE83" s="188">
        <v>1560864241.5899999</v>
      </c>
      <c r="BF83" s="188">
        <v>1490119769.49</v>
      </c>
      <c r="BG83" s="188">
        <v>1370488198.45</v>
      </c>
      <c r="BH83" s="188">
        <v>1305115860.6900001</v>
      </c>
      <c r="BI83" s="188">
        <v>1471670374.79</v>
      </c>
      <c r="BJ83" s="188">
        <v>1394732453.79</v>
      </c>
      <c r="BK83" s="188">
        <v>1300805778.96</v>
      </c>
      <c r="BL83" s="188">
        <v>1190501693.0799999</v>
      </c>
      <c r="BM83" s="188">
        <v>1333793293.0699999</v>
      </c>
      <c r="BN83" s="188">
        <v>1265998167.1800001</v>
      </c>
      <c r="BO83" s="188">
        <v>1186619907.7</v>
      </c>
      <c r="BP83" s="188">
        <v>1103039324.54</v>
      </c>
      <c r="BQ83" s="188">
        <v>1204158783.23</v>
      </c>
      <c r="BR83" s="188">
        <v>1161214127.53</v>
      </c>
      <c r="BS83" s="188">
        <v>1066774809.54</v>
      </c>
      <c r="BT83" s="188">
        <v>1008461505.29</v>
      </c>
      <c r="BU83" s="188">
        <v>938966019.15999997</v>
      </c>
      <c r="BV83" s="188">
        <v>952340253.22000003</v>
      </c>
      <c r="BW83" s="188">
        <v>843905400.62</v>
      </c>
      <c r="BX83" s="188">
        <v>860297515.53999996</v>
      </c>
      <c r="BY83" s="188">
        <v>0</v>
      </c>
      <c r="BZ83" s="188">
        <v>0</v>
      </c>
      <c r="CA83" s="188">
        <v>0</v>
      </c>
      <c r="CB83" s="188">
        <v>0</v>
      </c>
      <c r="CC83" s="188">
        <v>0</v>
      </c>
      <c r="CD83" s="188">
        <v>0</v>
      </c>
      <c r="CE83" s="188">
        <v>-21919.05</v>
      </c>
      <c r="CF83" s="188">
        <v>96000</v>
      </c>
      <c r="CG83" s="188">
        <v>305920.90000000002</v>
      </c>
      <c r="CH83" s="188">
        <v>326958.7</v>
      </c>
      <c r="CI83" s="188">
        <v>0</v>
      </c>
      <c r="CJ83" s="188">
        <v>0</v>
      </c>
      <c r="CK83" s="188">
        <v>0</v>
      </c>
      <c r="CL83" s="188">
        <v>0</v>
      </c>
      <c r="CM83" s="188">
        <v>0</v>
      </c>
    </row>
    <row r="84" spans="1:91">
      <c r="A84" s="188" t="s">
        <v>188</v>
      </c>
      <c r="B84" s="188">
        <v>13129626359</v>
      </c>
      <c r="C84" s="188">
        <v>12904518764.76</v>
      </c>
      <c r="D84" s="188">
        <v>12221434455.6</v>
      </c>
      <c r="E84" s="188">
        <v>12912562278.25</v>
      </c>
      <c r="F84" s="188">
        <v>12430597523.120001</v>
      </c>
      <c r="G84" s="188">
        <v>12029747314.17</v>
      </c>
      <c r="H84" s="188">
        <v>11334539158.959999</v>
      </c>
      <c r="I84" s="188">
        <v>11991421359.690001</v>
      </c>
      <c r="J84" s="188">
        <v>11590462217.709999</v>
      </c>
      <c r="K84" s="188">
        <v>11154331271.540001</v>
      </c>
      <c r="L84" s="188">
        <v>10473866210.700001</v>
      </c>
      <c r="M84" s="188">
        <v>10836235085.610001</v>
      </c>
      <c r="N84" s="188">
        <v>10486485399.58</v>
      </c>
      <c r="O84" s="188">
        <v>10150002302.440001</v>
      </c>
      <c r="P84" s="188">
        <v>8793691583.7700005</v>
      </c>
      <c r="Q84" s="188">
        <v>8920783725.5499992</v>
      </c>
      <c r="R84" s="188">
        <v>8611904664.5599995</v>
      </c>
      <c r="S84" s="188">
        <v>8393095128.8100004</v>
      </c>
      <c r="T84" s="188">
        <v>7812351103.7200003</v>
      </c>
      <c r="U84" s="188">
        <v>8385910806.3000002</v>
      </c>
      <c r="V84" s="188">
        <v>8066834877.1999998</v>
      </c>
      <c r="W84" s="188">
        <v>7641813652.96</v>
      </c>
      <c r="X84" s="188">
        <v>6963644930.1800003</v>
      </c>
      <c r="Y84" s="188">
        <v>7347942839.21</v>
      </c>
      <c r="Z84" s="188">
        <v>7130400389.7700005</v>
      </c>
      <c r="AA84" s="188">
        <v>7074987759.5699997</v>
      </c>
      <c r="AB84" s="188">
        <v>7912902249.2399998</v>
      </c>
      <c r="AC84" s="188">
        <v>8229113686.3800001</v>
      </c>
      <c r="AD84" s="188">
        <v>7378235361.5500002</v>
      </c>
      <c r="AE84" s="188">
        <v>7765121215.1099997</v>
      </c>
      <c r="AF84" s="188">
        <v>7424720722.8400002</v>
      </c>
      <c r="AG84" s="188">
        <v>7684546151.0600004</v>
      </c>
      <c r="AH84" s="188">
        <v>7394374040.6700001</v>
      </c>
      <c r="AI84" s="188">
        <v>7235412065.54</v>
      </c>
      <c r="AJ84" s="188">
        <v>6972334431.0200005</v>
      </c>
      <c r="AK84" s="188">
        <v>7020191577.8800001</v>
      </c>
      <c r="AL84" s="188">
        <v>6768024834.9300003</v>
      </c>
      <c r="AM84" s="188">
        <v>6797030814.6999998</v>
      </c>
      <c r="AN84" s="188">
        <v>6382528020.7799997</v>
      </c>
      <c r="AO84" s="188">
        <v>6425202958.3599997</v>
      </c>
      <c r="AP84" s="188">
        <v>6194742861.0100002</v>
      </c>
      <c r="AQ84" s="188">
        <v>6018031781.5100002</v>
      </c>
      <c r="AR84" s="188">
        <v>5789448818.9700003</v>
      </c>
      <c r="AS84" s="188">
        <v>5856405893.5</v>
      </c>
      <c r="AT84" s="188">
        <v>5658752935.3100004</v>
      </c>
      <c r="AU84" s="188">
        <v>5557397185.8000002</v>
      </c>
      <c r="AV84" s="188">
        <v>5294185121.96</v>
      </c>
      <c r="AW84" s="188">
        <v>5276800465.9200001</v>
      </c>
      <c r="AX84" s="188">
        <v>5181853244.1599998</v>
      </c>
      <c r="AY84" s="188">
        <v>5011911653.6700001</v>
      </c>
      <c r="AZ84" s="188">
        <v>4820276191.9799995</v>
      </c>
      <c r="BA84" s="188">
        <v>5010338103.3100004</v>
      </c>
      <c r="BB84" s="188">
        <v>4895309580.54</v>
      </c>
      <c r="BC84" s="188">
        <v>4888570328.4099998</v>
      </c>
      <c r="BD84" s="188">
        <v>4807601462.5600004</v>
      </c>
      <c r="BE84" s="188">
        <v>5068821027.4499998</v>
      </c>
      <c r="BF84" s="188">
        <v>4926753550.1099997</v>
      </c>
      <c r="BG84" s="188">
        <v>4808299542.9399996</v>
      </c>
      <c r="BH84" s="188">
        <v>4751398778.0100002</v>
      </c>
      <c r="BI84" s="188">
        <v>4805853655.8900003</v>
      </c>
      <c r="BJ84" s="188">
        <v>4648133672.2799997</v>
      </c>
      <c r="BK84" s="188">
        <v>4488942480.3800001</v>
      </c>
      <c r="BL84" s="188">
        <v>4292913533.4400001</v>
      </c>
      <c r="BM84" s="188">
        <v>4290589554.0599999</v>
      </c>
      <c r="BN84" s="188">
        <v>4205781132.7199998</v>
      </c>
      <c r="BO84" s="188">
        <v>4125320111.8000002</v>
      </c>
      <c r="BP84" s="188">
        <v>3954027963.8899999</v>
      </c>
      <c r="BQ84" s="188">
        <v>3988477317.79</v>
      </c>
      <c r="BR84" s="188">
        <v>3875929168.1599998</v>
      </c>
      <c r="BS84" s="188">
        <v>3795371454.2600002</v>
      </c>
      <c r="BT84" s="188">
        <v>3599541620.5700002</v>
      </c>
      <c r="BU84" s="188">
        <v>3730682761.8000002</v>
      </c>
      <c r="BV84" s="188">
        <v>3598065094.6500001</v>
      </c>
      <c r="BW84" s="188">
        <v>2191187359.48</v>
      </c>
      <c r="BX84" s="188">
        <v>2108608785.3</v>
      </c>
      <c r="BY84" s="188">
        <v>1229599139.29</v>
      </c>
      <c r="BZ84" s="188">
        <v>1243135953.28</v>
      </c>
      <c r="CA84" s="188">
        <v>1174616352.97</v>
      </c>
      <c r="CB84" s="188">
        <v>1161133968.48</v>
      </c>
      <c r="CC84" s="188">
        <v>1183711862.5699999</v>
      </c>
      <c r="CD84" s="188">
        <v>1077817608.03</v>
      </c>
      <c r="CE84" s="188">
        <v>1076597245.8299999</v>
      </c>
      <c r="CF84" s="188">
        <v>1079738000</v>
      </c>
      <c r="CG84" s="188">
        <v>1004228352.76</v>
      </c>
      <c r="CH84" s="188">
        <v>492689900.37</v>
      </c>
      <c r="CI84" s="188">
        <v>0</v>
      </c>
      <c r="CJ84" s="188">
        <v>0</v>
      </c>
      <c r="CK84" s="188">
        <v>0</v>
      </c>
      <c r="CL84" s="188">
        <v>0</v>
      </c>
      <c r="CM84" s="188">
        <v>0</v>
      </c>
    </row>
    <row r="85" spans="1:91">
      <c r="A85" s="188" t="s">
        <v>189</v>
      </c>
      <c r="B85" s="188">
        <v>33661588218</v>
      </c>
      <c r="C85" s="188">
        <v>33137806564.169998</v>
      </c>
      <c r="D85" s="188">
        <v>33231812272.380001</v>
      </c>
      <c r="E85" s="188">
        <v>33759891731.740002</v>
      </c>
      <c r="F85" s="188">
        <v>33520374733.110001</v>
      </c>
      <c r="G85" s="188">
        <v>32332378568.75</v>
      </c>
      <c r="H85" s="188">
        <v>31521904479.709999</v>
      </c>
      <c r="I85" s="188">
        <v>32796133092.939999</v>
      </c>
      <c r="J85" s="188">
        <v>31741039188.790001</v>
      </c>
      <c r="K85" s="188">
        <v>31226608509.82</v>
      </c>
      <c r="L85" s="188">
        <v>30947866530.209999</v>
      </c>
      <c r="M85" s="188">
        <v>30448597827.849998</v>
      </c>
      <c r="N85" s="188">
        <v>29852734095.540001</v>
      </c>
      <c r="O85" s="188">
        <v>29357613194.259998</v>
      </c>
      <c r="P85" s="188">
        <v>30290653917.110001</v>
      </c>
      <c r="Q85" s="188">
        <v>29973481837.84</v>
      </c>
      <c r="R85" s="188">
        <v>29769094699.509998</v>
      </c>
      <c r="S85" s="188">
        <v>29266053922.849998</v>
      </c>
      <c r="T85" s="188">
        <v>28737502386.299999</v>
      </c>
      <c r="U85" s="188">
        <v>28118184339.650002</v>
      </c>
      <c r="V85" s="188">
        <v>27120459751.27</v>
      </c>
      <c r="W85" s="188">
        <v>26437951645.41</v>
      </c>
      <c r="X85" s="188">
        <v>25419448579.150002</v>
      </c>
      <c r="Y85" s="188">
        <v>24586762638.279999</v>
      </c>
      <c r="Z85" s="188">
        <v>25743676630.150002</v>
      </c>
      <c r="AA85" s="188">
        <v>23218137484.130001</v>
      </c>
      <c r="AB85" s="188">
        <v>19786591921.369999</v>
      </c>
      <c r="AC85" s="188">
        <v>18228936755.52</v>
      </c>
      <c r="AD85" s="188">
        <v>21032130468.099998</v>
      </c>
      <c r="AE85" s="188">
        <v>17316927174.400002</v>
      </c>
      <c r="AF85" s="188">
        <v>16729824064.290001</v>
      </c>
      <c r="AG85" s="188">
        <v>15752968981.219999</v>
      </c>
      <c r="AH85" s="188">
        <v>15187648312.91</v>
      </c>
      <c r="AI85" s="188">
        <v>15119780162.540001</v>
      </c>
      <c r="AJ85" s="188">
        <v>14449654024.42</v>
      </c>
      <c r="AK85" s="188">
        <v>13600158747.360001</v>
      </c>
      <c r="AL85" s="188">
        <v>13111628464.450001</v>
      </c>
      <c r="AM85" s="188">
        <v>12900358473.540001</v>
      </c>
      <c r="AN85" s="188">
        <v>11649213796.629999</v>
      </c>
      <c r="AO85" s="188">
        <v>10931292753.559999</v>
      </c>
      <c r="AP85" s="188">
        <v>10476999796.84</v>
      </c>
      <c r="AQ85" s="188">
        <v>10507452280.65</v>
      </c>
      <c r="AR85" s="188">
        <v>10404102038.58</v>
      </c>
      <c r="AS85" s="188">
        <v>9925025420.3199997</v>
      </c>
      <c r="AT85" s="188">
        <v>10026108121.42</v>
      </c>
      <c r="AU85" s="188">
        <v>9731360925.1000004</v>
      </c>
      <c r="AV85" s="188">
        <v>9346467350.2199993</v>
      </c>
      <c r="AW85" s="188">
        <v>8692596628.0799999</v>
      </c>
      <c r="AX85" s="188">
        <v>8525370016.6000004</v>
      </c>
      <c r="AY85" s="188">
        <v>8127363248.5500002</v>
      </c>
      <c r="AZ85" s="188">
        <v>7908550177.0799999</v>
      </c>
      <c r="BA85" s="188">
        <v>7652770633.7600002</v>
      </c>
      <c r="BB85" s="188">
        <v>7752671794.3800001</v>
      </c>
      <c r="BC85" s="188">
        <v>7692590871.8500004</v>
      </c>
      <c r="BD85" s="188">
        <v>7924262028.3400002</v>
      </c>
      <c r="BE85" s="188">
        <v>8179311231.4399996</v>
      </c>
      <c r="BF85" s="188">
        <v>8227776215.0100002</v>
      </c>
      <c r="BG85" s="188">
        <v>8475432869.0600004</v>
      </c>
      <c r="BH85" s="188">
        <v>8612850307.1100006</v>
      </c>
      <c r="BI85" s="188">
        <v>8511903588.3999996</v>
      </c>
      <c r="BJ85" s="188">
        <v>8529207681.5500002</v>
      </c>
      <c r="BK85" s="188">
        <v>8481734886.3599997</v>
      </c>
      <c r="BL85" s="188">
        <v>8596935405.9899998</v>
      </c>
      <c r="BM85" s="188">
        <v>8548661873.1300001</v>
      </c>
      <c r="BN85" s="188">
        <v>8504600429.8599997</v>
      </c>
      <c r="BO85" s="188">
        <v>7927133224.2600002</v>
      </c>
      <c r="BP85" s="188">
        <v>8142983403.6400003</v>
      </c>
      <c r="BQ85" s="188">
        <v>7772992509.7399998</v>
      </c>
      <c r="BR85" s="188">
        <v>7434956073.1099997</v>
      </c>
      <c r="BS85" s="188">
        <v>7406369426.0500002</v>
      </c>
      <c r="BT85" s="188">
        <v>6892352479.4700003</v>
      </c>
      <c r="BU85" s="188">
        <v>7129817168.8599997</v>
      </c>
      <c r="BV85" s="188">
        <v>6886955811.5200005</v>
      </c>
      <c r="BW85" s="188">
        <v>5057606168.3100004</v>
      </c>
      <c r="BX85" s="188">
        <v>5124004378.7600002</v>
      </c>
      <c r="BY85" s="188">
        <v>2461500311.8299999</v>
      </c>
      <c r="BZ85" s="188">
        <v>2626284825.5799999</v>
      </c>
      <c r="CA85" s="188">
        <v>2434980488.4499998</v>
      </c>
      <c r="CB85" s="188">
        <v>2582924979.1900001</v>
      </c>
      <c r="CC85" s="188">
        <v>2336543811.5</v>
      </c>
      <c r="CD85" s="188">
        <v>1914374559.4000001</v>
      </c>
      <c r="CE85" s="188">
        <v>1607893658.3699999</v>
      </c>
      <c r="CF85" s="188">
        <v>1445865000</v>
      </c>
      <c r="CG85" s="188">
        <v>1422259892.8900001</v>
      </c>
      <c r="CH85" s="188">
        <v>1035641191.15</v>
      </c>
      <c r="CI85" s="188">
        <v>756550000</v>
      </c>
      <c r="CJ85" s="188">
        <v>540650000</v>
      </c>
      <c r="CK85" s="188">
        <v>287000000</v>
      </c>
      <c r="CL85" s="188">
        <v>291120000</v>
      </c>
      <c r="CM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CL31"/>
  <sheetViews>
    <sheetView workbookViewId="0">
      <selection activeCell="A2" sqref="A2"/>
    </sheetView>
  </sheetViews>
  <sheetFormatPr defaultRowHeight="13.5"/>
  <cols>
    <col min="1" max="1" width="37" style="188" bestFit="1" customWidth="1"/>
    <col min="2" max="2" width="13.875" style="188" bestFit="1" customWidth="1"/>
    <col min="3" max="5" width="13.875" style="188" hidden="1" customWidth="1"/>
    <col min="6" max="6" width="13.875" style="188" bestFit="1" customWidth="1"/>
    <col min="7" max="9" width="13.875" style="188" hidden="1" customWidth="1"/>
    <col min="10" max="10" width="13.875" style="188" bestFit="1" customWidth="1"/>
    <col min="11" max="13" width="13.875" style="188" hidden="1" customWidth="1"/>
    <col min="14" max="14" width="13.875" style="188" bestFit="1" customWidth="1"/>
    <col min="15" max="17" width="13.875" style="188" hidden="1" customWidth="1"/>
    <col min="18" max="18" width="13.875" style="188" bestFit="1" customWidth="1"/>
    <col min="19" max="21" width="13.875" style="188" hidden="1" customWidth="1"/>
    <col min="22" max="22" width="13.875" style="188" bestFit="1" customWidth="1"/>
    <col min="23" max="25" width="13.875" style="188" hidden="1" customWidth="1"/>
    <col min="26" max="26" width="13.875" style="188" bestFit="1" customWidth="1"/>
    <col min="27" max="28" width="13.875" style="188" hidden="1" customWidth="1"/>
    <col min="29" max="29" width="12.75" style="188" hidden="1" customWidth="1"/>
    <col min="30" max="30" width="13.875" style="188" bestFit="1" customWidth="1"/>
    <col min="31" max="33" width="13.875" style="188" hidden="1" customWidth="1"/>
    <col min="34" max="34" width="12.75" style="188" bestFit="1" customWidth="1"/>
    <col min="35" max="37" width="13.875" style="188" hidden="1" customWidth="1"/>
    <col min="38" max="38" width="13.875" style="188" bestFit="1" customWidth="1"/>
    <col min="39" max="41" width="13.875" style="188" hidden="1" customWidth="1"/>
    <col min="42" max="42" width="13.875" style="188" bestFit="1" customWidth="1"/>
    <col min="43" max="45" width="13.875" style="188" hidden="1" customWidth="1"/>
    <col min="46" max="46" width="13.875" style="188" bestFit="1" customWidth="1"/>
    <col min="47" max="49" width="13.875" style="188" hidden="1" customWidth="1"/>
    <col min="50" max="50" width="13.875" style="188" bestFit="1" customWidth="1"/>
    <col min="51" max="51" width="13.875" style="188" hidden="1" customWidth="1"/>
    <col min="52" max="53" width="12.75" style="188" hidden="1" customWidth="1"/>
    <col min="54" max="54" width="13.875" style="188" bestFit="1" customWidth="1"/>
    <col min="55" max="55" width="13.875" style="188" hidden="1" customWidth="1"/>
    <col min="56" max="57" width="12.75" style="188" hidden="1" customWidth="1"/>
    <col min="58" max="58" width="13.875" style="188" bestFit="1" customWidth="1"/>
    <col min="59" max="61" width="12.75" style="188" hidden="1" customWidth="1"/>
    <col min="62" max="62" width="12.75" style="188" bestFit="1" customWidth="1"/>
    <col min="63" max="65" width="12.75" style="188" hidden="1" customWidth="1"/>
    <col min="66" max="66" width="12.75" style="188" bestFit="1" customWidth="1"/>
    <col min="67" max="69" width="12.75" style="188" hidden="1" customWidth="1"/>
    <col min="70" max="70" width="12.75" style="188" bestFit="1" customWidth="1"/>
    <col min="71" max="71" width="12.75" style="188" hidden="1" customWidth="1"/>
    <col min="72" max="72" width="12.75" style="188" bestFit="1" customWidth="1"/>
    <col min="73" max="73" width="12.75" style="188" hidden="1" customWidth="1"/>
    <col min="74" max="74" width="12.75" style="188" bestFit="1" customWidth="1"/>
    <col min="75" max="75" width="12.75" style="188" hidden="1" customWidth="1"/>
    <col min="76" max="76" width="12.75" style="188" bestFit="1" customWidth="1"/>
    <col min="77" max="77" width="13.875" style="188" hidden="1" customWidth="1"/>
    <col min="78" max="78" width="12.75" style="188" bestFit="1" customWidth="1"/>
    <col min="79" max="79" width="12.75" style="188" hidden="1" customWidth="1"/>
    <col min="80" max="80" width="12.75" style="188" bestFit="1" customWidth="1"/>
    <col min="81" max="81" width="12.75" style="188" hidden="1" customWidth="1"/>
    <col min="82" max="82" width="12.75" style="188" bestFit="1" customWidth="1"/>
    <col min="83" max="83" width="11.625" style="188" hidden="1" customWidth="1"/>
    <col min="84" max="84" width="11.625" style="188" bestFit="1" customWidth="1"/>
    <col min="85" max="85" width="12.75" style="188" hidden="1" customWidth="1"/>
    <col min="86" max="86" width="10.5" style="188" hidden="1" customWidth="1"/>
    <col min="87" max="89" width="10.5" style="188" bestFit="1" customWidth="1"/>
    <col min="90" max="90" width="9.5" style="188" hidden="1" customWidth="1"/>
    <col min="91" max="16384" width="9" style="188"/>
  </cols>
  <sheetData>
    <row r="1" spans="1:90">
      <c r="A1" s="188">
        <v>600835</v>
      </c>
      <c r="B1" s="188">
        <v>20181231</v>
      </c>
      <c r="C1" s="188">
        <v>20180930</v>
      </c>
      <c r="D1" s="188">
        <v>20180630</v>
      </c>
      <c r="E1" s="188">
        <v>20180331</v>
      </c>
      <c r="F1" s="188">
        <v>20171231</v>
      </c>
      <c r="G1" s="188">
        <v>20170930</v>
      </c>
      <c r="H1" s="188">
        <v>20170630</v>
      </c>
      <c r="I1" s="188">
        <v>20170331</v>
      </c>
      <c r="J1" s="188">
        <v>20161231</v>
      </c>
      <c r="K1" s="188">
        <v>20160930</v>
      </c>
      <c r="L1" s="188">
        <v>20160630</v>
      </c>
      <c r="M1" s="188">
        <v>20160331</v>
      </c>
      <c r="N1" s="188">
        <v>20151231</v>
      </c>
      <c r="O1" s="188">
        <v>20150930</v>
      </c>
      <c r="P1" s="188">
        <v>20150630</v>
      </c>
      <c r="Q1" s="188">
        <v>20150331</v>
      </c>
      <c r="R1" s="188">
        <v>20141231</v>
      </c>
      <c r="S1" s="188">
        <v>20140930</v>
      </c>
      <c r="T1" s="188">
        <v>20140630</v>
      </c>
      <c r="U1" s="188">
        <v>20140331</v>
      </c>
      <c r="V1" s="188">
        <v>20131231</v>
      </c>
      <c r="W1" s="188">
        <v>20130930</v>
      </c>
      <c r="X1" s="188">
        <v>20130630</v>
      </c>
      <c r="Y1" s="188">
        <v>20130331</v>
      </c>
      <c r="Z1" s="188">
        <v>20121231</v>
      </c>
      <c r="AA1" s="188">
        <v>20120930</v>
      </c>
      <c r="AB1" s="188">
        <v>20120630</v>
      </c>
      <c r="AC1" s="188">
        <v>20120331</v>
      </c>
      <c r="AD1" s="188">
        <v>20111231</v>
      </c>
      <c r="AE1" s="188">
        <v>20110930</v>
      </c>
      <c r="AF1" s="188">
        <v>20110630</v>
      </c>
      <c r="AG1" s="188">
        <v>20110331</v>
      </c>
      <c r="AH1" s="188">
        <v>20101231</v>
      </c>
      <c r="AI1" s="188">
        <v>20100930</v>
      </c>
      <c r="AJ1" s="188">
        <v>20100630</v>
      </c>
      <c r="AK1" s="188">
        <v>20100331</v>
      </c>
      <c r="AL1" s="188">
        <v>20091231</v>
      </c>
      <c r="AM1" s="188">
        <v>20090930</v>
      </c>
      <c r="AN1" s="188">
        <v>20090630</v>
      </c>
      <c r="AO1" s="188">
        <v>20090331</v>
      </c>
      <c r="AP1" s="188">
        <v>20081231</v>
      </c>
      <c r="AQ1" s="188">
        <v>20080930</v>
      </c>
      <c r="AR1" s="188">
        <v>20080630</v>
      </c>
      <c r="AS1" s="188">
        <v>20080331</v>
      </c>
      <c r="AT1" s="188">
        <v>20071231</v>
      </c>
      <c r="AU1" s="188">
        <v>20070930</v>
      </c>
      <c r="AV1" s="188">
        <v>20070630</v>
      </c>
      <c r="AW1" s="188">
        <v>20070331</v>
      </c>
      <c r="AX1" s="188">
        <v>20061231</v>
      </c>
      <c r="AY1" s="188">
        <v>20060930</v>
      </c>
      <c r="AZ1" s="188">
        <v>20060630</v>
      </c>
      <c r="BA1" s="188">
        <v>20060331</v>
      </c>
      <c r="BB1" s="188">
        <v>20051231</v>
      </c>
      <c r="BC1" s="188">
        <v>20050930</v>
      </c>
      <c r="BD1" s="188">
        <v>20050630</v>
      </c>
      <c r="BE1" s="188">
        <v>20050331</v>
      </c>
      <c r="BF1" s="188">
        <v>20041231</v>
      </c>
      <c r="BG1" s="188">
        <v>20040930</v>
      </c>
      <c r="BH1" s="188">
        <v>20040630</v>
      </c>
      <c r="BI1" s="188">
        <v>20040331</v>
      </c>
      <c r="BJ1" s="188">
        <v>20031231</v>
      </c>
      <c r="BK1" s="188">
        <v>20030930</v>
      </c>
      <c r="BL1" s="188">
        <v>20030630</v>
      </c>
      <c r="BM1" s="188">
        <v>20030331</v>
      </c>
      <c r="BN1" s="188">
        <v>20021231</v>
      </c>
      <c r="BO1" s="188">
        <v>20020930</v>
      </c>
      <c r="BP1" s="188">
        <v>20020630</v>
      </c>
      <c r="BQ1" s="188">
        <v>20020331</v>
      </c>
      <c r="BR1" s="188">
        <v>20011231</v>
      </c>
      <c r="BS1" s="188">
        <v>20010630</v>
      </c>
      <c r="BT1" s="188">
        <v>20001231</v>
      </c>
      <c r="BU1" s="188">
        <v>20000630</v>
      </c>
      <c r="BV1" s="188">
        <v>19991231</v>
      </c>
      <c r="BW1" s="188">
        <v>19990630</v>
      </c>
      <c r="BX1" s="188">
        <v>19981231</v>
      </c>
      <c r="BY1" s="188">
        <v>19980630</v>
      </c>
      <c r="BZ1" s="188">
        <v>19971231</v>
      </c>
      <c r="CA1" s="188">
        <v>19970630</v>
      </c>
      <c r="CB1" s="188">
        <v>19961231</v>
      </c>
      <c r="CC1" s="188">
        <v>19960630</v>
      </c>
      <c r="CD1" s="188">
        <v>19951231</v>
      </c>
      <c r="CE1" s="188">
        <v>19950630</v>
      </c>
      <c r="CF1" s="188">
        <v>19941231</v>
      </c>
      <c r="CG1" s="188">
        <v>19940630</v>
      </c>
      <c r="CH1" s="188">
        <v>19930630</v>
      </c>
      <c r="CI1" s="188">
        <v>19921231</v>
      </c>
      <c r="CJ1" s="188">
        <v>19911231</v>
      </c>
      <c r="CK1" s="188">
        <v>19901231</v>
      </c>
      <c r="CL1" s="188">
        <v>19700101</v>
      </c>
    </row>
    <row r="2" spans="1:90">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c r="BV2" s="188" t="s">
        <v>106</v>
      </c>
      <c r="BW2" s="188" t="s">
        <v>106</v>
      </c>
      <c r="BX2" s="188" t="s">
        <v>106</v>
      </c>
      <c r="BY2" s="188" t="s">
        <v>106</v>
      </c>
      <c r="BZ2" s="188" t="s">
        <v>106</v>
      </c>
      <c r="CA2" s="188" t="s">
        <v>106</v>
      </c>
      <c r="CB2" s="188" t="s">
        <v>106</v>
      </c>
      <c r="CC2" s="188" t="s">
        <v>106</v>
      </c>
      <c r="CD2" s="188" t="s">
        <v>106</v>
      </c>
      <c r="CE2" s="188" t="s">
        <v>106</v>
      </c>
      <c r="CF2" s="188" t="s">
        <v>106</v>
      </c>
      <c r="CG2" s="188" t="s">
        <v>106</v>
      </c>
      <c r="CH2" s="188" t="s">
        <v>106</v>
      </c>
      <c r="CI2" s="188" t="s">
        <v>106</v>
      </c>
      <c r="CJ2" s="188" t="s">
        <v>106</v>
      </c>
      <c r="CK2" s="188" t="s">
        <v>106</v>
      </c>
    </row>
    <row r="3" spans="1:90">
      <c r="A3" s="188" t="s">
        <v>190</v>
      </c>
      <c r="B3" s="188">
        <v>21233742463.09</v>
      </c>
      <c r="C3" s="188">
        <v>15909823128.299999</v>
      </c>
      <c r="D3" s="188">
        <v>10308432863.280001</v>
      </c>
      <c r="E3" s="188">
        <v>3981658165.3600001</v>
      </c>
      <c r="F3" s="188">
        <v>19471146411.049999</v>
      </c>
      <c r="G3" s="188">
        <v>14693527606.42</v>
      </c>
      <c r="H3" s="188">
        <v>9613219456.0699997</v>
      </c>
      <c r="I3" s="188">
        <v>3794547830.4299998</v>
      </c>
      <c r="J3" s="188">
        <v>18938551893.709999</v>
      </c>
      <c r="K3" s="188">
        <v>14218450906.1</v>
      </c>
      <c r="L3" s="188">
        <v>9271315229.1499996</v>
      </c>
      <c r="M3" s="188">
        <v>3775359862.3600001</v>
      </c>
      <c r="N3" s="188">
        <v>19295534666.82</v>
      </c>
      <c r="O3" s="188">
        <v>14753293830.16</v>
      </c>
      <c r="P3" s="188">
        <v>9829497798.7700005</v>
      </c>
      <c r="Q3" s="188">
        <v>4151295665.3000002</v>
      </c>
      <c r="R3" s="188">
        <v>20778933220.52</v>
      </c>
      <c r="S3" s="188">
        <v>15575183289.370001</v>
      </c>
      <c r="T3" s="188">
        <v>10136316637.43</v>
      </c>
      <c r="U3" s="188">
        <v>4133240256.1999998</v>
      </c>
      <c r="V3" s="188">
        <v>19907077075.110001</v>
      </c>
      <c r="W3" s="188">
        <v>14618769623.620001</v>
      </c>
      <c r="X3" s="188">
        <v>9381540032.2600002</v>
      </c>
      <c r="Y3" s="188">
        <v>3883863244.5599999</v>
      </c>
      <c r="Z3" s="188">
        <v>17743250879.580002</v>
      </c>
      <c r="AA3" s="188">
        <v>13454135360.23</v>
      </c>
      <c r="AB3" s="188">
        <v>7196076462.4799995</v>
      </c>
      <c r="AC3" s="188">
        <v>3198850932.6599998</v>
      </c>
      <c r="AD3" s="188">
        <v>14502379031.75</v>
      </c>
      <c r="AE3" s="188">
        <v>11431577726.110001</v>
      </c>
      <c r="AF3" s="188">
        <v>7366026241.6199999</v>
      </c>
      <c r="AG3" s="188">
        <v>3228286800.9099998</v>
      </c>
      <c r="AH3" s="188">
        <v>13259978831.02</v>
      </c>
      <c r="AI3" s="188">
        <v>9744452405.0200005</v>
      </c>
      <c r="AJ3" s="188">
        <v>6310896504.9499998</v>
      </c>
      <c r="AK3" s="188">
        <v>2739090225.46</v>
      </c>
      <c r="AL3" s="188">
        <v>10986235317.82</v>
      </c>
      <c r="AM3" s="188">
        <v>8066224111.6300001</v>
      </c>
      <c r="AN3" s="188">
        <v>5180700037.8599997</v>
      </c>
      <c r="AO3" s="188">
        <v>2344474929.9000001</v>
      </c>
      <c r="AP3" s="188">
        <v>10447383090.459999</v>
      </c>
      <c r="AQ3" s="188">
        <v>7918918582.4499998</v>
      </c>
      <c r="AR3" s="188">
        <v>5191719881.5</v>
      </c>
      <c r="AS3" s="188">
        <v>2316491412.3400002</v>
      </c>
      <c r="AT3" s="188">
        <v>9186192504.1200008</v>
      </c>
      <c r="AU3" s="188">
        <v>6667310641.75</v>
      </c>
      <c r="AV3" s="188">
        <v>4210749706.7199998</v>
      </c>
      <c r="AW3" s="188">
        <v>1893486265.3399999</v>
      </c>
      <c r="AX3" s="188">
        <v>7320231691.2600002</v>
      </c>
      <c r="AY3" s="188">
        <v>5267808344.0600004</v>
      </c>
      <c r="AZ3" s="188">
        <v>3436760967.7199998</v>
      </c>
      <c r="BA3" s="188">
        <v>1565250469.4200001</v>
      </c>
      <c r="BB3" s="188">
        <v>6862759168.2600002</v>
      </c>
      <c r="BC3" s="188">
        <v>5083625856.7600002</v>
      </c>
      <c r="BD3" s="188">
        <v>3372574348.5999999</v>
      </c>
      <c r="BE3" s="188">
        <v>1538316693.9000001</v>
      </c>
      <c r="BF3" s="188">
        <v>6590388687.0100002</v>
      </c>
      <c r="BG3" s="188">
        <v>4823804231.5500002</v>
      </c>
      <c r="BH3" s="188">
        <v>3315008125.4699998</v>
      </c>
      <c r="BI3" s="188">
        <v>1605545778.1400001</v>
      </c>
      <c r="BJ3" s="188">
        <v>5552422445.6400003</v>
      </c>
      <c r="BK3" s="188">
        <v>4090488924.1599998</v>
      </c>
      <c r="BL3" s="188">
        <v>2677769870.98</v>
      </c>
      <c r="BM3" s="188">
        <v>1258205557.53</v>
      </c>
      <c r="BN3" s="188">
        <v>4475659918.7700005</v>
      </c>
      <c r="BO3" s="188">
        <v>3426653697.6500001</v>
      </c>
      <c r="BP3" s="188">
        <v>2289833659.5</v>
      </c>
      <c r="BQ3" s="188">
        <v>1068391795.14</v>
      </c>
      <c r="BR3" s="188">
        <v>3857977486.4000001</v>
      </c>
      <c r="BS3" s="188">
        <v>1895795757.6400001</v>
      </c>
      <c r="BT3" s="188">
        <v>3636493097.6999998</v>
      </c>
      <c r="BU3" s="188">
        <v>1765141891.22</v>
      </c>
      <c r="BV3" s="188">
        <v>3510059294.4499998</v>
      </c>
      <c r="BW3" s="188">
        <v>1642695043.8199999</v>
      </c>
      <c r="BX3" s="188">
        <v>444399064.31</v>
      </c>
      <c r="BY3" s="188">
        <v>213570809.87</v>
      </c>
      <c r="BZ3" s="188">
        <v>918221399.26999998</v>
      </c>
      <c r="CA3" s="188">
        <v>393349759.06999999</v>
      </c>
      <c r="CB3" s="188">
        <v>1350938321.28</v>
      </c>
      <c r="CC3" s="188">
        <v>953254408.08000004</v>
      </c>
      <c r="CD3" s="188">
        <v>1925366523.1800001</v>
      </c>
      <c r="CE3" s="188">
        <v>1099700000</v>
      </c>
      <c r="CF3" s="188">
        <v>1434362000</v>
      </c>
      <c r="CG3" s="188">
        <v>765920060.38</v>
      </c>
      <c r="CH3" s="188">
        <v>587340000</v>
      </c>
      <c r="CI3" s="188">
        <v>778590000</v>
      </c>
      <c r="CJ3" s="188">
        <v>635150000</v>
      </c>
      <c r="CK3" s="188">
        <v>544300000</v>
      </c>
      <c r="CL3" s="188">
        <v>0</v>
      </c>
    </row>
    <row r="4" spans="1:90">
      <c r="A4" s="188" t="s">
        <v>191</v>
      </c>
      <c r="B4" s="188">
        <v>21233742463.09</v>
      </c>
      <c r="C4" s="188">
        <v>15909823128.299999</v>
      </c>
      <c r="D4" s="188">
        <v>10308432863.280001</v>
      </c>
      <c r="E4" s="188">
        <v>3981658165.3600001</v>
      </c>
      <c r="F4" s="188">
        <v>19471146411.049999</v>
      </c>
      <c r="G4" s="188">
        <v>14693527606.42</v>
      </c>
      <c r="H4" s="188">
        <v>9613219456.0699997</v>
      </c>
      <c r="I4" s="188">
        <v>3794547830.4299998</v>
      </c>
      <c r="J4" s="188">
        <v>18938551893.709999</v>
      </c>
      <c r="K4" s="188">
        <v>14218450906.1</v>
      </c>
      <c r="L4" s="188">
        <v>9271315229.1499996</v>
      </c>
      <c r="M4" s="188">
        <v>3775359862.3600001</v>
      </c>
      <c r="N4" s="188">
        <v>19295534666.82</v>
      </c>
      <c r="O4" s="188">
        <v>14753293830.16</v>
      </c>
      <c r="P4" s="188">
        <v>9829497798.7700005</v>
      </c>
      <c r="Q4" s="188">
        <v>4151295665.3000002</v>
      </c>
      <c r="R4" s="188">
        <v>20778933220.52</v>
      </c>
      <c r="S4" s="188">
        <v>15575183289.370001</v>
      </c>
      <c r="T4" s="188">
        <v>10136316637.43</v>
      </c>
      <c r="U4" s="188">
        <v>4133240256.1999998</v>
      </c>
      <c r="V4" s="188">
        <v>19907077075.110001</v>
      </c>
      <c r="W4" s="188">
        <v>14618769623.620001</v>
      </c>
      <c r="X4" s="188">
        <v>9381540032.2600002</v>
      </c>
      <c r="Y4" s="188">
        <v>3883863244.5599999</v>
      </c>
      <c r="Z4" s="188">
        <v>17743250879.580002</v>
      </c>
      <c r="AA4" s="188">
        <v>13454135360.23</v>
      </c>
      <c r="AB4" s="188">
        <v>7196076462.4799995</v>
      </c>
      <c r="AC4" s="188">
        <v>3198850932.6599998</v>
      </c>
      <c r="AD4" s="188">
        <v>14502379031.75</v>
      </c>
      <c r="AE4" s="188">
        <v>11431577726.110001</v>
      </c>
      <c r="AF4" s="188">
        <v>7366026241.6199999</v>
      </c>
      <c r="AG4" s="188">
        <v>3228286800.9099998</v>
      </c>
      <c r="AH4" s="188">
        <v>13259978831.02</v>
      </c>
      <c r="AI4" s="188">
        <v>9744452405.0200005</v>
      </c>
      <c r="AJ4" s="188">
        <v>6310896504.9499998</v>
      </c>
      <c r="AK4" s="188">
        <v>2739090225.46</v>
      </c>
      <c r="AL4" s="188">
        <v>10986235317.82</v>
      </c>
      <c r="AM4" s="188">
        <v>8066224111.6300001</v>
      </c>
      <c r="AN4" s="188">
        <v>5180700037.8599997</v>
      </c>
      <c r="AO4" s="188">
        <v>2344474929.9000001</v>
      </c>
      <c r="AP4" s="188">
        <v>10447383090.459999</v>
      </c>
      <c r="AQ4" s="188">
        <v>7918918582.4499998</v>
      </c>
      <c r="AR4" s="188">
        <v>5191719881.5</v>
      </c>
      <c r="AS4" s="188">
        <v>2316491412.3400002</v>
      </c>
      <c r="AT4" s="188">
        <v>9186192504.1200008</v>
      </c>
      <c r="AU4" s="188">
        <v>6667310641.75</v>
      </c>
      <c r="AV4" s="188">
        <v>4210749706.7199998</v>
      </c>
      <c r="AW4" s="188">
        <v>1893486265.3399999</v>
      </c>
      <c r="AX4" s="188">
        <v>7286223314.4200001</v>
      </c>
      <c r="AY4" s="188">
        <v>5245909976.1700001</v>
      </c>
      <c r="AZ4" s="188">
        <v>3422503680.1999998</v>
      </c>
      <c r="BA4" s="188">
        <v>1557384662.4200001</v>
      </c>
      <c r="BB4" s="188">
        <v>6831533255.1899996</v>
      </c>
      <c r="BC4" s="188">
        <v>5059322816.5</v>
      </c>
      <c r="BD4" s="188">
        <v>3356863760.23</v>
      </c>
      <c r="BE4" s="188">
        <v>1530956087.8499999</v>
      </c>
      <c r="BF4" s="188">
        <v>6555276828.1199999</v>
      </c>
      <c r="BG4" s="188">
        <v>4802388106.7799997</v>
      </c>
      <c r="BH4" s="188">
        <v>3300403591.21</v>
      </c>
      <c r="BI4" s="188">
        <v>1599628295.23</v>
      </c>
      <c r="BJ4" s="188">
        <v>5559734783.4700003</v>
      </c>
      <c r="BK4" s="188">
        <v>4073338384.8699999</v>
      </c>
      <c r="BL4" s="188">
        <v>2665555632.9699998</v>
      </c>
      <c r="BM4" s="188">
        <v>1253183034.1500001</v>
      </c>
      <c r="BN4" s="188">
        <v>4468336934.6800003</v>
      </c>
      <c r="BO4" s="188">
        <v>3419871820.3000002</v>
      </c>
      <c r="BP4" s="188">
        <v>2289548356.9299998</v>
      </c>
      <c r="BQ4" s="188">
        <v>1062734559.6900001</v>
      </c>
      <c r="BR4" s="188">
        <v>3844769510</v>
      </c>
      <c r="BS4" s="188">
        <v>1888676871</v>
      </c>
      <c r="BT4" s="188">
        <v>3624435206.8899999</v>
      </c>
      <c r="BU4" s="188">
        <v>1759872948.4200001</v>
      </c>
      <c r="BV4" s="188">
        <v>3503166528.1399999</v>
      </c>
      <c r="BW4" s="188">
        <v>1640969270.5599999</v>
      </c>
      <c r="BX4" s="188">
        <v>444323044.92000002</v>
      </c>
      <c r="BY4" s="188">
        <v>202091770.88</v>
      </c>
      <c r="BZ4" s="188">
        <v>918888298.00999999</v>
      </c>
      <c r="CA4" s="188">
        <v>393462052.19999999</v>
      </c>
      <c r="CB4" s="188">
        <v>1350796162.8199999</v>
      </c>
      <c r="CC4" s="188">
        <v>953095812.62</v>
      </c>
      <c r="CD4" s="188">
        <v>1924570651.9100001</v>
      </c>
      <c r="CE4" s="188">
        <v>1099680000</v>
      </c>
      <c r="CF4" s="188">
        <v>1434156000</v>
      </c>
      <c r="CG4" s="188">
        <v>767120945.70000005</v>
      </c>
      <c r="CH4" s="188">
        <v>585220000</v>
      </c>
      <c r="CI4" s="188">
        <v>773370000</v>
      </c>
      <c r="CJ4" s="188">
        <v>630840000</v>
      </c>
      <c r="CK4" s="188">
        <v>542050000</v>
      </c>
      <c r="CL4" s="188">
        <v>0</v>
      </c>
    </row>
    <row r="5" spans="1:90">
      <c r="A5" s="188" t="s">
        <v>192</v>
      </c>
      <c r="B5" s="188">
        <v>19195348068.700001</v>
      </c>
      <c r="C5" s="188">
        <v>14146089219.6</v>
      </c>
      <c r="D5" s="188">
        <v>9206812522.0900002</v>
      </c>
      <c r="E5" s="188">
        <v>3583107031.3099999</v>
      </c>
      <c r="F5" s="188">
        <v>17215905300.810001</v>
      </c>
      <c r="G5" s="188">
        <v>12939335816.48</v>
      </c>
      <c r="H5" s="188">
        <v>8589286940.5</v>
      </c>
      <c r="I5" s="188">
        <v>3414258723.1199999</v>
      </c>
      <c r="J5" s="188">
        <v>16870242172.34</v>
      </c>
      <c r="K5" s="188">
        <v>12562744109.690001</v>
      </c>
      <c r="L5" s="188">
        <v>8301174377.3400002</v>
      </c>
      <c r="M5" s="188">
        <v>3403322803.0599999</v>
      </c>
      <c r="N5" s="188">
        <v>17749178134.869999</v>
      </c>
      <c r="O5" s="188">
        <v>13459516051.620001</v>
      </c>
      <c r="P5" s="188">
        <v>9111139487.7600002</v>
      </c>
      <c r="Q5" s="188">
        <v>3894644025.3000002</v>
      </c>
      <c r="R5" s="188">
        <v>19153435367.639999</v>
      </c>
      <c r="S5" s="188">
        <v>14263461475.1</v>
      </c>
      <c r="T5" s="188">
        <v>9347286430.6000004</v>
      </c>
      <c r="U5" s="188">
        <v>3881361140.7600002</v>
      </c>
      <c r="V5" s="188">
        <v>18423804681.860001</v>
      </c>
      <c r="W5" s="188">
        <v>13409305831.959999</v>
      </c>
      <c r="X5" s="188">
        <v>8707702784.8899994</v>
      </c>
      <c r="Y5" s="188">
        <v>3723017023.8000002</v>
      </c>
      <c r="Z5" s="188">
        <v>16680775137.35</v>
      </c>
      <c r="AA5" s="188">
        <v>12725243384.1</v>
      </c>
      <c r="AB5" s="188">
        <v>6616342870.25</v>
      </c>
      <c r="AC5" s="188">
        <v>2976207917.4200001</v>
      </c>
      <c r="AD5" s="188">
        <v>13569149897.76</v>
      </c>
      <c r="AE5" s="188">
        <v>10524481010.639999</v>
      </c>
      <c r="AF5" s="188">
        <v>6794747507.9399996</v>
      </c>
      <c r="AG5" s="188">
        <v>2999155135.1599998</v>
      </c>
      <c r="AH5" s="188">
        <v>12491140513.1</v>
      </c>
      <c r="AI5" s="188">
        <v>9073192446.7000008</v>
      </c>
      <c r="AJ5" s="188">
        <v>5853963369.7600002</v>
      </c>
      <c r="AK5" s="188">
        <v>2532059426.1900001</v>
      </c>
      <c r="AL5" s="188">
        <v>10373164219.200001</v>
      </c>
      <c r="AM5" s="188">
        <v>7426665798.8000002</v>
      </c>
      <c r="AN5" s="188">
        <v>4738012930.0900002</v>
      </c>
      <c r="AO5" s="188">
        <v>2143012149.72</v>
      </c>
      <c r="AP5" s="188">
        <v>9763368850.9599991</v>
      </c>
      <c r="AQ5" s="188">
        <v>7268045157.8800001</v>
      </c>
      <c r="AR5" s="188">
        <v>4752368020.6800003</v>
      </c>
      <c r="AS5" s="188">
        <v>2115086900.5599999</v>
      </c>
      <c r="AT5" s="188">
        <v>8444064926.8199997</v>
      </c>
      <c r="AU5" s="188">
        <v>6059954400.7600002</v>
      </c>
      <c r="AV5" s="188">
        <v>3835697572.3000002</v>
      </c>
      <c r="AW5" s="188">
        <v>1742601152.9300001</v>
      </c>
      <c r="AX5" s="188">
        <v>6682354911.7700005</v>
      </c>
      <c r="AY5" s="188">
        <v>4846141621.8000002</v>
      </c>
      <c r="AZ5" s="188">
        <v>3181468511.8099999</v>
      </c>
      <c r="BA5" s="188">
        <v>1436983795.1400001</v>
      </c>
      <c r="BB5" s="188">
        <v>6274948197.9700003</v>
      </c>
      <c r="BC5" s="188">
        <v>4553059655.4700003</v>
      </c>
      <c r="BD5" s="188">
        <v>3001685493.8000002</v>
      </c>
      <c r="BE5" s="188">
        <v>1372433277.5999999</v>
      </c>
      <c r="BF5" s="188">
        <v>5851811530.54</v>
      </c>
      <c r="BG5" s="188">
        <v>4281129002.0700002</v>
      </c>
      <c r="BH5" s="188">
        <v>2922823712.9000001</v>
      </c>
      <c r="BI5" s="188">
        <v>1421405385.6199999</v>
      </c>
      <c r="BJ5" s="188">
        <v>4808764407.1899996</v>
      </c>
      <c r="BK5" s="188">
        <v>3516361360.0799999</v>
      </c>
      <c r="BL5" s="188">
        <v>2328974017.0900002</v>
      </c>
      <c r="BM5" s="188">
        <v>1108311179.79</v>
      </c>
      <c r="BN5" s="188">
        <v>3821317541.1500001</v>
      </c>
      <c r="BO5" s="188">
        <v>2923710380.2800002</v>
      </c>
      <c r="BP5" s="188">
        <v>1976900964.5899999</v>
      </c>
      <c r="BQ5" s="188">
        <v>932094002.75999999</v>
      </c>
      <c r="BR5" s="188">
        <v>3297506070.0300002</v>
      </c>
      <c r="BS5" s="188">
        <v>1611520019.8099999</v>
      </c>
      <c r="BT5" s="188">
        <v>3175862035.7600002</v>
      </c>
      <c r="BU5" s="188">
        <v>1517199089.6400001</v>
      </c>
      <c r="BV5" s="188">
        <v>3059893443.0100002</v>
      </c>
      <c r="BW5" s="188">
        <v>1383200729.5599999</v>
      </c>
      <c r="BX5" s="188">
        <v>486954938.42000002</v>
      </c>
      <c r="BY5" s="188">
        <v>224700016.56999999</v>
      </c>
      <c r="BZ5" s="188">
        <v>874566359.04999995</v>
      </c>
      <c r="CA5" s="188">
        <v>0</v>
      </c>
      <c r="CB5" s="188">
        <v>1345686129.46</v>
      </c>
      <c r="CC5" s="188">
        <v>0</v>
      </c>
      <c r="CD5" s="188">
        <v>1747435229.1600001</v>
      </c>
      <c r="CE5" s="188">
        <v>0</v>
      </c>
      <c r="CF5" s="188">
        <v>0</v>
      </c>
      <c r="CG5" s="188">
        <v>0</v>
      </c>
      <c r="CH5" s="188">
        <v>528580000</v>
      </c>
      <c r="CI5" s="188">
        <v>693920000</v>
      </c>
      <c r="CJ5" s="188">
        <v>563700000</v>
      </c>
      <c r="CK5" s="188">
        <v>473000000</v>
      </c>
      <c r="CL5" s="188">
        <v>0</v>
      </c>
    </row>
    <row r="6" spans="1:90">
      <c r="A6" s="188" t="s">
        <v>193</v>
      </c>
      <c r="B6" s="188">
        <v>17178505650.290001</v>
      </c>
      <c r="C6" s="188">
        <v>12769312772.200001</v>
      </c>
      <c r="D6" s="188">
        <v>8246400053.1499996</v>
      </c>
      <c r="E6" s="188">
        <v>3170883561.7199998</v>
      </c>
      <c r="F6" s="188">
        <v>15226925132.92</v>
      </c>
      <c r="G6" s="188">
        <v>11628814912.92</v>
      </c>
      <c r="H6" s="188">
        <v>7633692655.8699999</v>
      </c>
      <c r="I6" s="188">
        <v>2976584444.52</v>
      </c>
      <c r="J6" s="188">
        <v>14780967899.440001</v>
      </c>
      <c r="K6" s="188">
        <v>11180763428.889999</v>
      </c>
      <c r="L6" s="188">
        <v>7291362019.0100002</v>
      </c>
      <c r="M6" s="188">
        <v>2979672630.1999998</v>
      </c>
      <c r="N6" s="188">
        <v>15117878402.59</v>
      </c>
      <c r="O6" s="188">
        <v>11642318913.57</v>
      </c>
      <c r="P6" s="188">
        <v>7801959717</v>
      </c>
      <c r="Q6" s="188">
        <v>3312008819.9899998</v>
      </c>
      <c r="R6" s="188">
        <v>16242127953.23</v>
      </c>
      <c r="S6" s="188">
        <v>12274014787.58</v>
      </c>
      <c r="T6" s="188">
        <v>8038090291.4700003</v>
      </c>
      <c r="U6" s="188">
        <v>3269606314.1599998</v>
      </c>
      <c r="V6" s="188">
        <v>15670770649.25</v>
      </c>
      <c r="W6" s="188">
        <v>11611711540.879999</v>
      </c>
      <c r="X6" s="188">
        <v>7542876267.8199997</v>
      </c>
      <c r="Y6" s="188">
        <v>3154730635.73</v>
      </c>
      <c r="Z6" s="188">
        <v>14295199209.41</v>
      </c>
      <c r="AA6" s="188">
        <v>10906926142.75</v>
      </c>
      <c r="AB6" s="188">
        <v>5793795568.4099998</v>
      </c>
      <c r="AC6" s="188">
        <v>2541452950.0500002</v>
      </c>
      <c r="AD6" s="188">
        <v>11654694217.540001</v>
      </c>
      <c r="AE6" s="188">
        <v>9194752912.6000004</v>
      </c>
      <c r="AF6" s="188">
        <v>5952172825.3299999</v>
      </c>
      <c r="AG6" s="188">
        <v>2595919278.0100002</v>
      </c>
      <c r="AH6" s="188">
        <v>10700275731.110001</v>
      </c>
      <c r="AI6" s="188">
        <v>7867784014.79</v>
      </c>
      <c r="AJ6" s="188">
        <v>5088515339.8000002</v>
      </c>
      <c r="AK6" s="188">
        <v>2199896810.4400001</v>
      </c>
      <c r="AL6" s="188">
        <v>8888158950.1800003</v>
      </c>
      <c r="AM6" s="188">
        <v>6534738603.1199999</v>
      </c>
      <c r="AN6" s="188">
        <v>4183817454.4899998</v>
      </c>
      <c r="AO6" s="188">
        <v>1873897756.1900001</v>
      </c>
      <c r="AP6" s="188">
        <v>8489100178.8299999</v>
      </c>
      <c r="AQ6" s="188">
        <v>6394198410.4899998</v>
      </c>
      <c r="AR6" s="188">
        <v>4175419382.9099998</v>
      </c>
      <c r="AS6" s="188">
        <v>1861863686.0699999</v>
      </c>
      <c r="AT6" s="188">
        <v>7277254140.21</v>
      </c>
      <c r="AU6" s="188">
        <v>5289137929.5200005</v>
      </c>
      <c r="AV6" s="188">
        <v>3333026643.5900002</v>
      </c>
      <c r="AW6" s="188">
        <v>1538991169.55</v>
      </c>
      <c r="AX6" s="188">
        <v>5756865497.54</v>
      </c>
      <c r="AY6" s="188">
        <v>4211090083.77</v>
      </c>
      <c r="AZ6" s="188">
        <v>2765887880.8899999</v>
      </c>
      <c r="BA6" s="188">
        <v>1249190096.8199999</v>
      </c>
      <c r="BB6" s="188">
        <v>5403366370.7799997</v>
      </c>
      <c r="BC6" s="188">
        <v>3924222586.1799998</v>
      </c>
      <c r="BD6" s="188">
        <v>2567321061.1799998</v>
      </c>
      <c r="BE6" s="188">
        <v>1175375812.9400001</v>
      </c>
      <c r="BF6" s="188">
        <v>4942282576.8999996</v>
      </c>
      <c r="BG6" s="188">
        <v>3660508261.8899999</v>
      </c>
      <c r="BH6" s="188">
        <v>2517586186.9499998</v>
      </c>
      <c r="BI6" s="188">
        <v>1226508689.25</v>
      </c>
      <c r="BJ6" s="188">
        <v>4011958308.4299998</v>
      </c>
      <c r="BK6" s="188">
        <v>2944267467</v>
      </c>
      <c r="BL6" s="188">
        <v>1952850787.5</v>
      </c>
      <c r="BM6" s="188">
        <v>915105404.87</v>
      </c>
      <c r="BN6" s="188">
        <v>2881983316.8499999</v>
      </c>
      <c r="BO6" s="188">
        <v>2314903460.3000002</v>
      </c>
      <c r="BP6" s="188">
        <v>1596717736.3499999</v>
      </c>
      <c r="BQ6" s="188">
        <v>773737089.95000005</v>
      </c>
      <c r="BR6" s="188">
        <v>2554268178.5100002</v>
      </c>
      <c r="BS6" s="188">
        <v>1304874733.9300001</v>
      </c>
      <c r="BT6" s="188">
        <v>2483197627.2600002</v>
      </c>
      <c r="BU6" s="188">
        <v>1254158982.9400001</v>
      </c>
      <c r="BV6" s="188">
        <v>2461372469.0999999</v>
      </c>
      <c r="BW6" s="188">
        <v>1156607381.01</v>
      </c>
      <c r="BX6" s="188">
        <v>405519122.69999999</v>
      </c>
      <c r="BY6" s="188">
        <v>157687789.38</v>
      </c>
      <c r="BZ6" s="188">
        <v>738657178.74000001</v>
      </c>
      <c r="CA6" s="188">
        <v>0</v>
      </c>
      <c r="CB6" s="188">
        <v>1121670089.03</v>
      </c>
      <c r="CC6" s="188">
        <v>0</v>
      </c>
      <c r="CD6" s="188">
        <v>1522442725.4100001</v>
      </c>
      <c r="CE6" s="188">
        <v>0</v>
      </c>
      <c r="CF6" s="188">
        <v>0</v>
      </c>
      <c r="CG6" s="188">
        <v>0</v>
      </c>
      <c r="CH6" s="188">
        <v>482620000</v>
      </c>
      <c r="CI6" s="188">
        <v>622550000</v>
      </c>
      <c r="CJ6" s="188">
        <v>511020000</v>
      </c>
      <c r="CK6" s="188">
        <v>438350000</v>
      </c>
      <c r="CL6" s="188">
        <v>0</v>
      </c>
    </row>
    <row r="7" spans="1:90">
      <c r="A7" s="188" t="s">
        <v>194</v>
      </c>
      <c r="B7" s="188">
        <v>88238202.739999995</v>
      </c>
      <c r="C7" s="188">
        <v>72077164.099999994</v>
      </c>
      <c r="D7" s="188">
        <v>53440398.829999998</v>
      </c>
      <c r="E7" s="188">
        <v>24680489.940000001</v>
      </c>
      <c r="F7" s="188">
        <v>118281818.69</v>
      </c>
      <c r="G7" s="188">
        <v>85319248.390000001</v>
      </c>
      <c r="H7" s="188">
        <v>65982482.200000003</v>
      </c>
      <c r="I7" s="188">
        <v>29384721.870000001</v>
      </c>
      <c r="J7" s="188">
        <v>148289534.94999999</v>
      </c>
      <c r="K7" s="188">
        <v>103667800.89</v>
      </c>
      <c r="L7" s="188">
        <v>82012392.040000007</v>
      </c>
      <c r="M7" s="188">
        <v>42992139.280000001</v>
      </c>
      <c r="N7" s="188">
        <v>151298695.34999999</v>
      </c>
      <c r="O7" s="188">
        <v>121435065.36</v>
      </c>
      <c r="P7" s="188">
        <v>77594340.980000004</v>
      </c>
      <c r="Q7" s="188">
        <v>37283240.600000001</v>
      </c>
      <c r="R7" s="188">
        <v>154535099.59</v>
      </c>
      <c r="S7" s="188">
        <v>129833994.84999999</v>
      </c>
      <c r="T7" s="188">
        <v>84670343.25</v>
      </c>
      <c r="U7" s="188">
        <v>40893605.850000001</v>
      </c>
      <c r="V7" s="188">
        <v>137698423</v>
      </c>
      <c r="W7" s="188">
        <v>108324837.53</v>
      </c>
      <c r="X7" s="188">
        <v>71322030.209999993</v>
      </c>
      <c r="Y7" s="188">
        <v>30607092.649999999</v>
      </c>
      <c r="Z7" s="188">
        <v>151094119.47</v>
      </c>
      <c r="AA7" s="188">
        <v>108281857.06999999</v>
      </c>
      <c r="AB7" s="188">
        <v>66375802.159999996</v>
      </c>
      <c r="AC7" s="188">
        <v>24932592.219999999</v>
      </c>
      <c r="AD7" s="188">
        <v>94762721.609999999</v>
      </c>
      <c r="AE7" s="188">
        <v>81594878.359999999</v>
      </c>
      <c r="AF7" s="188">
        <v>50935124.369999997</v>
      </c>
      <c r="AG7" s="188">
        <v>14073529.74</v>
      </c>
      <c r="AH7" s="188">
        <v>47049591.960000001</v>
      </c>
      <c r="AI7" s="188">
        <v>36252827.310000002</v>
      </c>
      <c r="AJ7" s="188">
        <v>23807994.210000001</v>
      </c>
      <c r="AK7" s="188">
        <v>12045757.27</v>
      </c>
      <c r="AL7" s="188">
        <v>36433124.130000003</v>
      </c>
      <c r="AM7" s="188">
        <v>27332568.32</v>
      </c>
      <c r="AN7" s="188">
        <v>18394534.010000002</v>
      </c>
      <c r="AO7" s="188">
        <v>8894401.1799999997</v>
      </c>
      <c r="AP7" s="188">
        <v>30051094.940000001</v>
      </c>
      <c r="AQ7" s="188">
        <v>21453805.739999998</v>
      </c>
      <c r="AR7" s="188">
        <v>14258088.619999999</v>
      </c>
      <c r="AS7" s="188">
        <v>6704249.0499999998</v>
      </c>
      <c r="AT7" s="188">
        <v>29132541.030000001</v>
      </c>
      <c r="AU7" s="188">
        <v>21674399.34</v>
      </c>
      <c r="AV7" s="188">
        <v>14030629.800000001</v>
      </c>
      <c r="AW7" s="188">
        <v>6026209.2300000004</v>
      </c>
      <c r="AX7" s="188">
        <v>23752289.66</v>
      </c>
      <c r="AY7" s="188">
        <v>19284640.84</v>
      </c>
      <c r="AZ7" s="188">
        <v>11539457.869999999</v>
      </c>
      <c r="BA7" s="188">
        <v>5355209.1900000004</v>
      </c>
      <c r="BB7" s="188">
        <v>18167645.329999998</v>
      </c>
      <c r="BC7" s="188">
        <v>13000135.689999999</v>
      </c>
      <c r="BD7" s="188">
        <v>8146628.9400000004</v>
      </c>
      <c r="BE7" s="188">
        <v>3962995.23</v>
      </c>
      <c r="BF7" s="188">
        <v>16086266.32</v>
      </c>
      <c r="BG7" s="188">
        <v>11113213.24</v>
      </c>
      <c r="BH7" s="188">
        <v>7490047.04</v>
      </c>
      <c r="BI7" s="188">
        <v>3860914.82</v>
      </c>
      <c r="BJ7" s="188">
        <v>13609027.49</v>
      </c>
      <c r="BK7" s="188">
        <v>14003668.35</v>
      </c>
      <c r="BL7" s="188">
        <v>6332369.0800000001</v>
      </c>
      <c r="BM7" s="188">
        <v>3138194.45</v>
      </c>
      <c r="BN7" s="188">
        <v>13058660.060000001</v>
      </c>
      <c r="BO7" s="188">
        <v>9502722.4000000004</v>
      </c>
      <c r="BP7" s="188">
        <v>7358392.9500000002</v>
      </c>
      <c r="BQ7" s="188">
        <v>3574226.91</v>
      </c>
      <c r="BR7" s="188">
        <v>8993988.4600000009</v>
      </c>
      <c r="BS7" s="188">
        <v>4245879.2</v>
      </c>
      <c r="BT7" s="188">
        <v>8228819.0300000003</v>
      </c>
      <c r="BU7" s="188">
        <v>4186741.08</v>
      </c>
      <c r="BV7" s="188">
        <v>7988472.2599999998</v>
      </c>
      <c r="BW7" s="188">
        <v>3979167.01</v>
      </c>
      <c r="BX7" s="188">
        <v>4178453.65</v>
      </c>
      <c r="BY7" s="188">
        <v>706418.24</v>
      </c>
      <c r="BZ7" s="188">
        <v>9634697.4700000007</v>
      </c>
      <c r="CA7" s="188">
        <v>0</v>
      </c>
      <c r="CB7" s="188">
        <v>2962011.87</v>
      </c>
      <c r="CC7" s="188">
        <v>0</v>
      </c>
      <c r="CD7" s="188">
        <v>5920842.5199999996</v>
      </c>
      <c r="CE7" s="188">
        <v>0</v>
      </c>
      <c r="CF7" s="188">
        <v>0</v>
      </c>
      <c r="CG7" s="188">
        <v>0</v>
      </c>
      <c r="CH7" s="188">
        <v>45960000</v>
      </c>
      <c r="CI7" s="188">
        <v>71370000</v>
      </c>
      <c r="CJ7" s="188">
        <v>52680000</v>
      </c>
      <c r="CK7" s="188">
        <v>34650000</v>
      </c>
      <c r="CL7" s="188">
        <v>0</v>
      </c>
    </row>
    <row r="8" spans="1:90">
      <c r="A8" s="188" t="s">
        <v>195</v>
      </c>
      <c r="B8" s="188">
        <v>724492171.12</v>
      </c>
      <c r="C8" s="188">
        <v>491311861.5</v>
      </c>
      <c r="D8" s="188">
        <v>339030182.24000001</v>
      </c>
      <c r="E8" s="188">
        <v>172332071.94999999</v>
      </c>
      <c r="F8" s="188">
        <v>706517294.04999995</v>
      </c>
      <c r="G8" s="188">
        <v>529202614.25</v>
      </c>
      <c r="H8" s="188">
        <v>373089927.08999997</v>
      </c>
      <c r="I8" s="188">
        <v>213695958.05000001</v>
      </c>
      <c r="J8" s="188">
        <v>689775545.35000002</v>
      </c>
      <c r="K8" s="188">
        <v>495531408.82999998</v>
      </c>
      <c r="L8" s="188">
        <v>347131879.60000002</v>
      </c>
      <c r="M8" s="188">
        <v>145371900.63999999</v>
      </c>
      <c r="N8" s="188">
        <v>772143600.40999997</v>
      </c>
      <c r="O8" s="188">
        <v>616311011.03999996</v>
      </c>
      <c r="P8" s="188">
        <v>438084366.19</v>
      </c>
      <c r="Q8" s="188">
        <v>208163069.53999999</v>
      </c>
      <c r="R8" s="188">
        <v>983815921.95000005</v>
      </c>
      <c r="S8" s="188">
        <v>759160445.75</v>
      </c>
      <c r="T8" s="188">
        <v>514231780.66000003</v>
      </c>
      <c r="U8" s="188">
        <v>247375429.66999999</v>
      </c>
      <c r="V8" s="188">
        <v>938233144.64999998</v>
      </c>
      <c r="W8" s="188">
        <v>705962389.58000004</v>
      </c>
      <c r="X8" s="188">
        <v>447350690.70999998</v>
      </c>
      <c r="Y8" s="188">
        <v>192717975.55000001</v>
      </c>
      <c r="Z8" s="188">
        <v>858629127.98000002</v>
      </c>
      <c r="AA8" s="188">
        <v>626435048.36000001</v>
      </c>
      <c r="AB8" s="188">
        <v>311434096.91000003</v>
      </c>
      <c r="AC8" s="188">
        <v>174620991.75</v>
      </c>
      <c r="AD8" s="188">
        <v>648436356.85000002</v>
      </c>
      <c r="AE8" s="188">
        <v>507216885.31</v>
      </c>
      <c r="AF8" s="188">
        <v>339288086.79000002</v>
      </c>
      <c r="AG8" s="188">
        <v>199457623.34</v>
      </c>
      <c r="AH8" s="188">
        <v>572442492.40999997</v>
      </c>
      <c r="AI8" s="188">
        <v>433458555.19</v>
      </c>
      <c r="AJ8" s="188">
        <v>284133934.61000001</v>
      </c>
      <c r="AK8" s="188">
        <v>123275317.18000001</v>
      </c>
      <c r="AL8" s="188">
        <v>520564229.83999997</v>
      </c>
      <c r="AM8" s="188">
        <v>393129860.58999997</v>
      </c>
      <c r="AN8" s="188">
        <v>257251654.05000001</v>
      </c>
      <c r="AO8" s="188">
        <v>127798549.45</v>
      </c>
      <c r="AP8" s="188">
        <v>450800611.77999997</v>
      </c>
      <c r="AQ8" s="188">
        <v>375411125.95999998</v>
      </c>
      <c r="AR8" s="188">
        <v>213375019.44</v>
      </c>
      <c r="AS8" s="188">
        <v>131402491.89</v>
      </c>
      <c r="AT8" s="188">
        <v>492053156.49000001</v>
      </c>
      <c r="AU8" s="188">
        <v>355914981.87</v>
      </c>
      <c r="AV8" s="188">
        <v>228683868.50999999</v>
      </c>
      <c r="AW8" s="188">
        <v>94632357.790000007</v>
      </c>
      <c r="AX8" s="188">
        <v>360255683.31999999</v>
      </c>
      <c r="AY8" s="188">
        <v>267027956.16</v>
      </c>
      <c r="AZ8" s="188">
        <v>170509771.09</v>
      </c>
      <c r="BA8" s="188">
        <v>85898121.189999998</v>
      </c>
      <c r="BB8" s="188">
        <v>345423417.47000003</v>
      </c>
      <c r="BC8" s="188">
        <v>253245321.00999999</v>
      </c>
      <c r="BD8" s="188">
        <v>162518431.43000001</v>
      </c>
      <c r="BE8" s="188">
        <v>79442511.939999998</v>
      </c>
      <c r="BF8" s="188">
        <v>321429749.67000002</v>
      </c>
      <c r="BG8" s="188">
        <v>229591779.19</v>
      </c>
      <c r="BH8" s="188">
        <v>133740621.19</v>
      </c>
      <c r="BI8" s="188">
        <v>65436244.530000001</v>
      </c>
      <c r="BJ8" s="188">
        <v>323599708.75</v>
      </c>
      <c r="BK8" s="188">
        <v>239973112.84999999</v>
      </c>
      <c r="BL8" s="188">
        <v>157358942.06999999</v>
      </c>
      <c r="BM8" s="188">
        <v>82777207.959999993</v>
      </c>
      <c r="BN8" s="188">
        <v>317593510.41000003</v>
      </c>
      <c r="BO8" s="188">
        <v>228508007.62</v>
      </c>
      <c r="BP8" s="188">
        <v>148225737.93000001</v>
      </c>
      <c r="BQ8" s="188">
        <v>72043847.859999999</v>
      </c>
      <c r="BR8" s="188">
        <v>290137966.11000001</v>
      </c>
      <c r="BS8" s="188">
        <v>134119448.56</v>
      </c>
      <c r="BT8" s="188">
        <v>245249626.66</v>
      </c>
      <c r="BU8" s="188">
        <v>127462441.63</v>
      </c>
      <c r="BV8" s="188">
        <v>214680939.50999999</v>
      </c>
      <c r="BW8" s="188">
        <v>98544459.200000003</v>
      </c>
      <c r="BX8" s="188">
        <v>5778042.5199999996</v>
      </c>
      <c r="BY8" s="188">
        <v>14938744.029999999</v>
      </c>
      <c r="BZ8" s="188">
        <v>24044238.5</v>
      </c>
      <c r="CA8" s="188">
        <v>0</v>
      </c>
      <c r="CB8" s="188">
        <v>50761337.530000001</v>
      </c>
      <c r="CC8" s="188">
        <v>0</v>
      </c>
      <c r="CD8" s="188">
        <v>26810633.800000001</v>
      </c>
      <c r="CE8" s="188">
        <v>0</v>
      </c>
      <c r="CF8" s="188">
        <v>0</v>
      </c>
      <c r="CG8" s="188">
        <v>0</v>
      </c>
      <c r="CH8" s="188">
        <v>0</v>
      </c>
      <c r="CI8" s="188">
        <v>0</v>
      </c>
      <c r="CJ8" s="188">
        <v>0</v>
      </c>
      <c r="CK8" s="188">
        <v>0</v>
      </c>
      <c r="CL8" s="188">
        <v>0</v>
      </c>
    </row>
    <row r="9" spans="1:90">
      <c r="A9" s="188" t="s">
        <v>196</v>
      </c>
      <c r="B9" s="188">
        <v>648676921.63999999</v>
      </c>
      <c r="C9" s="188">
        <v>490305615.76999998</v>
      </c>
      <c r="D9" s="188">
        <v>711397610.64999998</v>
      </c>
      <c r="E9" s="188">
        <v>256091440.58000001</v>
      </c>
      <c r="F9" s="188">
        <v>1297812456.3199999</v>
      </c>
      <c r="G9" s="188">
        <v>897288688.38</v>
      </c>
      <c r="H9" s="188">
        <v>651720570.57000005</v>
      </c>
      <c r="I9" s="188">
        <v>246324752.13</v>
      </c>
      <c r="J9" s="188">
        <v>1348474399.55</v>
      </c>
      <c r="K9" s="188">
        <v>953494349.96000004</v>
      </c>
      <c r="L9" s="188">
        <v>663893559.29999995</v>
      </c>
      <c r="M9" s="188">
        <v>288924674.19999999</v>
      </c>
      <c r="N9" s="188">
        <v>1782457942.6800001</v>
      </c>
      <c r="O9" s="188">
        <v>1246319073.75</v>
      </c>
      <c r="P9" s="188">
        <v>916950550.39999998</v>
      </c>
      <c r="Q9" s="188">
        <v>382675273.56999999</v>
      </c>
      <c r="R9" s="188">
        <v>1876778470.8299999</v>
      </c>
      <c r="S9" s="188">
        <v>1311561912.96</v>
      </c>
      <c r="T9" s="188">
        <v>887189511.44000006</v>
      </c>
      <c r="U9" s="188">
        <v>384622815.70999998</v>
      </c>
      <c r="V9" s="188">
        <v>1839728726</v>
      </c>
      <c r="W9" s="188">
        <v>1166382034.47</v>
      </c>
      <c r="X9" s="188">
        <v>776169353.77999997</v>
      </c>
      <c r="Y9" s="188">
        <v>359530187.44999999</v>
      </c>
      <c r="Z9" s="188">
        <v>1482340908.6500001</v>
      </c>
      <c r="AA9" s="188">
        <v>1173732261.54</v>
      </c>
      <c r="AB9" s="188">
        <v>534231845.31</v>
      </c>
      <c r="AC9" s="188">
        <v>235862570.50999999</v>
      </c>
      <c r="AD9" s="188">
        <v>1217841360</v>
      </c>
      <c r="AE9" s="188">
        <v>853202817.29999995</v>
      </c>
      <c r="AF9" s="188">
        <v>521332474.60000002</v>
      </c>
      <c r="AG9" s="188">
        <v>238303364.31</v>
      </c>
      <c r="AH9" s="188">
        <v>1077062088.3699999</v>
      </c>
      <c r="AI9" s="188">
        <v>775436485.40999997</v>
      </c>
      <c r="AJ9" s="188">
        <v>478880324.41000003</v>
      </c>
      <c r="AK9" s="188">
        <v>217513666.13</v>
      </c>
      <c r="AL9" s="188">
        <v>899709500.05999994</v>
      </c>
      <c r="AM9" s="188">
        <v>554972324.38</v>
      </c>
      <c r="AN9" s="188">
        <v>340190388.22000003</v>
      </c>
      <c r="AO9" s="188">
        <v>163726144.58000001</v>
      </c>
      <c r="AP9" s="188">
        <v>759141352.00999999</v>
      </c>
      <c r="AQ9" s="188">
        <v>528160805.45999998</v>
      </c>
      <c r="AR9" s="188">
        <v>342386795.98000002</v>
      </c>
      <c r="AS9" s="188">
        <v>144957146.94999999</v>
      </c>
      <c r="AT9" s="188">
        <v>638911611.90999997</v>
      </c>
      <c r="AU9" s="188">
        <v>434563880.16000003</v>
      </c>
      <c r="AV9" s="188">
        <v>280669108.04000002</v>
      </c>
      <c r="AW9" s="188">
        <v>123108354.90000001</v>
      </c>
      <c r="AX9" s="188">
        <v>564132285.63</v>
      </c>
      <c r="AY9" s="188">
        <v>362108855.76999998</v>
      </c>
      <c r="AZ9" s="188">
        <v>241592698</v>
      </c>
      <c r="BA9" s="188">
        <v>100067356.54000001</v>
      </c>
      <c r="BB9" s="188">
        <v>516323877.29000002</v>
      </c>
      <c r="BC9" s="188">
        <v>363413451.38</v>
      </c>
      <c r="BD9" s="188">
        <v>265771022.94</v>
      </c>
      <c r="BE9" s="188">
        <v>117285447.89</v>
      </c>
      <c r="BF9" s="188">
        <v>584589106.21000004</v>
      </c>
      <c r="BG9" s="188">
        <v>387049001.74000001</v>
      </c>
      <c r="BH9" s="188">
        <v>266947677.38</v>
      </c>
      <c r="BI9" s="188">
        <v>128116416.59</v>
      </c>
      <c r="BJ9" s="188">
        <v>450852411.87</v>
      </c>
      <c r="BK9" s="188">
        <v>303466718.38999999</v>
      </c>
      <c r="BL9" s="188">
        <v>196504881.38999999</v>
      </c>
      <c r="BM9" s="188">
        <v>100897170.67</v>
      </c>
      <c r="BN9" s="188">
        <v>601321222.13999999</v>
      </c>
      <c r="BO9" s="188">
        <v>362501878.05000001</v>
      </c>
      <c r="BP9" s="188">
        <v>219744265.62</v>
      </c>
      <c r="BQ9" s="188">
        <v>74400649.650000006</v>
      </c>
      <c r="BR9" s="188">
        <v>438597820</v>
      </c>
      <c r="BS9" s="188">
        <v>164511244.80000001</v>
      </c>
      <c r="BT9" s="188">
        <v>434314834.51999998</v>
      </c>
      <c r="BU9" s="188">
        <v>131075063.06999999</v>
      </c>
      <c r="BV9" s="188">
        <v>377039988.44999999</v>
      </c>
      <c r="BW9" s="188">
        <v>118137266.47</v>
      </c>
      <c r="BX9" s="188">
        <v>67592013.680000007</v>
      </c>
      <c r="BY9" s="188">
        <v>33930334.380000003</v>
      </c>
      <c r="BZ9" s="188">
        <v>79345908.530000001</v>
      </c>
      <c r="CA9" s="188">
        <v>0</v>
      </c>
      <c r="CB9" s="188">
        <v>120362071.26000001</v>
      </c>
      <c r="CC9" s="188">
        <v>0</v>
      </c>
      <c r="CD9" s="188">
        <v>168183396.69999999</v>
      </c>
      <c r="CE9" s="188">
        <v>0</v>
      </c>
      <c r="CF9" s="188">
        <v>0</v>
      </c>
      <c r="CG9" s="188">
        <v>0</v>
      </c>
      <c r="CH9" s="188">
        <v>0</v>
      </c>
      <c r="CI9" s="188">
        <v>0</v>
      </c>
      <c r="CJ9" s="188">
        <v>0</v>
      </c>
      <c r="CK9" s="188">
        <v>0</v>
      </c>
      <c r="CL9" s="188">
        <v>0</v>
      </c>
    </row>
    <row r="10" spans="1:90">
      <c r="A10" s="188" t="s">
        <v>197</v>
      </c>
      <c r="B10" s="188">
        <v>-266190477.19999999</v>
      </c>
      <c r="C10" s="188">
        <v>-223003401.37</v>
      </c>
      <c r="D10" s="188">
        <v>-139387543.87</v>
      </c>
      <c r="E10" s="188">
        <v>-30022098.690000001</v>
      </c>
      <c r="F10" s="188">
        <v>-218525078.5</v>
      </c>
      <c r="G10" s="188">
        <v>-185063057.88999999</v>
      </c>
      <c r="H10" s="188">
        <v>-126181120.72</v>
      </c>
      <c r="I10" s="188">
        <v>-47618347.409999996</v>
      </c>
      <c r="J10" s="188">
        <v>-283499786.54000002</v>
      </c>
      <c r="K10" s="188">
        <v>-235356508.59</v>
      </c>
      <c r="L10" s="188">
        <v>-158272204.97999999</v>
      </c>
      <c r="M10" s="188">
        <v>-69286065.950000003</v>
      </c>
      <c r="N10" s="188">
        <v>-318083164.19</v>
      </c>
      <c r="O10" s="188">
        <v>-232714382.28</v>
      </c>
      <c r="P10" s="188">
        <v>-138132029.40000001</v>
      </c>
      <c r="Q10" s="188">
        <v>-58736729.450000003</v>
      </c>
      <c r="R10" s="188">
        <v>-227863780.55000001</v>
      </c>
      <c r="S10" s="188">
        <v>-190844994.93000001</v>
      </c>
      <c r="T10" s="188">
        <v>-119308104.13</v>
      </c>
      <c r="U10" s="188">
        <v>-54076508.649999999</v>
      </c>
      <c r="V10" s="188">
        <v>-258834817.97999999</v>
      </c>
      <c r="W10" s="188">
        <v>-194751671.66999999</v>
      </c>
      <c r="X10" s="188">
        <v>-111189186.41</v>
      </c>
      <c r="Y10" s="188">
        <v>-13005963.01</v>
      </c>
      <c r="Z10" s="188">
        <v>-159518248.33000001</v>
      </c>
      <c r="AA10" s="188">
        <v>-147003306.55000001</v>
      </c>
      <c r="AB10" s="188">
        <v>-103599118.69</v>
      </c>
      <c r="AC10" s="188">
        <v>-7717898.0800000001</v>
      </c>
      <c r="AD10" s="188">
        <v>-139850915.75</v>
      </c>
      <c r="AE10" s="188">
        <v>-86436407.409999996</v>
      </c>
      <c r="AF10" s="188">
        <v>-60403988.409999996</v>
      </c>
      <c r="AG10" s="188">
        <v>-17185715.280000001</v>
      </c>
      <c r="AH10" s="188">
        <v>-87600537.700000003</v>
      </c>
      <c r="AI10" s="188">
        <v>-52935929.310000002</v>
      </c>
      <c r="AJ10" s="188">
        <v>-28857004.609999999</v>
      </c>
      <c r="AK10" s="188">
        <v>-7999584.46</v>
      </c>
      <c r="AL10" s="188">
        <v>-86387668.629999995</v>
      </c>
      <c r="AM10" s="188">
        <v>-63976100.18</v>
      </c>
      <c r="AN10" s="188">
        <v>-31004034.359999999</v>
      </c>
      <c r="AO10" s="188">
        <v>-10473263.51</v>
      </c>
      <c r="AP10" s="188">
        <v>-81025713.319999993</v>
      </c>
      <c r="AQ10" s="188">
        <v>-50001404.32</v>
      </c>
      <c r="AR10" s="188">
        <v>-29987967.289999999</v>
      </c>
      <c r="AS10" s="188">
        <v>-9773908.9499999993</v>
      </c>
      <c r="AT10" s="188">
        <v>-36694705.93</v>
      </c>
      <c r="AU10" s="188">
        <v>-22649401.350000001</v>
      </c>
      <c r="AV10" s="188">
        <v>-8345207.46</v>
      </c>
      <c r="AW10" s="188">
        <v>-6288958.1900000004</v>
      </c>
      <c r="AX10" s="188">
        <v>-22650844.379999999</v>
      </c>
      <c r="AY10" s="188">
        <v>-13369914.74</v>
      </c>
      <c r="AZ10" s="188">
        <v>-8061296.04</v>
      </c>
      <c r="BA10" s="188">
        <v>-3526988.6</v>
      </c>
      <c r="BB10" s="188">
        <v>-8333112.9000000004</v>
      </c>
      <c r="BC10" s="188">
        <v>-821838.79</v>
      </c>
      <c r="BD10" s="188">
        <v>-2071650.69</v>
      </c>
      <c r="BE10" s="188">
        <v>-3633490.4</v>
      </c>
      <c r="BF10" s="188">
        <v>-12576168.560000001</v>
      </c>
      <c r="BG10" s="188">
        <v>-7133253.9900000002</v>
      </c>
      <c r="BH10" s="188">
        <v>-2940819.66</v>
      </c>
      <c r="BI10" s="188">
        <v>-2516879.5699999998</v>
      </c>
      <c r="BJ10" s="188">
        <v>8744950.6500000004</v>
      </c>
      <c r="BK10" s="188">
        <v>14650393.49</v>
      </c>
      <c r="BL10" s="188">
        <v>15927037.050000001</v>
      </c>
      <c r="BM10" s="188">
        <v>6393201.8399999999</v>
      </c>
      <c r="BN10" s="188">
        <v>7360831.6900000004</v>
      </c>
      <c r="BO10" s="188">
        <v>8294311.9100000001</v>
      </c>
      <c r="BP10" s="188">
        <v>4854831.74</v>
      </c>
      <c r="BQ10" s="188">
        <v>8338188.3899999997</v>
      </c>
      <c r="BR10" s="188">
        <v>5508116.9500000002</v>
      </c>
      <c r="BS10" s="188">
        <v>3768713.32</v>
      </c>
      <c r="BT10" s="188">
        <v>3410802.03</v>
      </c>
      <c r="BU10" s="188">
        <v>-87429.7</v>
      </c>
      <c r="BV10" s="188">
        <v>-6568664.4100000001</v>
      </c>
      <c r="BW10" s="188">
        <v>5932455.8700000001</v>
      </c>
      <c r="BX10" s="188">
        <v>868607.39</v>
      </c>
      <c r="BY10" s="188">
        <v>17436730.539999999</v>
      </c>
      <c r="BZ10" s="188">
        <v>22884335.809999999</v>
      </c>
      <c r="CA10" s="188">
        <v>0</v>
      </c>
      <c r="CB10" s="188">
        <v>49930619.770000003</v>
      </c>
      <c r="CC10" s="188">
        <v>0</v>
      </c>
      <c r="CD10" s="188">
        <v>24077630.73</v>
      </c>
      <c r="CE10" s="188">
        <v>0</v>
      </c>
      <c r="CF10" s="188">
        <v>0</v>
      </c>
      <c r="CG10" s="188">
        <v>0</v>
      </c>
      <c r="CH10" s="188">
        <v>0</v>
      </c>
      <c r="CI10" s="188">
        <v>0</v>
      </c>
      <c r="CJ10" s="188">
        <v>0</v>
      </c>
      <c r="CK10" s="188">
        <v>0</v>
      </c>
      <c r="CL10" s="188">
        <v>0</v>
      </c>
    </row>
    <row r="11" spans="1:90">
      <c r="A11" s="188" t="s">
        <v>198</v>
      </c>
      <c r="B11" s="188">
        <v>489077.55</v>
      </c>
      <c r="C11" s="188">
        <v>-146349.57</v>
      </c>
      <c r="D11" s="188">
        <v>-4068178.91</v>
      </c>
      <c r="E11" s="188">
        <v>-10858434.189999999</v>
      </c>
      <c r="F11" s="188">
        <v>84893677.329999998</v>
      </c>
      <c r="G11" s="188">
        <v>-16226589.57</v>
      </c>
      <c r="H11" s="188">
        <v>-9017574.5099999998</v>
      </c>
      <c r="I11" s="188">
        <v>-4112806.04</v>
      </c>
      <c r="J11" s="188">
        <v>186234579.59</v>
      </c>
      <c r="K11" s="188">
        <v>64643629.710000001</v>
      </c>
      <c r="L11" s="188">
        <v>75046732.370000005</v>
      </c>
      <c r="M11" s="188">
        <v>15647524.689999999</v>
      </c>
      <c r="N11" s="188">
        <v>243482658.03</v>
      </c>
      <c r="O11" s="188">
        <v>65846370.18</v>
      </c>
      <c r="P11" s="188">
        <v>14682542.59</v>
      </c>
      <c r="Q11" s="188">
        <v>13250351.050000001</v>
      </c>
      <c r="R11" s="188">
        <v>124041702.59</v>
      </c>
      <c r="S11" s="188">
        <v>-20264671.109999999</v>
      </c>
      <c r="T11" s="188">
        <v>-57587392.090000004</v>
      </c>
      <c r="U11" s="188">
        <v>-7060515.9800000004</v>
      </c>
      <c r="V11" s="188">
        <v>96208556.939999998</v>
      </c>
      <c r="W11" s="188">
        <v>11676701.17</v>
      </c>
      <c r="X11" s="188">
        <v>-18826371.219999999</v>
      </c>
      <c r="Y11" s="188">
        <v>-1562904.57</v>
      </c>
      <c r="Z11" s="188">
        <v>53030020.170000002</v>
      </c>
      <c r="AA11" s="188">
        <v>56871380.93</v>
      </c>
      <c r="AB11" s="188">
        <v>14104676.15</v>
      </c>
      <c r="AC11" s="188">
        <v>7056710.9699999997</v>
      </c>
      <c r="AD11" s="188">
        <v>93266157.510000005</v>
      </c>
      <c r="AE11" s="188">
        <v>-25850075.52</v>
      </c>
      <c r="AF11" s="188">
        <v>-8577014.7400000002</v>
      </c>
      <c r="AG11" s="188">
        <v>-31412944.960000001</v>
      </c>
      <c r="AH11" s="188">
        <v>181911146.94999999</v>
      </c>
      <c r="AI11" s="188">
        <v>13196493.310000001</v>
      </c>
      <c r="AJ11" s="188">
        <v>7482781.3399999999</v>
      </c>
      <c r="AK11" s="188">
        <v>-12672540.369999999</v>
      </c>
      <c r="AL11" s="188">
        <v>114686083.62</v>
      </c>
      <c r="AM11" s="188">
        <v>-19531457.43</v>
      </c>
      <c r="AN11" s="188">
        <v>-30637066.32</v>
      </c>
      <c r="AO11" s="188">
        <v>-20831438.170000002</v>
      </c>
      <c r="AP11" s="188">
        <v>115301326.72</v>
      </c>
      <c r="AQ11" s="188">
        <v>-1177585.45</v>
      </c>
      <c r="AR11" s="188">
        <v>36916701.020000003</v>
      </c>
      <c r="AS11" s="188">
        <v>-20066764.449999999</v>
      </c>
      <c r="AT11" s="188">
        <v>43408183.109999999</v>
      </c>
      <c r="AU11" s="188">
        <v>-18687388.780000001</v>
      </c>
      <c r="AV11" s="188">
        <v>-12367470.18</v>
      </c>
      <c r="AW11" s="188">
        <v>-13867980.35</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1460326.26</v>
      </c>
      <c r="BU11" s="188">
        <v>403290.62</v>
      </c>
      <c r="BV11" s="188">
        <v>5380238.0999999996</v>
      </c>
      <c r="BW11" s="188">
        <v>0</v>
      </c>
      <c r="BX11" s="188">
        <v>3018698.48</v>
      </c>
      <c r="BY11" s="188">
        <v>0</v>
      </c>
      <c r="BZ11" s="188">
        <v>0</v>
      </c>
      <c r="CA11" s="188">
        <v>0</v>
      </c>
      <c r="CB11" s="188">
        <v>0</v>
      </c>
      <c r="CC11" s="188">
        <v>0</v>
      </c>
      <c r="CD11" s="188">
        <v>0</v>
      </c>
      <c r="CE11" s="188">
        <v>0</v>
      </c>
      <c r="CF11" s="188">
        <v>0</v>
      </c>
      <c r="CG11" s="188">
        <v>0</v>
      </c>
      <c r="CH11" s="188">
        <v>0</v>
      </c>
      <c r="CI11" s="188">
        <v>0</v>
      </c>
      <c r="CJ11" s="188">
        <v>0</v>
      </c>
      <c r="CK11" s="188">
        <v>0</v>
      </c>
      <c r="CL11" s="188">
        <v>0</v>
      </c>
    </row>
    <row r="12" spans="1:90">
      <c r="A12" s="188" t="s">
        <v>199</v>
      </c>
      <c r="B12" s="188">
        <v>-9120246.5600000005</v>
      </c>
      <c r="C12" s="188">
        <v>-10127393.300000001</v>
      </c>
      <c r="D12" s="188">
        <v>-18242348.899999999</v>
      </c>
      <c r="E12" s="188">
        <v>-340582.65</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v>0</v>
      </c>
      <c r="BU12" s="188">
        <v>0</v>
      </c>
      <c r="BV12" s="188">
        <v>0</v>
      </c>
      <c r="BW12" s="188">
        <v>0</v>
      </c>
      <c r="BX12" s="188">
        <v>0</v>
      </c>
      <c r="BY12" s="188">
        <v>0</v>
      </c>
      <c r="BZ12" s="188">
        <v>0</v>
      </c>
      <c r="CA12" s="188">
        <v>0</v>
      </c>
      <c r="CB12" s="188">
        <v>0</v>
      </c>
      <c r="CC12" s="188">
        <v>0</v>
      </c>
      <c r="CD12" s="188">
        <v>0</v>
      </c>
      <c r="CE12" s="188">
        <v>0</v>
      </c>
      <c r="CF12" s="188">
        <v>0</v>
      </c>
      <c r="CG12" s="188">
        <v>0</v>
      </c>
      <c r="CH12" s="188">
        <v>0</v>
      </c>
      <c r="CI12" s="188">
        <v>0</v>
      </c>
      <c r="CJ12" s="188">
        <v>0</v>
      </c>
      <c r="CK12" s="188">
        <v>0</v>
      </c>
      <c r="CL12" s="188">
        <v>0</v>
      </c>
    </row>
    <row r="13" spans="1:90">
      <c r="A13" s="188" t="s">
        <v>200</v>
      </c>
      <c r="B13" s="188">
        <v>307404582.81</v>
      </c>
      <c r="C13" s="188">
        <v>214208115.78</v>
      </c>
      <c r="D13" s="188">
        <v>142435555.63999999</v>
      </c>
      <c r="E13" s="188">
        <v>56228697.509999998</v>
      </c>
      <c r="F13" s="188">
        <v>335160128.07999998</v>
      </c>
      <c r="G13" s="188">
        <v>236500925.87</v>
      </c>
      <c r="H13" s="188">
        <v>155147077.78</v>
      </c>
      <c r="I13" s="188">
        <v>66598248.350000001</v>
      </c>
      <c r="J13" s="188">
        <v>564831382.39999998</v>
      </c>
      <c r="K13" s="188">
        <v>425547452.24000001</v>
      </c>
      <c r="L13" s="188">
        <v>326237733.10000002</v>
      </c>
      <c r="M13" s="188">
        <v>51533212.600000001</v>
      </c>
      <c r="N13" s="188">
        <v>1151206092.8099999</v>
      </c>
      <c r="O13" s="188">
        <v>1143457684.75</v>
      </c>
      <c r="P13" s="188">
        <v>240115838.13999999</v>
      </c>
      <c r="Q13" s="188">
        <v>69799508.150000006</v>
      </c>
      <c r="R13" s="188">
        <v>316311672.64999998</v>
      </c>
      <c r="S13" s="188">
        <v>273831285.44999999</v>
      </c>
      <c r="T13" s="188">
        <v>182282145.13</v>
      </c>
      <c r="U13" s="188">
        <v>90165233.569999993</v>
      </c>
      <c r="V13" s="188">
        <v>243256941.71000001</v>
      </c>
      <c r="W13" s="188">
        <v>135170590.53999999</v>
      </c>
      <c r="X13" s="188">
        <v>52985679.450000003</v>
      </c>
      <c r="Y13" s="188">
        <v>91924218.489999995</v>
      </c>
      <c r="Z13" s="188">
        <v>437060383.77999997</v>
      </c>
      <c r="AA13" s="188">
        <v>381381343.19</v>
      </c>
      <c r="AB13" s="188">
        <v>316779008.56999999</v>
      </c>
      <c r="AC13" s="188">
        <v>230737524.25</v>
      </c>
      <c r="AD13" s="188">
        <v>345448072.76999998</v>
      </c>
      <c r="AE13" s="188">
        <v>266055541.66</v>
      </c>
      <c r="AF13" s="188">
        <v>206154765.75999999</v>
      </c>
      <c r="AG13" s="188">
        <v>95187152.810000002</v>
      </c>
      <c r="AH13" s="188">
        <v>358487050.43000001</v>
      </c>
      <c r="AI13" s="188">
        <v>265225190.31</v>
      </c>
      <c r="AJ13" s="188">
        <v>171484647.58000001</v>
      </c>
      <c r="AK13" s="188">
        <v>80532855.609999999</v>
      </c>
      <c r="AL13" s="188">
        <v>251508369.59</v>
      </c>
      <c r="AM13" s="188">
        <v>201011894.38</v>
      </c>
      <c r="AN13" s="188">
        <v>130525571.23999999</v>
      </c>
      <c r="AO13" s="188">
        <v>48014654.869999997</v>
      </c>
      <c r="AP13" s="188">
        <v>412102974.93000001</v>
      </c>
      <c r="AQ13" s="188">
        <v>202198200.09999999</v>
      </c>
      <c r="AR13" s="188">
        <v>147019454.00999999</v>
      </c>
      <c r="AS13" s="188">
        <v>52705500.049999997</v>
      </c>
      <c r="AT13" s="188">
        <v>251429322.63999999</v>
      </c>
      <c r="AU13" s="188">
        <v>217566698.08000001</v>
      </c>
      <c r="AV13" s="188">
        <v>149175345.75999999</v>
      </c>
      <c r="AW13" s="188">
        <v>28092424.260000002</v>
      </c>
      <c r="AX13" s="188">
        <v>106002085.7</v>
      </c>
      <c r="AY13" s="188">
        <v>78146813.989999995</v>
      </c>
      <c r="AZ13" s="188">
        <v>31508275.550000001</v>
      </c>
      <c r="BA13" s="188">
        <v>6818330.1399999997</v>
      </c>
      <c r="BB13" s="188">
        <v>-52414533.450000003</v>
      </c>
      <c r="BC13" s="188">
        <v>-47415743.689999998</v>
      </c>
      <c r="BD13" s="188">
        <v>-4476487.08</v>
      </c>
      <c r="BE13" s="188">
        <v>13731417.210000001</v>
      </c>
      <c r="BF13" s="188">
        <v>74080792.579999998</v>
      </c>
      <c r="BG13" s="188">
        <v>53634658.140000001</v>
      </c>
      <c r="BH13" s="188">
        <v>44718368.039999999</v>
      </c>
      <c r="BI13" s="188">
        <v>13012623.23</v>
      </c>
      <c r="BJ13" s="188">
        <v>129351232.81999999</v>
      </c>
      <c r="BK13" s="188">
        <v>126231548.87</v>
      </c>
      <c r="BL13" s="188">
        <v>99137772.019999996</v>
      </c>
      <c r="BM13" s="188">
        <v>21058739.870000001</v>
      </c>
      <c r="BN13" s="188">
        <v>80579243.650000006</v>
      </c>
      <c r="BO13" s="188">
        <v>68017088.620000005</v>
      </c>
      <c r="BP13" s="188">
        <v>47536007.049999997</v>
      </c>
      <c r="BQ13" s="188">
        <v>23536334.48</v>
      </c>
      <c r="BR13" s="188">
        <v>47111894.539999999</v>
      </c>
      <c r="BS13" s="188">
        <v>43130624.329999998</v>
      </c>
      <c r="BT13" s="188">
        <v>110636895.03</v>
      </c>
      <c r="BU13" s="188">
        <v>55492097.759999998</v>
      </c>
      <c r="BV13" s="188">
        <v>42252799.109999999</v>
      </c>
      <c r="BW13" s="188">
        <v>-8467811.9100000001</v>
      </c>
      <c r="BX13" s="188">
        <v>44423828.259999998</v>
      </c>
      <c r="BY13" s="188">
        <v>-2405395.41</v>
      </c>
      <c r="BZ13" s="188">
        <v>43588942.600000001</v>
      </c>
      <c r="CA13" s="188">
        <v>2100000</v>
      </c>
      <c r="CB13" s="188">
        <v>5299206.3</v>
      </c>
      <c r="CC13" s="188">
        <v>3033836.53</v>
      </c>
      <c r="CD13" s="188">
        <v>10641347.550000001</v>
      </c>
      <c r="CE13" s="188">
        <v>5790000</v>
      </c>
      <c r="CF13" s="188">
        <v>7729000</v>
      </c>
      <c r="CG13" s="188">
        <v>2092581.44</v>
      </c>
      <c r="CH13" s="188">
        <v>0</v>
      </c>
      <c r="CI13" s="188">
        <v>0</v>
      </c>
      <c r="CJ13" s="188">
        <v>0</v>
      </c>
      <c r="CK13" s="188">
        <v>0</v>
      </c>
      <c r="CL13" s="188">
        <v>0</v>
      </c>
    </row>
    <row r="14" spans="1:90">
      <c r="A14" s="188" t="s">
        <v>201</v>
      </c>
      <c r="B14" s="188">
        <v>304820193.74000001</v>
      </c>
      <c r="C14" s="188">
        <v>212373726.52000001</v>
      </c>
      <c r="D14" s="188">
        <v>141509882.56</v>
      </c>
      <c r="E14" s="188">
        <v>56228697.509999998</v>
      </c>
      <c r="F14" s="188">
        <v>280139998.44999999</v>
      </c>
      <c r="G14" s="188">
        <v>234266318.96000001</v>
      </c>
      <c r="H14" s="188">
        <v>154141558.41</v>
      </c>
      <c r="I14" s="188">
        <v>66598248.350000001</v>
      </c>
      <c r="J14" s="188">
        <v>275673512.30000001</v>
      </c>
      <c r="K14" s="188">
        <v>212366929.50999999</v>
      </c>
      <c r="L14" s="188">
        <v>135412552.55000001</v>
      </c>
      <c r="M14" s="188">
        <v>51533212.600000001</v>
      </c>
      <c r="N14" s="188">
        <v>216718386.62</v>
      </c>
      <c r="O14" s="188">
        <v>215475533.71000001</v>
      </c>
      <c r="P14" s="188">
        <v>160132633.30000001</v>
      </c>
      <c r="Q14" s="188">
        <v>69799508.150000006</v>
      </c>
      <c r="R14" s="188">
        <v>308344285.94</v>
      </c>
      <c r="S14" s="188">
        <v>267878359.22999999</v>
      </c>
      <c r="T14" s="188">
        <v>181016731.13</v>
      </c>
      <c r="U14" s="188">
        <v>90165233.569999993</v>
      </c>
      <c r="V14" s="188">
        <v>367880015.48000002</v>
      </c>
      <c r="W14" s="188">
        <v>300622194.08999997</v>
      </c>
      <c r="X14" s="188">
        <v>210398153.75999999</v>
      </c>
      <c r="Y14" s="188">
        <v>90435164.069999993</v>
      </c>
      <c r="Z14" s="188">
        <v>280633741.67000002</v>
      </c>
      <c r="AA14" s="188">
        <v>228566939.72999999</v>
      </c>
      <c r="AB14" s="188">
        <v>164164241.12</v>
      </c>
      <c r="AC14" s="188">
        <v>78989878.340000004</v>
      </c>
      <c r="AD14" s="188">
        <v>342563567.56999999</v>
      </c>
      <c r="AE14" s="188">
        <v>279997039.87</v>
      </c>
      <c r="AF14" s="188">
        <v>202217265.75999999</v>
      </c>
      <c r="AG14" s="188">
        <v>95149442.810000002</v>
      </c>
      <c r="AH14" s="188">
        <v>366534973.06</v>
      </c>
      <c r="AI14" s="188">
        <v>273398414.92000002</v>
      </c>
      <c r="AJ14" s="188">
        <v>178068309.30000001</v>
      </c>
      <c r="AK14" s="188">
        <v>80554286.239999995</v>
      </c>
      <c r="AL14" s="188">
        <v>247042330.38</v>
      </c>
      <c r="AM14" s="188">
        <v>197074394.38</v>
      </c>
      <c r="AN14" s="188">
        <v>126588071.23999999</v>
      </c>
      <c r="AO14" s="188">
        <v>48014654.869999997</v>
      </c>
      <c r="AP14" s="188">
        <v>236135104.5</v>
      </c>
      <c r="AQ14" s="188">
        <v>197168703.81</v>
      </c>
      <c r="AR14" s="188">
        <v>142283418.91</v>
      </c>
      <c r="AS14" s="188">
        <v>47837272.439999998</v>
      </c>
      <c r="AT14" s="188">
        <v>250408277.59</v>
      </c>
      <c r="AU14" s="188">
        <v>214420749.16999999</v>
      </c>
      <c r="AV14" s="188">
        <v>145953407.36000001</v>
      </c>
      <c r="AW14" s="188">
        <v>28092424.260000002</v>
      </c>
      <c r="AX14" s="188">
        <v>0</v>
      </c>
      <c r="AY14" s="188">
        <v>0</v>
      </c>
      <c r="AZ14" s="188">
        <v>0</v>
      </c>
      <c r="BA14" s="188">
        <v>0</v>
      </c>
      <c r="BB14" s="188">
        <v>0</v>
      </c>
      <c r="BC14" s="188">
        <v>0</v>
      </c>
      <c r="BD14" s="188">
        <v>0</v>
      </c>
      <c r="BE14" s="188">
        <v>0</v>
      </c>
      <c r="BF14" s="188">
        <v>0</v>
      </c>
      <c r="BG14" s="188">
        <v>0</v>
      </c>
      <c r="BH14" s="188">
        <v>0</v>
      </c>
      <c r="BI14" s="188">
        <v>0</v>
      </c>
      <c r="BJ14" s="188">
        <v>0</v>
      </c>
      <c r="BK14" s="188">
        <v>0</v>
      </c>
      <c r="BL14" s="188">
        <v>0</v>
      </c>
      <c r="BM14" s="188">
        <v>0</v>
      </c>
      <c r="BN14" s="188">
        <v>0</v>
      </c>
      <c r="BO14" s="188">
        <v>0</v>
      </c>
      <c r="BP14" s="188">
        <v>0</v>
      </c>
      <c r="BQ14" s="188">
        <v>0</v>
      </c>
      <c r="BR14" s="188">
        <v>0</v>
      </c>
      <c r="BS14" s="188">
        <v>0</v>
      </c>
      <c r="BT14" s="188">
        <v>0</v>
      </c>
      <c r="BU14" s="188">
        <v>0</v>
      </c>
      <c r="BV14" s="188">
        <v>0</v>
      </c>
      <c r="BW14" s="188">
        <v>0</v>
      </c>
      <c r="BX14" s="188">
        <v>0</v>
      </c>
      <c r="BY14" s="188">
        <v>0</v>
      </c>
      <c r="BZ14" s="188">
        <v>0</v>
      </c>
      <c r="CA14" s="188">
        <v>0</v>
      </c>
      <c r="CB14" s="188">
        <v>0</v>
      </c>
      <c r="CC14" s="188">
        <v>0</v>
      </c>
      <c r="CD14" s="188">
        <v>0</v>
      </c>
      <c r="CE14" s="188">
        <v>0</v>
      </c>
      <c r="CF14" s="188">
        <v>0</v>
      </c>
      <c r="CG14" s="188">
        <v>0</v>
      </c>
      <c r="CH14" s="188">
        <v>0</v>
      </c>
      <c r="CI14" s="188">
        <v>0</v>
      </c>
      <c r="CJ14" s="188">
        <v>0</v>
      </c>
      <c r="CK14" s="188">
        <v>0</v>
      </c>
      <c r="CL14" s="188">
        <v>0</v>
      </c>
    </row>
    <row r="15" spans="1:90">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c r="BW15" s="188">
        <v>0</v>
      </c>
      <c r="BX15" s="188">
        <v>0</v>
      </c>
      <c r="BY15" s="188">
        <v>0</v>
      </c>
      <c r="BZ15" s="188">
        <v>0</v>
      </c>
      <c r="CA15" s="188">
        <v>0</v>
      </c>
      <c r="CB15" s="188">
        <v>0</v>
      </c>
      <c r="CC15" s="188">
        <v>0</v>
      </c>
      <c r="CD15" s="188">
        <v>0</v>
      </c>
      <c r="CE15" s="188">
        <v>0</v>
      </c>
      <c r="CF15" s="188">
        <v>0</v>
      </c>
      <c r="CG15" s="188">
        <v>0</v>
      </c>
      <c r="CH15" s="188">
        <v>0</v>
      </c>
      <c r="CI15" s="188">
        <v>0</v>
      </c>
      <c r="CJ15" s="188">
        <v>0</v>
      </c>
      <c r="CK15" s="188">
        <v>0</v>
      </c>
      <c r="CL15" s="188">
        <v>0</v>
      </c>
    </row>
    <row r="16" spans="1:90">
      <c r="A16" s="188" t="s">
        <v>203</v>
      </c>
      <c r="B16" s="188">
        <v>2352969852.6500001</v>
      </c>
      <c r="C16" s="188">
        <v>1974982766.0899999</v>
      </c>
      <c r="D16" s="188">
        <v>1229896488.72</v>
      </c>
      <c r="E16" s="188">
        <v>454956794.07999998</v>
      </c>
      <c r="F16" s="188">
        <v>2625840477.2399998</v>
      </c>
      <c r="G16" s="188">
        <v>2001186408.9200001</v>
      </c>
      <c r="H16" s="188">
        <v>1186938671.0899999</v>
      </c>
      <c r="I16" s="188">
        <v>446887355.66000003</v>
      </c>
      <c r="J16" s="188">
        <v>2633141103.77</v>
      </c>
      <c r="K16" s="188">
        <v>2081254248.6500001</v>
      </c>
      <c r="L16" s="188">
        <v>1296378584.9100001</v>
      </c>
      <c r="M16" s="188">
        <v>423570271.89999998</v>
      </c>
      <c r="N16" s="188">
        <v>2697562624.7600002</v>
      </c>
      <c r="O16" s="188">
        <v>2437235463.29</v>
      </c>
      <c r="P16" s="188">
        <v>958474149.14999998</v>
      </c>
      <c r="Q16" s="188">
        <v>326451148.14999998</v>
      </c>
      <c r="R16" s="188">
        <v>1941809525.53</v>
      </c>
      <c r="S16" s="188">
        <v>1585553099.72</v>
      </c>
      <c r="T16" s="188">
        <v>971312351.96000004</v>
      </c>
      <c r="U16" s="188">
        <v>342044349.00999999</v>
      </c>
      <c r="V16" s="188">
        <v>1726529334.96</v>
      </c>
      <c r="W16" s="188">
        <v>1344634382.2</v>
      </c>
      <c r="X16" s="188">
        <v>726822926.82000005</v>
      </c>
      <c r="Y16" s="188">
        <v>252770439.25</v>
      </c>
      <c r="Z16" s="188">
        <v>1499536126.01</v>
      </c>
      <c r="AA16" s="188">
        <v>1110273319.3199999</v>
      </c>
      <c r="AB16" s="188">
        <v>896512600.79999995</v>
      </c>
      <c r="AC16" s="188">
        <v>453380539.49000001</v>
      </c>
      <c r="AD16" s="188">
        <v>1278677206.76</v>
      </c>
      <c r="AE16" s="188">
        <v>1173152257.1300001</v>
      </c>
      <c r="AF16" s="188">
        <v>777433499.44000006</v>
      </c>
      <c r="AG16" s="188">
        <v>324318818.56</v>
      </c>
      <c r="AH16" s="188">
        <v>1127325368.3499999</v>
      </c>
      <c r="AI16" s="188">
        <v>936485148.63</v>
      </c>
      <c r="AJ16" s="188">
        <v>628417782.76999998</v>
      </c>
      <c r="AK16" s="188">
        <v>287563654.88</v>
      </c>
      <c r="AL16" s="188">
        <v>864579468.21000004</v>
      </c>
      <c r="AM16" s="188">
        <v>840570207.21000004</v>
      </c>
      <c r="AN16" s="188">
        <v>573212679.00999999</v>
      </c>
      <c r="AO16" s="188">
        <v>249477435.05000001</v>
      </c>
      <c r="AP16" s="188">
        <v>1096117214.4300001</v>
      </c>
      <c r="AQ16" s="188">
        <v>853071624.66999996</v>
      </c>
      <c r="AR16" s="188">
        <v>586371314.83000004</v>
      </c>
      <c r="AS16" s="188">
        <v>254110011.83000001</v>
      </c>
      <c r="AT16" s="188">
        <v>993556899.94000006</v>
      </c>
      <c r="AU16" s="188">
        <v>824922939.07000005</v>
      </c>
      <c r="AV16" s="188">
        <v>524227480.18000001</v>
      </c>
      <c r="AW16" s="188">
        <v>178977536.66999999</v>
      </c>
      <c r="AX16" s="188">
        <v>767381707.25999999</v>
      </c>
      <c r="AY16" s="188">
        <v>506226484.08999997</v>
      </c>
      <c r="AZ16" s="188">
        <v>287446405.47000003</v>
      </c>
      <c r="BA16" s="188">
        <v>135730678.43000001</v>
      </c>
      <c r="BB16" s="188">
        <v>547654532.21000004</v>
      </c>
      <c r="BC16" s="188">
        <v>488385311.67000002</v>
      </c>
      <c r="BD16" s="188">
        <v>369406275.92000002</v>
      </c>
      <c r="BE16" s="188">
        <v>179942094.63999999</v>
      </c>
      <c r="BF16" s="188">
        <v>823540491.91999996</v>
      </c>
      <c r="BG16" s="188">
        <v>598261749.86000001</v>
      </c>
      <c r="BH16" s="188">
        <v>437209289.05000001</v>
      </c>
      <c r="BI16" s="188">
        <v>197380259.75</v>
      </c>
      <c r="BJ16" s="188">
        <v>874638513.60000002</v>
      </c>
      <c r="BK16" s="188">
        <v>701533162.53999996</v>
      </c>
      <c r="BL16" s="188">
        <v>449383572.5</v>
      </c>
      <c r="BM16" s="188">
        <v>171182762.50999999</v>
      </c>
      <c r="BN16" s="188">
        <v>739365061.50999999</v>
      </c>
      <c r="BO16" s="188">
        <v>573493375.61000001</v>
      </c>
      <c r="BP16" s="188">
        <v>363001671.57999998</v>
      </c>
      <c r="BQ16" s="188">
        <v>160275666.47999999</v>
      </c>
      <c r="BR16" s="188">
        <v>608125274.37</v>
      </c>
      <c r="BS16" s="188">
        <v>327418325.62</v>
      </c>
      <c r="BT16" s="188">
        <v>572783000.65999997</v>
      </c>
      <c r="BU16" s="188">
        <v>303477899.33999997</v>
      </c>
      <c r="BV16" s="188">
        <v>528134727.93000001</v>
      </c>
      <c r="BW16" s="188">
        <v>251026502.34999999</v>
      </c>
      <c r="BX16" s="188">
        <v>1867954.15</v>
      </c>
      <c r="BY16" s="188">
        <v>-13534602.109999999</v>
      </c>
      <c r="BZ16" s="188">
        <v>86357633.819999993</v>
      </c>
      <c r="CA16" s="188">
        <v>12581696.99</v>
      </c>
      <c r="CB16" s="188">
        <v>12716325.949999999</v>
      </c>
      <c r="CC16" s="188">
        <v>60862087.509999998</v>
      </c>
      <c r="CD16" s="188">
        <v>189954890.66999999</v>
      </c>
      <c r="CE16" s="188">
        <v>129270000</v>
      </c>
      <c r="CF16" s="188">
        <v>189945000</v>
      </c>
      <c r="CG16" s="188">
        <v>116873918.18000001</v>
      </c>
      <c r="CH16" s="188">
        <v>58750000</v>
      </c>
      <c r="CI16" s="188">
        <v>84660000</v>
      </c>
      <c r="CJ16" s="188">
        <v>71460000</v>
      </c>
      <c r="CK16" s="188">
        <v>71300000</v>
      </c>
      <c r="CL16" s="188">
        <v>0</v>
      </c>
    </row>
    <row r="17" spans="1:90">
      <c r="A17" s="188" t="s">
        <v>204</v>
      </c>
      <c r="B17" s="188">
        <v>74060164.5</v>
      </c>
      <c r="C17" s="188">
        <v>3105809.44</v>
      </c>
      <c r="D17" s="188">
        <v>2198030.2200000002</v>
      </c>
      <c r="E17" s="188">
        <v>3095736.49</v>
      </c>
      <c r="F17" s="188">
        <v>75784142.760000005</v>
      </c>
      <c r="G17" s="188">
        <v>2350795.5</v>
      </c>
      <c r="H17" s="188">
        <v>2277869.4300000002</v>
      </c>
      <c r="I17" s="188">
        <v>2184879.2599999998</v>
      </c>
      <c r="J17" s="188">
        <v>139649188.27000001</v>
      </c>
      <c r="K17" s="188">
        <v>12798105.23</v>
      </c>
      <c r="L17" s="188">
        <v>9764258.7599999998</v>
      </c>
      <c r="M17" s="188">
        <v>6117942.0300000003</v>
      </c>
      <c r="N17" s="188">
        <v>521979291.27999997</v>
      </c>
      <c r="O17" s="188">
        <v>177972519.06999999</v>
      </c>
      <c r="P17" s="188">
        <v>169167409.21000001</v>
      </c>
      <c r="Q17" s="188">
        <v>29058164.510000002</v>
      </c>
      <c r="R17" s="188">
        <v>201808816.63</v>
      </c>
      <c r="S17" s="188">
        <v>91903690.239999995</v>
      </c>
      <c r="T17" s="188">
        <v>46909124.68</v>
      </c>
      <c r="U17" s="188">
        <v>24371840.620000001</v>
      </c>
      <c r="V17" s="188">
        <v>362666621.55000001</v>
      </c>
      <c r="W17" s="188">
        <v>98242502.209999993</v>
      </c>
      <c r="X17" s="188">
        <v>19174584.199999999</v>
      </c>
      <c r="Y17" s="188">
        <v>10118244.640000001</v>
      </c>
      <c r="Z17" s="188">
        <v>192673637.22999999</v>
      </c>
      <c r="AA17" s="188">
        <v>92056767.439999998</v>
      </c>
      <c r="AB17" s="188">
        <v>18947273.460000001</v>
      </c>
      <c r="AC17" s="188">
        <v>8176435.25</v>
      </c>
      <c r="AD17" s="188">
        <v>80151438.879999995</v>
      </c>
      <c r="AE17" s="188">
        <v>31589007.170000002</v>
      </c>
      <c r="AF17" s="188">
        <v>15536528.57</v>
      </c>
      <c r="AG17" s="188">
        <v>13408910.380000001</v>
      </c>
      <c r="AH17" s="188">
        <v>127993009.16</v>
      </c>
      <c r="AI17" s="188">
        <v>38574102.659999996</v>
      </c>
      <c r="AJ17" s="188">
        <v>12726212.710000001</v>
      </c>
      <c r="AK17" s="188">
        <v>5580313.0499999998</v>
      </c>
      <c r="AL17" s="188">
        <v>86850035.859999999</v>
      </c>
      <c r="AM17" s="188">
        <v>37492688.969999999</v>
      </c>
      <c r="AN17" s="188">
        <v>22757448.739999998</v>
      </c>
      <c r="AO17" s="188">
        <v>7468249.1100000003</v>
      </c>
      <c r="AP17" s="188">
        <v>51388300.159999996</v>
      </c>
      <c r="AQ17" s="188">
        <v>28336316.5</v>
      </c>
      <c r="AR17" s="188">
        <v>18177502.109999999</v>
      </c>
      <c r="AS17" s="188">
        <v>3090159.25</v>
      </c>
      <c r="AT17" s="188">
        <v>48660223.009999998</v>
      </c>
      <c r="AU17" s="188">
        <v>12381006.789999999</v>
      </c>
      <c r="AV17" s="188">
        <v>5637303.6399999997</v>
      </c>
      <c r="AW17" s="188">
        <v>2129932.0699999998</v>
      </c>
      <c r="AX17" s="188">
        <v>15491563.83</v>
      </c>
      <c r="AY17" s="188">
        <v>9534264.9399999995</v>
      </c>
      <c r="AZ17" s="188">
        <v>7664168.3700000001</v>
      </c>
      <c r="BA17" s="188">
        <v>3366617.27</v>
      </c>
      <c r="BB17" s="188">
        <v>23617149.719999999</v>
      </c>
      <c r="BC17" s="188">
        <v>10395023.369999999</v>
      </c>
      <c r="BD17" s="188">
        <v>3173845.6</v>
      </c>
      <c r="BE17" s="188">
        <v>3600168.2</v>
      </c>
      <c r="BF17" s="188">
        <v>20826106.280000001</v>
      </c>
      <c r="BG17" s="188">
        <v>9893568.7799999993</v>
      </c>
      <c r="BH17" s="188">
        <v>6688522.2000000002</v>
      </c>
      <c r="BI17" s="188">
        <v>2456710.35</v>
      </c>
      <c r="BJ17" s="188">
        <v>98100545.469999999</v>
      </c>
      <c r="BK17" s="188">
        <v>9567937.5899999999</v>
      </c>
      <c r="BL17" s="188">
        <v>4272892.42</v>
      </c>
      <c r="BM17" s="188">
        <v>1214075.9099999999</v>
      </c>
      <c r="BN17" s="188">
        <v>9515790.7400000002</v>
      </c>
      <c r="BO17" s="188">
        <v>5760858.5599999996</v>
      </c>
      <c r="BP17" s="188">
        <v>3321180.24</v>
      </c>
      <c r="BQ17" s="188">
        <v>2460654.1</v>
      </c>
      <c r="BR17" s="188">
        <v>23022268.890000001</v>
      </c>
      <c r="BS17" s="188">
        <v>1334574.96</v>
      </c>
      <c r="BT17" s="188">
        <v>5601648.5300000003</v>
      </c>
      <c r="BU17" s="188">
        <v>1886648.34</v>
      </c>
      <c r="BV17" s="188">
        <v>6357306.6100000003</v>
      </c>
      <c r="BW17" s="188">
        <v>307361.53000000003</v>
      </c>
      <c r="BX17" s="188">
        <v>8109854.0499999998</v>
      </c>
      <c r="BY17" s="188">
        <v>441262.35</v>
      </c>
      <c r="BZ17" s="188">
        <v>237833.84</v>
      </c>
      <c r="CA17" s="188">
        <v>0</v>
      </c>
      <c r="CB17" s="188">
        <v>1274108.6000000001</v>
      </c>
      <c r="CC17" s="188">
        <v>0</v>
      </c>
      <c r="CD17" s="188">
        <v>6279436.8899999997</v>
      </c>
      <c r="CE17" s="188">
        <v>0</v>
      </c>
      <c r="CF17" s="188">
        <v>0</v>
      </c>
      <c r="CG17" s="188">
        <v>1977985.59</v>
      </c>
      <c r="CH17" s="188">
        <v>0</v>
      </c>
      <c r="CI17" s="188">
        <v>0</v>
      </c>
      <c r="CJ17" s="188">
        <v>0</v>
      </c>
      <c r="CK17" s="188">
        <v>0</v>
      </c>
      <c r="CL17" s="188">
        <v>0</v>
      </c>
    </row>
    <row r="18" spans="1:90">
      <c r="A18" s="188" t="s">
        <v>205</v>
      </c>
      <c r="B18" s="188">
        <v>1092151.1399999999</v>
      </c>
      <c r="C18" s="188">
        <v>14373448.109999999</v>
      </c>
      <c r="D18" s="188">
        <v>14250267.470000001</v>
      </c>
      <c r="E18" s="188">
        <v>3833044.71</v>
      </c>
      <c r="F18" s="188">
        <v>549308.51</v>
      </c>
      <c r="G18" s="188">
        <v>3733005.66</v>
      </c>
      <c r="H18" s="188">
        <v>857917.97</v>
      </c>
      <c r="I18" s="188">
        <v>276000.09999999998</v>
      </c>
      <c r="J18" s="188">
        <v>15064470.039999999</v>
      </c>
      <c r="K18" s="188">
        <v>9998188.6300000008</v>
      </c>
      <c r="L18" s="188">
        <v>9682131.8000000007</v>
      </c>
      <c r="M18" s="188">
        <v>663923.23</v>
      </c>
      <c r="N18" s="188">
        <v>24684135.059999999</v>
      </c>
      <c r="O18" s="188">
        <v>57799306.109999999</v>
      </c>
      <c r="P18" s="188">
        <v>10949979.810000001</v>
      </c>
      <c r="Q18" s="188">
        <v>3026171.33</v>
      </c>
      <c r="R18" s="188">
        <v>16909244.280000001</v>
      </c>
      <c r="S18" s="188">
        <v>4247524.62</v>
      </c>
      <c r="T18" s="188">
        <v>4031634.47</v>
      </c>
      <c r="U18" s="188">
        <v>1141529.33</v>
      </c>
      <c r="V18" s="188">
        <v>7624440.9100000001</v>
      </c>
      <c r="W18" s="188">
        <v>3228543.71</v>
      </c>
      <c r="X18" s="188">
        <v>2792955.05</v>
      </c>
      <c r="Y18" s="188">
        <v>1099705.82</v>
      </c>
      <c r="Z18" s="188">
        <v>13071322.82</v>
      </c>
      <c r="AA18" s="188">
        <v>2316865.27</v>
      </c>
      <c r="AB18" s="188">
        <v>1720391.52</v>
      </c>
      <c r="AC18" s="188">
        <v>268699.33</v>
      </c>
      <c r="AD18" s="188">
        <v>6808784.1200000001</v>
      </c>
      <c r="AE18" s="188">
        <v>11910425.74</v>
      </c>
      <c r="AF18" s="188">
        <v>4492054.79</v>
      </c>
      <c r="AG18" s="188">
        <v>1395314.79</v>
      </c>
      <c r="AH18" s="188">
        <v>7170436.9199999999</v>
      </c>
      <c r="AI18" s="188">
        <v>4103621.35</v>
      </c>
      <c r="AJ18" s="188">
        <v>1742479.98</v>
      </c>
      <c r="AK18" s="188">
        <v>725776.18</v>
      </c>
      <c r="AL18" s="188">
        <v>8930671.6400000006</v>
      </c>
      <c r="AM18" s="188">
        <v>4062623.89</v>
      </c>
      <c r="AN18" s="188">
        <v>3092799.68</v>
      </c>
      <c r="AO18" s="188">
        <v>1012822.63</v>
      </c>
      <c r="AP18" s="188">
        <v>27081278.960000001</v>
      </c>
      <c r="AQ18" s="188">
        <v>13648879.35</v>
      </c>
      <c r="AR18" s="188">
        <v>7296709.0999999996</v>
      </c>
      <c r="AS18" s="188">
        <v>1233006.0800000001</v>
      </c>
      <c r="AT18" s="188">
        <v>10027439.890000001</v>
      </c>
      <c r="AU18" s="188">
        <v>5819916.1500000004</v>
      </c>
      <c r="AV18" s="188">
        <v>2744676.31</v>
      </c>
      <c r="AW18" s="188">
        <v>1020668.76</v>
      </c>
      <c r="AX18" s="188">
        <v>8818687.5099999998</v>
      </c>
      <c r="AY18" s="188">
        <v>5408324.4900000002</v>
      </c>
      <c r="AZ18" s="188">
        <v>4572684.83</v>
      </c>
      <c r="BA18" s="188">
        <v>402376.27</v>
      </c>
      <c r="BB18" s="188">
        <v>53805873.270000003</v>
      </c>
      <c r="BC18" s="188">
        <v>41598754.82</v>
      </c>
      <c r="BD18" s="188">
        <v>22003811.780000001</v>
      </c>
      <c r="BE18" s="188">
        <v>7547256.25</v>
      </c>
      <c r="BF18" s="188">
        <v>104276870.45999999</v>
      </c>
      <c r="BG18" s="188">
        <v>19046226.969999999</v>
      </c>
      <c r="BH18" s="188">
        <v>11698550.699999999</v>
      </c>
      <c r="BI18" s="188">
        <v>4970596.67</v>
      </c>
      <c r="BJ18" s="188">
        <v>50026700.240000002</v>
      </c>
      <c r="BK18" s="188">
        <v>34191043.439999998</v>
      </c>
      <c r="BL18" s="188">
        <v>6074649.96</v>
      </c>
      <c r="BM18" s="188">
        <v>1515391.71</v>
      </c>
      <c r="BN18" s="188">
        <v>20818857.329999998</v>
      </c>
      <c r="BO18" s="188">
        <v>8767398.9000000004</v>
      </c>
      <c r="BP18" s="188">
        <v>7355051.3399999999</v>
      </c>
      <c r="BQ18" s="188">
        <v>4385698.42</v>
      </c>
      <c r="BR18" s="188">
        <v>13003709.07</v>
      </c>
      <c r="BS18" s="188">
        <v>3714354.94</v>
      </c>
      <c r="BT18" s="188">
        <v>116829524.23999999</v>
      </c>
      <c r="BU18" s="188">
        <v>1600821.46</v>
      </c>
      <c r="BV18" s="188">
        <v>6018287.25</v>
      </c>
      <c r="BW18" s="188">
        <v>1688374.88</v>
      </c>
      <c r="BX18" s="188">
        <v>1187969.6599999999</v>
      </c>
      <c r="BY18" s="188">
        <v>524526.84</v>
      </c>
      <c r="BZ18" s="188">
        <v>1877884.51</v>
      </c>
      <c r="CA18" s="188">
        <v>0</v>
      </c>
      <c r="CB18" s="188">
        <v>1824215.68</v>
      </c>
      <c r="CC18" s="188">
        <v>0</v>
      </c>
      <c r="CD18" s="188">
        <v>3170951.5</v>
      </c>
      <c r="CE18" s="188">
        <v>0</v>
      </c>
      <c r="CF18" s="188">
        <v>0</v>
      </c>
      <c r="CG18" s="188">
        <v>12347969.720000001</v>
      </c>
      <c r="CH18" s="188">
        <v>0</v>
      </c>
      <c r="CI18" s="188">
        <v>0</v>
      </c>
      <c r="CJ18" s="188">
        <v>0</v>
      </c>
      <c r="CK18" s="188">
        <v>0</v>
      </c>
      <c r="CL18" s="188">
        <v>0</v>
      </c>
    </row>
    <row r="19" spans="1:90">
      <c r="A19" s="188" t="s">
        <v>206</v>
      </c>
      <c r="B19" s="188">
        <v>0</v>
      </c>
      <c r="C19" s="188">
        <v>0</v>
      </c>
      <c r="D19" s="188">
        <v>0</v>
      </c>
      <c r="E19" s="188">
        <v>0</v>
      </c>
      <c r="F19" s="188">
        <v>0</v>
      </c>
      <c r="G19" s="188">
        <v>3365196.22</v>
      </c>
      <c r="H19" s="188">
        <v>774287.22</v>
      </c>
      <c r="I19" s="188">
        <v>205795.72</v>
      </c>
      <c r="J19" s="188">
        <v>5292060.82</v>
      </c>
      <c r="K19" s="188">
        <v>668650.72</v>
      </c>
      <c r="L19" s="188">
        <v>526556</v>
      </c>
      <c r="M19" s="188">
        <v>0</v>
      </c>
      <c r="N19" s="188">
        <v>6501068.5899999999</v>
      </c>
      <c r="O19" s="188">
        <v>12455426.710000001</v>
      </c>
      <c r="P19" s="188">
        <v>10614764.48</v>
      </c>
      <c r="Q19" s="188">
        <v>2565287.4</v>
      </c>
      <c r="R19" s="188">
        <v>14828511.17</v>
      </c>
      <c r="S19" s="188">
        <v>553277.34</v>
      </c>
      <c r="T19" s="188">
        <v>3361263.97</v>
      </c>
      <c r="U19" s="188">
        <v>553277.34</v>
      </c>
      <c r="V19" s="188">
        <v>5426379.3700000001</v>
      </c>
      <c r="W19" s="188">
        <v>1701811.84</v>
      </c>
      <c r="X19" s="188">
        <v>1275648.1599999999</v>
      </c>
      <c r="Y19" s="188">
        <v>698267.84</v>
      </c>
      <c r="Z19" s="188">
        <v>6715665.3399999999</v>
      </c>
      <c r="AA19" s="188">
        <v>2034684.96</v>
      </c>
      <c r="AB19" s="188">
        <v>1474922.64</v>
      </c>
      <c r="AC19" s="188">
        <v>61703</v>
      </c>
      <c r="AD19" s="188">
        <v>4797730.6100000003</v>
      </c>
      <c r="AE19" s="188">
        <v>4304223.68</v>
      </c>
      <c r="AF19" s="188">
        <v>3327942.11</v>
      </c>
      <c r="AG19" s="188">
        <v>687671.65</v>
      </c>
      <c r="AH19" s="188">
        <v>5148816.42</v>
      </c>
      <c r="AI19" s="188">
        <v>2801019.89</v>
      </c>
      <c r="AJ19" s="188">
        <v>779629.21</v>
      </c>
      <c r="AK19" s="188">
        <v>152161.23000000001</v>
      </c>
      <c r="AL19" s="188">
        <v>5354837.24</v>
      </c>
      <c r="AM19" s="188">
        <v>2503192.36</v>
      </c>
      <c r="AN19" s="188">
        <v>1953411.89</v>
      </c>
      <c r="AO19" s="188">
        <v>52354.1</v>
      </c>
      <c r="AP19" s="188">
        <v>12472344.189999999</v>
      </c>
      <c r="AQ19" s="188">
        <v>7772158.21</v>
      </c>
      <c r="AR19" s="188">
        <v>0</v>
      </c>
      <c r="AS19" s="188">
        <v>155624.82999999999</v>
      </c>
      <c r="AT19" s="188">
        <v>2424043.77</v>
      </c>
      <c r="AU19" s="188">
        <v>0</v>
      </c>
      <c r="AV19" s="188">
        <v>1822225.94</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c r="BS19" s="188">
        <v>0</v>
      </c>
      <c r="BT19" s="188">
        <v>0</v>
      </c>
      <c r="BU19" s="188">
        <v>0</v>
      </c>
      <c r="BV19" s="188">
        <v>0</v>
      </c>
      <c r="BW19" s="188">
        <v>0</v>
      </c>
      <c r="BX19" s="188">
        <v>0</v>
      </c>
      <c r="BY19" s="188">
        <v>0</v>
      </c>
      <c r="BZ19" s="188">
        <v>0</v>
      </c>
      <c r="CA19" s="188">
        <v>0</v>
      </c>
      <c r="CB19" s="188">
        <v>0</v>
      </c>
      <c r="CC19" s="188">
        <v>0</v>
      </c>
      <c r="CD19" s="188">
        <v>0</v>
      </c>
      <c r="CE19" s="188">
        <v>0</v>
      </c>
      <c r="CF19" s="188">
        <v>0</v>
      </c>
      <c r="CG19" s="188">
        <v>0</v>
      </c>
      <c r="CH19" s="188">
        <v>0</v>
      </c>
      <c r="CI19" s="188">
        <v>0</v>
      </c>
      <c r="CJ19" s="188">
        <v>0</v>
      </c>
      <c r="CK19" s="188">
        <v>0</v>
      </c>
      <c r="CL19" s="188">
        <v>0</v>
      </c>
    </row>
    <row r="20" spans="1:90">
      <c r="A20" s="188" t="s">
        <v>207</v>
      </c>
      <c r="B20" s="188">
        <v>2425937866.0100002</v>
      </c>
      <c r="C20" s="188">
        <v>1963715127.4200001</v>
      </c>
      <c r="D20" s="188">
        <v>1217844251.47</v>
      </c>
      <c r="E20" s="188">
        <v>454219485.86000001</v>
      </c>
      <c r="F20" s="188">
        <v>2701075311.4899998</v>
      </c>
      <c r="G20" s="188">
        <v>1999804198.76</v>
      </c>
      <c r="H20" s="188">
        <v>1188358622.55</v>
      </c>
      <c r="I20" s="188">
        <v>448796234.81999999</v>
      </c>
      <c r="J20" s="188">
        <v>2757725822</v>
      </c>
      <c r="K20" s="188">
        <v>2084054165.25</v>
      </c>
      <c r="L20" s="188">
        <v>1296460711.8699999</v>
      </c>
      <c r="M20" s="188">
        <v>429024290.69999999</v>
      </c>
      <c r="N20" s="188">
        <v>3194857780.98</v>
      </c>
      <c r="O20" s="188">
        <v>2557408676.25</v>
      </c>
      <c r="P20" s="188">
        <v>1116691578.55</v>
      </c>
      <c r="Q20" s="188">
        <v>352483141.32999998</v>
      </c>
      <c r="R20" s="188">
        <v>2126709097.8800001</v>
      </c>
      <c r="S20" s="188">
        <v>1673209265.3399999</v>
      </c>
      <c r="T20" s="188">
        <v>1014189842.17</v>
      </c>
      <c r="U20" s="188">
        <v>365274660.30000001</v>
      </c>
      <c r="V20" s="188">
        <v>2081571515.5999999</v>
      </c>
      <c r="W20" s="188">
        <v>1439648340.7</v>
      </c>
      <c r="X20" s="188">
        <v>743204555.97000003</v>
      </c>
      <c r="Y20" s="188">
        <v>261788978.06999999</v>
      </c>
      <c r="Z20" s="188">
        <v>1679138440.4200001</v>
      </c>
      <c r="AA20" s="188">
        <v>1200013221.49</v>
      </c>
      <c r="AB20" s="188">
        <v>913739482.74000001</v>
      </c>
      <c r="AC20" s="188">
        <v>461288275.41000003</v>
      </c>
      <c r="AD20" s="188">
        <v>1352019861.52</v>
      </c>
      <c r="AE20" s="188">
        <v>1192830838.5599999</v>
      </c>
      <c r="AF20" s="188">
        <v>788477973.22000003</v>
      </c>
      <c r="AG20" s="188">
        <v>336332414.14999998</v>
      </c>
      <c r="AH20" s="188">
        <v>1248147940.5899999</v>
      </c>
      <c r="AI20" s="188">
        <v>970955629.94000006</v>
      </c>
      <c r="AJ20" s="188">
        <v>639401515.5</v>
      </c>
      <c r="AK20" s="188">
        <v>292418191.75</v>
      </c>
      <c r="AL20" s="188">
        <v>942498832.42999995</v>
      </c>
      <c r="AM20" s="188">
        <v>874000272.28999996</v>
      </c>
      <c r="AN20" s="188">
        <v>592877328.07000005</v>
      </c>
      <c r="AO20" s="188">
        <v>255932861.53</v>
      </c>
      <c r="AP20" s="188">
        <v>1120424235.6300001</v>
      </c>
      <c r="AQ20" s="188">
        <v>867759061.82000005</v>
      </c>
      <c r="AR20" s="188">
        <v>597252107.84000003</v>
      </c>
      <c r="AS20" s="188">
        <v>255967165</v>
      </c>
      <c r="AT20" s="188">
        <v>1032189683.0599999</v>
      </c>
      <c r="AU20" s="188">
        <v>831484029.71000004</v>
      </c>
      <c r="AV20" s="188">
        <v>527120107.50999999</v>
      </c>
      <c r="AW20" s="188">
        <v>180086799.97999999</v>
      </c>
      <c r="AX20" s="188">
        <v>774054583.58000004</v>
      </c>
      <c r="AY20" s="188">
        <v>510352424.54000002</v>
      </c>
      <c r="AZ20" s="188">
        <v>290537889.00999999</v>
      </c>
      <c r="BA20" s="188">
        <v>138694919.43000001</v>
      </c>
      <c r="BB20" s="188">
        <v>517465808.66000003</v>
      </c>
      <c r="BC20" s="188">
        <v>457181580.22000003</v>
      </c>
      <c r="BD20" s="188">
        <v>350576309.74000001</v>
      </c>
      <c r="BE20" s="188">
        <v>175995006.59</v>
      </c>
      <c r="BF20" s="188">
        <v>740089727.74000001</v>
      </c>
      <c r="BG20" s="188">
        <v>589109091.66999996</v>
      </c>
      <c r="BH20" s="188">
        <v>432199260.55000001</v>
      </c>
      <c r="BI20" s="188">
        <v>194866373.43000001</v>
      </c>
      <c r="BJ20" s="188">
        <v>922712358.83000004</v>
      </c>
      <c r="BK20" s="188">
        <v>676910056.69000006</v>
      </c>
      <c r="BL20" s="188">
        <v>447581814.95999998</v>
      </c>
      <c r="BM20" s="188">
        <v>170881446.71000001</v>
      </c>
      <c r="BN20" s="188">
        <v>728061994.91999996</v>
      </c>
      <c r="BO20" s="188">
        <v>570486835.26999998</v>
      </c>
      <c r="BP20" s="188">
        <v>358967800.48000002</v>
      </c>
      <c r="BQ20" s="188">
        <v>158350622.16</v>
      </c>
      <c r="BR20" s="188">
        <v>618143834.19000006</v>
      </c>
      <c r="BS20" s="188">
        <v>325038545.63999999</v>
      </c>
      <c r="BT20" s="188">
        <v>461555124.94999999</v>
      </c>
      <c r="BU20" s="188">
        <v>303763726.22000003</v>
      </c>
      <c r="BV20" s="188">
        <v>528473747.29000002</v>
      </c>
      <c r="BW20" s="188">
        <v>249645489</v>
      </c>
      <c r="BX20" s="188">
        <v>8789838.5399999991</v>
      </c>
      <c r="BY20" s="188">
        <v>-13617866.6</v>
      </c>
      <c r="BZ20" s="188">
        <v>84717583.150000006</v>
      </c>
      <c r="CA20" s="188">
        <v>12581696.99</v>
      </c>
      <c r="CB20" s="188">
        <v>12166218.869999999</v>
      </c>
      <c r="CC20" s="188">
        <v>60862087.509999998</v>
      </c>
      <c r="CD20" s="188">
        <v>193063376.06</v>
      </c>
      <c r="CE20" s="188">
        <v>129270000</v>
      </c>
      <c r="CF20" s="188">
        <v>189945000</v>
      </c>
      <c r="CG20" s="188">
        <v>106503934.05</v>
      </c>
      <c r="CH20" s="188">
        <v>58750000</v>
      </c>
      <c r="CI20" s="188">
        <v>84660000</v>
      </c>
      <c r="CJ20" s="188">
        <v>71460000</v>
      </c>
      <c r="CK20" s="188">
        <v>71300000</v>
      </c>
      <c r="CL20" s="188">
        <v>0</v>
      </c>
    </row>
    <row r="21" spans="1:90">
      <c r="A21" s="188" t="s">
        <v>208</v>
      </c>
      <c r="B21" s="188">
        <v>290220617.51999998</v>
      </c>
      <c r="C21" s="188">
        <v>227658263.59999999</v>
      </c>
      <c r="D21" s="188">
        <v>127760607.8</v>
      </c>
      <c r="E21" s="188">
        <v>59226030.109999999</v>
      </c>
      <c r="F21" s="188">
        <v>339907733.63</v>
      </c>
      <c r="G21" s="188">
        <v>240726737.47999999</v>
      </c>
      <c r="H21" s="188">
        <v>132673082.61</v>
      </c>
      <c r="I21" s="188">
        <v>57078127.969999999</v>
      </c>
      <c r="J21" s="188">
        <v>344119329.13</v>
      </c>
      <c r="K21" s="188">
        <v>236458428.50999999</v>
      </c>
      <c r="L21" s="188">
        <v>131520976.13</v>
      </c>
      <c r="M21" s="188">
        <v>57333063.560000002</v>
      </c>
      <c r="N21" s="188">
        <v>394481905.88999999</v>
      </c>
      <c r="O21" s="188">
        <v>237408339.46000001</v>
      </c>
      <c r="P21" s="188">
        <v>143495446.5</v>
      </c>
      <c r="Q21" s="188">
        <v>60095590.350000001</v>
      </c>
      <c r="R21" s="188">
        <v>326917131.16000003</v>
      </c>
      <c r="S21" s="188">
        <v>259819928.72</v>
      </c>
      <c r="T21" s="188">
        <v>152292514.75</v>
      </c>
      <c r="U21" s="188">
        <v>52811584.189999998</v>
      </c>
      <c r="V21" s="188">
        <v>244560765.30000001</v>
      </c>
      <c r="W21" s="188">
        <v>176598193.36000001</v>
      </c>
      <c r="X21" s="188">
        <v>95189080.349999994</v>
      </c>
      <c r="Y21" s="188">
        <v>46108035.969999999</v>
      </c>
      <c r="Z21" s="188">
        <v>364313757.82999998</v>
      </c>
      <c r="AA21" s="188">
        <v>164225288.47</v>
      </c>
      <c r="AB21" s="188">
        <v>92773729.409999996</v>
      </c>
      <c r="AC21" s="188">
        <v>41866894.789999999</v>
      </c>
      <c r="AD21" s="188">
        <v>173724178.75999999</v>
      </c>
      <c r="AE21" s="188">
        <v>152154272.63</v>
      </c>
      <c r="AF21" s="188">
        <v>94252380.439999998</v>
      </c>
      <c r="AG21" s="188">
        <v>45997808.600000001</v>
      </c>
      <c r="AH21" s="188">
        <v>161628839</v>
      </c>
      <c r="AI21" s="188">
        <v>122115165.42</v>
      </c>
      <c r="AJ21" s="188">
        <v>80839747.829999998</v>
      </c>
      <c r="AK21" s="188">
        <v>35689718.990000002</v>
      </c>
      <c r="AL21" s="188">
        <v>135739249.22999999</v>
      </c>
      <c r="AM21" s="188">
        <v>102234420.34</v>
      </c>
      <c r="AN21" s="188">
        <v>66625921.390000001</v>
      </c>
      <c r="AO21" s="188">
        <v>32520400.399999999</v>
      </c>
      <c r="AP21" s="188">
        <v>153315468.66999999</v>
      </c>
      <c r="AQ21" s="188">
        <v>141560743.21000001</v>
      </c>
      <c r="AR21" s="188">
        <v>99457863.090000004</v>
      </c>
      <c r="AS21" s="188">
        <v>44027374.049999997</v>
      </c>
      <c r="AT21" s="188">
        <v>139283274.08000001</v>
      </c>
      <c r="AU21" s="188">
        <v>132415189.92</v>
      </c>
      <c r="AV21" s="188">
        <v>84352733.560000002</v>
      </c>
      <c r="AW21" s="188">
        <v>29650309.149999999</v>
      </c>
      <c r="AX21" s="188">
        <v>112159737.02</v>
      </c>
      <c r="AY21" s="188">
        <v>68131511.010000005</v>
      </c>
      <c r="AZ21" s="188">
        <v>41356766.380000003</v>
      </c>
      <c r="BA21" s="188">
        <v>21261539.25</v>
      </c>
      <c r="BB21" s="188">
        <v>108609995.86</v>
      </c>
      <c r="BC21" s="188">
        <v>94004327.269999996</v>
      </c>
      <c r="BD21" s="188">
        <v>67862554.450000003</v>
      </c>
      <c r="BE21" s="188">
        <v>28974955.960000001</v>
      </c>
      <c r="BF21" s="188">
        <v>132468882.01000001</v>
      </c>
      <c r="BG21" s="188">
        <v>93637200.370000005</v>
      </c>
      <c r="BH21" s="188">
        <v>65867600.789999999</v>
      </c>
      <c r="BI21" s="188">
        <v>32955130.91</v>
      </c>
      <c r="BJ21" s="188">
        <v>155946328.93000001</v>
      </c>
      <c r="BK21" s="188">
        <v>108366137.34</v>
      </c>
      <c r="BL21" s="188">
        <v>68867283.900000006</v>
      </c>
      <c r="BM21" s="188">
        <v>28006866.879999999</v>
      </c>
      <c r="BN21" s="188">
        <v>143668257.24000001</v>
      </c>
      <c r="BO21" s="188">
        <v>98765977.599999994</v>
      </c>
      <c r="BP21" s="188">
        <v>64164786.920000002</v>
      </c>
      <c r="BQ21" s="188">
        <v>25321619.559999999</v>
      </c>
      <c r="BR21" s="188">
        <v>113460021.93000001</v>
      </c>
      <c r="BS21" s="188">
        <v>52431401.840000004</v>
      </c>
      <c r="BT21" s="188">
        <v>100791733.87</v>
      </c>
      <c r="BU21" s="188">
        <v>47229977.799999997</v>
      </c>
      <c r="BV21" s="188">
        <v>97455708.069999993</v>
      </c>
      <c r="BW21" s="188">
        <v>39232814.829999998</v>
      </c>
      <c r="BX21" s="188">
        <v>2796995.65</v>
      </c>
      <c r="BY21" s="188">
        <v>0</v>
      </c>
      <c r="BZ21" s="188">
        <v>8176697.29</v>
      </c>
      <c r="CA21" s="188">
        <v>1624615.5</v>
      </c>
      <c r="CB21" s="188">
        <v>1799885.61</v>
      </c>
      <c r="CC21" s="188">
        <v>9698012.9700000007</v>
      </c>
      <c r="CD21" s="188">
        <v>28336126.850000001</v>
      </c>
      <c r="CE21" s="188">
        <v>19730000</v>
      </c>
      <c r="CF21" s="188">
        <v>27810000</v>
      </c>
      <c r="CG21" s="188">
        <v>16447145.279999999</v>
      </c>
      <c r="CH21" s="188">
        <v>4330000</v>
      </c>
      <c r="CI21" s="188">
        <v>4220000</v>
      </c>
      <c r="CJ21" s="188">
        <v>12510000</v>
      </c>
      <c r="CK21" s="188">
        <v>3630000</v>
      </c>
      <c r="CL21" s="188">
        <v>0</v>
      </c>
    </row>
    <row r="22" spans="1:90">
      <c r="A22" s="188" t="s">
        <v>209</v>
      </c>
      <c r="B22" s="188">
        <v>2135717248.49</v>
      </c>
      <c r="C22" s="188">
        <v>1736056863.8199999</v>
      </c>
      <c r="D22" s="188">
        <v>1090083643.6700001</v>
      </c>
      <c r="E22" s="188">
        <v>394993455.75</v>
      </c>
      <c r="F22" s="188">
        <v>2361167577.8600001</v>
      </c>
      <c r="G22" s="188">
        <v>1759077461.28</v>
      </c>
      <c r="H22" s="188">
        <v>1055685539.9400001</v>
      </c>
      <c r="I22" s="188">
        <v>391718106.85000002</v>
      </c>
      <c r="J22" s="188">
        <v>2413606492.8699999</v>
      </c>
      <c r="K22" s="188">
        <v>1847595736.74</v>
      </c>
      <c r="L22" s="188">
        <v>1164939735.74</v>
      </c>
      <c r="M22" s="188">
        <v>371691227.13999999</v>
      </c>
      <c r="N22" s="188">
        <v>2800375875.0900002</v>
      </c>
      <c r="O22" s="188">
        <v>2320000336.79</v>
      </c>
      <c r="P22" s="188">
        <v>973196132.04999995</v>
      </c>
      <c r="Q22" s="188">
        <v>292387550.98000002</v>
      </c>
      <c r="R22" s="188">
        <v>1799791966.72</v>
      </c>
      <c r="S22" s="188">
        <v>1413389336.6199999</v>
      </c>
      <c r="T22" s="188">
        <v>861897327.41999996</v>
      </c>
      <c r="U22" s="188">
        <v>312463076.11000001</v>
      </c>
      <c r="V22" s="188">
        <v>1837010750.3</v>
      </c>
      <c r="W22" s="188">
        <v>1263050147.3399999</v>
      </c>
      <c r="X22" s="188">
        <v>648015475.62</v>
      </c>
      <c r="Y22" s="188">
        <v>215680942.09999999</v>
      </c>
      <c r="Z22" s="188">
        <v>1314824682.5899999</v>
      </c>
      <c r="AA22" s="188">
        <v>1035787933.02</v>
      </c>
      <c r="AB22" s="188">
        <v>820965753.33000004</v>
      </c>
      <c r="AC22" s="188">
        <v>419421380.62</v>
      </c>
      <c r="AD22" s="188">
        <v>1178295682.76</v>
      </c>
      <c r="AE22" s="188">
        <v>1040676565.9299999</v>
      </c>
      <c r="AF22" s="188">
        <v>694225592.77999997</v>
      </c>
      <c r="AG22" s="188">
        <v>290334605.55000001</v>
      </c>
      <c r="AH22" s="188">
        <v>1086519101.5899999</v>
      </c>
      <c r="AI22" s="188">
        <v>848840464.51999998</v>
      </c>
      <c r="AJ22" s="188">
        <v>558561767.66999996</v>
      </c>
      <c r="AK22" s="188">
        <v>256728472.75999999</v>
      </c>
      <c r="AL22" s="188">
        <v>806759583.20000005</v>
      </c>
      <c r="AM22" s="188">
        <v>771765851.95000005</v>
      </c>
      <c r="AN22" s="188">
        <v>526251406.68000001</v>
      </c>
      <c r="AO22" s="188">
        <v>223412461.13</v>
      </c>
      <c r="AP22" s="188">
        <v>967108766.96000004</v>
      </c>
      <c r="AQ22" s="188">
        <v>726198318.61000001</v>
      </c>
      <c r="AR22" s="188">
        <v>497794244.75</v>
      </c>
      <c r="AS22" s="188">
        <v>211939790.94999999</v>
      </c>
      <c r="AT22" s="188">
        <v>892906408.98000002</v>
      </c>
      <c r="AU22" s="188">
        <v>699068839.78999996</v>
      </c>
      <c r="AV22" s="188">
        <v>442767373.94999999</v>
      </c>
      <c r="AW22" s="188">
        <v>150436490.83000001</v>
      </c>
      <c r="AX22" s="188">
        <v>661894846.55999994</v>
      </c>
      <c r="AY22" s="188">
        <v>442220913.52999997</v>
      </c>
      <c r="AZ22" s="188">
        <v>249181122.63</v>
      </c>
      <c r="BA22" s="188">
        <v>117433380.18000001</v>
      </c>
      <c r="BB22" s="188">
        <v>408855812.80000001</v>
      </c>
      <c r="BC22" s="188">
        <v>363177252.94999999</v>
      </c>
      <c r="BD22" s="188">
        <v>282713755.29000002</v>
      </c>
      <c r="BE22" s="188">
        <v>147020050.63</v>
      </c>
      <c r="BF22" s="188">
        <v>607620845.73000002</v>
      </c>
      <c r="BG22" s="188">
        <v>495471891.30000001</v>
      </c>
      <c r="BH22" s="188">
        <v>366331659.75999999</v>
      </c>
      <c r="BI22" s="188">
        <v>161911242.52000001</v>
      </c>
      <c r="BJ22" s="188">
        <v>766766029.89999998</v>
      </c>
      <c r="BK22" s="188">
        <v>568543919.35000002</v>
      </c>
      <c r="BL22" s="188">
        <v>378714531.06</v>
      </c>
      <c r="BM22" s="188">
        <v>142874579.83000001</v>
      </c>
      <c r="BN22" s="188">
        <v>584393737.67999995</v>
      </c>
      <c r="BO22" s="188">
        <v>471720857.67000002</v>
      </c>
      <c r="BP22" s="188">
        <v>294803013.56</v>
      </c>
      <c r="BQ22" s="188">
        <v>133029002.59999999</v>
      </c>
      <c r="BR22" s="188">
        <v>504683812.25999999</v>
      </c>
      <c r="BS22" s="188">
        <v>272607143.80000001</v>
      </c>
      <c r="BT22" s="188">
        <v>360763391.07999998</v>
      </c>
      <c r="BU22" s="188">
        <v>256533748.41999999</v>
      </c>
      <c r="BV22" s="188">
        <v>431018039.22000003</v>
      </c>
      <c r="BW22" s="188">
        <v>210412674.16999999</v>
      </c>
      <c r="BX22" s="188">
        <v>5992842.8899999997</v>
      </c>
      <c r="BY22" s="188">
        <v>-13617866.6</v>
      </c>
      <c r="BZ22" s="188">
        <v>76540885.859999999</v>
      </c>
      <c r="CA22" s="188">
        <v>10957081.49</v>
      </c>
      <c r="CB22" s="188">
        <v>10366333.26</v>
      </c>
      <c r="CC22" s="188">
        <v>51164074.539999999</v>
      </c>
      <c r="CD22" s="188">
        <v>164727249.21000001</v>
      </c>
      <c r="CE22" s="188">
        <v>109540000</v>
      </c>
      <c r="CF22" s="188">
        <v>162135000</v>
      </c>
      <c r="CG22" s="188">
        <v>90056788.769999996</v>
      </c>
      <c r="CH22" s="188">
        <v>54430000</v>
      </c>
      <c r="CI22" s="188">
        <v>80440000</v>
      </c>
      <c r="CJ22" s="188">
        <v>58950000</v>
      </c>
      <c r="CK22" s="188">
        <v>67670000</v>
      </c>
      <c r="CL22" s="188">
        <v>0</v>
      </c>
    </row>
    <row r="23" spans="1:90">
      <c r="A23" s="188" t="s">
        <v>210</v>
      </c>
      <c r="B23" s="188">
        <v>1268490377.8599999</v>
      </c>
      <c r="C23" s="188">
        <v>1032456467.22</v>
      </c>
      <c r="D23" s="188">
        <v>653583366.03999996</v>
      </c>
      <c r="E23" s="188">
        <v>238803602.36000001</v>
      </c>
      <c r="F23" s="188">
        <v>1390330531.8</v>
      </c>
      <c r="G23" s="188">
        <v>1045060818.8</v>
      </c>
      <c r="H23" s="188">
        <v>630705169.40999997</v>
      </c>
      <c r="I23" s="188">
        <v>238991845.15000001</v>
      </c>
      <c r="J23" s="188">
        <v>1449090972.8399999</v>
      </c>
      <c r="K23" s="188">
        <v>1142857874.96</v>
      </c>
      <c r="L23" s="188">
        <v>742254955.05999994</v>
      </c>
      <c r="M23" s="188">
        <v>219355821.86000001</v>
      </c>
      <c r="N23" s="188">
        <v>1834572111.9300001</v>
      </c>
      <c r="O23" s="188">
        <v>1619025727.3800001</v>
      </c>
      <c r="P23" s="188">
        <v>551656053.84000003</v>
      </c>
      <c r="Q23" s="188">
        <v>142196490.46000001</v>
      </c>
      <c r="R23" s="188">
        <v>857882099.57000005</v>
      </c>
      <c r="S23" s="188">
        <v>741582103.88999999</v>
      </c>
      <c r="T23" s="188">
        <v>461346680.06999999</v>
      </c>
      <c r="U23" s="188">
        <v>171427591.55000001</v>
      </c>
      <c r="V23" s="188">
        <v>943833546.36000001</v>
      </c>
      <c r="W23" s="188">
        <v>622286203.15999997</v>
      </c>
      <c r="X23" s="188">
        <v>284170982.25999999</v>
      </c>
      <c r="Y23" s="188">
        <v>88005601.909999996</v>
      </c>
      <c r="Z23" s="188">
        <v>703489403.11000001</v>
      </c>
      <c r="AA23" s="188">
        <v>590196572.86000001</v>
      </c>
      <c r="AB23" s="188">
        <v>550047228.63</v>
      </c>
      <c r="AC23" s="188">
        <v>305434485.74000001</v>
      </c>
      <c r="AD23" s="188">
        <v>711480275.78999996</v>
      </c>
      <c r="AE23" s="188">
        <v>649133142.63</v>
      </c>
      <c r="AF23" s="188">
        <v>449910723.80000001</v>
      </c>
      <c r="AG23" s="188">
        <v>190066752.62</v>
      </c>
      <c r="AH23" s="188">
        <v>665718754.99000001</v>
      </c>
      <c r="AI23" s="188">
        <v>529603696.32999998</v>
      </c>
      <c r="AJ23" s="188">
        <v>352609649.94</v>
      </c>
      <c r="AK23" s="188">
        <v>169447974.94999999</v>
      </c>
      <c r="AL23" s="188">
        <v>465741408.69</v>
      </c>
      <c r="AM23" s="188">
        <v>493135407.43000001</v>
      </c>
      <c r="AN23" s="188">
        <v>334956605.76999998</v>
      </c>
      <c r="AO23" s="188">
        <v>136658876.02000001</v>
      </c>
      <c r="AP23" s="188">
        <v>646604833.80999994</v>
      </c>
      <c r="AQ23" s="188">
        <v>467593814.04000002</v>
      </c>
      <c r="AR23" s="188">
        <v>325939746.51999998</v>
      </c>
      <c r="AS23" s="188">
        <v>132406144.48</v>
      </c>
      <c r="AT23" s="188">
        <v>605580532.10000002</v>
      </c>
      <c r="AU23" s="188">
        <v>462700020.13999999</v>
      </c>
      <c r="AV23" s="188">
        <v>297804166.30000001</v>
      </c>
      <c r="AW23" s="188">
        <v>89773214.540000007</v>
      </c>
      <c r="AX23" s="188">
        <v>401514527.35000002</v>
      </c>
      <c r="AY23" s="188">
        <v>256573756.66999999</v>
      </c>
      <c r="AZ23" s="188">
        <v>137612432.38</v>
      </c>
      <c r="BA23" s="188">
        <v>62226459.109999999</v>
      </c>
      <c r="BB23" s="188">
        <v>159443460.78999999</v>
      </c>
      <c r="BC23" s="188">
        <v>133564054.06999999</v>
      </c>
      <c r="BD23" s="188">
        <v>122533552.03</v>
      </c>
      <c r="BE23" s="188">
        <v>73002861.420000002</v>
      </c>
      <c r="BF23" s="188">
        <v>293740978.41000003</v>
      </c>
      <c r="BG23" s="188">
        <v>255376997.08000001</v>
      </c>
      <c r="BH23" s="188">
        <v>194491271.11000001</v>
      </c>
      <c r="BI23" s="188">
        <v>82187262.709999993</v>
      </c>
      <c r="BJ23" s="188">
        <v>412010778.26999998</v>
      </c>
      <c r="BK23" s="188">
        <v>307400101.85000002</v>
      </c>
      <c r="BL23" s="188">
        <v>220268441.96000001</v>
      </c>
      <c r="BM23" s="188">
        <v>73114610.659999996</v>
      </c>
      <c r="BN23" s="188">
        <v>272775662.16000003</v>
      </c>
      <c r="BO23" s="188">
        <v>223940968.40000001</v>
      </c>
      <c r="BP23" s="188">
        <v>134696233.75999999</v>
      </c>
      <c r="BQ23" s="188">
        <v>69034709.5</v>
      </c>
      <c r="BR23" s="188">
        <v>246444551.36000001</v>
      </c>
      <c r="BS23" s="188">
        <v>145308927.72999999</v>
      </c>
      <c r="BT23" s="188">
        <v>155431251.19</v>
      </c>
      <c r="BU23" s="188">
        <v>145360130.50999999</v>
      </c>
      <c r="BV23" s="188">
        <v>244333013.37</v>
      </c>
      <c r="BW23" s="188">
        <v>98950981.099999994</v>
      </c>
      <c r="BX23" s="188">
        <v>10415260.810000001</v>
      </c>
      <c r="BY23" s="188">
        <v>-13617866.6</v>
      </c>
      <c r="BZ23" s="188">
        <v>76540885.859999999</v>
      </c>
      <c r="CA23" s="188">
        <v>10957081.49</v>
      </c>
      <c r="CB23" s="188">
        <v>10366333.26</v>
      </c>
      <c r="CC23" s="188">
        <v>51164074.539999999</v>
      </c>
      <c r="CD23" s="188">
        <v>164727249.21000001</v>
      </c>
      <c r="CE23" s="188">
        <v>109660000</v>
      </c>
      <c r="CF23" s="188">
        <v>162366000</v>
      </c>
      <c r="CG23" s="188">
        <v>90077826.569999993</v>
      </c>
      <c r="CH23" s="188">
        <v>54430000</v>
      </c>
      <c r="CI23" s="188">
        <v>80440000</v>
      </c>
      <c r="CJ23" s="188">
        <v>58950000</v>
      </c>
      <c r="CK23" s="188">
        <v>67670000</v>
      </c>
      <c r="CL23" s="188">
        <v>0</v>
      </c>
    </row>
    <row r="24" spans="1:90">
      <c r="A24" s="188" t="s">
        <v>211</v>
      </c>
      <c r="B24" s="188">
        <v>867226870.63</v>
      </c>
      <c r="C24" s="188">
        <v>703600396.60000002</v>
      </c>
      <c r="D24" s="188">
        <v>436500277.63</v>
      </c>
      <c r="E24" s="188">
        <v>156189853.38999999</v>
      </c>
      <c r="F24" s="188">
        <v>970837046.05999994</v>
      </c>
      <c r="G24" s="188">
        <v>714016642.48000002</v>
      </c>
      <c r="H24" s="188">
        <v>424980370.52999997</v>
      </c>
      <c r="I24" s="188">
        <v>152726261.69999999</v>
      </c>
      <c r="J24" s="188">
        <v>964515520.02999997</v>
      </c>
      <c r="K24" s="188">
        <v>704737861.77999997</v>
      </c>
      <c r="L24" s="188">
        <v>422684780.68000001</v>
      </c>
      <c r="M24" s="188">
        <v>152335405.28</v>
      </c>
      <c r="N24" s="188">
        <v>965803763.15999997</v>
      </c>
      <c r="O24" s="188">
        <v>700974609.40999997</v>
      </c>
      <c r="P24" s="188">
        <v>421540078.20999998</v>
      </c>
      <c r="Q24" s="188">
        <v>150191060.52000001</v>
      </c>
      <c r="R24" s="188">
        <v>941909867.14999998</v>
      </c>
      <c r="S24" s="188">
        <v>671807232.73000002</v>
      </c>
      <c r="T24" s="188">
        <v>400550647.35000002</v>
      </c>
      <c r="U24" s="188">
        <v>141035484.56</v>
      </c>
      <c r="V24" s="188">
        <v>893177203.94000006</v>
      </c>
      <c r="W24" s="188">
        <v>640763944.17999995</v>
      </c>
      <c r="X24" s="188">
        <v>363844493.36000001</v>
      </c>
      <c r="Y24" s="188">
        <v>127675340.19</v>
      </c>
      <c r="Z24" s="188">
        <v>611335279.48000002</v>
      </c>
      <c r="AA24" s="188">
        <v>445591360.16000003</v>
      </c>
      <c r="AB24" s="188">
        <v>270918524.69999999</v>
      </c>
      <c r="AC24" s="188">
        <v>113986894.88</v>
      </c>
      <c r="AD24" s="188">
        <v>466815406.97000003</v>
      </c>
      <c r="AE24" s="188">
        <v>391543423.30000001</v>
      </c>
      <c r="AF24" s="188">
        <v>244314868.97999999</v>
      </c>
      <c r="AG24" s="188">
        <v>100267852.93000001</v>
      </c>
      <c r="AH24" s="188">
        <v>420800346.60000002</v>
      </c>
      <c r="AI24" s="188">
        <v>319236768.19</v>
      </c>
      <c r="AJ24" s="188">
        <v>205952117.72999999</v>
      </c>
      <c r="AK24" s="188">
        <v>87280497.810000002</v>
      </c>
      <c r="AL24" s="188">
        <v>341018174.50999999</v>
      </c>
      <c r="AM24" s="188">
        <v>278630444.51999998</v>
      </c>
      <c r="AN24" s="188">
        <v>191294800.91</v>
      </c>
      <c r="AO24" s="188">
        <v>86753585.109999999</v>
      </c>
      <c r="AP24" s="188">
        <v>320503933.14999998</v>
      </c>
      <c r="AQ24" s="188">
        <v>258604504.56999999</v>
      </c>
      <c r="AR24" s="188">
        <v>171854498.22999999</v>
      </c>
      <c r="AS24" s="188">
        <v>79533646.469999999</v>
      </c>
      <c r="AT24" s="188">
        <v>287325876.88</v>
      </c>
      <c r="AU24" s="188">
        <v>236368819.65000001</v>
      </c>
      <c r="AV24" s="188">
        <v>144963207.65000001</v>
      </c>
      <c r="AW24" s="188">
        <v>60663276.289999999</v>
      </c>
      <c r="AX24" s="188">
        <v>260380319.21000001</v>
      </c>
      <c r="AY24" s="188">
        <v>185647156.86000001</v>
      </c>
      <c r="AZ24" s="188">
        <v>111568690.25</v>
      </c>
      <c r="BA24" s="188">
        <v>55206921.07</v>
      </c>
      <c r="BB24" s="188">
        <v>249412352.00999999</v>
      </c>
      <c r="BC24" s="188">
        <v>229613198.88</v>
      </c>
      <c r="BD24" s="188">
        <v>160180203.25999999</v>
      </c>
      <c r="BE24" s="188">
        <v>74017189.209999993</v>
      </c>
      <c r="BF24" s="188">
        <v>313879867.31999999</v>
      </c>
      <c r="BG24" s="188">
        <v>240094894.22</v>
      </c>
      <c r="BH24" s="188">
        <v>171840388.65000001</v>
      </c>
      <c r="BI24" s="188">
        <v>79723979.810000002</v>
      </c>
      <c r="BJ24" s="188">
        <v>354755251.63</v>
      </c>
      <c r="BK24" s="188">
        <v>261143817.5</v>
      </c>
      <c r="BL24" s="188">
        <v>158446089.09999999</v>
      </c>
      <c r="BM24" s="188">
        <v>69759969.170000002</v>
      </c>
      <c r="BN24" s="188">
        <v>311618075.51999998</v>
      </c>
      <c r="BO24" s="188">
        <v>247779889.27000001</v>
      </c>
      <c r="BP24" s="188">
        <v>160106779.80000001</v>
      </c>
      <c r="BQ24" s="188">
        <v>63994293.100000001</v>
      </c>
      <c r="BR24" s="188">
        <v>258239260.90000001</v>
      </c>
      <c r="BS24" s="188">
        <v>127298216.06999999</v>
      </c>
      <c r="BT24" s="188">
        <v>205332139.88999999</v>
      </c>
      <c r="BU24" s="188">
        <v>111173617.91</v>
      </c>
      <c r="BV24" s="188">
        <v>186685025.84999999</v>
      </c>
      <c r="BW24" s="188">
        <v>111461693.06999999</v>
      </c>
      <c r="BX24" s="188">
        <v>-4422417.92</v>
      </c>
      <c r="BY24" s="188">
        <v>0</v>
      </c>
      <c r="BZ24" s="188">
        <v>0</v>
      </c>
      <c r="CA24" s="188">
        <v>0</v>
      </c>
      <c r="CB24" s="188">
        <v>0</v>
      </c>
      <c r="CC24" s="188">
        <v>0</v>
      </c>
      <c r="CD24" s="188">
        <v>0</v>
      </c>
      <c r="CE24" s="188">
        <v>-120000</v>
      </c>
      <c r="CF24" s="188">
        <v>-231000</v>
      </c>
      <c r="CG24" s="188">
        <v>-21037.8</v>
      </c>
      <c r="CH24" s="188">
        <v>0</v>
      </c>
      <c r="CI24" s="188">
        <v>0</v>
      </c>
      <c r="CJ24" s="188">
        <v>0</v>
      </c>
      <c r="CK24" s="188">
        <v>0</v>
      </c>
      <c r="CL24" s="188">
        <v>0</v>
      </c>
    </row>
    <row r="25" spans="1:90">
      <c r="A25" s="188" t="s">
        <v>212</v>
      </c>
    </row>
    <row r="26" spans="1:90">
      <c r="A26" s="188" t="s">
        <v>213</v>
      </c>
      <c r="B26" s="188">
        <v>1.24</v>
      </c>
      <c r="C26" s="188">
        <v>1.01</v>
      </c>
      <c r="D26" s="188">
        <v>0.64</v>
      </c>
      <c r="E26" s="188">
        <v>0.23</v>
      </c>
      <c r="F26" s="188">
        <v>1.36</v>
      </c>
      <c r="G26" s="188">
        <v>1.02</v>
      </c>
      <c r="H26" s="188">
        <v>0.62</v>
      </c>
      <c r="I26" s="188">
        <v>0.23</v>
      </c>
      <c r="J26" s="188">
        <v>1.42</v>
      </c>
      <c r="K26" s="188">
        <v>1.1200000000000001</v>
      </c>
      <c r="L26" s="188">
        <v>0.73</v>
      </c>
      <c r="M26" s="188">
        <v>0.21</v>
      </c>
      <c r="N26" s="188">
        <v>1.79</v>
      </c>
      <c r="O26" s="188">
        <v>1.58</v>
      </c>
      <c r="P26" s="188">
        <v>0.54</v>
      </c>
      <c r="Q26" s="188">
        <v>0.14000000000000001</v>
      </c>
      <c r="R26" s="188">
        <v>0.84</v>
      </c>
      <c r="S26" s="188">
        <v>0.73</v>
      </c>
      <c r="T26" s="188">
        <v>0.45</v>
      </c>
      <c r="U26" s="188">
        <v>0.17</v>
      </c>
      <c r="V26" s="188">
        <v>0.92</v>
      </c>
      <c r="W26" s="188">
        <v>0.61</v>
      </c>
      <c r="X26" s="188">
        <v>0.28000000000000003</v>
      </c>
      <c r="Y26" s="188">
        <v>8.5999999999999993E-2</v>
      </c>
      <c r="Z26" s="188">
        <v>0.69</v>
      </c>
      <c r="AA26" s="188">
        <v>0.57999999999999996</v>
      </c>
      <c r="AB26" s="188">
        <v>0.54</v>
      </c>
      <c r="AC26" s="188">
        <v>0.29899999999999999</v>
      </c>
      <c r="AD26" s="188">
        <v>0.7</v>
      </c>
      <c r="AE26" s="188">
        <v>0.63</v>
      </c>
      <c r="AF26" s="188">
        <v>0.44</v>
      </c>
      <c r="AG26" s="188">
        <v>0.186</v>
      </c>
      <c r="AH26" s="188">
        <v>0.65</v>
      </c>
      <c r="AI26" s="188">
        <v>0.52</v>
      </c>
      <c r="AJ26" s="188">
        <v>0.34</v>
      </c>
      <c r="AK26" s="188">
        <v>0.16600000000000001</v>
      </c>
      <c r="AL26" s="188">
        <v>0.46</v>
      </c>
      <c r="AM26" s="188">
        <v>0.48199999999999998</v>
      </c>
      <c r="AN26" s="188">
        <v>0.33</v>
      </c>
      <c r="AO26" s="188">
        <v>0.13400000000000001</v>
      </c>
      <c r="AP26" s="188">
        <v>0.63</v>
      </c>
      <c r="AQ26" s="188">
        <v>0.45700000000000002</v>
      </c>
      <c r="AR26" s="188">
        <v>0.38200000000000001</v>
      </c>
      <c r="AS26" s="188">
        <v>0.155</v>
      </c>
      <c r="AT26" s="188">
        <v>0.71099999999999997</v>
      </c>
      <c r="AU26" s="188">
        <v>0.54300000000000004</v>
      </c>
      <c r="AV26" s="188">
        <v>0.34899999999999998</v>
      </c>
      <c r="AW26" s="188">
        <v>0.1053</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v>0</v>
      </c>
      <c r="BV26" s="188">
        <v>0</v>
      </c>
      <c r="BW26" s="188">
        <v>0</v>
      </c>
      <c r="BX26" s="188">
        <v>0</v>
      </c>
      <c r="BY26" s="188">
        <v>0</v>
      </c>
      <c r="BZ26" s="188">
        <v>0</v>
      </c>
      <c r="CA26" s="188">
        <v>0</v>
      </c>
      <c r="CB26" s="188">
        <v>0</v>
      </c>
      <c r="CC26" s="188">
        <v>0</v>
      </c>
      <c r="CD26" s="188">
        <v>0</v>
      </c>
      <c r="CE26" s="188">
        <v>0</v>
      </c>
      <c r="CF26" s="188">
        <v>0</v>
      </c>
      <c r="CG26" s="188">
        <v>0</v>
      </c>
      <c r="CH26" s="188">
        <v>0</v>
      </c>
      <c r="CI26" s="188">
        <v>0</v>
      </c>
      <c r="CJ26" s="188">
        <v>0</v>
      </c>
      <c r="CK26" s="188">
        <v>0</v>
      </c>
      <c r="CL26" s="188">
        <v>0</v>
      </c>
    </row>
    <row r="27" spans="1:90">
      <c r="A27" s="188" t="s">
        <v>214</v>
      </c>
      <c r="B27" s="188">
        <v>1.24</v>
      </c>
      <c r="C27" s="188">
        <v>1.01</v>
      </c>
      <c r="D27" s="188">
        <v>0.64</v>
      </c>
      <c r="E27" s="188">
        <v>0.23</v>
      </c>
      <c r="F27" s="188">
        <v>1.36</v>
      </c>
      <c r="G27" s="188">
        <v>1.02</v>
      </c>
      <c r="H27" s="188">
        <v>0.62</v>
      </c>
      <c r="I27" s="188">
        <v>0.23</v>
      </c>
      <c r="J27" s="188">
        <v>1.42</v>
      </c>
      <c r="K27" s="188">
        <v>1.1200000000000001</v>
      </c>
      <c r="L27" s="188">
        <v>0.73</v>
      </c>
      <c r="M27" s="188">
        <v>0.21</v>
      </c>
      <c r="N27" s="188">
        <v>1.79</v>
      </c>
      <c r="O27" s="188">
        <v>1.58</v>
      </c>
      <c r="P27" s="188">
        <v>0.54</v>
      </c>
      <c r="Q27" s="188">
        <v>0.14000000000000001</v>
      </c>
      <c r="R27" s="188">
        <v>0.84</v>
      </c>
      <c r="S27" s="188">
        <v>0.73</v>
      </c>
      <c r="T27" s="188">
        <v>0.45</v>
      </c>
      <c r="U27" s="188">
        <v>0.17</v>
      </c>
      <c r="V27" s="188">
        <v>0.92</v>
      </c>
      <c r="W27" s="188">
        <v>0.61</v>
      </c>
      <c r="X27" s="188">
        <v>0.28000000000000003</v>
      </c>
      <c r="Y27" s="188">
        <v>8.5999999999999993E-2</v>
      </c>
      <c r="Z27" s="188">
        <v>0.69</v>
      </c>
      <c r="AA27" s="188">
        <v>0.57999999999999996</v>
      </c>
      <c r="AB27" s="188">
        <v>0.54</v>
      </c>
      <c r="AC27" s="188">
        <v>0.29899999999999999</v>
      </c>
      <c r="AD27" s="188">
        <v>0.7</v>
      </c>
      <c r="AE27" s="188">
        <v>0.63</v>
      </c>
      <c r="AF27" s="188">
        <v>0.44</v>
      </c>
      <c r="AG27" s="188">
        <v>0.186</v>
      </c>
      <c r="AH27" s="188">
        <v>0.65</v>
      </c>
      <c r="AI27" s="188">
        <v>0.52</v>
      </c>
      <c r="AJ27" s="188">
        <v>0.34</v>
      </c>
      <c r="AK27" s="188">
        <v>0.16600000000000001</v>
      </c>
      <c r="AL27" s="188">
        <v>0</v>
      </c>
      <c r="AM27" s="188">
        <v>0.48199999999999998</v>
      </c>
      <c r="AN27" s="188">
        <v>0.33</v>
      </c>
      <c r="AO27" s="188">
        <v>0.13400000000000001</v>
      </c>
      <c r="AP27" s="188">
        <v>0.63</v>
      </c>
      <c r="AQ27" s="188">
        <v>0.45700000000000002</v>
      </c>
      <c r="AR27" s="188">
        <v>0.38200000000000001</v>
      </c>
      <c r="AS27" s="188">
        <v>0.155</v>
      </c>
      <c r="AT27" s="188">
        <v>0.71099999999999997</v>
      </c>
      <c r="AU27" s="188">
        <v>0.54300000000000004</v>
      </c>
      <c r="AV27" s="188">
        <v>0.34899999999999998</v>
      </c>
      <c r="AW27" s="188">
        <v>0.1053</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v>0</v>
      </c>
      <c r="BU27" s="188">
        <v>0</v>
      </c>
      <c r="BV27" s="188">
        <v>0</v>
      </c>
      <c r="BW27" s="188">
        <v>0</v>
      </c>
      <c r="BX27" s="188">
        <v>0</v>
      </c>
      <c r="BY27" s="188">
        <v>0</v>
      </c>
      <c r="BZ27" s="188">
        <v>0</v>
      </c>
      <c r="CA27" s="188">
        <v>0</v>
      </c>
      <c r="CB27" s="188">
        <v>0</v>
      </c>
      <c r="CC27" s="188">
        <v>0</v>
      </c>
      <c r="CD27" s="188">
        <v>0</v>
      </c>
      <c r="CE27" s="188">
        <v>0</v>
      </c>
      <c r="CF27" s="188">
        <v>0</v>
      </c>
      <c r="CG27" s="188">
        <v>0</v>
      </c>
      <c r="CH27" s="188">
        <v>0</v>
      </c>
      <c r="CI27" s="188">
        <v>0</v>
      </c>
      <c r="CJ27" s="188">
        <v>0</v>
      </c>
      <c r="CK27" s="188">
        <v>0</v>
      </c>
      <c r="CL27" s="188">
        <v>0</v>
      </c>
    </row>
    <row r="28" spans="1:90">
      <c r="A28" s="188" t="s">
        <v>215</v>
      </c>
      <c r="B28" s="188">
        <v>456001.78</v>
      </c>
      <c r="C28" s="188">
        <v>205783.08</v>
      </c>
      <c r="D28" s="188">
        <v>205783.08</v>
      </c>
      <c r="E28" s="188">
        <v>0</v>
      </c>
      <c r="F28" s="188">
        <v>-48098590.850000001</v>
      </c>
      <c r="G28" s="188">
        <v>-1177249.97</v>
      </c>
      <c r="H28" s="188">
        <v>6556423.4699999997</v>
      </c>
      <c r="I28" s="188">
        <v>8796268.1999999993</v>
      </c>
      <c r="J28" s="188">
        <v>-982788.02</v>
      </c>
      <c r="K28" s="188">
        <v>-28366344.449999999</v>
      </c>
      <c r="L28" s="188">
        <v>-26873141.84</v>
      </c>
      <c r="M28" s="188">
        <v>-21554469.379999999</v>
      </c>
      <c r="N28" s="188">
        <v>5618539.7599999998</v>
      </c>
      <c r="O28" s="188">
        <v>79127152.640000001</v>
      </c>
      <c r="P28" s="188">
        <v>21161153.059999999</v>
      </c>
      <c r="Q28" s="188">
        <v>16491510.01</v>
      </c>
      <c r="R28" s="188">
        <v>12678499.35</v>
      </c>
      <c r="S28" s="188">
        <v>7106429.5199999996</v>
      </c>
      <c r="T28" s="188">
        <v>-10656000.99</v>
      </c>
      <c r="U28" s="188">
        <v>-2020226.36</v>
      </c>
      <c r="V28" s="188">
        <v>-25554739.649999999</v>
      </c>
      <c r="W28" s="188">
        <v>36708517.380000003</v>
      </c>
      <c r="X28" s="188">
        <v>11909951.199999999</v>
      </c>
      <c r="Y28" s="188">
        <v>-570456.94999999995</v>
      </c>
      <c r="Z28" s="188">
        <v>-33989737.82</v>
      </c>
      <c r="AA28" s="188">
        <v>-31340267.109999999</v>
      </c>
      <c r="AB28" s="188">
        <v>2509863.6</v>
      </c>
      <c r="AC28" s="188">
        <v>6875241.0499999998</v>
      </c>
      <c r="AD28" s="188">
        <v>5177803.7</v>
      </c>
      <c r="AE28" s="188">
        <v>4907980.3600000003</v>
      </c>
      <c r="AF28" s="188">
        <v>-287965.93</v>
      </c>
      <c r="AG28" s="188">
        <v>-162495.17000000001</v>
      </c>
      <c r="AH28" s="188">
        <v>4196643.5</v>
      </c>
      <c r="AI28" s="188">
        <v>5330808.12</v>
      </c>
      <c r="AJ28" s="188">
        <v>3920799.22</v>
      </c>
      <c r="AK28" s="188">
        <v>-661729.80000000005</v>
      </c>
      <c r="AL28" s="188">
        <v>57148842.609999999</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v>0</v>
      </c>
      <c r="BU28" s="188">
        <v>0</v>
      </c>
      <c r="BV28" s="188">
        <v>0</v>
      </c>
      <c r="BW28" s="188">
        <v>0</v>
      </c>
      <c r="BX28" s="188">
        <v>0</v>
      </c>
      <c r="BY28" s="188">
        <v>0</v>
      </c>
      <c r="BZ28" s="188">
        <v>0</v>
      </c>
      <c r="CA28" s="188">
        <v>0</v>
      </c>
      <c r="CB28" s="188">
        <v>0</v>
      </c>
      <c r="CC28" s="188">
        <v>0</v>
      </c>
      <c r="CD28" s="188">
        <v>0</v>
      </c>
      <c r="CE28" s="188">
        <v>0</v>
      </c>
      <c r="CF28" s="188">
        <v>0</v>
      </c>
      <c r="CG28" s="188">
        <v>0</v>
      </c>
      <c r="CH28" s="188">
        <v>0</v>
      </c>
      <c r="CI28" s="188">
        <v>0</v>
      </c>
      <c r="CJ28" s="188">
        <v>0</v>
      </c>
      <c r="CK28" s="188">
        <v>0</v>
      </c>
      <c r="CL28" s="188">
        <v>0</v>
      </c>
    </row>
    <row r="29" spans="1:90">
      <c r="A29" s="188" t="s">
        <v>216</v>
      </c>
      <c r="B29" s="188">
        <v>2136173250.27</v>
      </c>
      <c r="C29" s="188">
        <v>1736262646.9000001</v>
      </c>
      <c r="D29" s="188">
        <v>1090289426.75</v>
      </c>
      <c r="E29" s="188">
        <v>394993455.75</v>
      </c>
      <c r="F29" s="188">
        <v>2313068987.0100002</v>
      </c>
      <c r="G29" s="188">
        <v>1757900211.3099999</v>
      </c>
      <c r="H29" s="188">
        <v>1062241963.41</v>
      </c>
      <c r="I29" s="188">
        <v>400514375.05000001</v>
      </c>
      <c r="J29" s="188">
        <v>2412623704.8499999</v>
      </c>
      <c r="K29" s="188">
        <v>1819229392.29</v>
      </c>
      <c r="L29" s="188">
        <v>1138066593.9000001</v>
      </c>
      <c r="M29" s="188">
        <v>350136757.75999999</v>
      </c>
      <c r="N29" s="188">
        <v>2805994414.8499999</v>
      </c>
      <c r="O29" s="188">
        <v>2399127489.4299998</v>
      </c>
      <c r="P29" s="188">
        <v>994357285.11000001</v>
      </c>
      <c r="Q29" s="188">
        <v>308879060.99000001</v>
      </c>
      <c r="R29" s="188">
        <v>1812470466.0699999</v>
      </c>
      <c r="S29" s="188">
        <v>1420495766.1400001</v>
      </c>
      <c r="T29" s="188">
        <v>851241326.42999995</v>
      </c>
      <c r="U29" s="188">
        <v>310442849.75</v>
      </c>
      <c r="V29" s="188">
        <v>1811456010.6500001</v>
      </c>
      <c r="W29" s="188">
        <v>1299758664.72</v>
      </c>
      <c r="X29" s="188">
        <v>659925426.82000005</v>
      </c>
      <c r="Y29" s="188">
        <v>215110485.15000001</v>
      </c>
      <c r="Z29" s="188">
        <v>1280834944.77</v>
      </c>
      <c r="AA29" s="188">
        <v>1004447665.91</v>
      </c>
      <c r="AB29" s="188">
        <v>823475616.92999995</v>
      </c>
      <c r="AC29" s="188">
        <v>426296621.67000002</v>
      </c>
      <c r="AD29" s="188">
        <v>1183473486.46</v>
      </c>
      <c r="AE29" s="188">
        <v>1045584546.29</v>
      </c>
      <c r="AF29" s="188">
        <v>693937626.85000002</v>
      </c>
      <c r="AG29" s="188">
        <v>290172110.38</v>
      </c>
      <c r="AH29" s="188">
        <v>1090715745.0899999</v>
      </c>
      <c r="AI29" s="188">
        <v>854171272.63999999</v>
      </c>
      <c r="AJ29" s="188">
        <v>562482566.88999999</v>
      </c>
      <c r="AK29" s="188">
        <v>256066742.96000001</v>
      </c>
      <c r="AL29" s="188">
        <v>863908425.80999994</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c r="BV29" s="188">
        <v>0</v>
      </c>
      <c r="BW29" s="188">
        <v>0</v>
      </c>
      <c r="BX29" s="188">
        <v>0</v>
      </c>
      <c r="BY29" s="188">
        <v>0</v>
      </c>
      <c r="BZ29" s="188">
        <v>0</v>
      </c>
      <c r="CA29" s="188">
        <v>0</v>
      </c>
      <c r="CB29" s="188">
        <v>0</v>
      </c>
      <c r="CC29" s="188">
        <v>0</v>
      </c>
      <c r="CD29" s="188">
        <v>0</v>
      </c>
      <c r="CE29" s="188">
        <v>0</v>
      </c>
      <c r="CF29" s="188">
        <v>0</v>
      </c>
      <c r="CG29" s="188">
        <v>0</v>
      </c>
      <c r="CH29" s="188">
        <v>0</v>
      </c>
      <c r="CI29" s="188">
        <v>0</v>
      </c>
      <c r="CJ29" s="188">
        <v>0</v>
      </c>
      <c r="CK29" s="188">
        <v>0</v>
      </c>
      <c r="CL29" s="188">
        <v>0</v>
      </c>
    </row>
    <row r="30" spans="1:90">
      <c r="A30" s="188" t="s">
        <v>217</v>
      </c>
      <c r="B30" s="188">
        <v>1268946379.6400001</v>
      </c>
      <c r="C30" s="188">
        <v>1032662250.3</v>
      </c>
      <c r="D30" s="188">
        <v>653789149.12</v>
      </c>
      <c r="E30" s="188">
        <v>238803602.36000001</v>
      </c>
      <c r="F30" s="188">
        <v>1342231940.95</v>
      </c>
      <c r="G30" s="188">
        <v>1043883568.83</v>
      </c>
      <c r="H30" s="188">
        <v>637261592.88</v>
      </c>
      <c r="I30" s="188">
        <v>247788113.34999999</v>
      </c>
      <c r="J30" s="188">
        <v>1448108184.8199999</v>
      </c>
      <c r="K30" s="188">
        <v>1114491530.51</v>
      </c>
      <c r="L30" s="188">
        <v>715381813.22000003</v>
      </c>
      <c r="M30" s="188">
        <v>197801352.47999999</v>
      </c>
      <c r="N30" s="188">
        <v>1840190651.6900001</v>
      </c>
      <c r="O30" s="188">
        <v>1698152880.02</v>
      </c>
      <c r="P30" s="188">
        <v>572817206.89999998</v>
      </c>
      <c r="Q30" s="188">
        <v>158688000.47</v>
      </c>
      <c r="R30" s="188">
        <v>870560598.91999996</v>
      </c>
      <c r="S30" s="188">
        <v>748688533.40999997</v>
      </c>
      <c r="T30" s="188">
        <v>450690679.07999998</v>
      </c>
      <c r="U30" s="188">
        <v>169407365.19</v>
      </c>
      <c r="V30" s="188">
        <v>918278806.71000004</v>
      </c>
      <c r="W30" s="188">
        <v>658994720.53999996</v>
      </c>
      <c r="X30" s="188">
        <v>296080933.45999998</v>
      </c>
      <c r="Y30" s="188">
        <v>87435144.959999993</v>
      </c>
      <c r="Z30" s="188">
        <v>669499665.28999996</v>
      </c>
      <c r="AA30" s="188">
        <v>558856305.75</v>
      </c>
      <c r="AB30" s="188">
        <v>552557092.23000002</v>
      </c>
      <c r="AC30" s="188">
        <v>312309726.79000002</v>
      </c>
      <c r="AD30" s="188">
        <v>716658079.49000001</v>
      </c>
      <c r="AE30" s="188">
        <v>654041122.99000001</v>
      </c>
      <c r="AF30" s="188">
        <v>449622757.87</v>
      </c>
      <c r="AG30" s="188">
        <v>189904257.44999999</v>
      </c>
      <c r="AH30" s="188">
        <v>670090287.5</v>
      </c>
      <c r="AI30" s="188">
        <v>535109393.47000003</v>
      </c>
      <c r="AJ30" s="188">
        <v>356705338.18000001</v>
      </c>
      <c r="AK30" s="188">
        <v>168786245.15000001</v>
      </c>
      <c r="AL30" s="188">
        <v>522890251.30000001</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c r="BO30" s="188">
        <v>0</v>
      </c>
      <c r="BP30" s="188">
        <v>0</v>
      </c>
      <c r="BQ30" s="188">
        <v>0</v>
      </c>
      <c r="BR30" s="188">
        <v>0</v>
      </c>
      <c r="BS30" s="188">
        <v>0</v>
      </c>
      <c r="BT30" s="188">
        <v>0</v>
      </c>
      <c r="BU30" s="188">
        <v>0</v>
      </c>
      <c r="BV30" s="188">
        <v>0</v>
      </c>
      <c r="BW30" s="188">
        <v>0</v>
      </c>
      <c r="BX30" s="188">
        <v>0</v>
      </c>
      <c r="BY30" s="188">
        <v>0</v>
      </c>
      <c r="BZ30" s="188">
        <v>0</v>
      </c>
      <c r="CA30" s="188">
        <v>0</v>
      </c>
      <c r="CB30" s="188">
        <v>0</v>
      </c>
      <c r="CC30" s="188">
        <v>0</v>
      </c>
      <c r="CD30" s="188">
        <v>0</v>
      </c>
      <c r="CE30" s="188">
        <v>0</v>
      </c>
      <c r="CF30" s="188">
        <v>0</v>
      </c>
      <c r="CG30" s="188">
        <v>0</v>
      </c>
      <c r="CH30" s="188">
        <v>0</v>
      </c>
      <c r="CI30" s="188">
        <v>0</v>
      </c>
      <c r="CJ30" s="188">
        <v>0</v>
      </c>
      <c r="CK30" s="188">
        <v>0</v>
      </c>
      <c r="CL30" s="188">
        <v>0</v>
      </c>
    </row>
    <row r="31" spans="1:90">
      <c r="A31" s="188" t="s">
        <v>218</v>
      </c>
      <c r="B31" s="188">
        <v>867226870.63</v>
      </c>
      <c r="C31" s="188">
        <v>703600396.60000002</v>
      </c>
      <c r="D31" s="188">
        <v>436500277.63</v>
      </c>
      <c r="E31" s="188">
        <v>156189853.38999999</v>
      </c>
      <c r="F31" s="188">
        <v>970837046.05999994</v>
      </c>
      <c r="G31" s="188">
        <v>714016642.48000002</v>
      </c>
      <c r="H31" s="188">
        <v>424980370.52999997</v>
      </c>
      <c r="I31" s="188">
        <v>152726261.69999999</v>
      </c>
      <c r="J31" s="188">
        <v>964515520.02999997</v>
      </c>
      <c r="K31" s="188">
        <v>704737861.77999997</v>
      </c>
      <c r="L31" s="188">
        <v>422684780.68000001</v>
      </c>
      <c r="M31" s="188">
        <v>152335405.28</v>
      </c>
      <c r="N31" s="188">
        <v>965803763.15999997</v>
      </c>
      <c r="O31" s="188">
        <v>700974609.40999997</v>
      </c>
      <c r="P31" s="188">
        <v>421540078.20999998</v>
      </c>
      <c r="Q31" s="188">
        <v>150191060.52000001</v>
      </c>
      <c r="R31" s="188">
        <v>941909867.14999998</v>
      </c>
      <c r="S31" s="188">
        <v>671807232.73000002</v>
      </c>
      <c r="T31" s="188">
        <v>400550647.35000002</v>
      </c>
      <c r="U31" s="188">
        <v>141035484.56</v>
      </c>
      <c r="V31" s="188">
        <v>893177203.94000006</v>
      </c>
      <c r="W31" s="188">
        <v>640763944.17999995</v>
      </c>
      <c r="X31" s="188">
        <v>363844493.36000001</v>
      </c>
      <c r="Y31" s="188">
        <v>127675340.19</v>
      </c>
      <c r="Z31" s="188">
        <v>611335279.48000002</v>
      </c>
      <c r="AA31" s="188">
        <v>445591360.16000003</v>
      </c>
      <c r="AB31" s="188">
        <v>270918524.69999999</v>
      </c>
      <c r="AC31" s="188">
        <v>113986894.88</v>
      </c>
      <c r="AD31" s="188">
        <v>466815406.97000003</v>
      </c>
      <c r="AE31" s="188">
        <v>391543423.30000001</v>
      </c>
      <c r="AF31" s="188">
        <v>244314868.97999999</v>
      </c>
      <c r="AG31" s="188">
        <v>100267852.93000001</v>
      </c>
      <c r="AH31" s="188">
        <v>420625457.58999997</v>
      </c>
      <c r="AI31" s="188">
        <v>319061879.17000002</v>
      </c>
      <c r="AJ31" s="188">
        <v>205777228.71000001</v>
      </c>
      <c r="AK31" s="188">
        <v>87280497.810000002</v>
      </c>
      <c r="AL31" s="188">
        <v>341018174.50999999</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c r="BS31" s="188">
        <v>0</v>
      </c>
      <c r="BT31" s="188">
        <v>0</v>
      </c>
      <c r="BU31" s="188">
        <v>0</v>
      </c>
      <c r="BV31" s="188">
        <v>0</v>
      </c>
      <c r="BW31" s="188">
        <v>0</v>
      </c>
      <c r="BX31" s="188">
        <v>0</v>
      </c>
      <c r="BY31" s="188">
        <v>0</v>
      </c>
      <c r="BZ31" s="188">
        <v>0</v>
      </c>
      <c r="CA31" s="188">
        <v>0</v>
      </c>
      <c r="CB31" s="188">
        <v>0</v>
      </c>
      <c r="CC31" s="188">
        <v>0</v>
      </c>
      <c r="CD31" s="188">
        <v>0</v>
      </c>
      <c r="CE31" s="188">
        <v>0</v>
      </c>
      <c r="CF31" s="188">
        <v>0</v>
      </c>
      <c r="CG31" s="188">
        <v>0</v>
      </c>
      <c r="CH31" s="188">
        <v>0</v>
      </c>
      <c r="CI31" s="188">
        <v>0</v>
      </c>
      <c r="CJ31" s="188">
        <v>0</v>
      </c>
      <c r="CK31" s="188">
        <v>0</v>
      </c>
      <c r="CL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BW77"/>
  <sheetViews>
    <sheetView workbookViewId="0">
      <selection activeCell="A31" sqref="A31"/>
    </sheetView>
  </sheetViews>
  <sheetFormatPr defaultRowHeight="13.5"/>
  <cols>
    <col min="1" max="1" width="54.625" style="188" bestFit="1" customWidth="1"/>
    <col min="2" max="2" width="13.875" style="188" bestFit="1" customWidth="1"/>
    <col min="3" max="5" width="13.875" style="188" hidden="1" customWidth="1"/>
    <col min="6" max="6" width="13.875" style="188" bestFit="1" customWidth="1"/>
    <col min="7" max="9" width="13.875" style="188" hidden="1" customWidth="1"/>
    <col min="10" max="10" width="13.875" style="188" bestFit="1" customWidth="1"/>
    <col min="11" max="12" width="13.875" style="188" hidden="1" customWidth="1"/>
    <col min="13" max="13" width="12.75" style="188" hidden="1" customWidth="1"/>
    <col min="14" max="14" width="13.875" style="188" bestFit="1" customWidth="1"/>
    <col min="15" max="17" width="13.875" style="188" hidden="1" customWidth="1"/>
    <col min="18" max="18" width="13.875" style="188" bestFit="1" customWidth="1"/>
    <col min="19" max="19" width="12.75" style="188" hidden="1" customWidth="1"/>
    <col min="20" max="21" width="13.875" style="188" hidden="1" customWidth="1"/>
    <col min="22" max="22" width="13.875" style="188" bestFit="1" customWidth="1"/>
    <col min="23" max="25" width="13.875" style="188" hidden="1" customWidth="1"/>
    <col min="26" max="26" width="13.875" style="188" bestFit="1" customWidth="1"/>
    <col min="27" max="29" width="13.875" style="188" hidden="1" customWidth="1"/>
    <col min="30" max="30" width="13.875" style="188" bestFit="1" customWidth="1"/>
    <col min="31" max="33" width="13.875" style="188" hidden="1" customWidth="1"/>
    <col min="34" max="34" width="13.875" style="188" bestFit="1" customWidth="1"/>
    <col min="35" max="37" width="13.875" style="188" hidden="1" customWidth="1"/>
    <col min="38" max="38" width="13.875" style="188" bestFit="1" customWidth="1"/>
    <col min="39" max="41" width="13.875" style="188" hidden="1" customWidth="1"/>
    <col min="42" max="42" width="13.875" style="188" bestFit="1" customWidth="1"/>
    <col min="43" max="45" width="13.875" style="188" hidden="1" customWidth="1"/>
    <col min="46" max="46" width="13.875" style="188" bestFit="1" customWidth="1"/>
    <col min="47" max="49" width="13.875" style="188" hidden="1" customWidth="1"/>
    <col min="50" max="50" width="13.875" style="188" bestFit="1" customWidth="1"/>
    <col min="51" max="53" width="13.875" style="188" hidden="1" customWidth="1"/>
    <col min="54" max="54" width="13.875" style="188" bestFit="1" customWidth="1"/>
    <col min="55" max="57" width="13.875" style="188" hidden="1" customWidth="1"/>
    <col min="58" max="58" width="13.875" style="188" bestFit="1" customWidth="1"/>
    <col min="59" max="61" width="13.875" style="188" hidden="1" customWidth="1"/>
    <col min="62" max="62" width="13.875" style="188" bestFit="1" customWidth="1"/>
    <col min="63" max="65" width="13.875" style="188" hidden="1" customWidth="1"/>
    <col min="66" max="66" width="13.875" style="188" bestFit="1" customWidth="1"/>
    <col min="67" max="67" width="13.875" style="188" hidden="1" customWidth="1"/>
    <col min="68" max="68" width="13.875" style="188" bestFit="1" customWidth="1"/>
    <col min="69" max="69" width="13.875" style="188" hidden="1" customWidth="1"/>
    <col min="70" max="70" width="13.875" style="188" bestFit="1" customWidth="1"/>
    <col min="71" max="71" width="13.875" style="188" hidden="1" customWidth="1"/>
    <col min="72" max="72" width="13.875" style="188" bestFit="1" customWidth="1"/>
    <col min="73" max="73" width="13.875" style="188" hidden="1" customWidth="1"/>
    <col min="74" max="74" width="13.875" style="188" bestFit="1" customWidth="1"/>
    <col min="75" max="75" width="9.5" style="188" hidden="1" customWidth="1"/>
    <col min="76" max="16384" width="9" style="188"/>
  </cols>
  <sheetData>
    <row r="1" spans="1:75">
      <c r="A1" s="188">
        <v>600835</v>
      </c>
      <c r="B1" s="188">
        <v>20181231</v>
      </c>
      <c r="C1" s="188">
        <v>20180930</v>
      </c>
      <c r="D1" s="188">
        <v>20180630</v>
      </c>
      <c r="E1" s="188">
        <v>20180331</v>
      </c>
      <c r="F1" s="188">
        <v>20171231</v>
      </c>
      <c r="G1" s="188">
        <v>20170930</v>
      </c>
      <c r="H1" s="188">
        <v>20170630</v>
      </c>
      <c r="I1" s="188">
        <v>20170331</v>
      </c>
      <c r="J1" s="188">
        <v>20161231</v>
      </c>
      <c r="K1" s="188">
        <v>20160930</v>
      </c>
      <c r="L1" s="188">
        <v>20160630</v>
      </c>
      <c r="M1" s="188">
        <v>20160331</v>
      </c>
      <c r="N1" s="188">
        <v>20151231</v>
      </c>
      <c r="O1" s="188">
        <v>20150930</v>
      </c>
      <c r="P1" s="188">
        <v>20150630</v>
      </c>
      <c r="Q1" s="188">
        <v>20150331</v>
      </c>
      <c r="R1" s="188">
        <v>20141231</v>
      </c>
      <c r="S1" s="188">
        <v>20140930</v>
      </c>
      <c r="T1" s="188">
        <v>20140630</v>
      </c>
      <c r="U1" s="188">
        <v>20140331</v>
      </c>
      <c r="V1" s="188">
        <v>20131231</v>
      </c>
      <c r="W1" s="188">
        <v>20130930</v>
      </c>
      <c r="X1" s="188">
        <v>20130630</v>
      </c>
      <c r="Y1" s="188">
        <v>20130331</v>
      </c>
      <c r="Z1" s="188">
        <v>20121231</v>
      </c>
      <c r="AA1" s="188">
        <v>20120930</v>
      </c>
      <c r="AB1" s="188">
        <v>20120630</v>
      </c>
      <c r="AC1" s="188">
        <v>20120331</v>
      </c>
      <c r="AD1" s="188">
        <v>20111231</v>
      </c>
      <c r="AE1" s="188">
        <v>20110930</v>
      </c>
      <c r="AF1" s="188">
        <v>20110630</v>
      </c>
      <c r="AG1" s="188">
        <v>20110331</v>
      </c>
      <c r="AH1" s="188">
        <v>20101231</v>
      </c>
      <c r="AI1" s="188">
        <v>20100930</v>
      </c>
      <c r="AJ1" s="188">
        <v>20100630</v>
      </c>
      <c r="AK1" s="188">
        <v>20100331</v>
      </c>
      <c r="AL1" s="188">
        <v>20091231</v>
      </c>
      <c r="AM1" s="188">
        <v>20090930</v>
      </c>
      <c r="AN1" s="188">
        <v>20090630</v>
      </c>
      <c r="AO1" s="188">
        <v>20090331</v>
      </c>
      <c r="AP1" s="188">
        <v>20081231</v>
      </c>
      <c r="AQ1" s="188">
        <v>20080930</v>
      </c>
      <c r="AR1" s="188">
        <v>20080630</v>
      </c>
      <c r="AS1" s="188">
        <v>20080331</v>
      </c>
      <c r="AT1" s="188">
        <v>20071231</v>
      </c>
      <c r="AU1" s="188">
        <v>20070930</v>
      </c>
      <c r="AV1" s="188">
        <v>20070630</v>
      </c>
      <c r="AW1" s="188">
        <v>20070331</v>
      </c>
      <c r="AX1" s="188">
        <v>20061231</v>
      </c>
      <c r="AY1" s="188">
        <v>20060930</v>
      </c>
      <c r="AZ1" s="188">
        <v>20060630</v>
      </c>
      <c r="BA1" s="188">
        <v>20060331</v>
      </c>
      <c r="BB1" s="188">
        <v>20051231</v>
      </c>
      <c r="BC1" s="188">
        <v>20050930</v>
      </c>
      <c r="BD1" s="188">
        <v>20050630</v>
      </c>
      <c r="BE1" s="188">
        <v>20050331</v>
      </c>
      <c r="BF1" s="188">
        <v>20041231</v>
      </c>
      <c r="BG1" s="188">
        <v>20040930</v>
      </c>
      <c r="BH1" s="188">
        <v>20040630</v>
      </c>
      <c r="BI1" s="188">
        <v>20040331</v>
      </c>
      <c r="BJ1" s="188">
        <v>20031231</v>
      </c>
      <c r="BK1" s="188">
        <v>20030930</v>
      </c>
      <c r="BL1" s="188">
        <v>20030630</v>
      </c>
      <c r="BM1" s="188">
        <v>20030331</v>
      </c>
      <c r="BN1" s="188">
        <v>20021231</v>
      </c>
      <c r="BO1" s="188">
        <v>20020630</v>
      </c>
      <c r="BP1" s="188">
        <v>20011231</v>
      </c>
      <c r="BQ1" s="188">
        <v>20010630</v>
      </c>
      <c r="BR1" s="188">
        <v>20001231</v>
      </c>
      <c r="BS1" s="188">
        <v>20000630</v>
      </c>
      <c r="BT1" s="188">
        <v>19991231</v>
      </c>
      <c r="BU1" s="188">
        <v>19990630</v>
      </c>
      <c r="BV1" s="188">
        <v>19981231</v>
      </c>
      <c r="BW1" s="188">
        <v>19700101</v>
      </c>
    </row>
    <row r="2" spans="1:7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c r="BV2" s="188" t="s">
        <v>106</v>
      </c>
    </row>
    <row r="3" spans="1:75">
      <c r="A3" s="188" t="s">
        <v>219</v>
      </c>
    </row>
    <row r="4" spans="1:75">
      <c r="A4" s="188" t="s">
        <v>220</v>
      </c>
      <c r="B4" s="188">
        <v>21551644884.849998</v>
      </c>
      <c r="C4" s="188">
        <v>16306225559.65</v>
      </c>
      <c r="D4" s="188">
        <v>10589133022.360001</v>
      </c>
      <c r="E4" s="188">
        <v>5144863934.2299995</v>
      </c>
      <c r="F4" s="188">
        <v>21615471586.720001</v>
      </c>
      <c r="G4" s="188">
        <v>16309796642.459999</v>
      </c>
      <c r="H4" s="188">
        <v>10616235400.49</v>
      </c>
      <c r="I4" s="188">
        <v>5200700279.9200001</v>
      </c>
      <c r="J4" s="188">
        <v>21700262235.91</v>
      </c>
      <c r="K4" s="188">
        <v>16059469594.370001</v>
      </c>
      <c r="L4" s="188">
        <v>10414146211.309999</v>
      </c>
      <c r="M4" s="188">
        <v>4861017188.1800003</v>
      </c>
      <c r="N4" s="188">
        <v>22118931049.43</v>
      </c>
      <c r="O4" s="188">
        <v>16794904023.219999</v>
      </c>
      <c r="P4" s="188">
        <v>10925609399.530001</v>
      </c>
      <c r="Q4" s="188">
        <v>5222057975.54</v>
      </c>
      <c r="R4" s="188">
        <v>25080462458.5</v>
      </c>
      <c r="S4" s="188">
        <v>19423122089.759998</v>
      </c>
      <c r="T4" s="188">
        <v>12152925253.75</v>
      </c>
      <c r="U4" s="188">
        <v>5753362301.7600002</v>
      </c>
      <c r="V4" s="188">
        <v>24362876491.75</v>
      </c>
      <c r="W4" s="188">
        <v>17953117397.18</v>
      </c>
      <c r="X4" s="188">
        <v>11479746545.02</v>
      </c>
      <c r="Y4" s="188">
        <v>5435592112.2799997</v>
      </c>
      <c r="Z4" s="188">
        <v>23713487437.599998</v>
      </c>
      <c r="AA4" s="188">
        <v>17116459111.469999</v>
      </c>
      <c r="AB4" s="188">
        <v>9320542419.0400009</v>
      </c>
      <c r="AC4" s="188">
        <v>4030440463.96</v>
      </c>
      <c r="AD4" s="188">
        <v>18465684448.189999</v>
      </c>
      <c r="AE4" s="188">
        <v>13831613296.459999</v>
      </c>
      <c r="AF4" s="188">
        <v>8828234047.4699993</v>
      </c>
      <c r="AG4" s="188">
        <v>3743149907.7800002</v>
      </c>
      <c r="AH4" s="188">
        <v>16173840511.33</v>
      </c>
      <c r="AI4" s="188">
        <v>11733350434.34</v>
      </c>
      <c r="AJ4" s="188">
        <v>7404760641.7200003</v>
      </c>
      <c r="AK4" s="188">
        <v>3294722423.1999998</v>
      </c>
      <c r="AL4" s="188">
        <v>13826033590.67</v>
      </c>
      <c r="AM4" s="188">
        <v>9980752809.7299995</v>
      </c>
      <c r="AN4" s="188">
        <v>6157262463.6800003</v>
      </c>
      <c r="AO4" s="188">
        <v>2689765070.9099998</v>
      </c>
      <c r="AP4" s="188">
        <v>11500866679.030001</v>
      </c>
      <c r="AQ4" s="188">
        <v>8583509185.2200003</v>
      </c>
      <c r="AR4" s="188">
        <v>5684145774.6400003</v>
      </c>
      <c r="AS4" s="188">
        <v>2438831482.8099999</v>
      </c>
      <c r="AT4" s="188">
        <v>11066783694.620001</v>
      </c>
      <c r="AU4" s="188">
        <v>7604383352.4200001</v>
      </c>
      <c r="AV4" s="188">
        <v>4729115156.0200005</v>
      </c>
      <c r="AW4" s="188">
        <v>1972689134.8599999</v>
      </c>
      <c r="AX4" s="188">
        <v>8875481920.0499992</v>
      </c>
      <c r="AY4" s="188">
        <v>6107895469.0100002</v>
      </c>
      <c r="AZ4" s="188">
        <v>3961296543.5599999</v>
      </c>
      <c r="BA4" s="188">
        <v>1648944862.27</v>
      </c>
      <c r="BB4" s="188">
        <v>7556068715.5500002</v>
      </c>
      <c r="BC4" s="188">
        <v>5313191711.25</v>
      </c>
      <c r="BD4" s="188">
        <v>3613762709.4499998</v>
      </c>
      <c r="BE4" s="188">
        <v>1589031548.52</v>
      </c>
      <c r="BF4" s="188">
        <v>7641177156.1599998</v>
      </c>
      <c r="BG4" s="188">
        <v>5367719831.0699997</v>
      </c>
      <c r="BH4" s="188">
        <v>3436517133.8200002</v>
      </c>
      <c r="BI4" s="188">
        <v>1630715396.5899999</v>
      </c>
      <c r="BJ4" s="188">
        <v>7021176568.6300001</v>
      </c>
      <c r="BK4" s="188">
        <v>4952219867.7700005</v>
      </c>
      <c r="BL4" s="188">
        <v>3020753474.52</v>
      </c>
      <c r="BM4" s="188">
        <v>1256172399.1199999</v>
      </c>
      <c r="BN4" s="188">
        <v>5800437064.4300003</v>
      </c>
      <c r="BO4" s="188">
        <v>2499687582.1500001</v>
      </c>
      <c r="BP4" s="188">
        <v>4718592246.3800001</v>
      </c>
      <c r="BQ4" s="188">
        <v>2179640256.3099999</v>
      </c>
      <c r="BR4" s="188">
        <v>4248239660.5100002</v>
      </c>
      <c r="BS4" s="188">
        <v>1982968753.8900001</v>
      </c>
      <c r="BT4" s="188">
        <v>3947232350.0599999</v>
      </c>
      <c r="BU4" s="188">
        <v>1574224982.78</v>
      </c>
      <c r="BV4" s="188">
        <v>328128663.93000001</v>
      </c>
      <c r="BW4" s="188">
        <v>0</v>
      </c>
    </row>
    <row r="5" spans="1:75">
      <c r="A5" s="188" t="s">
        <v>221</v>
      </c>
      <c r="B5" s="188">
        <v>3580214.18</v>
      </c>
      <c r="C5" s="188">
        <v>5697595.0599999996</v>
      </c>
      <c r="D5" s="188">
        <v>3361043.12</v>
      </c>
      <c r="E5" s="188">
        <v>2202717.13</v>
      </c>
      <c r="F5" s="188">
        <v>9666626.0099999998</v>
      </c>
      <c r="G5" s="188">
        <v>4807652.12</v>
      </c>
      <c r="H5" s="188">
        <v>4807652.12</v>
      </c>
      <c r="I5" s="188">
        <v>4348200.83</v>
      </c>
      <c r="J5" s="188">
        <v>19883106.93</v>
      </c>
      <c r="K5" s="188">
        <v>30806440.859999999</v>
      </c>
      <c r="L5" s="188">
        <v>25748679.18</v>
      </c>
      <c r="M5" s="188">
        <v>24688929.370000001</v>
      </c>
      <c r="N5" s="188">
        <v>38068705.329999998</v>
      </c>
      <c r="O5" s="188">
        <v>29208699.600000001</v>
      </c>
      <c r="P5" s="188">
        <v>22641661.239999998</v>
      </c>
      <c r="Q5" s="188">
        <v>11720028.91</v>
      </c>
      <c r="R5" s="188">
        <v>59663982.75</v>
      </c>
      <c r="S5" s="188">
        <v>53873689.119999997</v>
      </c>
      <c r="T5" s="188">
        <v>45538186.329999998</v>
      </c>
      <c r="U5" s="188">
        <v>13858352.039999999</v>
      </c>
      <c r="V5" s="188">
        <v>66820843.280000001</v>
      </c>
      <c r="W5" s="188">
        <v>37057961.149999999</v>
      </c>
      <c r="X5" s="188">
        <v>32846064.050000001</v>
      </c>
      <c r="Y5" s="188">
        <v>8614742.8000000007</v>
      </c>
      <c r="Z5" s="188">
        <v>61024232.030000001</v>
      </c>
      <c r="AA5" s="188">
        <v>47923626.229999997</v>
      </c>
      <c r="AB5" s="188">
        <v>34824255.009999998</v>
      </c>
      <c r="AC5" s="188">
        <v>14147033.34</v>
      </c>
      <c r="AD5" s="188">
        <v>74523672.459999993</v>
      </c>
      <c r="AE5" s="188">
        <v>58333791.850000001</v>
      </c>
      <c r="AF5" s="188">
        <v>41930615.399999999</v>
      </c>
      <c r="AG5" s="188">
        <v>21354942.379999999</v>
      </c>
      <c r="AH5" s="188">
        <v>61228817.619999997</v>
      </c>
      <c r="AI5" s="188">
        <v>45378740.549999997</v>
      </c>
      <c r="AJ5" s="188">
        <v>26358871.75</v>
      </c>
      <c r="AK5" s="188">
        <v>10323354.49</v>
      </c>
      <c r="AL5" s="188">
        <v>61875637.469999999</v>
      </c>
      <c r="AM5" s="188">
        <v>41973089.009999998</v>
      </c>
      <c r="AN5" s="188">
        <v>30613891.75</v>
      </c>
      <c r="AO5" s="188">
        <v>12042301.199999999</v>
      </c>
      <c r="AP5" s="188">
        <v>92607935.680000007</v>
      </c>
      <c r="AQ5" s="188">
        <v>56572497.229999997</v>
      </c>
      <c r="AR5" s="188">
        <v>38473049.850000001</v>
      </c>
      <c r="AS5" s="188">
        <v>5786869.2199999997</v>
      </c>
      <c r="AT5" s="188">
        <v>60227524.729999997</v>
      </c>
      <c r="AU5" s="188">
        <v>50740094.359999999</v>
      </c>
      <c r="AV5" s="188">
        <v>28299440.969999999</v>
      </c>
      <c r="AW5" s="188">
        <v>13342295.76</v>
      </c>
      <c r="AX5" s="188">
        <v>31472959.699999999</v>
      </c>
      <c r="AY5" s="188">
        <v>4924497.5999999996</v>
      </c>
      <c r="AZ5" s="188">
        <v>2534420.84</v>
      </c>
      <c r="BA5" s="188">
        <v>1174896.8899999999</v>
      </c>
      <c r="BB5" s="188">
        <v>17440244.289999999</v>
      </c>
      <c r="BC5" s="188">
        <v>8335782.5499999998</v>
      </c>
      <c r="BD5" s="188">
        <v>7411374.3099999996</v>
      </c>
      <c r="BE5" s="188">
        <v>1978405.23</v>
      </c>
      <c r="BF5" s="188">
        <v>27785185.52</v>
      </c>
      <c r="BG5" s="188">
        <v>1035929.21</v>
      </c>
      <c r="BH5" s="188">
        <v>2088448.58</v>
      </c>
      <c r="BI5" s="188">
        <v>0</v>
      </c>
      <c r="BJ5" s="188">
        <v>7091888.2199999997</v>
      </c>
      <c r="BK5" s="188">
        <v>2018897.94</v>
      </c>
      <c r="BL5" s="188">
        <v>614294.57999999996</v>
      </c>
      <c r="BM5" s="188">
        <v>675659.9</v>
      </c>
      <c r="BN5" s="188">
        <v>5796784.3499999996</v>
      </c>
      <c r="BO5" s="188">
        <v>3279860.16</v>
      </c>
      <c r="BP5" s="188">
        <v>653800</v>
      </c>
      <c r="BQ5" s="188">
        <v>7695261.9800000004</v>
      </c>
      <c r="BR5" s="188">
        <v>54717.43</v>
      </c>
      <c r="BS5" s="188">
        <v>434866.75</v>
      </c>
      <c r="BT5" s="188">
        <v>35716077.380000003</v>
      </c>
      <c r="BU5" s="188">
        <v>0</v>
      </c>
      <c r="BV5" s="188">
        <v>0</v>
      </c>
      <c r="BW5" s="188">
        <v>0</v>
      </c>
    </row>
    <row r="6" spans="1:75">
      <c r="A6" s="188" t="s">
        <v>222</v>
      </c>
      <c r="B6" s="188">
        <v>244099759.06999999</v>
      </c>
      <c r="C6" s="188">
        <v>151148883.83000001</v>
      </c>
      <c r="D6" s="188">
        <v>118445754.7</v>
      </c>
      <c r="E6" s="188">
        <v>38111532.189999998</v>
      </c>
      <c r="F6" s="188">
        <v>632867375.40999997</v>
      </c>
      <c r="G6" s="188">
        <v>749527336.60000002</v>
      </c>
      <c r="H6" s="188">
        <v>192205269.50999999</v>
      </c>
      <c r="I6" s="188">
        <v>64047620.490000002</v>
      </c>
      <c r="J6" s="188">
        <v>234727892.03999999</v>
      </c>
      <c r="K6" s="188">
        <v>301033700.32999998</v>
      </c>
      <c r="L6" s="188">
        <v>208669095.02000001</v>
      </c>
      <c r="M6" s="188">
        <v>64495491.850000001</v>
      </c>
      <c r="N6" s="188">
        <v>259147405.13</v>
      </c>
      <c r="O6" s="188">
        <v>304900269.31</v>
      </c>
      <c r="P6" s="188">
        <v>236080134.09999999</v>
      </c>
      <c r="Q6" s="188">
        <v>85036438.140000001</v>
      </c>
      <c r="R6" s="188">
        <v>437407078.69</v>
      </c>
      <c r="S6" s="188">
        <v>409125861.63999999</v>
      </c>
      <c r="T6" s="188">
        <v>310652896.92000002</v>
      </c>
      <c r="U6" s="188">
        <v>74995774</v>
      </c>
      <c r="V6" s="188">
        <v>517430145.37</v>
      </c>
      <c r="W6" s="188">
        <v>385430106.38999999</v>
      </c>
      <c r="X6" s="188">
        <v>239107300.65000001</v>
      </c>
      <c r="Y6" s="188">
        <v>62466570.710000001</v>
      </c>
      <c r="Z6" s="188">
        <v>410796502.36000001</v>
      </c>
      <c r="AA6" s="188">
        <v>476263343.74000001</v>
      </c>
      <c r="AB6" s="188">
        <v>223358404.08000001</v>
      </c>
      <c r="AC6" s="188">
        <v>138333242.02000001</v>
      </c>
      <c r="AD6" s="188">
        <v>276472548.31</v>
      </c>
      <c r="AE6" s="188">
        <v>296033402.17000002</v>
      </c>
      <c r="AF6" s="188">
        <v>209028097.56</v>
      </c>
      <c r="AG6" s="188">
        <v>100341889.06999999</v>
      </c>
      <c r="AH6" s="188">
        <v>187238175.28999999</v>
      </c>
      <c r="AI6" s="188">
        <v>224205050.69</v>
      </c>
      <c r="AJ6" s="188">
        <v>125349198.42</v>
      </c>
      <c r="AK6" s="188">
        <v>98941963.370000005</v>
      </c>
      <c r="AL6" s="188">
        <v>193106210.69</v>
      </c>
      <c r="AM6" s="188">
        <v>296121791.95999998</v>
      </c>
      <c r="AN6" s="188">
        <v>164064752.13999999</v>
      </c>
      <c r="AO6" s="188">
        <v>78694478.719999999</v>
      </c>
      <c r="AP6" s="188">
        <v>175194703.24000001</v>
      </c>
      <c r="AQ6" s="188">
        <v>335974851.20999998</v>
      </c>
      <c r="AR6" s="188">
        <v>103340834.84999999</v>
      </c>
      <c r="AS6" s="188">
        <v>102021104.89</v>
      </c>
      <c r="AT6" s="188">
        <v>127212403.66</v>
      </c>
      <c r="AU6" s="188">
        <v>161866179.28999999</v>
      </c>
      <c r="AV6" s="188">
        <v>90610508.780000001</v>
      </c>
      <c r="AW6" s="188">
        <v>34707863.259999998</v>
      </c>
      <c r="AX6" s="188">
        <v>145543011.56999999</v>
      </c>
      <c r="AY6" s="188">
        <v>84528999.150000006</v>
      </c>
      <c r="AZ6" s="188">
        <v>49875377.329999998</v>
      </c>
      <c r="BA6" s="188">
        <v>43895632.109999999</v>
      </c>
      <c r="BB6" s="188">
        <v>141602861.84999999</v>
      </c>
      <c r="BC6" s="188">
        <v>220808392.18000001</v>
      </c>
      <c r="BD6" s="188">
        <v>105924527.55</v>
      </c>
      <c r="BE6" s="188">
        <v>38809555.850000001</v>
      </c>
      <c r="BF6" s="188">
        <v>82212810.480000004</v>
      </c>
      <c r="BG6" s="188">
        <v>334606653.85000002</v>
      </c>
      <c r="BH6" s="188">
        <v>295198019.44</v>
      </c>
      <c r="BI6" s="188">
        <v>46373827.840000004</v>
      </c>
      <c r="BJ6" s="188">
        <v>115396487.28</v>
      </c>
      <c r="BK6" s="188">
        <v>177559757.41999999</v>
      </c>
      <c r="BL6" s="188">
        <v>143782066.5</v>
      </c>
      <c r="BM6" s="188">
        <v>124240621.66</v>
      </c>
      <c r="BN6" s="188">
        <v>123286322.86</v>
      </c>
      <c r="BO6" s="188">
        <v>117489930.61</v>
      </c>
      <c r="BP6" s="188">
        <v>99946815.230000004</v>
      </c>
      <c r="BQ6" s="188">
        <v>137400105.86000001</v>
      </c>
      <c r="BR6" s="188">
        <v>105103922.15000001</v>
      </c>
      <c r="BS6" s="188">
        <v>135312217.36000001</v>
      </c>
      <c r="BT6" s="188">
        <v>96451543.260000005</v>
      </c>
      <c r="BU6" s="188">
        <v>123937154.33</v>
      </c>
      <c r="BV6" s="188">
        <v>4053596.39</v>
      </c>
      <c r="BW6" s="188">
        <v>0</v>
      </c>
    </row>
    <row r="7" spans="1:75">
      <c r="A7" s="188" t="s">
        <v>223</v>
      </c>
      <c r="B7" s="188">
        <v>21799324858.099998</v>
      </c>
      <c r="C7" s="188">
        <v>16463072038.540001</v>
      </c>
      <c r="D7" s="188">
        <v>10710939820.18</v>
      </c>
      <c r="E7" s="188">
        <v>5185178183.5500002</v>
      </c>
      <c r="F7" s="188">
        <v>22258005588.139999</v>
      </c>
      <c r="G7" s="188">
        <v>17064131631.18</v>
      </c>
      <c r="H7" s="188">
        <v>10813248322.120001</v>
      </c>
      <c r="I7" s="188">
        <v>5269096101.2399998</v>
      </c>
      <c r="J7" s="188">
        <v>21954873234.880001</v>
      </c>
      <c r="K7" s="188">
        <v>16391309735.559999</v>
      </c>
      <c r="L7" s="188">
        <v>10648563985.51</v>
      </c>
      <c r="M7" s="188">
        <v>4950201609.3999996</v>
      </c>
      <c r="N7" s="188">
        <v>22416147159.889999</v>
      </c>
      <c r="O7" s="188">
        <v>17129012992.129999</v>
      </c>
      <c r="P7" s="188">
        <v>11184331194.870001</v>
      </c>
      <c r="Q7" s="188">
        <v>5318814442.5900002</v>
      </c>
      <c r="R7" s="188">
        <v>25577533519.939999</v>
      </c>
      <c r="S7" s="188">
        <v>19886121640.52</v>
      </c>
      <c r="T7" s="188">
        <v>12509116337</v>
      </c>
      <c r="U7" s="188">
        <v>5842216427.8000002</v>
      </c>
      <c r="V7" s="188">
        <v>24947127480.400002</v>
      </c>
      <c r="W7" s="188">
        <v>18375605464.720001</v>
      </c>
      <c r="X7" s="188">
        <v>11751699909.719999</v>
      </c>
      <c r="Y7" s="188">
        <v>5506673425.79</v>
      </c>
      <c r="Z7" s="188">
        <v>24185308171.990002</v>
      </c>
      <c r="AA7" s="188">
        <v>17640646081.439999</v>
      </c>
      <c r="AB7" s="188">
        <v>9578725078.1299992</v>
      </c>
      <c r="AC7" s="188">
        <v>4182920739.3200002</v>
      </c>
      <c r="AD7" s="188">
        <v>18816680668.959999</v>
      </c>
      <c r="AE7" s="188">
        <v>14185980490.48</v>
      </c>
      <c r="AF7" s="188">
        <v>9079192760.4300003</v>
      </c>
      <c r="AG7" s="188">
        <v>3864846739.23</v>
      </c>
      <c r="AH7" s="188">
        <v>16422307504.24</v>
      </c>
      <c r="AI7" s="188">
        <v>12002934225.58</v>
      </c>
      <c r="AJ7" s="188">
        <v>7556468711.8900003</v>
      </c>
      <c r="AK7" s="188">
        <v>3403987741.0599999</v>
      </c>
      <c r="AL7" s="188">
        <v>14081015438.83</v>
      </c>
      <c r="AM7" s="188">
        <v>10318847690.700001</v>
      </c>
      <c r="AN7" s="188">
        <v>6351941107.5699997</v>
      </c>
      <c r="AO7" s="188">
        <v>2780501850.8299999</v>
      </c>
      <c r="AP7" s="188">
        <v>11768669317.950001</v>
      </c>
      <c r="AQ7" s="188">
        <v>8976056533.6599998</v>
      </c>
      <c r="AR7" s="188">
        <v>5825959659.3400002</v>
      </c>
      <c r="AS7" s="188">
        <v>2546639456.9200001</v>
      </c>
      <c r="AT7" s="188">
        <v>11254223623.01</v>
      </c>
      <c r="AU7" s="188">
        <v>7816989626.0699997</v>
      </c>
      <c r="AV7" s="188">
        <v>4848025105.7700005</v>
      </c>
      <c r="AW7" s="188">
        <v>2020739293.8800001</v>
      </c>
      <c r="AX7" s="188">
        <v>9052497891.3199997</v>
      </c>
      <c r="AY7" s="188">
        <v>6197348965.7600002</v>
      </c>
      <c r="AZ7" s="188">
        <v>4013706341.73</v>
      </c>
      <c r="BA7" s="188">
        <v>1694015391.27</v>
      </c>
      <c r="BB7" s="188">
        <v>7715111821.6899996</v>
      </c>
      <c r="BC7" s="188">
        <v>5542335885.9799995</v>
      </c>
      <c r="BD7" s="188">
        <v>3727098611.3099999</v>
      </c>
      <c r="BE7" s="188">
        <v>1629819509.5999999</v>
      </c>
      <c r="BF7" s="188">
        <v>7751175152.1599998</v>
      </c>
      <c r="BG7" s="188">
        <v>5703362414.1300001</v>
      </c>
      <c r="BH7" s="188">
        <v>3733803601.8400002</v>
      </c>
      <c r="BI7" s="188">
        <v>1677089224.4300001</v>
      </c>
      <c r="BJ7" s="188">
        <v>7143664944.1300001</v>
      </c>
      <c r="BK7" s="188">
        <v>5131798523.1300001</v>
      </c>
      <c r="BL7" s="188">
        <v>3165149835.5999999</v>
      </c>
      <c r="BM7" s="188">
        <v>1381088680.6800001</v>
      </c>
      <c r="BN7" s="188">
        <v>5929520171.6400003</v>
      </c>
      <c r="BO7" s="188">
        <v>2620457372.9200001</v>
      </c>
      <c r="BP7" s="188">
        <v>4819192861.6099997</v>
      </c>
      <c r="BQ7" s="188">
        <v>2324735624.1500001</v>
      </c>
      <c r="BR7" s="188">
        <v>4353398300.0900002</v>
      </c>
      <c r="BS7" s="188">
        <v>2118715838</v>
      </c>
      <c r="BT7" s="188">
        <v>4079399970.6999998</v>
      </c>
      <c r="BU7" s="188">
        <v>1698162137.1099999</v>
      </c>
      <c r="BV7" s="188">
        <v>332182260.31999999</v>
      </c>
      <c r="BW7" s="188">
        <v>0</v>
      </c>
    </row>
    <row r="8" spans="1:75">
      <c r="A8" s="188" t="s">
        <v>224</v>
      </c>
      <c r="B8" s="188">
        <v>18268869100.650002</v>
      </c>
      <c r="C8" s="188">
        <v>13840162239.280001</v>
      </c>
      <c r="D8" s="188">
        <v>9009777019.5900002</v>
      </c>
      <c r="E8" s="188">
        <v>5306180639.9099998</v>
      </c>
      <c r="F8" s="188">
        <v>17203678491.950001</v>
      </c>
      <c r="G8" s="188">
        <v>12855392471.65</v>
      </c>
      <c r="H8" s="188">
        <v>8491554890.1300001</v>
      </c>
      <c r="I8" s="188">
        <v>4663129326.8100004</v>
      </c>
      <c r="J8" s="188">
        <v>16730042411.68</v>
      </c>
      <c r="K8" s="188">
        <v>11744213838.540001</v>
      </c>
      <c r="L8" s="188">
        <v>7486141286.8800001</v>
      </c>
      <c r="M8" s="188">
        <v>3756004039.3699999</v>
      </c>
      <c r="N8" s="188">
        <v>17029793769.049999</v>
      </c>
      <c r="O8" s="188">
        <v>12354665132.200001</v>
      </c>
      <c r="P8" s="188">
        <v>8503676192.8000002</v>
      </c>
      <c r="Q8" s="188">
        <v>4264344591.1999998</v>
      </c>
      <c r="R8" s="188">
        <v>19202429859.580002</v>
      </c>
      <c r="S8" s="188">
        <v>14705895759.719999</v>
      </c>
      <c r="T8" s="188">
        <v>9289192319.0900002</v>
      </c>
      <c r="U8" s="188">
        <v>4840725271.75</v>
      </c>
      <c r="V8" s="188">
        <v>18615671437.509998</v>
      </c>
      <c r="W8" s="188">
        <v>13762574738.610001</v>
      </c>
      <c r="X8" s="188">
        <v>8770327332.8199997</v>
      </c>
      <c r="Y8" s="188">
        <v>4671083077.4399996</v>
      </c>
      <c r="Z8" s="188">
        <v>17046100647.559999</v>
      </c>
      <c r="AA8" s="188">
        <v>12624415386.879999</v>
      </c>
      <c r="AB8" s="188">
        <v>6625329657.4300003</v>
      </c>
      <c r="AC8" s="188">
        <v>3574963099.9299998</v>
      </c>
      <c r="AD8" s="188">
        <v>14548598306.969999</v>
      </c>
      <c r="AE8" s="188">
        <v>10564596354.42</v>
      </c>
      <c r="AF8" s="188">
        <v>6891803403.6800003</v>
      </c>
      <c r="AG8" s="188">
        <v>3396718299.8600001</v>
      </c>
      <c r="AH8" s="188">
        <v>12207379737.690001</v>
      </c>
      <c r="AI8" s="188">
        <v>8299033371.4099998</v>
      </c>
      <c r="AJ8" s="188">
        <v>5173682553.9399996</v>
      </c>
      <c r="AK8" s="188">
        <v>2701144427.3400002</v>
      </c>
      <c r="AL8" s="188">
        <v>9888646141.4500008</v>
      </c>
      <c r="AM8" s="188">
        <v>6984735961.5500002</v>
      </c>
      <c r="AN8" s="188">
        <v>4374429893.7399998</v>
      </c>
      <c r="AO8" s="188">
        <v>1958747407.95</v>
      </c>
      <c r="AP8" s="188">
        <v>9297697606.5499992</v>
      </c>
      <c r="AQ8" s="188">
        <v>7006740701.7600002</v>
      </c>
      <c r="AR8" s="188">
        <v>4795436914.6300001</v>
      </c>
      <c r="AS8" s="188">
        <v>2343337224.8600001</v>
      </c>
      <c r="AT8" s="188">
        <v>8439301660.3699999</v>
      </c>
      <c r="AU8" s="188">
        <v>5645438824.8199997</v>
      </c>
      <c r="AV8" s="188">
        <v>3653248410.1300001</v>
      </c>
      <c r="AW8" s="188">
        <v>1655223903.1700001</v>
      </c>
      <c r="AX8" s="188">
        <v>6716988667.6199999</v>
      </c>
      <c r="AY8" s="188">
        <v>4366408879.6999998</v>
      </c>
      <c r="AZ8" s="188">
        <v>2990345555.2199998</v>
      </c>
      <c r="BA8" s="188">
        <v>1340659418.1700001</v>
      </c>
      <c r="BB8" s="188">
        <v>6028097285.9399996</v>
      </c>
      <c r="BC8" s="188">
        <v>4407120300.3299999</v>
      </c>
      <c r="BD8" s="188">
        <v>3144336036.7399998</v>
      </c>
      <c r="BE8" s="188">
        <v>1522658299.3800001</v>
      </c>
      <c r="BF8" s="188">
        <v>5614016180.96</v>
      </c>
      <c r="BG8" s="188">
        <v>3872793846.8000002</v>
      </c>
      <c r="BH8" s="188">
        <v>2530998557.7199998</v>
      </c>
      <c r="BI8" s="188">
        <v>1154563908.27</v>
      </c>
      <c r="BJ8" s="188">
        <v>4870597418.2600002</v>
      </c>
      <c r="BK8" s="188">
        <v>3317551949.3499999</v>
      </c>
      <c r="BL8" s="188">
        <v>2135613025.21</v>
      </c>
      <c r="BM8" s="188">
        <v>910503910.89999998</v>
      </c>
      <c r="BN8" s="188">
        <v>3729495973.8099999</v>
      </c>
      <c r="BO8" s="188">
        <v>1589793099.0599999</v>
      </c>
      <c r="BP8" s="188">
        <v>2894800732.7600002</v>
      </c>
      <c r="BQ8" s="188">
        <v>1542140385.1500001</v>
      </c>
      <c r="BR8" s="188">
        <v>2478344257.5999999</v>
      </c>
      <c r="BS8" s="188">
        <v>1075836196.97</v>
      </c>
      <c r="BT8" s="188">
        <v>2539752355.5</v>
      </c>
      <c r="BU8" s="188">
        <v>991001146.80999994</v>
      </c>
      <c r="BV8" s="188">
        <v>374003501.58999997</v>
      </c>
      <c r="BW8" s="188">
        <v>0</v>
      </c>
    </row>
    <row r="9" spans="1:75">
      <c r="A9" s="188" t="s">
        <v>225</v>
      </c>
      <c r="B9" s="188">
        <v>940363539.01999998</v>
      </c>
      <c r="C9" s="188">
        <v>552797682.07000005</v>
      </c>
      <c r="D9" s="188">
        <v>626081768.51999998</v>
      </c>
      <c r="E9" s="188">
        <v>192260802.75999999</v>
      </c>
      <c r="F9" s="188">
        <v>970977152.42999995</v>
      </c>
      <c r="G9" s="188">
        <v>536436162.22000003</v>
      </c>
      <c r="H9" s="188">
        <v>568091793.37</v>
      </c>
      <c r="I9" s="188">
        <v>173803555.53</v>
      </c>
      <c r="J9" s="188">
        <v>964087653.13999999</v>
      </c>
      <c r="K9" s="188">
        <v>532972780.01999998</v>
      </c>
      <c r="L9" s="188">
        <v>552990103.37</v>
      </c>
      <c r="M9" s="188">
        <v>167790267.44999999</v>
      </c>
      <c r="N9" s="188">
        <v>1394786106.9300001</v>
      </c>
      <c r="O9" s="188">
        <v>847381449.77999997</v>
      </c>
      <c r="P9" s="188">
        <v>639311893.54999995</v>
      </c>
      <c r="Q9" s="188">
        <v>390301208.66000003</v>
      </c>
      <c r="R9" s="188">
        <v>1616167806.3199999</v>
      </c>
      <c r="S9" s="188">
        <v>1032540176.22</v>
      </c>
      <c r="T9" s="188">
        <v>684322849.79999995</v>
      </c>
      <c r="U9" s="188">
        <v>317229935.70999998</v>
      </c>
      <c r="V9" s="188">
        <v>1621795627.21</v>
      </c>
      <c r="W9" s="188">
        <v>1131306384.22</v>
      </c>
      <c r="X9" s="188">
        <v>746372273.10000002</v>
      </c>
      <c r="Y9" s="188">
        <v>364630420.81999999</v>
      </c>
      <c r="Z9" s="188">
        <v>1500145832.7</v>
      </c>
      <c r="AA9" s="188">
        <v>771151702.04999995</v>
      </c>
      <c r="AB9" s="188">
        <v>333306321.48000002</v>
      </c>
      <c r="AC9" s="188">
        <v>160353071.19</v>
      </c>
      <c r="AD9" s="188">
        <v>870580080.11000001</v>
      </c>
      <c r="AE9" s="188">
        <v>507042096.05000001</v>
      </c>
      <c r="AF9" s="188">
        <v>343949636.23000002</v>
      </c>
      <c r="AG9" s="188">
        <v>168430709.55000001</v>
      </c>
      <c r="AH9" s="188">
        <v>757202675.89999998</v>
      </c>
      <c r="AI9" s="188">
        <v>497495754.70999998</v>
      </c>
      <c r="AJ9" s="188">
        <v>314897446.24000001</v>
      </c>
      <c r="AK9" s="188">
        <v>154438711.40000001</v>
      </c>
      <c r="AL9" s="188">
        <v>685728443.04999995</v>
      </c>
      <c r="AM9" s="188">
        <v>522690685.70999998</v>
      </c>
      <c r="AN9" s="188">
        <v>279554711.61000001</v>
      </c>
      <c r="AO9" s="188">
        <v>128319132.93000001</v>
      </c>
      <c r="AP9" s="188">
        <v>681026271.62</v>
      </c>
      <c r="AQ9" s="188">
        <v>461699732.83999997</v>
      </c>
      <c r="AR9" s="188">
        <v>369494424.77999997</v>
      </c>
      <c r="AS9" s="188">
        <v>159193632.97</v>
      </c>
      <c r="AT9" s="188">
        <v>537693276.05999994</v>
      </c>
      <c r="AU9" s="188">
        <v>410989697.44999999</v>
      </c>
      <c r="AV9" s="188">
        <v>264784676.43000001</v>
      </c>
      <c r="AW9" s="188">
        <v>144720683.88</v>
      </c>
      <c r="AX9" s="188">
        <v>529256769.47000003</v>
      </c>
      <c r="AY9" s="188">
        <v>263415258.22999999</v>
      </c>
      <c r="AZ9" s="188">
        <v>290183651.72000003</v>
      </c>
      <c r="BA9" s="188">
        <v>99344713.790000007</v>
      </c>
      <c r="BB9" s="188">
        <v>611561770.66999996</v>
      </c>
      <c r="BC9" s="188">
        <v>295360541.63999999</v>
      </c>
      <c r="BD9" s="188">
        <v>317561457.06</v>
      </c>
      <c r="BE9" s="188">
        <v>100022790.27</v>
      </c>
      <c r="BF9" s="188">
        <v>532847423.85000002</v>
      </c>
      <c r="BG9" s="188">
        <v>288258370.33999997</v>
      </c>
      <c r="BH9" s="188">
        <v>199118978.84</v>
      </c>
      <c r="BI9" s="188">
        <v>130604069.75</v>
      </c>
      <c r="BJ9" s="188">
        <v>688578280.36000001</v>
      </c>
      <c r="BK9" s="188">
        <v>380356361.70999998</v>
      </c>
      <c r="BL9" s="188">
        <v>236739696.03</v>
      </c>
      <c r="BM9" s="188">
        <v>137738571.97</v>
      </c>
      <c r="BN9" s="188">
        <v>436844762.80000001</v>
      </c>
      <c r="BO9" s="188">
        <v>245613691.21000001</v>
      </c>
      <c r="BP9" s="188">
        <v>263161682.46000001</v>
      </c>
      <c r="BQ9" s="188">
        <v>109853486.31999999</v>
      </c>
      <c r="BR9" s="188">
        <v>250005190.52000001</v>
      </c>
      <c r="BS9" s="188">
        <v>92185724.790000007</v>
      </c>
      <c r="BT9" s="188">
        <v>212387043.30000001</v>
      </c>
      <c r="BU9" s="188">
        <v>65516535.5</v>
      </c>
      <c r="BV9" s="188">
        <v>45048845.920000002</v>
      </c>
      <c r="BW9" s="188">
        <v>0</v>
      </c>
    </row>
    <row r="10" spans="1:75">
      <c r="A10" s="188" t="s">
        <v>226</v>
      </c>
      <c r="B10" s="188">
        <v>1041176951.35</v>
      </c>
      <c r="C10" s="188">
        <v>876103972.78999996</v>
      </c>
      <c r="D10" s="188">
        <v>670247083.57000005</v>
      </c>
      <c r="E10" s="188">
        <v>278486073.35000002</v>
      </c>
      <c r="F10" s="188">
        <v>925384838.42999995</v>
      </c>
      <c r="G10" s="188">
        <v>814888401.14999998</v>
      </c>
      <c r="H10" s="188">
        <v>599458328.17999995</v>
      </c>
      <c r="I10" s="188">
        <v>219198200.00999999</v>
      </c>
      <c r="J10" s="188">
        <v>890394298.39999998</v>
      </c>
      <c r="K10" s="188">
        <v>822654346.01999998</v>
      </c>
      <c r="L10" s="188">
        <v>575432522.65999997</v>
      </c>
      <c r="M10" s="188">
        <v>240949044.00999999</v>
      </c>
      <c r="N10" s="188">
        <v>1096305647.23</v>
      </c>
      <c r="O10" s="188">
        <v>984550718.79999995</v>
      </c>
      <c r="P10" s="188">
        <v>553882312.47000003</v>
      </c>
      <c r="Q10" s="188">
        <v>295020936.98000002</v>
      </c>
      <c r="R10" s="188">
        <v>1159932580.24</v>
      </c>
      <c r="S10" s="188">
        <v>1136020704.7</v>
      </c>
      <c r="T10" s="188">
        <v>743290580.04999995</v>
      </c>
      <c r="U10" s="188">
        <v>259557231.69</v>
      </c>
      <c r="V10" s="188">
        <v>1298349125.9200001</v>
      </c>
      <c r="W10" s="188">
        <v>952755912.39999998</v>
      </c>
      <c r="X10" s="188">
        <v>662964481.05999994</v>
      </c>
      <c r="Y10" s="188">
        <v>352620592.5</v>
      </c>
      <c r="Z10" s="188">
        <v>1201951494.49</v>
      </c>
      <c r="AA10" s="188">
        <v>921221466.33000004</v>
      </c>
      <c r="AB10" s="188">
        <v>537627544.54999995</v>
      </c>
      <c r="AC10" s="188">
        <v>204849131.74000001</v>
      </c>
      <c r="AD10" s="188">
        <v>738175187.25999999</v>
      </c>
      <c r="AE10" s="188">
        <v>650066549.14999998</v>
      </c>
      <c r="AF10" s="188">
        <v>422777706.51999998</v>
      </c>
      <c r="AG10" s="188">
        <v>205233443.43000001</v>
      </c>
      <c r="AH10" s="188">
        <v>756185836.21000004</v>
      </c>
      <c r="AI10" s="188">
        <v>685549745.44000006</v>
      </c>
      <c r="AJ10" s="188">
        <v>431839332.66000003</v>
      </c>
      <c r="AK10" s="188">
        <v>185533075.75</v>
      </c>
      <c r="AL10" s="188">
        <v>725235214.87</v>
      </c>
      <c r="AM10" s="188">
        <v>577109134.17999995</v>
      </c>
      <c r="AN10" s="188">
        <v>394226579.04000002</v>
      </c>
      <c r="AO10" s="188">
        <v>99629370.900000006</v>
      </c>
      <c r="AP10" s="188">
        <v>551618927.30999994</v>
      </c>
      <c r="AQ10" s="188">
        <v>404803647.58999997</v>
      </c>
      <c r="AR10" s="188">
        <v>288058301.27999997</v>
      </c>
      <c r="AS10" s="188">
        <v>82543124.659999996</v>
      </c>
      <c r="AT10" s="188">
        <v>583675095.75</v>
      </c>
      <c r="AU10" s="188">
        <v>482545529.24000001</v>
      </c>
      <c r="AV10" s="188">
        <v>269258056.74000001</v>
      </c>
      <c r="AW10" s="188">
        <v>94570043.140000001</v>
      </c>
      <c r="AX10" s="188">
        <v>429773899.37</v>
      </c>
      <c r="AY10" s="188">
        <v>358366577.08999997</v>
      </c>
      <c r="AZ10" s="188">
        <v>261862160.41</v>
      </c>
      <c r="BA10" s="188">
        <v>119028833.73999999</v>
      </c>
      <c r="BB10" s="188">
        <v>366587488.63999999</v>
      </c>
      <c r="BC10" s="188">
        <v>294294844.44</v>
      </c>
      <c r="BD10" s="188">
        <v>198730844.71000001</v>
      </c>
      <c r="BE10" s="188">
        <v>81359793.780000001</v>
      </c>
      <c r="BF10" s="188">
        <v>434595280.93000001</v>
      </c>
      <c r="BG10" s="188">
        <v>360943655.20999998</v>
      </c>
      <c r="BH10" s="188">
        <v>291883186.77999997</v>
      </c>
      <c r="BI10" s="188">
        <v>173829533.93000001</v>
      </c>
      <c r="BJ10" s="188">
        <v>343204784.19</v>
      </c>
      <c r="BK10" s="188">
        <v>300907660.50999999</v>
      </c>
      <c r="BL10" s="188">
        <v>195896731.53</v>
      </c>
      <c r="BM10" s="188">
        <v>96676650</v>
      </c>
      <c r="BN10" s="188">
        <v>451756175.17000002</v>
      </c>
      <c r="BO10" s="188">
        <v>180577246.28999999</v>
      </c>
      <c r="BP10" s="188">
        <v>366733267.85000002</v>
      </c>
      <c r="BQ10" s="188">
        <v>173454062.75</v>
      </c>
      <c r="BR10" s="188">
        <v>316686529.44999999</v>
      </c>
      <c r="BS10" s="188">
        <v>161754792.58000001</v>
      </c>
      <c r="BT10" s="188">
        <v>432141177.42000002</v>
      </c>
      <c r="BU10" s="188">
        <v>216318662.94</v>
      </c>
      <c r="BV10" s="188">
        <v>24419805.850000001</v>
      </c>
      <c r="BW10" s="188">
        <v>0</v>
      </c>
    </row>
    <row r="11" spans="1:75">
      <c r="A11" s="188" t="s">
        <v>227</v>
      </c>
      <c r="B11" s="188">
        <v>1360464997.53</v>
      </c>
      <c r="C11" s="188">
        <v>1414852432.75</v>
      </c>
      <c r="D11" s="188">
        <v>765722654.91999996</v>
      </c>
      <c r="E11" s="188">
        <v>590706975.79999995</v>
      </c>
      <c r="F11" s="188">
        <v>1227846651.3199999</v>
      </c>
      <c r="G11" s="188">
        <v>1451724992.02</v>
      </c>
      <c r="H11" s="188">
        <v>717521622.62</v>
      </c>
      <c r="I11" s="188">
        <v>490193270.27999997</v>
      </c>
      <c r="J11" s="188">
        <v>1370775168.6800001</v>
      </c>
      <c r="K11" s="188">
        <v>1361823388.8</v>
      </c>
      <c r="L11" s="188">
        <v>717607721.47000003</v>
      </c>
      <c r="M11" s="188">
        <v>466319223.38999999</v>
      </c>
      <c r="N11" s="188">
        <v>1556487112.22</v>
      </c>
      <c r="O11" s="188">
        <v>1434313783.55</v>
      </c>
      <c r="P11" s="188">
        <v>923729241.38999999</v>
      </c>
      <c r="Q11" s="188">
        <v>508997351.85000002</v>
      </c>
      <c r="R11" s="188">
        <v>1587040008.1500001</v>
      </c>
      <c r="S11" s="188">
        <v>1244495748.8499999</v>
      </c>
      <c r="T11" s="188">
        <v>820257280.29999995</v>
      </c>
      <c r="U11" s="188">
        <v>472424866.44</v>
      </c>
      <c r="V11" s="188">
        <v>1652418400.53</v>
      </c>
      <c r="W11" s="188">
        <v>1025104324.1900001</v>
      </c>
      <c r="X11" s="188">
        <v>643194617.30999994</v>
      </c>
      <c r="Y11" s="188">
        <v>751379194.51999998</v>
      </c>
      <c r="Z11" s="188">
        <v>1317051434.3299999</v>
      </c>
      <c r="AA11" s="188">
        <v>1057522556.9299999</v>
      </c>
      <c r="AB11" s="188">
        <v>575865634.61000001</v>
      </c>
      <c r="AC11" s="188">
        <v>368416562.50999999</v>
      </c>
      <c r="AD11" s="188">
        <v>1116948841.5899999</v>
      </c>
      <c r="AE11" s="188">
        <v>1029770285</v>
      </c>
      <c r="AF11" s="188">
        <v>536518550.99000001</v>
      </c>
      <c r="AG11" s="188">
        <v>318003812.94999999</v>
      </c>
      <c r="AH11" s="188">
        <v>914074926.77999997</v>
      </c>
      <c r="AI11" s="188">
        <v>802723441.03999996</v>
      </c>
      <c r="AJ11" s="188">
        <v>513846499.38</v>
      </c>
      <c r="AK11" s="188">
        <v>332401887.29000002</v>
      </c>
      <c r="AL11" s="188">
        <v>752807307.28999996</v>
      </c>
      <c r="AM11" s="188">
        <v>618189033.26999998</v>
      </c>
      <c r="AN11" s="188">
        <v>360249819.89999998</v>
      </c>
      <c r="AO11" s="188">
        <v>215508479.90000001</v>
      </c>
      <c r="AP11" s="188">
        <v>721829414.5</v>
      </c>
      <c r="AQ11" s="188">
        <v>721593667.90999997</v>
      </c>
      <c r="AR11" s="188">
        <v>368885408.35000002</v>
      </c>
      <c r="AS11" s="188">
        <v>247773974.13999999</v>
      </c>
      <c r="AT11" s="188">
        <v>635674709.44000006</v>
      </c>
      <c r="AU11" s="188">
        <v>508155486.41000003</v>
      </c>
      <c r="AV11" s="188">
        <v>365125773.33999997</v>
      </c>
      <c r="AW11" s="188">
        <v>156773760.88999999</v>
      </c>
      <c r="AX11" s="188">
        <v>529521434.30000001</v>
      </c>
      <c r="AY11" s="188">
        <v>723918159.30999994</v>
      </c>
      <c r="AZ11" s="188">
        <v>272005530.35000002</v>
      </c>
      <c r="BA11" s="188">
        <v>215095784.63</v>
      </c>
      <c r="BB11" s="188">
        <v>465334495.74000001</v>
      </c>
      <c r="BC11" s="188">
        <v>710930896.69000006</v>
      </c>
      <c r="BD11" s="188">
        <v>223849520.24000001</v>
      </c>
      <c r="BE11" s="188">
        <v>159324391.75</v>
      </c>
      <c r="BF11" s="188">
        <v>565048505.83000004</v>
      </c>
      <c r="BG11" s="188">
        <v>843913443.65999997</v>
      </c>
      <c r="BH11" s="188">
        <v>635049416.34000003</v>
      </c>
      <c r="BI11" s="188">
        <v>161342897.40000001</v>
      </c>
      <c r="BJ11" s="188">
        <v>949113984.55999994</v>
      </c>
      <c r="BK11" s="188">
        <v>676259054.02999997</v>
      </c>
      <c r="BL11" s="188">
        <v>439927203.47000003</v>
      </c>
      <c r="BM11" s="188">
        <v>242040762.38999999</v>
      </c>
      <c r="BN11" s="188">
        <v>620831642.63</v>
      </c>
      <c r="BO11" s="188">
        <v>285882044.66000003</v>
      </c>
      <c r="BP11" s="188">
        <v>407311148.24000001</v>
      </c>
      <c r="BQ11" s="188">
        <v>299063686.94</v>
      </c>
      <c r="BR11" s="188">
        <v>630209390.03999996</v>
      </c>
      <c r="BS11" s="188">
        <v>657246827.17999995</v>
      </c>
      <c r="BT11" s="188">
        <v>647686286.5</v>
      </c>
      <c r="BU11" s="188">
        <v>382255254.47000003</v>
      </c>
      <c r="BV11" s="188">
        <v>43651482.350000001</v>
      </c>
      <c r="BW11" s="188">
        <v>0</v>
      </c>
    </row>
    <row r="12" spans="1:75">
      <c r="A12" s="188" t="s">
        <v>228</v>
      </c>
      <c r="B12" s="188">
        <v>21610874588.549999</v>
      </c>
      <c r="C12" s="188">
        <v>16683916326.889999</v>
      </c>
      <c r="D12" s="188">
        <v>11071828526.6</v>
      </c>
      <c r="E12" s="188">
        <v>6367634491.8199997</v>
      </c>
      <c r="F12" s="188">
        <v>20327887134.130001</v>
      </c>
      <c r="G12" s="188">
        <v>15658442027.040001</v>
      </c>
      <c r="H12" s="188">
        <v>10376626634.299999</v>
      </c>
      <c r="I12" s="188">
        <v>5546324352.6300001</v>
      </c>
      <c r="J12" s="188">
        <v>19955299531.900002</v>
      </c>
      <c r="K12" s="188">
        <v>14461664353.379999</v>
      </c>
      <c r="L12" s="188">
        <v>9332171634.3799992</v>
      </c>
      <c r="M12" s="188">
        <v>4631062574.2200003</v>
      </c>
      <c r="N12" s="188">
        <v>21077372635.43</v>
      </c>
      <c r="O12" s="188">
        <v>15620911084.33</v>
      </c>
      <c r="P12" s="188">
        <v>10620599640.209999</v>
      </c>
      <c r="Q12" s="188">
        <v>5458664088.6899996</v>
      </c>
      <c r="R12" s="188">
        <v>23565570254.290001</v>
      </c>
      <c r="S12" s="188">
        <v>18118952389.490002</v>
      </c>
      <c r="T12" s="188">
        <v>11537063029.24</v>
      </c>
      <c r="U12" s="188">
        <v>5889937305.5900002</v>
      </c>
      <c r="V12" s="188">
        <v>23188234591.169998</v>
      </c>
      <c r="W12" s="188">
        <v>16871741359.42</v>
      </c>
      <c r="X12" s="188">
        <v>10822858704.290001</v>
      </c>
      <c r="Y12" s="188">
        <v>6139713285.2799997</v>
      </c>
      <c r="Z12" s="188">
        <v>21065249409.080002</v>
      </c>
      <c r="AA12" s="188">
        <v>15374311112.190001</v>
      </c>
      <c r="AB12" s="188">
        <v>8072129158.0699997</v>
      </c>
      <c r="AC12" s="188">
        <v>4308581865.3699999</v>
      </c>
      <c r="AD12" s="188">
        <v>17274302415.93</v>
      </c>
      <c r="AE12" s="188">
        <v>12751475284.620001</v>
      </c>
      <c r="AF12" s="188">
        <v>8195049297.4200001</v>
      </c>
      <c r="AG12" s="188">
        <v>4088386265.79</v>
      </c>
      <c r="AH12" s="188">
        <v>14634843176.58</v>
      </c>
      <c r="AI12" s="188">
        <v>10284802312.6</v>
      </c>
      <c r="AJ12" s="188">
        <v>6434265832.2200003</v>
      </c>
      <c r="AK12" s="188">
        <v>3373518101.7800002</v>
      </c>
      <c r="AL12" s="188">
        <v>12052417106.66</v>
      </c>
      <c r="AM12" s="188">
        <v>8702724814.7099991</v>
      </c>
      <c r="AN12" s="188">
        <v>5408461004.29</v>
      </c>
      <c r="AO12" s="188">
        <v>2402204391.6799998</v>
      </c>
      <c r="AP12" s="188">
        <v>11252172219.98</v>
      </c>
      <c r="AQ12" s="188">
        <v>8594837750.1000004</v>
      </c>
      <c r="AR12" s="188">
        <v>5821875049.04</v>
      </c>
      <c r="AS12" s="188">
        <v>2832847956.6300001</v>
      </c>
      <c r="AT12" s="188">
        <v>10196344741.620001</v>
      </c>
      <c r="AU12" s="188">
        <v>7047129537.9200001</v>
      </c>
      <c r="AV12" s="188">
        <v>4552416916.6400003</v>
      </c>
      <c r="AW12" s="188">
        <v>2051288391.0799999</v>
      </c>
      <c r="AX12" s="188">
        <v>8205540770.7600002</v>
      </c>
      <c r="AY12" s="188">
        <v>5712108874.3299999</v>
      </c>
      <c r="AZ12" s="188">
        <v>3814396897.6999998</v>
      </c>
      <c r="BA12" s="188">
        <v>1774128750.3299999</v>
      </c>
      <c r="BB12" s="188">
        <v>7471581040.9899998</v>
      </c>
      <c r="BC12" s="188">
        <v>5707706583.1000004</v>
      </c>
      <c r="BD12" s="188">
        <v>3884477858.75</v>
      </c>
      <c r="BE12" s="188">
        <v>1863365275.1800001</v>
      </c>
      <c r="BF12" s="188">
        <v>7146507391.5699997</v>
      </c>
      <c r="BG12" s="188">
        <v>5365909316.0100002</v>
      </c>
      <c r="BH12" s="188">
        <v>3657050139.6799998</v>
      </c>
      <c r="BI12" s="188">
        <v>1620340409.3499999</v>
      </c>
      <c r="BJ12" s="188">
        <v>6851494467.3699999</v>
      </c>
      <c r="BK12" s="188">
        <v>4675075025.6000004</v>
      </c>
      <c r="BL12" s="188">
        <v>3008176656.2399998</v>
      </c>
      <c r="BM12" s="188">
        <v>1386959895.26</v>
      </c>
      <c r="BN12" s="188">
        <v>5238928554.4099998</v>
      </c>
      <c r="BO12" s="188">
        <v>2301866081.2199998</v>
      </c>
      <c r="BP12" s="188">
        <v>3932006831.3099999</v>
      </c>
      <c r="BQ12" s="188">
        <v>2124511621.1600001</v>
      </c>
      <c r="BR12" s="188">
        <v>3675245367.6100001</v>
      </c>
      <c r="BS12" s="188">
        <v>1987023541.52</v>
      </c>
      <c r="BT12" s="188">
        <v>3831966862.7199998</v>
      </c>
      <c r="BU12" s="188">
        <v>1655091599.72</v>
      </c>
      <c r="BV12" s="188">
        <v>487123635.70999998</v>
      </c>
      <c r="BW12" s="188">
        <v>0</v>
      </c>
    </row>
    <row r="13" spans="1:75">
      <c r="A13" s="188" t="s">
        <v>229</v>
      </c>
      <c r="B13" s="188">
        <v>188450269.55000001</v>
      </c>
      <c r="C13" s="188">
        <v>-220844288.34999999</v>
      </c>
      <c r="D13" s="188">
        <v>-360888706.42000002</v>
      </c>
      <c r="E13" s="188">
        <v>-1182456308.27</v>
      </c>
      <c r="F13" s="188">
        <v>1930118454.01</v>
      </c>
      <c r="G13" s="188">
        <v>1405689604.1400001</v>
      </c>
      <c r="H13" s="188">
        <v>436621687.81999999</v>
      </c>
      <c r="I13" s="188">
        <v>-277228251.38999999</v>
      </c>
      <c r="J13" s="188">
        <v>1999573702.98</v>
      </c>
      <c r="K13" s="188">
        <v>1929645382.1800001</v>
      </c>
      <c r="L13" s="188">
        <v>1316392351.1300001</v>
      </c>
      <c r="M13" s="188">
        <v>319139035.18000001</v>
      </c>
      <c r="N13" s="188">
        <v>1338774524.46</v>
      </c>
      <c r="O13" s="188">
        <v>1508101907.8</v>
      </c>
      <c r="P13" s="188">
        <v>563731554.65999997</v>
      </c>
      <c r="Q13" s="188">
        <v>-139849646.09999999</v>
      </c>
      <c r="R13" s="188">
        <v>2011963265.6500001</v>
      </c>
      <c r="S13" s="188">
        <v>1767169251.03</v>
      </c>
      <c r="T13" s="188">
        <v>972053307.75999999</v>
      </c>
      <c r="U13" s="188">
        <v>-47720877.789999999</v>
      </c>
      <c r="V13" s="188">
        <v>1758892889.23</v>
      </c>
      <c r="W13" s="188">
        <v>1503864105.3</v>
      </c>
      <c r="X13" s="188">
        <v>928841205.42999995</v>
      </c>
      <c r="Y13" s="188">
        <v>-633039859.49000001</v>
      </c>
      <c r="Z13" s="188">
        <v>3120058762.9099998</v>
      </c>
      <c r="AA13" s="188">
        <v>2266334969.25</v>
      </c>
      <c r="AB13" s="188">
        <v>1506595920.0599999</v>
      </c>
      <c r="AC13" s="188">
        <v>-125661126.05</v>
      </c>
      <c r="AD13" s="188">
        <v>1542378253.03</v>
      </c>
      <c r="AE13" s="188">
        <v>1434505205.8599999</v>
      </c>
      <c r="AF13" s="188">
        <v>884143463.00999999</v>
      </c>
      <c r="AG13" s="188">
        <v>-223539526.56</v>
      </c>
      <c r="AH13" s="188">
        <v>1787464327.6600001</v>
      </c>
      <c r="AI13" s="188">
        <v>1718131912.98</v>
      </c>
      <c r="AJ13" s="188">
        <v>1122202879.6700001</v>
      </c>
      <c r="AK13" s="188">
        <v>30469639.280000001</v>
      </c>
      <c r="AL13" s="188">
        <v>2028598332.1700001</v>
      </c>
      <c r="AM13" s="188">
        <v>1616122875.99</v>
      </c>
      <c r="AN13" s="188">
        <v>943480103.27999997</v>
      </c>
      <c r="AO13" s="188">
        <v>378297459.14999998</v>
      </c>
      <c r="AP13" s="188">
        <v>516497097.97000003</v>
      </c>
      <c r="AQ13" s="188">
        <v>381218783.56</v>
      </c>
      <c r="AR13" s="188">
        <v>4084610.3</v>
      </c>
      <c r="AS13" s="188">
        <v>-286208499.70999998</v>
      </c>
      <c r="AT13" s="188">
        <v>1057878881.39</v>
      </c>
      <c r="AU13" s="188">
        <v>769860088.14999998</v>
      </c>
      <c r="AV13" s="188">
        <v>295608189.13</v>
      </c>
      <c r="AW13" s="188">
        <v>-30549097.199999999</v>
      </c>
      <c r="AX13" s="188">
        <v>846957120.55999994</v>
      </c>
      <c r="AY13" s="188">
        <v>485240091.43000001</v>
      </c>
      <c r="AZ13" s="188">
        <v>199309444.03</v>
      </c>
      <c r="BA13" s="188">
        <v>-80113359.060000002</v>
      </c>
      <c r="BB13" s="188">
        <v>243530780.69999999</v>
      </c>
      <c r="BC13" s="188">
        <v>-165370697.12</v>
      </c>
      <c r="BD13" s="188">
        <v>-157379247.44</v>
      </c>
      <c r="BE13" s="188">
        <v>-233545765.58000001</v>
      </c>
      <c r="BF13" s="188">
        <v>604667760.59000003</v>
      </c>
      <c r="BG13" s="188">
        <v>337453098.12</v>
      </c>
      <c r="BH13" s="188">
        <v>76753462.159999996</v>
      </c>
      <c r="BI13" s="188">
        <v>56748815.079999998</v>
      </c>
      <c r="BJ13" s="188">
        <v>292170476.75999999</v>
      </c>
      <c r="BK13" s="188">
        <v>456723497.52999997</v>
      </c>
      <c r="BL13" s="188">
        <v>156973179.36000001</v>
      </c>
      <c r="BM13" s="188">
        <v>-5871214.5800000001</v>
      </c>
      <c r="BN13" s="188">
        <v>690591617.23000002</v>
      </c>
      <c r="BO13" s="188">
        <v>318591291.69999999</v>
      </c>
      <c r="BP13" s="188">
        <v>887186030.29999995</v>
      </c>
      <c r="BQ13" s="188">
        <v>200224002.99000001</v>
      </c>
      <c r="BR13" s="188">
        <v>678152932.48000002</v>
      </c>
      <c r="BS13" s="188">
        <v>131692296.48</v>
      </c>
      <c r="BT13" s="188">
        <v>247433107.97999999</v>
      </c>
      <c r="BU13" s="188">
        <v>43070537.390000001</v>
      </c>
      <c r="BV13" s="188">
        <v>-154941375.38999999</v>
      </c>
      <c r="BW13" s="188">
        <v>0</v>
      </c>
    </row>
    <row r="14" spans="1:75">
      <c r="A14" s="188" t="s">
        <v>230</v>
      </c>
    </row>
    <row r="15" spans="1:75">
      <c r="A15" s="188" t="s">
        <v>231</v>
      </c>
      <c r="B15" s="188">
        <v>0</v>
      </c>
      <c r="C15" s="188">
        <v>0</v>
      </c>
      <c r="D15" s="188">
        <v>0</v>
      </c>
      <c r="E15" s="188">
        <v>0</v>
      </c>
      <c r="F15" s="188">
        <v>72249917.090000004</v>
      </c>
      <c r="G15" s="188">
        <v>0</v>
      </c>
      <c r="H15" s="188">
        <v>0</v>
      </c>
      <c r="I15" s="188">
        <v>18646792.640000001</v>
      </c>
      <c r="J15" s="188">
        <v>228260900</v>
      </c>
      <c r="K15" s="188">
        <v>100000000</v>
      </c>
      <c r="L15" s="188">
        <v>0</v>
      </c>
      <c r="M15" s="188">
        <v>0</v>
      </c>
      <c r="N15" s="188">
        <v>0</v>
      </c>
      <c r="O15" s="188">
        <v>0</v>
      </c>
      <c r="P15" s="188">
        <v>0</v>
      </c>
      <c r="Q15" s="188">
        <v>0</v>
      </c>
      <c r="R15" s="188">
        <v>139350000</v>
      </c>
      <c r="S15" s="188">
        <v>139350000</v>
      </c>
      <c r="T15" s="188">
        <v>0</v>
      </c>
      <c r="U15" s="188">
        <v>0</v>
      </c>
      <c r="V15" s="188">
        <v>9973583.3800000008</v>
      </c>
      <c r="W15" s="188">
        <v>4142881.31</v>
      </c>
      <c r="X15" s="188">
        <v>4142881.31</v>
      </c>
      <c r="Y15" s="188">
        <v>3985608.51</v>
      </c>
      <c r="Z15" s="188">
        <v>34576267.049999997</v>
      </c>
      <c r="AA15" s="188">
        <v>5890410.7000000002</v>
      </c>
      <c r="AB15" s="188">
        <v>0</v>
      </c>
      <c r="AC15" s="188">
        <v>4200000</v>
      </c>
      <c r="AD15" s="188">
        <v>17106275.600000001</v>
      </c>
      <c r="AE15" s="188">
        <v>507446.54</v>
      </c>
      <c r="AF15" s="188">
        <v>0</v>
      </c>
      <c r="AG15" s="188">
        <v>0</v>
      </c>
      <c r="AH15" s="188">
        <v>19914522.329999998</v>
      </c>
      <c r="AI15" s="188">
        <v>19426925.760000002</v>
      </c>
      <c r="AJ15" s="188">
        <v>11519743.26</v>
      </c>
      <c r="AK15" s="188">
        <v>11519743.26</v>
      </c>
      <c r="AL15" s="188">
        <v>239917935.53</v>
      </c>
      <c r="AM15" s="188">
        <v>259000000</v>
      </c>
      <c r="AN15" s="188">
        <v>230000000</v>
      </c>
      <c r="AO15" s="188">
        <v>229930940.88</v>
      </c>
      <c r="AP15" s="188">
        <v>661883.51</v>
      </c>
      <c r="AQ15" s="188">
        <v>8596096.5099999998</v>
      </c>
      <c r="AR15" s="188">
        <v>22165691.16</v>
      </c>
      <c r="AS15" s="188">
        <v>8501597.6699999999</v>
      </c>
      <c r="AT15" s="188">
        <v>11311370.23</v>
      </c>
      <c r="AU15" s="188">
        <v>29882250.57</v>
      </c>
      <c r="AV15" s="188">
        <v>4429898</v>
      </c>
      <c r="AW15" s="188">
        <v>0</v>
      </c>
      <c r="AX15" s="188">
        <v>331336099.61000001</v>
      </c>
      <c r="AY15" s="188">
        <v>402582117.86000001</v>
      </c>
      <c r="AZ15" s="188">
        <v>131037707.78</v>
      </c>
      <c r="BA15" s="188">
        <v>56269433.299999997</v>
      </c>
      <c r="BB15" s="188">
        <v>48620029.68</v>
      </c>
      <c r="BC15" s="188">
        <v>48410938.68</v>
      </c>
      <c r="BD15" s="188">
        <v>41576569.200000003</v>
      </c>
      <c r="BE15" s="188">
        <v>37472012.280000001</v>
      </c>
      <c r="BF15" s="188">
        <v>17835477.789999999</v>
      </c>
      <c r="BG15" s="188">
        <v>2941000</v>
      </c>
      <c r="BH15" s="188">
        <v>2706000</v>
      </c>
      <c r="BI15" s="188">
        <v>0</v>
      </c>
      <c r="BJ15" s="188">
        <v>114306933.04000001</v>
      </c>
      <c r="BK15" s="188">
        <v>33491223.620000001</v>
      </c>
      <c r="BL15" s="188">
        <v>28305500.989999998</v>
      </c>
      <c r="BM15" s="188">
        <v>0</v>
      </c>
      <c r="BN15" s="188">
        <v>2766191</v>
      </c>
      <c r="BO15" s="188">
        <v>399800</v>
      </c>
      <c r="BP15" s="188">
        <v>770000</v>
      </c>
      <c r="BQ15" s="188">
        <v>770000</v>
      </c>
      <c r="BR15" s="188">
        <v>421702685.23000002</v>
      </c>
      <c r="BS15" s="188">
        <v>200420280</v>
      </c>
      <c r="BT15" s="188">
        <v>253449858.5</v>
      </c>
      <c r="BU15" s="188">
        <v>0</v>
      </c>
      <c r="BV15" s="188">
        <v>82049426.939999998</v>
      </c>
      <c r="BW15" s="188">
        <v>0</v>
      </c>
    </row>
    <row r="16" spans="1:75">
      <c r="A16" s="188" t="s">
        <v>232</v>
      </c>
      <c r="B16" s="188">
        <v>124855333.79000001</v>
      </c>
      <c r="C16" s="188">
        <v>104979748.29000001</v>
      </c>
      <c r="D16" s="188">
        <v>93352463.700000003</v>
      </c>
      <c r="E16" s="188">
        <v>16746000</v>
      </c>
      <c r="F16" s="188">
        <v>166765082.34999999</v>
      </c>
      <c r="G16" s="188">
        <v>141707080.02000001</v>
      </c>
      <c r="H16" s="188">
        <v>83196451.430000007</v>
      </c>
      <c r="I16" s="188">
        <v>24544193.59</v>
      </c>
      <c r="J16" s="188">
        <v>262860031.84999999</v>
      </c>
      <c r="K16" s="188">
        <v>80420889.010000005</v>
      </c>
      <c r="L16" s="188">
        <v>61506932.810000002</v>
      </c>
      <c r="M16" s="188">
        <v>41399924.240000002</v>
      </c>
      <c r="N16" s="188">
        <v>246525694.44</v>
      </c>
      <c r="O16" s="188">
        <v>52638223.899999999</v>
      </c>
      <c r="P16" s="188">
        <v>53217582.689999998</v>
      </c>
      <c r="Q16" s="188">
        <v>168000</v>
      </c>
      <c r="R16" s="188">
        <v>189971172.59</v>
      </c>
      <c r="S16" s="188">
        <v>112359940.38</v>
      </c>
      <c r="T16" s="188">
        <v>108369137.44</v>
      </c>
      <c r="U16" s="188">
        <v>48135435.159999996</v>
      </c>
      <c r="V16" s="188">
        <v>185633002.13999999</v>
      </c>
      <c r="W16" s="188">
        <v>32810691.940000001</v>
      </c>
      <c r="X16" s="188">
        <v>27539745.780000001</v>
      </c>
      <c r="Y16" s="188">
        <v>1200000</v>
      </c>
      <c r="Z16" s="188">
        <v>342221192.94999999</v>
      </c>
      <c r="AA16" s="188">
        <v>286343124.18000001</v>
      </c>
      <c r="AB16" s="188">
        <v>219503505.41</v>
      </c>
      <c r="AC16" s="188">
        <v>33976267.049999997</v>
      </c>
      <c r="AD16" s="188">
        <v>150040838.75999999</v>
      </c>
      <c r="AE16" s="188">
        <v>55688592.189999998</v>
      </c>
      <c r="AF16" s="188">
        <v>16318366</v>
      </c>
      <c r="AG16" s="188">
        <v>5000000</v>
      </c>
      <c r="AH16" s="188">
        <v>159901929.44</v>
      </c>
      <c r="AI16" s="188">
        <v>85496312.450000003</v>
      </c>
      <c r="AJ16" s="188">
        <v>24046255.649999999</v>
      </c>
      <c r="AK16" s="188">
        <v>319037.39</v>
      </c>
      <c r="AL16" s="188">
        <v>230157819.59999999</v>
      </c>
      <c r="AM16" s="188">
        <v>108638941.2</v>
      </c>
      <c r="AN16" s="188">
        <v>69268805.230000004</v>
      </c>
      <c r="AO16" s="188">
        <v>0</v>
      </c>
      <c r="AP16" s="188">
        <v>229972997.99000001</v>
      </c>
      <c r="AQ16" s="188">
        <v>181466136.30000001</v>
      </c>
      <c r="AR16" s="188">
        <v>64489887.590000004</v>
      </c>
      <c r="AS16" s="188">
        <v>2278532.5099999998</v>
      </c>
      <c r="AT16" s="188">
        <v>212019044.16999999</v>
      </c>
      <c r="AU16" s="188">
        <v>42627406.369999997</v>
      </c>
      <c r="AV16" s="188">
        <v>25099125.449999999</v>
      </c>
      <c r="AW16" s="188">
        <v>13244698.449999999</v>
      </c>
      <c r="AX16" s="188">
        <v>218904526.22</v>
      </c>
      <c r="AY16" s="188">
        <v>52612470.270000003</v>
      </c>
      <c r="AZ16" s="188">
        <v>39429080.020000003</v>
      </c>
      <c r="BA16" s="188">
        <v>29880994.68</v>
      </c>
      <c r="BB16" s="188">
        <v>108770874.97</v>
      </c>
      <c r="BC16" s="188">
        <v>68282070.120000005</v>
      </c>
      <c r="BD16" s="188">
        <v>58816115.799999997</v>
      </c>
      <c r="BE16" s="188">
        <v>963468.84</v>
      </c>
      <c r="BF16" s="188">
        <v>77676063.829999998</v>
      </c>
      <c r="BG16" s="188">
        <v>76317705.219999999</v>
      </c>
      <c r="BH16" s="188">
        <v>16482819.43</v>
      </c>
      <c r="BI16" s="188">
        <v>5759633.5999999996</v>
      </c>
      <c r="BJ16" s="188">
        <v>149823204.75999999</v>
      </c>
      <c r="BK16" s="188">
        <v>100880032.64</v>
      </c>
      <c r="BL16" s="188">
        <v>134981538.78</v>
      </c>
      <c r="BM16" s="188">
        <v>4889685.3</v>
      </c>
      <c r="BN16" s="188">
        <v>125682441.56</v>
      </c>
      <c r="BO16" s="188">
        <v>42549705.719999999</v>
      </c>
      <c r="BP16" s="188">
        <v>101369833.77</v>
      </c>
      <c r="BQ16" s="188">
        <v>65745550.280000001</v>
      </c>
      <c r="BR16" s="188">
        <v>109204042.76000001</v>
      </c>
      <c r="BS16" s="188">
        <v>73416010.230000004</v>
      </c>
      <c r="BT16" s="188">
        <v>14011722.24</v>
      </c>
      <c r="BU16" s="188">
        <v>26663959.969999999</v>
      </c>
      <c r="BV16" s="188">
        <v>3614436.26</v>
      </c>
      <c r="BW16" s="188">
        <v>0</v>
      </c>
    </row>
    <row r="17" spans="1:75">
      <c r="A17" s="188" t="s">
        <v>233</v>
      </c>
      <c r="B17" s="188">
        <v>145336.92000000001</v>
      </c>
      <c r="C17" s="188">
        <v>107022.23</v>
      </c>
      <c r="D17" s="188">
        <v>106722.23</v>
      </c>
      <c r="E17" s="188">
        <v>18705.3</v>
      </c>
      <c r="F17" s="188">
        <v>3295447.09</v>
      </c>
      <c r="G17" s="188">
        <v>2467600</v>
      </c>
      <c r="H17" s="188">
        <v>2457600</v>
      </c>
      <c r="I17" s="188">
        <v>1351100</v>
      </c>
      <c r="J17" s="188">
        <v>5600043.7300000004</v>
      </c>
      <c r="K17" s="188">
        <v>5251465.7300000004</v>
      </c>
      <c r="L17" s="188">
        <v>4927285.6399999997</v>
      </c>
      <c r="M17" s="188">
        <v>4716285.6399999997</v>
      </c>
      <c r="N17" s="188">
        <v>96734648.75</v>
      </c>
      <c r="O17" s="188">
        <v>86174108.109999999</v>
      </c>
      <c r="P17" s="188">
        <v>82772701.129999995</v>
      </c>
      <c r="Q17" s="188">
        <v>802433.81</v>
      </c>
      <c r="R17" s="188">
        <v>94986586.040000007</v>
      </c>
      <c r="S17" s="188">
        <v>11811362.74</v>
      </c>
      <c r="T17" s="188">
        <v>8770246.2100000009</v>
      </c>
      <c r="U17" s="188">
        <v>1405004.24</v>
      </c>
      <c r="V17" s="188">
        <v>23413496.690000001</v>
      </c>
      <c r="W17" s="188">
        <v>6178017.9100000001</v>
      </c>
      <c r="X17" s="188">
        <v>5842778.5899999999</v>
      </c>
      <c r="Y17" s="188">
        <v>846571.14</v>
      </c>
      <c r="Z17" s="188">
        <v>22232931.359999999</v>
      </c>
      <c r="AA17" s="188">
        <v>77109303.209999993</v>
      </c>
      <c r="AB17" s="188">
        <v>32523194.649999999</v>
      </c>
      <c r="AC17" s="188">
        <v>28588075</v>
      </c>
      <c r="AD17" s="188">
        <v>15598358.300000001</v>
      </c>
      <c r="AE17" s="188">
        <v>9670513.25</v>
      </c>
      <c r="AF17" s="188">
        <v>4023185.12</v>
      </c>
      <c r="AG17" s="188">
        <v>957559.99</v>
      </c>
      <c r="AH17" s="188">
        <v>91689355.269999996</v>
      </c>
      <c r="AI17" s="188">
        <v>21816753.629999999</v>
      </c>
      <c r="AJ17" s="188">
        <v>14575555.6</v>
      </c>
      <c r="AK17" s="188">
        <v>40392350</v>
      </c>
      <c r="AL17" s="188">
        <v>43380552.960000001</v>
      </c>
      <c r="AM17" s="188">
        <v>15083092.1</v>
      </c>
      <c r="AN17" s="188">
        <v>14785914.1</v>
      </c>
      <c r="AO17" s="188">
        <v>551779</v>
      </c>
      <c r="AP17" s="188">
        <v>17318218.550000001</v>
      </c>
      <c r="AQ17" s="188">
        <v>4778366.91</v>
      </c>
      <c r="AR17" s="188">
        <v>617627.93000000005</v>
      </c>
      <c r="AS17" s="188">
        <v>121437</v>
      </c>
      <c r="AT17" s="188">
        <v>4960461.82</v>
      </c>
      <c r="AU17" s="188">
        <v>543776</v>
      </c>
      <c r="AV17" s="188">
        <v>557603.34</v>
      </c>
      <c r="AW17" s="188">
        <v>309913</v>
      </c>
      <c r="AX17" s="188">
        <v>61630536.399999999</v>
      </c>
      <c r="AY17" s="188">
        <v>63966253.140000001</v>
      </c>
      <c r="AZ17" s="188">
        <v>63791840.140000001</v>
      </c>
      <c r="BA17" s="188">
        <v>1842210</v>
      </c>
      <c r="BB17" s="188">
        <v>40651686.079999998</v>
      </c>
      <c r="BC17" s="188">
        <v>10256240</v>
      </c>
      <c r="BD17" s="188">
        <v>517921</v>
      </c>
      <c r="BE17" s="188">
        <v>88000</v>
      </c>
      <c r="BF17" s="188">
        <v>71474742.049999997</v>
      </c>
      <c r="BG17" s="188">
        <v>38868434.75</v>
      </c>
      <c r="BH17" s="188">
        <v>38416702</v>
      </c>
      <c r="BI17" s="188">
        <v>274402</v>
      </c>
      <c r="BJ17" s="188">
        <v>41365363.460000001</v>
      </c>
      <c r="BK17" s="188">
        <v>2491931.35</v>
      </c>
      <c r="BL17" s="188">
        <v>1992514.85</v>
      </c>
      <c r="BM17" s="188">
        <v>1162020.5</v>
      </c>
      <c r="BN17" s="188">
        <v>2987939.02</v>
      </c>
      <c r="BO17" s="188">
        <v>1058594</v>
      </c>
      <c r="BP17" s="188">
        <v>6827460.8499999996</v>
      </c>
      <c r="BQ17" s="188">
        <v>261643</v>
      </c>
      <c r="BR17" s="188">
        <v>1346419</v>
      </c>
      <c r="BS17" s="188">
        <v>481330</v>
      </c>
      <c r="BT17" s="188">
        <v>1785585.16</v>
      </c>
      <c r="BU17" s="188">
        <v>121328</v>
      </c>
      <c r="BV17" s="188">
        <v>1920433.63</v>
      </c>
      <c r="BW17" s="188">
        <v>0</v>
      </c>
    </row>
    <row r="18" spans="1:75">
      <c r="A18" s="188" t="s">
        <v>234</v>
      </c>
      <c r="B18" s="188">
        <v>0</v>
      </c>
      <c r="C18" s="188">
        <v>0</v>
      </c>
      <c r="D18" s="188">
        <v>0</v>
      </c>
      <c r="E18" s="188">
        <v>0</v>
      </c>
      <c r="F18" s="188">
        <v>0</v>
      </c>
      <c r="G18" s="188">
        <v>0</v>
      </c>
      <c r="H18" s="188">
        <v>0</v>
      </c>
      <c r="I18" s="188">
        <v>0</v>
      </c>
      <c r="J18" s="188">
        <v>134709287.94</v>
      </c>
      <c r="K18" s="188">
        <v>134717409.28999999</v>
      </c>
      <c r="L18" s="188">
        <v>234709287.94</v>
      </c>
      <c r="M18" s="188">
        <v>0</v>
      </c>
      <c r="N18" s="188">
        <v>0</v>
      </c>
      <c r="O18" s="188">
        <v>17817886.559999999</v>
      </c>
      <c r="P18" s="188">
        <v>17817886.559999999</v>
      </c>
      <c r="Q18" s="188">
        <v>29259105.09</v>
      </c>
      <c r="R18" s="188">
        <v>0</v>
      </c>
      <c r="S18" s="188">
        <v>0</v>
      </c>
      <c r="T18" s="188">
        <v>0</v>
      </c>
      <c r="U18" s="188">
        <v>0</v>
      </c>
      <c r="V18" s="188">
        <v>0</v>
      </c>
      <c r="W18" s="188">
        <v>0</v>
      </c>
      <c r="X18" s="188">
        <v>0</v>
      </c>
      <c r="Y18" s="188">
        <v>0</v>
      </c>
      <c r="Z18" s="188">
        <v>4641535.3899999997</v>
      </c>
      <c r="AA18" s="188">
        <v>0</v>
      </c>
      <c r="AB18" s="188">
        <v>1868513.55</v>
      </c>
      <c r="AC18" s="188">
        <v>0</v>
      </c>
      <c r="AD18" s="188">
        <v>129131878.27</v>
      </c>
      <c r="AE18" s="188">
        <v>142540908.24000001</v>
      </c>
      <c r="AF18" s="188">
        <v>0</v>
      </c>
      <c r="AG18" s="188">
        <v>0</v>
      </c>
      <c r="AH18" s="188">
        <v>38933536.32</v>
      </c>
      <c r="AI18" s="188">
        <v>36177645.030000001</v>
      </c>
      <c r="AJ18" s="188">
        <v>0</v>
      </c>
      <c r="AK18" s="188">
        <v>0</v>
      </c>
      <c r="AL18" s="188">
        <v>0</v>
      </c>
      <c r="AM18" s="188">
        <v>0</v>
      </c>
      <c r="AN18" s="188">
        <v>0</v>
      </c>
      <c r="AO18" s="188">
        <v>0</v>
      </c>
      <c r="AP18" s="188">
        <v>3861514.16</v>
      </c>
      <c r="AQ18" s="188">
        <v>0</v>
      </c>
      <c r="AR18" s="188">
        <v>0</v>
      </c>
      <c r="AS18" s="188">
        <v>0</v>
      </c>
      <c r="AT18" s="188">
        <v>5512469.4500000002</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c r="BL18" s="188">
        <v>0</v>
      </c>
      <c r="BM18" s="188">
        <v>0</v>
      </c>
      <c r="BN18" s="188">
        <v>0</v>
      </c>
      <c r="BO18" s="188">
        <v>0</v>
      </c>
      <c r="BP18" s="188">
        <v>0</v>
      </c>
      <c r="BQ18" s="188">
        <v>0</v>
      </c>
      <c r="BR18" s="188">
        <v>0</v>
      </c>
      <c r="BS18" s="188">
        <v>0</v>
      </c>
      <c r="BT18" s="188">
        <v>0</v>
      </c>
      <c r="BU18" s="188">
        <v>0</v>
      </c>
      <c r="BV18" s="188">
        <v>0</v>
      </c>
      <c r="BW18" s="188">
        <v>0</v>
      </c>
    </row>
    <row r="19" spans="1:75">
      <c r="A19" s="188" t="s">
        <v>235</v>
      </c>
      <c r="B19" s="188">
        <v>1385323391.5599999</v>
      </c>
      <c r="C19" s="188">
        <v>988476222.21000004</v>
      </c>
      <c r="D19" s="188">
        <v>738801222.21000004</v>
      </c>
      <c r="E19" s="188">
        <v>1616950000</v>
      </c>
      <c r="F19" s="188">
        <v>904445000</v>
      </c>
      <c r="G19" s="188">
        <v>330327000</v>
      </c>
      <c r="H19" s="188">
        <v>967537000</v>
      </c>
      <c r="I19" s="188">
        <v>16660000</v>
      </c>
      <c r="J19" s="188">
        <v>513336360.42000002</v>
      </c>
      <c r="K19" s="188">
        <v>218080260.41999999</v>
      </c>
      <c r="L19" s="188">
        <v>315944000</v>
      </c>
      <c r="M19" s="188">
        <v>21300000</v>
      </c>
      <c r="N19" s="188">
        <v>275516854.72000003</v>
      </c>
      <c r="O19" s="188">
        <v>90405520.609999999</v>
      </c>
      <c r="P19" s="188">
        <v>4950000</v>
      </c>
      <c r="Q19" s="188">
        <v>0</v>
      </c>
      <c r="R19" s="188">
        <v>108150000</v>
      </c>
      <c r="S19" s="188">
        <v>90000000</v>
      </c>
      <c r="T19" s="188">
        <v>94950000</v>
      </c>
      <c r="U19" s="188">
        <v>90000000</v>
      </c>
      <c r="V19" s="188">
        <v>173487926</v>
      </c>
      <c r="W19" s="188">
        <v>208079235.61000001</v>
      </c>
      <c r="X19" s="188">
        <v>160250000</v>
      </c>
      <c r="Y19" s="188">
        <v>0</v>
      </c>
      <c r="Z19" s="188">
        <v>343475000</v>
      </c>
      <c r="AA19" s="188">
        <v>0</v>
      </c>
      <c r="AB19" s="188">
        <v>0</v>
      </c>
      <c r="AC19" s="188">
        <v>0</v>
      </c>
      <c r="AD19" s="188">
        <v>12875000</v>
      </c>
      <c r="AE19" s="188">
        <v>0</v>
      </c>
      <c r="AF19" s="188">
        <v>0</v>
      </c>
      <c r="AG19" s="188">
        <v>0</v>
      </c>
      <c r="AH19" s="188">
        <v>20350000</v>
      </c>
      <c r="AI19" s="188">
        <v>64188321.219999999</v>
      </c>
      <c r="AJ19" s="188">
        <v>73733586.170000002</v>
      </c>
      <c r="AK19" s="188">
        <v>8000000</v>
      </c>
      <c r="AL19" s="188">
        <v>33430000</v>
      </c>
      <c r="AM19" s="188">
        <v>58485128.350000001</v>
      </c>
      <c r="AN19" s="188">
        <v>0</v>
      </c>
      <c r="AO19" s="188">
        <v>0</v>
      </c>
      <c r="AP19" s="188">
        <v>18810000</v>
      </c>
      <c r="AQ19" s="188">
        <v>75547.41</v>
      </c>
      <c r="AR19" s="188">
        <v>0</v>
      </c>
      <c r="AS19" s="188">
        <v>0</v>
      </c>
      <c r="AT19" s="188">
        <v>11250000</v>
      </c>
      <c r="AU19" s="188">
        <v>0</v>
      </c>
      <c r="AV19" s="188">
        <v>5625000</v>
      </c>
      <c r="AW19" s="188">
        <v>0</v>
      </c>
      <c r="AX19" s="188">
        <v>47892803.259999998</v>
      </c>
      <c r="AY19" s="188">
        <v>0</v>
      </c>
      <c r="AZ19" s="188">
        <v>0</v>
      </c>
      <c r="BA19" s="188">
        <v>240000</v>
      </c>
      <c r="BB19" s="188">
        <v>16685655.039999999</v>
      </c>
      <c r="BC19" s="188">
        <v>0</v>
      </c>
      <c r="BD19" s="188">
        <v>0</v>
      </c>
      <c r="BE19" s="188">
        <v>284000</v>
      </c>
      <c r="BF19" s="188">
        <v>0</v>
      </c>
      <c r="BG19" s="188">
        <v>2641281.7000000002</v>
      </c>
      <c r="BH19" s="188">
        <v>105500</v>
      </c>
      <c r="BI19" s="188">
        <v>0</v>
      </c>
      <c r="BJ19" s="188">
        <v>35282482.530000001</v>
      </c>
      <c r="BK19" s="188">
        <v>28383822.43</v>
      </c>
      <c r="BL19" s="188">
        <v>0</v>
      </c>
      <c r="BM19" s="188">
        <v>0</v>
      </c>
      <c r="BN19" s="188">
        <v>69338983.060000002</v>
      </c>
      <c r="BO19" s="188">
        <v>32469097.309999999</v>
      </c>
      <c r="BP19" s="188">
        <v>0</v>
      </c>
      <c r="BQ19" s="188">
        <v>185600.1</v>
      </c>
      <c r="BR19" s="188">
        <v>3987156.06</v>
      </c>
      <c r="BS19" s="188">
        <v>0</v>
      </c>
      <c r="BT19" s="188">
        <v>0</v>
      </c>
      <c r="BU19" s="188">
        <v>0</v>
      </c>
      <c r="BV19" s="188">
        <v>1967222364.01</v>
      </c>
      <c r="BW19" s="188">
        <v>0</v>
      </c>
    </row>
    <row r="20" spans="1:75">
      <c r="A20" s="188" t="s">
        <v>236</v>
      </c>
      <c r="B20" s="188">
        <v>1510324062.27</v>
      </c>
      <c r="C20" s="188">
        <v>1093562992.73</v>
      </c>
      <c r="D20" s="188">
        <v>832260408.13999999</v>
      </c>
      <c r="E20" s="188">
        <v>1633714705.3</v>
      </c>
      <c r="F20" s="188">
        <v>1146755446.53</v>
      </c>
      <c r="G20" s="188">
        <v>474501680.01999998</v>
      </c>
      <c r="H20" s="188">
        <v>1053191051.4299999</v>
      </c>
      <c r="I20" s="188">
        <v>61202086.229999997</v>
      </c>
      <c r="J20" s="188">
        <v>1144766623.9400001</v>
      </c>
      <c r="K20" s="188">
        <v>538470024.45000005</v>
      </c>
      <c r="L20" s="188">
        <v>617087506.38999999</v>
      </c>
      <c r="M20" s="188">
        <v>67416209.879999995</v>
      </c>
      <c r="N20" s="188">
        <v>618777197.90999997</v>
      </c>
      <c r="O20" s="188">
        <v>247035739.18000001</v>
      </c>
      <c r="P20" s="188">
        <v>158758170.38</v>
      </c>
      <c r="Q20" s="188">
        <v>30229538.899999999</v>
      </c>
      <c r="R20" s="188">
        <v>532457758.63</v>
      </c>
      <c r="S20" s="188">
        <v>353521303.12</v>
      </c>
      <c r="T20" s="188">
        <v>212089383.65000001</v>
      </c>
      <c r="U20" s="188">
        <v>139540439.40000001</v>
      </c>
      <c r="V20" s="188">
        <v>421190367.81999999</v>
      </c>
      <c r="W20" s="188">
        <v>251210826.77000001</v>
      </c>
      <c r="X20" s="188">
        <v>197775405.68000001</v>
      </c>
      <c r="Y20" s="188">
        <v>6032179.6500000004</v>
      </c>
      <c r="Z20" s="188">
        <v>747146926.75</v>
      </c>
      <c r="AA20" s="188">
        <v>369342838.08999997</v>
      </c>
      <c r="AB20" s="188">
        <v>253895213.61000001</v>
      </c>
      <c r="AC20" s="188">
        <v>66764342.049999997</v>
      </c>
      <c r="AD20" s="188">
        <v>324752350.93000001</v>
      </c>
      <c r="AE20" s="188">
        <v>208407460.22</v>
      </c>
      <c r="AF20" s="188">
        <v>20341551.120000001</v>
      </c>
      <c r="AG20" s="188">
        <v>5957559.9900000002</v>
      </c>
      <c r="AH20" s="188">
        <v>330789343.36000001</v>
      </c>
      <c r="AI20" s="188">
        <v>227105958.09</v>
      </c>
      <c r="AJ20" s="188">
        <v>123875140.68000001</v>
      </c>
      <c r="AK20" s="188">
        <v>60231130.649999999</v>
      </c>
      <c r="AL20" s="188">
        <v>546886308.09000003</v>
      </c>
      <c r="AM20" s="188">
        <v>441207161.64999998</v>
      </c>
      <c r="AN20" s="188">
        <v>314054719.32999998</v>
      </c>
      <c r="AO20" s="188">
        <v>230482719.88</v>
      </c>
      <c r="AP20" s="188">
        <v>270624614.20999998</v>
      </c>
      <c r="AQ20" s="188">
        <v>194916147.13</v>
      </c>
      <c r="AR20" s="188">
        <v>87273206.680000007</v>
      </c>
      <c r="AS20" s="188">
        <v>10901567.18</v>
      </c>
      <c r="AT20" s="188">
        <v>245053345.66999999</v>
      </c>
      <c r="AU20" s="188">
        <v>73053432.939999998</v>
      </c>
      <c r="AV20" s="188">
        <v>35711626.789999999</v>
      </c>
      <c r="AW20" s="188">
        <v>13554611.449999999</v>
      </c>
      <c r="AX20" s="188">
        <v>659763965.49000001</v>
      </c>
      <c r="AY20" s="188">
        <v>519160841.26999998</v>
      </c>
      <c r="AZ20" s="188">
        <v>234258627.94</v>
      </c>
      <c r="BA20" s="188">
        <v>88232637.980000004</v>
      </c>
      <c r="BB20" s="188">
        <v>214728245.77000001</v>
      </c>
      <c r="BC20" s="188">
        <v>126949248.8</v>
      </c>
      <c r="BD20" s="188">
        <v>100910606</v>
      </c>
      <c r="BE20" s="188">
        <v>38807481.119999997</v>
      </c>
      <c r="BF20" s="188">
        <v>166986283.66999999</v>
      </c>
      <c r="BG20" s="188">
        <v>120768421.67</v>
      </c>
      <c r="BH20" s="188">
        <v>57711021.43</v>
      </c>
      <c r="BI20" s="188">
        <v>6034035.5999999996</v>
      </c>
      <c r="BJ20" s="188">
        <v>340777983.79000002</v>
      </c>
      <c r="BK20" s="188">
        <v>165247010.03999999</v>
      </c>
      <c r="BL20" s="188">
        <v>165279554.62</v>
      </c>
      <c r="BM20" s="188">
        <v>6051705.7999999998</v>
      </c>
      <c r="BN20" s="188">
        <v>200775554.63999999</v>
      </c>
      <c r="BO20" s="188">
        <v>76477197.030000001</v>
      </c>
      <c r="BP20" s="188">
        <v>108967294.62</v>
      </c>
      <c r="BQ20" s="188">
        <v>66962793.380000003</v>
      </c>
      <c r="BR20" s="188">
        <v>536240303.05000001</v>
      </c>
      <c r="BS20" s="188">
        <v>274317620.23000002</v>
      </c>
      <c r="BT20" s="188">
        <v>269247165.89999998</v>
      </c>
      <c r="BU20" s="188">
        <v>26785287.969999999</v>
      </c>
      <c r="BV20" s="188">
        <v>2054806660.8399999</v>
      </c>
      <c r="BW20" s="188">
        <v>0</v>
      </c>
    </row>
    <row r="21" spans="1:75">
      <c r="A21" s="188" t="s">
        <v>237</v>
      </c>
      <c r="B21" s="188">
        <v>264172522.75</v>
      </c>
      <c r="C21" s="188">
        <v>194787493.34</v>
      </c>
      <c r="D21" s="188">
        <v>124779699.81999999</v>
      </c>
      <c r="E21" s="188">
        <v>69487989.120000005</v>
      </c>
      <c r="F21" s="188">
        <v>170487002.40000001</v>
      </c>
      <c r="G21" s="188">
        <v>106370490.7</v>
      </c>
      <c r="H21" s="188">
        <v>75033359.260000005</v>
      </c>
      <c r="I21" s="188">
        <v>26341863.579999998</v>
      </c>
      <c r="J21" s="188">
        <v>500609308.82999998</v>
      </c>
      <c r="K21" s="188">
        <v>506053651.13</v>
      </c>
      <c r="L21" s="188">
        <v>467892105.51999998</v>
      </c>
      <c r="M21" s="188">
        <v>331928681.10000002</v>
      </c>
      <c r="N21" s="188">
        <v>382726741.54000002</v>
      </c>
      <c r="O21" s="188">
        <v>235688552.78</v>
      </c>
      <c r="P21" s="188">
        <v>175824016.66999999</v>
      </c>
      <c r="Q21" s="188">
        <v>91439220.260000005</v>
      </c>
      <c r="R21" s="188">
        <v>478732141.14999998</v>
      </c>
      <c r="S21" s="188">
        <v>301442605.58999997</v>
      </c>
      <c r="T21" s="188">
        <v>141598042.44</v>
      </c>
      <c r="U21" s="188">
        <v>73014905.510000005</v>
      </c>
      <c r="V21" s="188">
        <v>338010590.17000002</v>
      </c>
      <c r="W21" s="188">
        <v>204949931.97999999</v>
      </c>
      <c r="X21" s="188">
        <v>144699280.11000001</v>
      </c>
      <c r="Y21" s="188">
        <v>65920338.539999999</v>
      </c>
      <c r="Z21" s="188">
        <v>509898004.13999999</v>
      </c>
      <c r="AA21" s="188">
        <v>176057238.34</v>
      </c>
      <c r="AB21" s="188">
        <v>154938344.13999999</v>
      </c>
      <c r="AC21" s="188">
        <v>56666351.909999996</v>
      </c>
      <c r="AD21" s="188">
        <v>186359526.97999999</v>
      </c>
      <c r="AE21" s="188">
        <v>123961273.81</v>
      </c>
      <c r="AF21" s="188">
        <v>93124807.310000002</v>
      </c>
      <c r="AG21" s="188">
        <v>55242032.75</v>
      </c>
      <c r="AH21" s="188">
        <v>291699748.41000003</v>
      </c>
      <c r="AI21" s="188">
        <v>231005153.43000001</v>
      </c>
      <c r="AJ21" s="188">
        <v>143855996.90000001</v>
      </c>
      <c r="AK21" s="188">
        <v>72247652.370000005</v>
      </c>
      <c r="AL21" s="188">
        <v>204457321.28999999</v>
      </c>
      <c r="AM21" s="188">
        <v>151200628.47</v>
      </c>
      <c r="AN21" s="188">
        <v>111639208</v>
      </c>
      <c r="AO21" s="188">
        <v>62593595.009999998</v>
      </c>
      <c r="AP21" s="188">
        <v>345652483.20999998</v>
      </c>
      <c r="AQ21" s="188">
        <v>199681821.16999999</v>
      </c>
      <c r="AR21" s="188">
        <v>139663042.84999999</v>
      </c>
      <c r="AS21" s="188">
        <v>88049770.170000002</v>
      </c>
      <c r="AT21" s="188">
        <v>203188800.21000001</v>
      </c>
      <c r="AU21" s="188">
        <v>136073823.53999999</v>
      </c>
      <c r="AV21" s="188">
        <v>69585030.430000007</v>
      </c>
      <c r="AW21" s="188">
        <v>30403694.079999998</v>
      </c>
      <c r="AX21" s="188">
        <v>160167896.80000001</v>
      </c>
      <c r="AY21" s="188">
        <v>123603970.64</v>
      </c>
      <c r="AZ21" s="188">
        <v>79998360.459999993</v>
      </c>
      <c r="BA21" s="188">
        <v>41913112.189999998</v>
      </c>
      <c r="BB21" s="188">
        <v>195376724.21000001</v>
      </c>
      <c r="BC21" s="188">
        <v>136856093.28999999</v>
      </c>
      <c r="BD21" s="188">
        <v>109754391.25</v>
      </c>
      <c r="BE21" s="188">
        <v>11621109.43</v>
      </c>
      <c r="BF21" s="188">
        <v>179871623.03999999</v>
      </c>
      <c r="BG21" s="188">
        <v>60186089.049999997</v>
      </c>
      <c r="BH21" s="188">
        <v>35360561.850000001</v>
      </c>
      <c r="BI21" s="188">
        <v>22426882.170000002</v>
      </c>
      <c r="BJ21" s="188">
        <v>238481768.24000001</v>
      </c>
      <c r="BK21" s="188">
        <v>76763229.650000006</v>
      </c>
      <c r="BL21" s="188">
        <v>62749809.329999998</v>
      </c>
      <c r="BM21" s="188">
        <v>15069822.77</v>
      </c>
      <c r="BN21" s="188">
        <v>104045321.84</v>
      </c>
      <c r="BO21" s="188">
        <v>21510169.949999999</v>
      </c>
      <c r="BP21" s="188">
        <v>58085745.119999997</v>
      </c>
      <c r="BQ21" s="188">
        <v>18871331.609999999</v>
      </c>
      <c r="BR21" s="188">
        <v>107928539.29000001</v>
      </c>
      <c r="BS21" s="188">
        <v>41474775.710000001</v>
      </c>
      <c r="BT21" s="188">
        <v>77554299.430000007</v>
      </c>
      <c r="BU21" s="188">
        <v>5948169.1900000004</v>
      </c>
      <c r="BV21" s="188">
        <v>1672351.66</v>
      </c>
      <c r="BW21" s="188">
        <v>0</v>
      </c>
    </row>
    <row r="22" spans="1:75">
      <c r="A22" s="188" t="s">
        <v>238</v>
      </c>
      <c r="B22" s="188">
        <v>0</v>
      </c>
      <c r="C22" s="188">
        <v>0</v>
      </c>
      <c r="D22" s="188">
        <v>0</v>
      </c>
      <c r="E22" s="188">
        <v>0</v>
      </c>
      <c r="F22" s="188">
        <v>22767200</v>
      </c>
      <c r="G22" s="188">
        <v>0</v>
      </c>
      <c r="H22" s="188">
        <v>0</v>
      </c>
      <c r="I22" s="188">
        <v>0</v>
      </c>
      <c r="J22" s="188">
        <v>40013760</v>
      </c>
      <c r="K22" s="188">
        <v>40013760</v>
      </c>
      <c r="L22" s="188">
        <v>21638760</v>
      </c>
      <c r="M22" s="188">
        <v>21638760</v>
      </c>
      <c r="N22" s="188">
        <v>0</v>
      </c>
      <c r="O22" s="188">
        <v>0</v>
      </c>
      <c r="P22" s="188">
        <v>0</v>
      </c>
      <c r="Q22" s="188">
        <v>0</v>
      </c>
      <c r="R22" s="188">
        <v>0</v>
      </c>
      <c r="S22" s="188">
        <v>0</v>
      </c>
      <c r="T22" s="188">
        <v>0</v>
      </c>
      <c r="U22" s="188">
        <v>0</v>
      </c>
      <c r="V22" s="188">
        <v>6060916</v>
      </c>
      <c r="W22" s="188">
        <v>23146876</v>
      </c>
      <c r="X22" s="188">
        <v>4000000</v>
      </c>
      <c r="Y22" s="188">
        <v>0</v>
      </c>
      <c r="Z22" s="188">
        <v>621095392</v>
      </c>
      <c r="AA22" s="188">
        <v>50035392</v>
      </c>
      <c r="AB22" s="188">
        <v>24934140</v>
      </c>
      <c r="AC22" s="188">
        <v>24934140</v>
      </c>
      <c r="AD22" s="188">
        <v>178886363.59999999</v>
      </c>
      <c r="AE22" s="188">
        <v>145513067.59999999</v>
      </c>
      <c r="AF22" s="188">
        <v>145513067.59999999</v>
      </c>
      <c r="AG22" s="188">
        <v>0</v>
      </c>
      <c r="AH22" s="188">
        <v>1065249</v>
      </c>
      <c r="AI22" s="188">
        <v>1065249</v>
      </c>
      <c r="AJ22" s="188">
        <v>1065249</v>
      </c>
      <c r="AK22" s="188">
        <v>0</v>
      </c>
      <c r="AL22" s="188">
        <v>48600448.390000001</v>
      </c>
      <c r="AM22" s="188">
        <v>332318527.56</v>
      </c>
      <c r="AN22" s="188">
        <v>135300612.93000001</v>
      </c>
      <c r="AO22" s="188">
        <v>0</v>
      </c>
      <c r="AP22" s="188">
        <v>0</v>
      </c>
      <c r="AQ22" s="188">
        <v>0</v>
      </c>
      <c r="AR22" s="188">
        <v>0</v>
      </c>
      <c r="AS22" s="188">
        <v>0</v>
      </c>
      <c r="AT22" s="188">
        <v>233337646.5</v>
      </c>
      <c r="AU22" s="188">
        <v>236246014.47999999</v>
      </c>
      <c r="AV22" s="188">
        <v>0</v>
      </c>
      <c r="AW22" s="188">
        <v>0</v>
      </c>
      <c r="AX22" s="188">
        <v>459535927.75</v>
      </c>
      <c r="AY22" s="188">
        <v>194245268.24000001</v>
      </c>
      <c r="AZ22" s="188">
        <v>50479268.240000002</v>
      </c>
      <c r="BA22" s="188">
        <v>0</v>
      </c>
      <c r="BB22" s="188">
        <v>20471041.780000001</v>
      </c>
      <c r="BC22" s="188">
        <v>14071041.779999999</v>
      </c>
      <c r="BD22" s="188">
        <v>14071041.779999999</v>
      </c>
      <c r="BE22" s="188">
        <v>0</v>
      </c>
      <c r="BF22" s="188">
        <v>188048678.69</v>
      </c>
      <c r="BG22" s="188">
        <v>161945142</v>
      </c>
      <c r="BH22" s="188">
        <v>0</v>
      </c>
      <c r="BI22" s="188">
        <v>0</v>
      </c>
      <c r="BJ22" s="188">
        <v>63797217</v>
      </c>
      <c r="BK22" s="188">
        <v>63797217</v>
      </c>
      <c r="BL22" s="188">
        <v>33000000</v>
      </c>
      <c r="BM22" s="188">
        <v>0</v>
      </c>
      <c r="BN22" s="188">
        <v>14550000</v>
      </c>
      <c r="BO22" s="188">
        <v>1833035.57</v>
      </c>
      <c r="BP22" s="188">
        <v>344618028</v>
      </c>
      <c r="BQ22" s="188">
        <v>160456190</v>
      </c>
      <c r="BR22" s="188">
        <v>58479259.020000003</v>
      </c>
      <c r="BS22" s="188">
        <v>261740000</v>
      </c>
      <c r="BT22" s="188">
        <v>1862251764.1800001</v>
      </c>
      <c r="BU22" s="188">
        <v>0</v>
      </c>
      <c r="BV22" s="188">
        <v>110863264.86</v>
      </c>
      <c r="BW22" s="188">
        <v>0</v>
      </c>
    </row>
    <row r="23" spans="1:75">
      <c r="A23" s="188" t="s">
        <v>239</v>
      </c>
      <c r="B23" s="188">
        <v>0</v>
      </c>
      <c r="C23" s="188">
        <v>0</v>
      </c>
      <c r="D23" s="188">
        <v>0</v>
      </c>
      <c r="E23" s="188">
        <v>0</v>
      </c>
      <c r="F23" s="188">
        <v>0</v>
      </c>
      <c r="G23" s="188">
        <v>0</v>
      </c>
      <c r="H23" s="188">
        <v>0</v>
      </c>
      <c r="I23" s="188">
        <v>0</v>
      </c>
      <c r="J23" s="188">
        <v>0</v>
      </c>
      <c r="K23" s="188">
        <v>0</v>
      </c>
      <c r="L23" s="188">
        <v>0</v>
      </c>
      <c r="M23" s="188">
        <v>0</v>
      </c>
      <c r="N23" s="188">
        <v>64294076.009999998</v>
      </c>
      <c r="O23" s="188">
        <v>0</v>
      </c>
      <c r="P23" s="188">
        <v>0</v>
      </c>
      <c r="Q23" s="188">
        <v>0</v>
      </c>
      <c r="R23" s="188">
        <v>2406835.14</v>
      </c>
      <c r="S23" s="188">
        <v>0</v>
      </c>
      <c r="T23" s="188">
        <v>0</v>
      </c>
      <c r="U23" s="188">
        <v>0</v>
      </c>
      <c r="V23" s="188">
        <v>61910349.130000003</v>
      </c>
      <c r="W23" s="188">
        <v>67399978.109999999</v>
      </c>
      <c r="X23" s="188">
        <v>60105353.490000002</v>
      </c>
      <c r="Y23" s="188">
        <v>0</v>
      </c>
      <c r="Z23" s="188">
        <v>97835647.530000001</v>
      </c>
      <c r="AA23" s="188">
        <v>571060000</v>
      </c>
      <c r="AB23" s="188">
        <v>0</v>
      </c>
      <c r="AC23" s="188">
        <v>0</v>
      </c>
      <c r="AD23" s="188">
        <v>0</v>
      </c>
      <c r="AE23" s="188">
        <v>0</v>
      </c>
      <c r="AF23" s="188">
        <v>0</v>
      </c>
      <c r="AG23" s="188">
        <v>0</v>
      </c>
      <c r="AH23" s="188">
        <v>0</v>
      </c>
      <c r="AI23" s="188">
        <v>0</v>
      </c>
      <c r="AJ23" s="188">
        <v>0</v>
      </c>
      <c r="AK23" s="188">
        <v>0</v>
      </c>
      <c r="AL23" s="188">
        <v>227256611.59</v>
      </c>
      <c r="AM23" s="188">
        <v>0</v>
      </c>
      <c r="AN23" s="188">
        <v>0</v>
      </c>
      <c r="AO23" s="188">
        <v>0</v>
      </c>
      <c r="AP23" s="188">
        <v>0</v>
      </c>
      <c r="AQ23" s="188">
        <v>0</v>
      </c>
      <c r="AR23" s="188">
        <v>0</v>
      </c>
      <c r="AS23" s="188">
        <v>0</v>
      </c>
      <c r="AT23" s="188">
        <v>0</v>
      </c>
      <c r="AU23" s="188">
        <v>0</v>
      </c>
      <c r="AV23" s="188">
        <v>231337646.5</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c r="BS23" s="188">
        <v>0</v>
      </c>
      <c r="BT23" s="188">
        <v>0</v>
      </c>
      <c r="BU23" s="188">
        <v>0</v>
      </c>
      <c r="BV23" s="188">
        <v>0</v>
      </c>
      <c r="BW23" s="188">
        <v>0</v>
      </c>
    </row>
    <row r="24" spans="1:75">
      <c r="A24" s="188" t="s">
        <v>240</v>
      </c>
      <c r="B24" s="188">
        <v>0</v>
      </c>
      <c r="C24" s="188">
        <v>0</v>
      </c>
      <c r="D24" s="188">
        <v>0</v>
      </c>
      <c r="E24" s="188">
        <v>0</v>
      </c>
      <c r="F24" s="188">
        <v>1474225.45</v>
      </c>
      <c r="G24" s="188">
        <v>1475237.66</v>
      </c>
      <c r="H24" s="188">
        <v>1213448.54</v>
      </c>
      <c r="I24" s="188">
        <v>975128.15</v>
      </c>
      <c r="J24" s="188">
        <v>5179041.67</v>
      </c>
      <c r="K24" s="188">
        <v>11137148.17</v>
      </c>
      <c r="L24" s="188">
        <v>8352006.9000000004</v>
      </c>
      <c r="M24" s="188">
        <v>7768434.7999999998</v>
      </c>
      <c r="N24" s="188">
        <v>231431929.33000001</v>
      </c>
      <c r="O24" s="188">
        <v>21111580.920000002</v>
      </c>
      <c r="P24" s="188">
        <v>28784328.739999998</v>
      </c>
      <c r="Q24" s="188">
        <v>5733039.4199999999</v>
      </c>
      <c r="R24" s="188">
        <v>41080704.850000001</v>
      </c>
      <c r="S24" s="188">
        <v>35039632.200000003</v>
      </c>
      <c r="T24" s="188">
        <v>40307244.740000002</v>
      </c>
      <c r="U24" s="188">
        <v>21595005.43</v>
      </c>
      <c r="V24" s="188">
        <v>53974383.460000001</v>
      </c>
      <c r="W24" s="188">
        <v>0</v>
      </c>
      <c r="X24" s="188">
        <v>0</v>
      </c>
      <c r="Y24" s="188">
        <v>0</v>
      </c>
      <c r="Z24" s="188">
        <v>57405890.890000001</v>
      </c>
      <c r="AA24" s="188">
        <v>0</v>
      </c>
      <c r="AB24" s="188">
        <v>84921533.810000002</v>
      </c>
      <c r="AC24" s="188">
        <v>88897015.629999995</v>
      </c>
      <c r="AD24" s="188">
        <v>0</v>
      </c>
      <c r="AE24" s="188">
        <v>0</v>
      </c>
      <c r="AF24" s="188">
        <v>0</v>
      </c>
      <c r="AG24" s="188">
        <v>0</v>
      </c>
      <c r="AH24" s="188">
        <v>0</v>
      </c>
      <c r="AI24" s="188">
        <v>0</v>
      </c>
      <c r="AJ24" s="188">
        <v>0</v>
      </c>
      <c r="AK24" s="188">
        <v>0</v>
      </c>
      <c r="AL24" s="188">
        <v>50000000</v>
      </c>
      <c r="AM24" s="188">
        <v>0</v>
      </c>
      <c r="AN24" s="188">
        <v>0</v>
      </c>
      <c r="AO24" s="188">
        <v>0</v>
      </c>
      <c r="AP24" s="188">
        <v>0</v>
      </c>
      <c r="AQ24" s="188">
        <v>5411415.5800000001</v>
      </c>
      <c r="AR24" s="188">
        <v>3640710.51</v>
      </c>
      <c r="AS24" s="188">
        <v>6587674.6600000001</v>
      </c>
      <c r="AT24" s="188">
        <v>0</v>
      </c>
      <c r="AU24" s="188">
        <v>0</v>
      </c>
      <c r="AV24" s="188">
        <v>0</v>
      </c>
      <c r="AW24" s="188">
        <v>0</v>
      </c>
      <c r="AX24" s="188">
        <v>0</v>
      </c>
      <c r="AY24" s="188">
        <v>1735400.19</v>
      </c>
      <c r="AZ24" s="188">
        <v>0</v>
      </c>
      <c r="BA24" s="188">
        <v>4881010.03</v>
      </c>
      <c r="BB24" s="188">
        <v>0</v>
      </c>
      <c r="BC24" s="188">
        <v>0</v>
      </c>
      <c r="BD24" s="188">
        <v>0</v>
      </c>
      <c r="BE24" s="188">
        <v>0</v>
      </c>
      <c r="BF24" s="188">
        <v>48186224.600000001</v>
      </c>
      <c r="BG24" s="188">
        <v>14000</v>
      </c>
      <c r="BH24" s="188">
        <v>0</v>
      </c>
      <c r="BI24" s="188">
        <v>0</v>
      </c>
      <c r="BJ24" s="188">
        <v>199600.81</v>
      </c>
      <c r="BK24" s="188">
        <v>3000000</v>
      </c>
      <c r="BL24" s="188">
        <v>0</v>
      </c>
      <c r="BM24" s="188">
        <v>0</v>
      </c>
      <c r="BN24" s="188">
        <v>0</v>
      </c>
      <c r="BO24" s="188">
        <v>0</v>
      </c>
      <c r="BP24" s="188">
        <v>0</v>
      </c>
      <c r="BQ24" s="188">
        <v>17295810</v>
      </c>
      <c r="BR24" s="188">
        <v>403031484</v>
      </c>
      <c r="BS24" s="188">
        <v>0</v>
      </c>
      <c r="BT24" s="188">
        <v>0</v>
      </c>
      <c r="BU24" s="188">
        <v>2610000</v>
      </c>
      <c r="BV24" s="188">
        <v>1321259.9099999999</v>
      </c>
      <c r="BW24" s="188">
        <v>0</v>
      </c>
    </row>
    <row r="25" spans="1:75">
      <c r="A25" s="188" t="s">
        <v>241</v>
      </c>
      <c r="B25" s="188">
        <v>264172522.75</v>
      </c>
      <c r="C25" s="188">
        <v>194787493.34</v>
      </c>
      <c r="D25" s="188">
        <v>124779699.81999999</v>
      </c>
      <c r="E25" s="188">
        <v>69487989.120000005</v>
      </c>
      <c r="F25" s="188">
        <v>194728427.84999999</v>
      </c>
      <c r="G25" s="188">
        <v>107845728.36</v>
      </c>
      <c r="H25" s="188">
        <v>76246807.799999997</v>
      </c>
      <c r="I25" s="188">
        <v>27316991.73</v>
      </c>
      <c r="J25" s="188">
        <v>545802110.5</v>
      </c>
      <c r="K25" s="188">
        <v>557204559.29999995</v>
      </c>
      <c r="L25" s="188">
        <v>497882872.42000002</v>
      </c>
      <c r="M25" s="188">
        <v>361335875.89999998</v>
      </c>
      <c r="N25" s="188">
        <v>678452746.88</v>
      </c>
      <c r="O25" s="188">
        <v>256800133.69999999</v>
      </c>
      <c r="P25" s="188">
        <v>204608345.41</v>
      </c>
      <c r="Q25" s="188">
        <v>97172259.680000007</v>
      </c>
      <c r="R25" s="188">
        <v>522219681.13999999</v>
      </c>
      <c r="S25" s="188">
        <v>336482237.79000002</v>
      </c>
      <c r="T25" s="188">
        <v>181905287.18000001</v>
      </c>
      <c r="U25" s="188">
        <v>94609910.939999998</v>
      </c>
      <c r="V25" s="188">
        <v>459956238.75999999</v>
      </c>
      <c r="W25" s="188">
        <v>295496786.08999997</v>
      </c>
      <c r="X25" s="188">
        <v>208804633.59999999</v>
      </c>
      <c r="Y25" s="188">
        <v>65920338.539999999</v>
      </c>
      <c r="Z25" s="188">
        <v>1286234934.5599999</v>
      </c>
      <c r="AA25" s="188">
        <v>797152630.34000003</v>
      </c>
      <c r="AB25" s="188">
        <v>264794017.94999999</v>
      </c>
      <c r="AC25" s="188">
        <v>170497507.53999999</v>
      </c>
      <c r="AD25" s="188">
        <v>365245890.57999998</v>
      </c>
      <c r="AE25" s="188">
        <v>269474341.41000003</v>
      </c>
      <c r="AF25" s="188">
        <v>238637874.91</v>
      </c>
      <c r="AG25" s="188">
        <v>55242032.75</v>
      </c>
      <c r="AH25" s="188">
        <v>292764997.41000003</v>
      </c>
      <c r="AI25" s="188">
        <v>232070402.43000001</v>
      </c>
      <c r="AJ25" s="188">
        <v>144921245.90000001</v>
      </c>
      <c r="AK25" s="188">
        <v>72247652.370000005</v>
      </c>
      <c r="AL25" s="188">
        <v>530314381.26999998</v>
      </c>
      <c r="AM25" s="188">
        <v>483519156.02999997</v>
      </c>
      <c r="AN25" s="188">
        <v>246939820.93000001</v>
      </c>
      <c r="AO25" s="188">
        <v>62593595.009999998</v>
      </c>
      <c r="AP25" s="188">
        <v>345652483.20999998</v>
      </c>
      <c r="AQ25" s="188">
        <v>205093236.75</v>
      </c>
      <c r="AR25" s="188">
        <v>143303753.36000001</v>
      </c>
      <c r="AS25" s="188">
        <v>94637444.829999998</v>
      </c>
      <c r="AT25" s="188">
        <v>436526446.70999998</v>
      </c>
      <c r="AU25" s="188">
        <v>372319838.01999998</v>
      </c>
      <c r="AV25" s="188">
        <v>300922676.93000001</v>
      </c>
      <c r="AW25" s="188">
        <v>30403694.079999998</v>
      </c>
      <c r="AX25" s="188">
        <v>619703824.54999995</v>
      </c>
      <c r="AY25" s="188">
        <v>319584639.06999999</v>
      </c>
      <c r="AZ25" s="188">
        <v>130477628.7</v>
      </c>
      <c r="BA25" s="188">
        <v>46794122.219999999</v>
      </c>
      <c r="BB25" s="188">
        <v>215847765.99000001</v>
      </c>
      <c r="BC25" s="188">
        <v>150927135.06999999</v>
      </c>
      <c r="BD25" s="188">
        <v>123825433.03</v>
      </c>
      <c r="BE25" s="188">
        <v>11621109.43</v>
      </c>
      <c r="BF25" s="188">
        <v>416106526.32999998</v>
      </c>
      <c r="BG25" s="188">
        <v>222145231.05000001</v>
      </c>
      <c r="BH25" s="188">
        <v>35360561.850000001</v>
      </c>
      <c r="BI25" s="188">
        <v>22426882.170000002</v>
      </c>
      <c r="BJ25" s="188">
        <v>302478586.05000001</v>
      </c>
      <c r="BK25" s="188">
        <v>143560446.65000001</v>
      </c>
      <c r="BL25" s="188">
        <v>95749809.329999998</v>
      </c>
      <c r="BM25" s="188">
        <v>15069822.77</v>
      </c>
      <c r="BN25" s="188">
        <v>118595321.84</v>
      </c>
      <c r="BO25" s="188">
        <v>23343205.52</v>
      </c>
      <c r="BP25" s="188">
        <v>402703773.12</v>
      </c>
      <c r="BQ25" s="188">
        <v>196623331.61000001</v>
      </c>
      <c r="BR25" s="188">
        <v>569439282.30999994</v>
      </c>
      <c r="BS25" s="188">
        <v>303214775.70999998</v>
      </c>
      <c r="BT25" s="188">
        <v>1008680181.52</v>
      </c>
      <c r="BU25" s="188">
        <v>8558169.1899999995</v>
      </c>
      <c r="BV25" s="188">
        <v>58425244</v>
      </c>
      <c r="BW25" s="188">
        <v>0</v>
      </c>
    </row>
    <row r="26" spans="1:75">
      <c r="A26" s="188" t="s">
        <v>242</v>
      </c>
      <c r="B26" s="188">
        <v>1246151539.52</v>
      </c>
      <c r="C26" s="188">
        <v>898775499.38999999</v>
      </c>
      <c r="D26" s="188">
        <v>707480708.32000005</v>
      </c>
      <c r="E26" s="188">
        <v>1564226716.1800001</v>
      </c>
      <c r="F26" s="188">
        <v>952027018.67999995</v>
      </c>
      <c r="G26" s="188">
        <v>366655951.66000003</v>
      </c>
      <c r="H26" s="188">
        <v>976944243.63</v>
      </c>
      <c r="I26" s="188">
        <v>33885094.5</v>
      </c>
      <c r="J26" s="188">
        <v>598964513.44000006</v>
      </c>
      <c r="K26" s="188">
        <v>-18734534.850000001</v>
      </c>
      <c r="L26" s="188">
        <v>119204633.97</v>
      </c>
      <c r="M26" s="188">
        <v>-293919666.01999998</v>
      </c>
      <c r="N26" s="188">
        <v>-59675548.969999999</v>
      </c>
      <c r="O26" s="188">
        <v>-9764394.5199999996</v>
      </c>
      <c r="P26" s="188">
        <v>-45850175.030000001</v>
      </c>
      <c r="Q26" s="188">
        <v>-66942720.780000001</v>
      </c>
      <c r="R26" s="188">
        <v>10238077.49</v>
      </c>
      <c r="S26" s="188">
        <v>17039065.329999998</v>
      </c>
      <c r="T26" s="188">
        <v>30184096.469999999</v>
      </c>
      <c r="U26" s="188">
        <v>44930528.460000001</v>
      </c>
      <c r="V26" s="188">
        <v>-38765870.939999998</v>
      </c>
      <c r="W26" s="188">
        <v>-44285959.32</v>
      </c>
      <c r="X26" s="188">
        <v>-11029227.92</v>
      </c>
      <c r="Y26" s="188">
        <v>-59888158.890000001</v>
      </c>
      <c r="Z26" s="188">
        <v>-539088007.80999994</v>
      </c>
      <c r="AA26" s="188">
        <v>-427809792.25</v>
      </c>
      <c r="AB26" s="188">
        <v>-10898804.34</v>
      </c>
      <c r="AC26" s="188">
        <v>-103733165.48999999</v>
      </c>
      <c r="AD26" s="188">
        <v>-40493539.649999999</v>
      </c>
      <c r="AE26" s="188">
        <v>-61066881.189999998</v>
      </c>
      <c r="AF26" s="188">
        <v>-218296323.78999999</v>
      </c>
      <c r="AG26" s="188">
        <v>-49284472.759999998</v>
      </c>
      <c r="AH26" s="188">
        <v>38024345.950000003</v>
      </c>
      <c r="AI26" s="188">
        <v>-4964444.34</v>
      </c>
      <c r="AJ26" s="188">
        <v>-21046105.219999999</v>
      </c>
      <c r="AK26" s="188">
        <v>-12016521.720000001</v>
      </c>
      <c r="AL26" s="188">
        <v>16571926.82</v>
      </c>
      <c r="AM26" s="188">
        <v>-42311994.380000003</v>
      </c>
      <c r="AN26" s="188">
        <v>67114898.400000006</v>
      </c>
      <c r="AO26" s="188">
        <v>167889124.87</v>
      </c>
      <c r="AP26" s="188">
        <v>-75027869</v>
      </c>
      <c r="AQ26" s="188">
        <v>-10177089.619999999</v>
      </c>
      <c r="AR26" s="188">
        <v>-56030546.68</v>
      </c>
      <c r="AS26" s="188">
        <v>-83735877.650000006</v>
      </c>
      <c r="AT26" s="188">
        <v>-191473101.03999999</v>
      </c>
      <c r="AU26" s="188">
        <v>-299266405.07999998</v>
      </c>
      <c r="AV26" s="188">
        <v>-265211050.13999999</v>
      </c>
      <c r="AW26" s="188">
        <v>-16849082.629999999</v>
      </c>
      <c r="AX26" s="188">
        <v>40060140.939999998</v>
      </c>
      <c r="AY26" s="188">
        <v>199576202.19999999</v>
      </c>
      <c r="AZ26" s="188">
        <v>103780999.23999999</v>
      </c>
      <c r="BA26" s="188">
        <v>41438515.759999998</v>
      </c>
      <c r="BB26" s="188">
        <v>-1119520.22</v>
      </c>
      <c r="BC26" s="188">
        <v>-23977886.27</v>
      </c>
      <c r="BD26" s="188">
        <v>-22914827.030000001</v>
      </c>
      <c r="BE26" s="188">
        <v>27186371.690000001</v>
      </c>
      <c r="BF26" s="188">
        <v>-249120242.66</v>
      </c>
      <c r="BG26" s="188">
        <v>-101376809.38</v>
      </c>
      <c r="BH26" s="188">
        <v>22350459.579999998</v>
      </c>
      <c r="BI26" s="188">
        <v>-16392846.57</v>
      </c>
      <c r="BJ26" s="188">
        <v>38299397.740000002</v>
      </c>
      <c r="BK26" s="188">
        <v>21686563.390000001</v>
      </c>
      <c r="BL26" s="188">
        <v>69529745.290000007</v>
      </c>
      <c r="BM26" s="188">
        <v>-9018116.9700000007</v>
      </c>
      <c r="BN26" s="188">
        <v>82180232.799999997</v>
      </c>
      <c r="BO26" s="188">
        <v>53133991.509999998</v>
      </c>
      <c r="BP26" s="188">
        <v>-293736478.5</v>
      </c>
      <c r="BQ26" s="188">
        <v>-129660538.23</v>
      </c>
      <c r="BR26" s="188">
        <v>-33198979.260000002</v>
      </c>
      <c r="BS26" s="188">
        <v>-28897155.48</v>
      </c>
      <c r="BT26" s="188">
        <v>-739433015.62</v>
      </c>
      <c r="BU26" s="188">
        <v>18227118.780000001</v>
      </c>
      <c r="BV26" s="188">
        <v>1996381416.8399999</v>
      </c>
      <c r="BW26" s="188">
        <v>0</v>
      </c>
    </row>
    <row r="27" spans="1:75">
      <c r="A27" s="188" t="s">
        <v>243</v>
      </c>
    </row>
    <row r="28" spans="1:75">
      <c r="A28" s="188" t="s">
        <v>244</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4220946.96</v>
      </c>
      <c r="S28" s="188">
        <v>4220946.96</v>
      </c>
      <c r="T28" s="188">
        <v>0</v>
      </c>
      <c r="U28" s="188">
        <v>0</v>
      </c>
      <c r="V28" s="188">
        <v>0</v>
      </c>
      <c r="W28" s="188">
        <v>0</v>
      </c>
      <c r="X28" s="188">
        <v>0</v>
      </c>
      <c r="Y28" s="188">
        <v>0</v>
      </c>
      <c r="Z28" s="188">
        <v>0</v>
      </c>
      <c r="AA28" s="188">
        <v>0</v>
      </c>
      <c r="AB28" s="188">
        <v>0</v>
      </c>
      <c r="AC28" s="188">
        <v>0</v>
      </c>
      <c r="AD28" s="188">
        <v>3681592.75</v>
      </c>
      <c r="AE28" s="188">
        <v>0</v>
      </c>
      <c r="AF28" s="188">
        <v>0</v>
      </c>
      <c r="AG28" s="188">
        <v>0</v>
      </c>
      <c r="AH28" s="188">
        <v>0</v>
      </c>
      <c r="AI28" s="188">
        <v>0</v>
      </c>
      <c r="AJ28" s="188">
        <v>0</v>
      </c>
      <c r="AK28" s="188">
        <v>0</v>
      </c>
      <c r="AL28" s="188">
        <v>6252000</v>
      </c>
      <c r="AM28" s="188">
        <v>6252000</v>
      </c>
      <c r="AN28" s="188">
        <v>0</v>
      </c>
      <c r="AO28" s="188">
        <v>0</v>
      </c>
      <c r="AP28" s="188">
        <v>0</v>
      </c>
      <c r="AQ28" s="188">
        <v>0</v>
      </c>
      <c r="AR28" s="188">
        <v>0</v>
      </c>
      <c r="AS28" s="188">
        <v>0</v>
      </c>
      <c r="AT28" s="188">
        <v>0</v>
      </c>
      <c r="AU28" s="188">
        <v>0</v>
      </c>
      <c r="AV28" s="188">
        <v>0</v>
      </c>
      <c r="AW28" s="188">
        <v>0</v>
      </c>
      <c r="AX28" s="188">
        <v>9750000</v>
      </c>
      <c r="AY28" s="188">
        <v>9750000</v>
      </c>
      <c r="AZ28" s="188">
        <v>9750000</v>
      </c>
      <c r="BA28" s="188">
        <v>0</v>
      </c>
      <c r="BB28" s="188">
        <v>4084000</v>
      </c>
      <c r="BC28" s="188">
        <v>4084000</v>
      </c>
      <c r="BD28" s="188">
        <v>4084000</v>
      </c>
      <c r="BE28" s="188">
        <v>0</v>
      </c>
      <c r="BF28" s="188">
        <v>0</v>
      </c>
      <c r="BG28" s="188">
        <v>0</v>
      </c>
      <c r="BH28" s="188">
        <v>0</v>
      </c>
      <c r="BI28" s="188">
        <v>0</v>
      </c>
      <c r="BJ28" s="188">
        <v>0</v>
      </c>
      <c r="BK28" s="188">
        <v>0</v>
      </c>
      <c r="BL28" s="188">
        <v>0</v>
      </c>
      <c r="BM28" s="188">
        <v>0</v>
      </c>
      <c r="BN28" s="188">
        <v>0</v>
      </c>
      <c r="BO28" s="188">
        <v>0</v>
      </c>
      <c r="BP28" s="188">
        <v>0</v>
      </c>
      <c r="BQ28" s="188">
        <v>0</v>
      </c>
      <c r="BR28" s="188">
        <v>1786060.49</v>
      </c>
      <c r="BS28" s="188">
        <v>0</v>
      </c>
      <c r="BT28" s="188">
        <v>1392020681</v>
      </c>
      <c r="BU28" s="188">
        <v>0</v>
      </c>
      <c r="BV28" s="188">
        <v>0</v>
      </c>
      <c r="BW28" s="188">
        <v>0</v>
      </c>
    </row>
    <row r="29" spans="1:75">
      <c r="A29" s="188" t="s">
        <v>245</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4220946.96</v>
      </c>
      <c r="S29" s="188">
        <v>4220946.96</v>
      </c>
      <c r="T29" s="188">
        <v>0</v>
      </c>
      <c r="U29" s="188">
        <v>0</v>
      </c>
      <c r="V29" s="188">
        <v>0</v>
      </c>
      <c r="W29" s="188">
        <v>0</v>
      </c>
      <c r="X29" s="188">
        <v>0</v>
      </c>
      <c r="Y29" s="188">
        <v>0</v>
      </c>
      <c r="Z29" s="188">
        <v>0</v>
      </c>
      <c r="AA29" s="188">
        <v>0</v>
      </c>
      <c r="AB29" s="188">
        <v>0</v>
      </c>
      <c r="AC29" s="188">
        <v>0</v>
      </c>
      <c r="AD29" s="188">
        <v>3681592.75</v>
      </c>
      <c r="AE29" s="188">
        <v>0</v>
      </c>
      <c r="AF29" s="188">
        <v>0</v>
      </c>
      <c r="AG29" s="188">
        <v>0</v>
      </c>
      <c r="AH29" s="188">
        <v>0</v>
      </c>
      <c r="AI29" s="188">
        <v>0</v>
      </c>
      <c r="AJ29" s="188">
        <v>0</v>
      </c>
      <c r="AK29" s="188">
        <v>0</v>
      </c>
      <c r="AL29" s="188">
        <v>6252000</v>
      </c>
      <c r="AM29" s="188">
        <v>0</v>
      </c>
      <c r="AN29" s="188">
        <v>0</v>
      </c>
      <c r="AO29" s="188">
        <v>0</v>
      </c>
      <c r="AP29" s="188">
        <v>0</v>
      </c>
      <c r="AQ29" s="188">
        <v>0</v>
      </c>
      <c r="AR29" s="188">
        <v>0</v>
      </c>
      <c r="AS29" s="188">
        <v>0</v>
      </c>
      <c r="AT29" s="188">
        <v>0</v>
      </c>
      <c r="AU29" s="188">
        <v>0</v>
      </c>
      <c r="AV29" s="188">
        <v>0</v>
      </c>
      <c r="AW29" s="188">
        <v>0</v>
      </c>
      <c r="AX29" s="188">
        <v>9750000</v>
      </c>
      <c r="AY29" s="188">
        <v>0</v>
      </c>
      <c r="AZ29" s="188">
        <v>9750000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c r="BV29" s="188">
        <v>0</v>
      </c>
      <c r="BW29" s="188">
        <v>0</v>
      </c>
    </row>
    <row r="30" spans="1:75">
      <c r="A30" s="188" t="s">
        <v>246</v>
      </c>
      <c r="B30" s="188">
        <v>39000000</v>
      </c>
      <c r="C30" s="188">
        <v>19500000</v>
      </c>
      <c r="D30" s="188">
        <v>14500000</v>
      </c>
      <c r="E30" s="188">
        <v>14500000</v>
      </c>
      <c r="F30" s="188">
        <v>34500000</v>
      </c>
      <c r="G30" s="188">
        <v>15000000</v>
      </c>
      <c r="H30" s="188">
        <v>10000000</v>
      </c>
      <c r="I30" s="188">
        <v>10000000</v>
      </c>
      <c r="J30" s="188">
        <v>29500000</v>
      </c>
      <c r="K30" s="188">
        <v>10000000</v>
      </c>
      <c r="L30" s="188">
        <v>10000000</v>
      </c>
      <c r="M30" s="188">
        <v>8582780</v>
      </c>
      <c r="N30" s="188">
        <v>52469220</v>
      </c>
      <c r="O30" s="188">
        <v>59310412.549999997</v>
      </c>
      <c r="P30" s="188">
        <v>25310412.550000001</v>
      </c>
      <c r="Q30" s="188">
        <v>18322000</v>
      </c>
      <c r="R30" s="188">
        <v>1575624674.99</v>
      </c>
      <c r="S30" s="188">
        <v>79216000</v>
      </c>
      <c r="T30" s="188">
        <v>64352756.5</v>
      </c>
      <c r="U30" s="188">
        <v>50700000</v>
      </c>
      <c r="V30" s="188">
        <v>340478779.29000002</v>
      </c>
      <c r="W30" s="188">
        <v>212500000</v>
      </c>
      <c r="X30" s="188">
        <v>152500000</v>
      </c>
      <c r="Y30" s="188">
        <v>38000000</v>
      </c>
      <c r="Z30" s="188">
        <v>1617752850.48</v>
      </c>
      <c r="AA30" s="188">
        <v>206885000</v>
      </c>
      <c r="AB30" s="188">
        <v>156885000</v>
      </c>
      <c r="AC30" s="188">
        <v>38985000</v>
      </c>
      <c r="AD30" s="188">
        <v>359145000</v>
      </c>
      <c r="AE30" s="188">
        <v>222500000</v>
      </c>
      <c r="AF30" s="188">
        <v>147915464</v>
      </c>
      <c r="AG30" s="188">
        <v>28000000</v>
      </c>
      <c r="AH30" s="188">
        <v>341084536</v>
      </c>
      <c r="AI30" s="188">
        <v>188000000</v>
      </c>
      <c r="AJ30" s="188">
        <v>143000000</v>
      </c>
      <c r="AK30" s="188">
        <v>98000000</v>
      </c>
      <c r="AL30" s="188">
        <v>729500000</v>
      </c>
      <c r="AM30" s="188">
        <v>469500000</v>
      </c>
      <c r="AN30" s="188">
        <v>216500000</v>
      </c>
      <c r="AO30" s="188">
        <v>110000000</v>
      </c>
      <c r="AP30" s="188">
        <v>410500000</v>
      </c>
      <c r="AQ30" s="188">
        <v>230000000</v>
      </c>
      <c r="AR30" s="188">
        <v>254055709</v>
      </c>
      <c r="AS30" s="188">
        <v>115000000</v>
      </c>
      <c r="AT30" s="188">
        <v>501715528</v>
      </c>
      <c r="AU30" s="188">
        <v>452000000</v>
      </c>
      <c r="AV30" s="188">
        <v>378000000</v>
      </c>
      <c r="AW30" s="188">
        <v>111000000</v>
      </c>
      <c r="AX30" s="188">
        <v>483775880</v>
      </c>
      <c r="AY30" s="188">
        <v>346800000</v>
      </c>
      <c r="AZ30" s="188">
        <v>293800000</v>
      </c>
      <c r="BA30" s="188">
        <v>92300000</v>
      </c>
      <c r="BB30" s="188">
        <v>980900000</v>
      </c>
      <c r="BC30" s="188">
        <v>634600000</v>
      </c>
      <c r="BD30" s="188">
        <v>561100000</v>
      </c>
      <c r="BE30" s="188">
        <v>290600000</v>
      </c>
      <c r="BF30" s="188">
        <v>1061540000</v>
      </c>
      <c r="BG30" s="188">
        <v>635600000</v>
      </c>
      <c r="BH30" s="188">
        <v>577100000</v>
      </c>
      <c r="BI30" s="188">
        <v>295100000</v>
      </c>
      <c r="BJ30" s="188">
        <v>1233394800</v>
      </c>
      <c r="BK30" s="188">
        <v>955764800</v>
      </c>
      <c r="BL30" s="188">
        <v>861764800</v>
      </c>
      <c r="BM30" s="188">
        <v>369100000</v>
      </c>
      <c r="BN30" s="188">
        <v>1552612000</v>
      </c>
      <c r="BO30" s="188">
        <v>712640000</v>
      </c>
      <c r="BP30" s="188">
        <v>1014556500</v>
      </c>
      <c r="BQ30" s="188">
        <v>558107500</v>
      </c>
      <c r="BR30" s="188">
        <v>1389655020</v>
      </c>
      <c r="BS30" s="188">
        <v>725073780</v>
      </c>
      <c r="BT30" s="188">
        <v>1114468379.3299999</v>
      </c>
      <c r="BU30" s="188">
        <v>520820580</v>
      </c>
      <c r="BV30" s="188">
        <v>1402441570</v>
      </c>
      <c r="BW30" s="188">
        <v>0</v>
      </c>
    </row>
    <row r="31" spans="1:75">
      <c r="A31" s="188" t="s">
        <v>247</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c r="BS31" s="188">
        <v>0</v>
      </c>
      <c r="BT31" s="188">
        <v>0</v>
      </c>
      <c r="BU31" s="188">
        <v>0</v>
      </c>
      <c r="BV31" s="188">
        <v>0</v>
      </c>
      <c r="BW31" s="188">
        <v>0</v>
      </c>
    </row>
    <row r="32" spans="1:75">
      <c r="A32" s="188" t="s">
        <v>248</v>
      </c>
      <c r="B32" s="188">
        <v>0</v>
      </c>
      <c r="C32" s="188">
        <v>0</v>
      </c>
      <c r="D32" s="188">
        <v>0</v>
      </c>
      <c r="E32" s="188">
        <v>0</v>
      </c>
      <c r="F32" s="188">
        <v>0</v>
      </c>
      <c r="G32" s="188">
        <v>0</v>
      </c>
      <c r="H32" s="188">
        <v>0</v>
      </c>
      <c r="I32" s="188">
        <v>0</v>
      </c>
      <c r="J32" s="188">
        <v>0</v>
      </c>
      <c r="K32" s="188">
        <v>0</v>
      </c>
      <c r="L32" s="188">
        <v>0</v>
      </c>
      <c r="M32" s="188">
        <v>0</v>
      </c>
      <c r="N32" s="188">
        <v>404375000</v>
      </c>
      <c r="O32" s="188">
        <v>404375000</v>
      </c>
      <c r="P32" s="188">
        <v>404375000</v>
      </c>
      <c r="Q32" s="188">
        <v>0</v>
      </c>
      <c r="R32" s="188">
        <v>82780000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5000000</v>
      </c>
      <c r="AI32" s="188">
        <v>5000000</v>
      </c>
      <c r="AJ32" s="188">
        <v>5000000</v>
      </c>
      <c r="AK32" s="188">
        <v>0</v>
      </c>
      <c r="AL32" s="188">
        <v>0</v>
      </c>
      <c r="AM32" s="188">
        <v>0</v>
      </c>
      <c r="AN32" s="188">
        <v>0</v>
      </c>
      <c r="AO32" s="188">
        <v>0</v>
      </c>
      <c r="AP32" s="188">
        <v>0</v>
      </c>
      <c r="AQ32" s="188">
        <v>0</v>
      </c>
      <c r="AR32" s="188">
        <v>0</v>
      </c>
      <c r="AS32" s="188">
        <v>0</v>
      </c>
      <c r="AT32" s="188">
        <v>0</v>
      </c>
      <c r="AU32" s="188">
        <v>1100000</v>
      </c>
      <c r="AV32" s="188">
        <v>0</v>
      </c>
      <c r="AW32" s="188">
        <v>0</v>
      </c>
      <c r="AX32" s="188">
        <v>0</v>
      </c>
      <c r="AY32" s="188">
        <v>6376.63</v>
      </c>
      <c r="AZ32" s="188">
        <v>0</v>
      </c>
      <c r="BA32" s="188">
        <v>11300.1</v>
      </c>
      <c r="BB32" s="188">
        <v>0</v>
      </c>
      <c r="BC32" s="188">
        <v>15403.21</v>
      </c>
      <c r="BD32" s="188">
        <v>0</v>
      </c>
      <c r="BE32" s="188">
        <v>0</v>
      </c>
      <c r="BF32" s="188">
        <v>0</v>
      </c>
      <c r="BG32" s="188">
        <v>130200</v>
      </c>
      <c r="BH32" s="188">
        <v>130200</v>
      </c>
      <c r="BI32" s="188">
        <v>130200</v>
      </c>
      <c r="BJ32" s="188">
        <v>6999500</v>
      </c>
      <c r="BK32" s="188">
        <v>3163208.44</v>
      </c>
      <c r="BL32" s="188">
        <v>3018789.28</v>
      </c>
      <c r="BM32" s="188">
        <v>2979852.75</v>
      </c>
      <c r="BN32" s="188">
        <v>360000</v>
      </c>
      <c r="BO32" s="188">
        <v>0</v>
      </c>
      <c r="BP32" s="188">
        <v>0</v>
      </c>
      <c r="BQ32" s="188">
        <v>821940.96</v>
      </c>
      <c r="BR32" s="188">
        <v>558615.15</v>
      </c>
      <c r="BS32" s="188">
        <v>401675.92</v>
      </c>
      <c r="BT32" s="188">
        <v>1451424.53</v>
      </c>
      <c r="BU32" s="188">
        <v>39232.22</v>
      </c>
      <c r="BV32" s="188">
        <v>165069.32999999999</v>
      </c>
      <c r="BW32" s="188">
        <v>0</v>
      </c>
    </row>
    <row r="33" spans="1:75">
      <c r="A33" s="188" t="s">
        <v>249</v>
      </c>
      <c r="B33" s="188">
        <v>39000000</v>
      </c>
      <c r="C33" s="188">
        <v>19500000</v>
      </c>
      <c r="D33" s="188">
        <v>14500000</v>
      </c>
      <c r="E33" s="188">
        <v>14500000</v>
      </c>
      <c r="F33" s="188">
        <v>34500000</v>
      </c>
      <c r="G33" s="188">
        <v>15000000</v>
      </c>
      <c r="H33" s="188">
        <v>10000000</v>
      </c>
      <c r="I33" s="188">
        <v>10000000</v>
      </c>
      <c r="J33" s="188">
        <v>29500000</v>
      </c>
      <c r="K33" s="188">
        <v>10000000</v>
      </c>
      <c r="L33" s="188">
        <v>10000000</v>
      </c>
      <c r="M33" s="188">
        <v>8582780</v>
      </c>
      <c r="N33" s="188">
        <v>456844220</v>
      </c>
      <c r="O33" s="188">
        <v>463685412.55000001</v>
      </c>
      <c r="P33" s="188">
        <v>429685412.55000001</v>
      </c>
      <c r="Q33" s="188">
        <v>18322000</v>
      </c>
      <c r="R33" s="188">
        <v>1662625621.95</v>
      </c>
      <c r="S33" s="188">
        <v>83436946.959999993</v>
      </c>
      <c r="T33" s="188">
        <v>64352756.5</v>
      </c>
      <c r="U33" s="188">
        <v>50700000</v>
      </c>
      <c r="V33" s="188">
        <v>340478779.29000002</v>
      </c>
      <c r="W33" s="188">
        <v>212500000</v>
      </c>
      <c r="X33" s="188">
        <v>152500000</v>
      </c>
      <c r="Y33" s="188">
        <v>38000000</v>
      </c>
      <c r="Z33" s="188">
        <v>1617752850.48</v>
      </c>
      <c r="AA33" s="188">
        <v>206885000</v>
      </c>
      <c r="AB33" s="188">
        <v>156885000</v>
      </c>
      <c r="AC33" s="188">
        <v>38985000</v>
      </c>
      <c r="AD33" s="188">
        <v>362826592.75</v>
      </c>
      <c r="AE33" s="188">
        <v>222500000</v>
      </c>
      <c r="AF33" s="188">
        <v>147915464</v>
      </c>
      <c r="AG33" s="188">
        <v>28000000</v>
      </c>
      <c r="AH33" s="188">
        <v>346084536</v>
      </c>
      <c r="AI33" s="188">
        <v>193000000</v>
      </c>
      <c r="AJ33" s="188">
        <v>148000000</v>
      </c>
      <c r="AK33" s="188">
        <v>98000000</v>
      </c>
      <c r="AL33" s="188">
        <v>735752000</v>
      </c>
      <c r="AM33" s="188">
        <v>475752000</v>
      </c>
      <c r="AN33" s="188">
        <v>216500000</v>
      </c>
      <c r="AO33" s="188">
        <v>110000000</v>
      </c>
      <c r="AP33" s="188">
        <v>410500000</v>
      </c>
      <c r="AQ33" s="188">
        <v>230000000</v>
      </c>
      <c r="AR33" s="188">
        <v>254055709</v>
      </c>
      <c r="AS33" s="188">
        <v>115000000</v>
      </c>
      <c r="AT33" s="188">
        <v>501715528</v>
      </c>
      <c r="AU33" s="188">
        <v>453100000</v>
      </c>
      <c r="AV33" s="188">
        <v>378000000</v>
      </c>
      <c r="AW33" s="188">
        <v>111000000</v>
      </c>
      <c r="AX33" s="188">
        <v>493525880</v>
      </c>
      <c r="AY33" s="188">
        <v>356556376.63</v>
      </c>
      <c r="AZ33" s="188">
        <v>303550000</v>
      </c>
      <c r="BA33" s="188">
        <v>92311300.099999994</v>
      </c>
      <c r="BB33" s="188">
        <v>984984000</v>
      </c>
      <c r="BC33" s="188">
        <v>638699403.21000004</v>
      </c>
      <c r="BD33" s="188">
        <v>565184000</v>
      </c>
      <c r="BE33" s="188">
        <v>290600000</v>
      </c>
      <c r="BF33" s="188">
        <v>1061540000</v>
      </c>
      <c r="BG33" s="188">
        <v>635730200</v>
      </c>
      <c r="BH33" s="188">
        <v>577230200</v>
      </c>
      <c r="BI33" s="188">
        <v>295230200</v>
      </c>
      <c r="BJ33" s="188">
        <v>1240394300</v>
      </c>
      <c r="BK33" s="188">
        <v>958928008.44000006</v>
      </c>
      <c r="BL33" s="188">
        <v>864783589.27999997</v>
      </c>
      <c r="BM33" s="188">
        <v>372079852.75</v>
      </c>
      <c r="BN33" s="188">
        <v>1552972000</v>
      </c>
      <c r="BO33" s="188">
        <v>712640000</v>
      </c>
      <c r="BP33" s="188">
        <v>1014556500</v>
      </c>
      <c r="BQ33" s="188">
        <v>558929440.96000004</v>
      </c>
      <c r="BR33" s="188">
        <v>1391999695.6400001</v>
      </c>
      <c r="BS33" s="188">
        <v>725475455.91999996</v>
      </c>
      <c r="BT33" s="188">
        <v>2507940484.8600001</v>
      </c>
      <c r="BU33" s="188">
        <v>520859812.22000003</v>
      </c>
      <c r="BV33" s="188">
        <v>1402606639.3299999</v>
      </c>
      <c r="BW33" s="188">
        <v>0</v>
      </c>
    </row>
    <row r="34" spans="1:75">
      <c r="A34" s="188" t="s">
        <v>250</v>
      </c>
      <c r="B34" s="188">
        <v>34500000</v>
      </c>
      <c r="C34" s="188">
        <v>15000000</v>
      </c>
      <c r="D34" s="188">
        <v>10000000</v>
      </c>
      <c r="E34" s="188">
        <v>10000000</v>
      </c>
      <c r="F34" s="188">
        <v>29500000</v>
      </c>
      <c r="G34" s="188">
        <v>10000000</v>
      </c>
      <c r="H34" s="188">
        <v>10000000</v>
      </c>
      <c r="I34" s="188">
        <v>10000000</v>
      </c>
      <c r="J34" s="188">
        <v>48500000</v>
      </c>
      <c r="K34" s="188">
        <v>20917220</v>
      </c>
      <c r="L34" s="188">
        <v>20917220</v>
      </c>
      <c r="M34" s="188">
        <v>15000000</v>
      </c>
      <c r="N34" s="188">
        <v>48500000</v>
      </c>
      <c r="O34" s="188">
        <v>53500000</v>
      </c>
      <c r="P34" s="188">
        <v>19500000</v>
      </c>
      <c r="Q34" s="188">
        <v>15000000</v>
      </c>
      <c r="R34" s="188">
        <v>1580790240</v>
      </c>
      <c r="S34" s="188">
        <v>76170885.579999998</v>
      </c>
      <c r="T34" s="188">
        <v>67228397.480000004</v>
      </c>
      <c r="U34" s="188">
        <v>40578397.479999997</v>
      </c>
      <c r="V34" s="188">
        <v>1879100012</v>
      </c>
      <c r="W34" s="188">
        <v>1634009262.3</v>
      </c>
      <c r="X34" s="188">
        <v>1584009262.3</v>
      </c>
      <c r="Y34" s="188">
        <v>1445600012</v>
      </c>
      <c r="Z34" s="188">
        <v>221720506.78999999</v>
      </c>
      <c r="AA34" s="188">
        <v>225030000</v>
      </c>
      <c r="AB34" s="188">
        <v>171130000</v>
      </c>
      <c r="AC34" s="188">
        <v>53000000</v>
      </c>
      <c r="AD34" s="188">
        <v>231000000</v>
      </c>
      <c r="AE34" s="188">
        <v>122500000</v>
      </c>
      <c r="AF34" s="188">
        <v>62500000</v>
      </c>
      <c r="AG34" s="188">
        <v>13000000</v>
      </c>
      <c r="AH34" s="188">
        <v>640512154.66999996</v>
      </c>
      <c r="AI34" s="188">
        <v>419012154.67000002</v>
      </c>
      <c r="AJ34" s="188">
        <v>315008781.13999999</v>
      </c>
      <c r="AK34" s="188">
        <v>130000000</v>
      </c>
      <c r="AL34" s="188">
        <v>657027442.23000002</v>
      </c>
      <c r="AM34" s="188">
        <v>416500000</v>
      </c>
      <c r="AN34" s="188">
        <v>295500000</v>
      </c>
      <c r="AO34" s="188">
        <v>134000000</v>
      </c>
      <c r="AP34" s="188">
        <v>428870976.33999997</v>
      </c>
      <c r="AQ34" s="188">
        <v>247000000</v>
      </c>
      <c r="AR34" s="188">
        <v>228318755.61000001</v>
      </c>
      <c r="AS34" s="188">
        <v>90144561.719999999</v>
      </c>
      <c r="AT34" s="188">
        <v>475875393.01999998</v>
      </c>
      <c r="AU34" s="188">
        <v>448351390.80000001</v>
      </c>
      <c r="AV34" s="188">
        <v>351012832.19</v>
      </c>
      <c r="AW34" s="188">
        <v>81326909.859999999</v>
      </c>
      <c r="AX34" s="188">
        <v>699305561.45000005</v>
      </c>
      <c r="AY34" s="188">
        <v>567289149.54999995</v>
      </c>
      <c r="AZ34" s="188">
        <v>458229135.86000001</v>
      </c>
      <c r="BA34" s="188">
        <v>127530403.13</v>
      </c>
      <c r="BB34" s="188">
        <v>1093937000</v>
      </c>
      <c r="BC34" s="188">
        <v>741837000</v>
      </c>
      <c r="BD34" s="188">
        <v>611337000</v>
      </c>
      <c r="BE34" s="188">
        <v>249100000</v>
      </c>
      <c r="BF34" s="188">
        <v>1249308312</v>
      </c>
      <c r="BG34" s="188">
        <v>819943970.54999995</v>
      </c>
      <c r="BH34" s="188">
        <v>657530000</v>
      </c>
      <c r="BI34" s="188">
        <v>309300000</v>
      </c>
      <c r="BJ34" s="188">
        <v>1774057000</v>
      </c>
      <c r="BK34" s="188">
        <v>1403407000</v>
      </c>
      <c r="BL34" s="188">
        <v>883307000</v>
      </c>
      <c r="BM34" s="188">
        <v>286825633.25</v>
      </c>
      <c r="BN34" s="188">
        <v>1404572000</v>
      </c>
      <c r="BO34" s="188">
        <v>598117200</v>
      </c>
      <c r="BP34" s="188">
        <v>904921200</v>
      </c>
      <c r="BQ34" s="188">
        <v>416192587</v>
      </c>
      <c r="BR34" s="188">
        <v>1366971380</v>
      </c>
      <c r="BS34" s="188">
        <v>677586562.88</v>
      </c>
      <c r="BT34" s="188">
        <v>1121086840</v>
      </c>
      <c r="BU34" s="188">
        <v>465202780</v>
      </c>
      <c r="BV34" s="188">
        <v>1350144890</v>
      </c>
      <c r="BW34" s="188">
        <v>0</v>
      </c>
    </row>
    <row r="35" spans="1:75">
      <c r="A35" s="188" t="s">
        <v>550</v>
      </c>
      <c r="B35" s="188">
        <v>1420255882.1800001</v>
      </c>
      <c r="C35" s="188">
        <v>1419647033.29</v>
      </c>
      <c r="D35" s="188">
        <v>682396282.87</v>
      </c>
      <c r="E35" s="188">
        <v>73246783.790000007</v>
      </c>
      <c r="F35" s="188">
        <v>1247146865.5799999</v>
      </c>
      <c r="G35" s="188">
        <v>1206175778.0999999</v>
      </c>
      <c r="H35" s="188">
        <v>554575853.34000003</v>
      </c>
      <c r="I35" s="188">
        <v>276293.09000000003</v>
      </c>
      <c r="J35" s="188">
        <v>1147560145.71</v>
      </c>
      <c r="K35" s="188">
        <v>1010695482.46</v>
      </c>
      <c r="L35" s="188">
        <v>360983317.12</v>
      </c>
      <c r="M35" s="188">
        <v>562615.68999999994</v>
      </c>
      <c r="N35" s="188">
        <v>1222546505.1400001</v>
      </c>
      <c r="O35" s="188">
        <v>1152163548.8900001</v>
      </c>
      <c r="P35" s="188">
        <v>420218337.13</v>
      </c>
      <c r="Q35" s="188">
        <v>4336628.04</v>
      </c>
      <c r="R35" s="188">
        <v>1155690205.55</v>
      </c>
      <c r="S35" s="188">
        <v>1083361297.28</v>
      </c>
      <c r="T35" s="188">
        <v>76669449.840000004</v>
      </c>
      <c r="U35" s="188">
        <v>10470919.060000001</v>
      </c>
      <c r="V35" s="188">
        <v>817721795.76999998</v>
      </c>
      <c r="W35" s="188">
        <v>754028948.88</v>
      </c>
      <c r="X35" s="188">
        <v>63580143.18</v>
      </c>
      <c r="Y35" s="188">
        <v>14309430.66</v>
      </c>
      <c r="Z35" s="188">
        <v>784393173.50999999</v>
      </c>
      <c r="AA35" s="188">
        <v>699742225.38999999</v>
      </c>
      <c r="AB35" s="188">
        <v>9599275.9299999997</v>
      </c>
      <c r="AC35" s="188">
        <v>4879588.04</v>
      </c>
      <c r="AD35" s="188">
        <v>530852789.88999999</v>
      </c>
      <c r="AE35" s="188">
        <v>526057522.69999999</v>
      </c>
      <c r="AF35" s="188">
        <v>263915652.06999999</v>
      </c>
      <c r="AG35" s="188">
        <v>1939913.16</v>
      </c>
      <c r="AH35" s="188">
        <v>414747529.50999999</v>
      </c>
      <c r="AI35" s="188">
        <v>339937208.44</v>
      </c>
      <c r="AJ35" s="188">
        <v>120279709.18000001</v>
      </c>
      <c r="AK35" s="188">
        <v>10759542.5</v>
      </c>
      <c r="AL35" s="188">
        <v>424520415.68000001</v>
      </c>
      <c r="AM35" s="188">
        <v>331750681.61000001</v>
      </c>
      <c r="AN35" s="188">
        <v>12406904.189999999</v>
      </c>
      <c r="AO35" s="188">
        <v>6198654.2599999998</v>
      </c>
      <c r="AP35" s="188">
        <v>340564618.88999999</v>
      </c>
      <c r="AQ35" s="188">
        <v>314576109.47000003</v>
      </c>
      <c r="AR35" s="188">
        <v>20361003.300000001</v>
      </c>
      <c r="AS35" s="188">
        <v>5627802.7300000004</v>
      </c>
      <c r="AT35" s="188">
        <v>323422478.02999997</v>
      </c>
      <c r="AU35" s="188">
        <v>308225237.47000003</v>
      </c>
      <c r="AV35" s="188">
        <v>33795458.359999999</v>
      </c>
      <c r="AW35" s="188">
        <v>3513422.21</v>
      </c>
      <c r="AX35" s="188">
        <v>328317514.82999998</v>
      </c>
      <c r="AY35" s="188">
        <v>101531418.90000001</v>
      </c>
      <c r="AZ35" s="188">
        <v>35797954.119999997</v>
      </c>
      <c r="BA35" s="188">
        <v>7864170.3499999996</v>
      </c>
      <c r="BB35" s="188">
        <v>452382938</v>
      </c>
      <c r="BC35" s="188">
        <v>432027242.73000002</v>
      </c>
      <c r="BD35" s="188">
        <v>231226871.53999999</v>
      </c>
      <c r="BE35" s="188">
        <v>9829482.8900000006</v>
      </c>
      <c r="BF35" s="188">
        <v>372465870.36000001</v>
      </c>
      <c r="BG35" s="188">
        <v>377720268.13</v>
      </c>
      <c r="BH35" s="188">
        <v>66320134.159999996</v>
      </c>
      <c r="BI35" s="188">
        <v>12023185.300000001</v>
      </c>
      <c r="BJ35" s="188">
        <v>382008949.44999999</v>
      </c>
      <c r="BK35" s="188">
        <v>382044218.43000001</v>
      </c>
      <c r="BL35" s="188">
        <v>266573230.11000001</v>
      </c>
      <c r="BM35" s="188">
        <v>64720384.990000002</v>
      </c>
      <c r="BN35" s="188">
        <v>344175606.19</v>
      </c>
      <c r="BO35" s="188">
        <v>45280287.740000002</v>
      </c>
      <c r="BP35" s="188">
        <v>322966108.74000001</v>
      </c>
      <c r="BQ35" s="188">
        <v>33441501.010000002</v>
      </c>
      <c r="BR35" s="188">
        <v>241064266.09</v>
      </c>
      <c r="BS35" s="188">
        <v>101564427.92</v>
      </c>
      <c r="BT35" s="188">
        <v>183690399.66999999</v>
      </c>
      <c r="BU35" s="188">
        <v>295602823.06</v>
      </c>
      <c r="BV35" s="188">
        <v>36498097.030000001</v>
      </c>
      <c r="BW35" s="188">
        <v>0</v>
      </c>
    </row>
    <row r="36" spans="1:75">
      <c r="A36" s="188" t="s">
        <v>251</v>
      </c>
      <c r="B36" s="188">
        <v>927043742.98000002</v>
      </c>
      <c r="C36" s="188">
        <v>927530067.14999998</v>
      </c>
      <c r="D36" s="188">
        <v>195601722.28999999</v>
      </c>
      <c r="E36" s="188">
        <v>0</v>
      </c>
      <c r="F36" s="188">
        <v>805764718.15999997</v>
      </c>
      <c r="G36" s="188">
        <v>765549896.58000004</v>
      </c>
      <c r="H36" s="188">
        <v>114797950.90000001</v>
      </c>
      <c r="I36" s="188">
        <v>0</v>
      </c>
      <c r="J36" s="188">
        <v>879762768.00999999</v>
      </c>
      <c r="K36" s="188">
        <v>879762768.00999999</v>
      </c>
      <c r="L36" s="188">
        <v>94015088.010000005</v>
      </c>
      <c r="M36" s="188">
        <v>0</v>
      </c>
      <c r="N36" s="188">
        <v>870409885.49000001</v>
      </c>
      <c r="O36" s="188">
        <v>807658250.84000003</v>
      </c>
      <c r="P36" s="188">
        <v>39251005.490000002</v>
      </c>
      <c r="Q36" s="188">
        <v>0</v>
      </c>
      <c r="R36" s="188">
        <v>821895956.83000004</v>
      </c>
      <c r="S36" s="188">
        <v>796994291.03999996</v>
      </c>
      <c r="T36" s="188">
        <v>57381581.530000001</v>
      </c>
      <c r="U36" s="188">
        <v>0</v>
      </c>
      <c r="V36" s="188">
        <v>556845765.57000005</v>
      </c>
      <c r="W36" s="188">
        <v>214775254.68000001</v>
      </c>
      <c r="X36" s="188">
        <v>40000000</v>
      </c>
      <c r="Y36" s="188">
        <v>0</v>
      </c>
      <c r="Z36" s="188">
        <v>409354873.99000001</v>
      </c>
      <c r="AA36" s="188">
        <v>338807200</v>
      </c>
      <c r="AB36" s="188">
        <v>0</v>
      </c>
      <c r="AC36" s="188">
        <v>0</v>
      </c>
      <c r="AD36" s="188">
        <v>308316000</v>
      </c>
      <c r="AE36" s="188">
        <v>308316000</v>
      </c>
      <c r="AF36" s="188">
        <v>51386000</v>
      </c>
      <c r="AG36" s="188">
        <v>0</v>
      </c>
      <c r="AH36" s="188">
        <v>289501397.69</v>
      </c>
      <c r="AI36" s="188">
        <v>221346340.91999999</v>
      </c>
      <c r="AJ36" s="188">
        <v>4880000</v>
      </c>
      <c r="AK36" s="188">
        <v>3900000</v>
      </c>
      <c r="AL36" s="188">
        <v>298305639.39999998</v>
      </c>
      <c r="AM36" s="188">
        <v>214502394</v>
      </c>
      <c r="AN36" s="188">
        <v>12406904.189999999</v>
      </c>
      <c r="AO36" s="188">
        <v>0</v>
      </c>
      <c r="AP36" s="188">
        <v>0</v>
      </c>
      <c r="AQ36" s="188">
        <v>0</v>
      </c>
      <c r="AR36" s="188">
        <v>5680500</v>
      </c>
      <c r="AS36" s="188">
        <v>0</v>
      </c>
      <c r="AT36" s="188">
        <v>213550720</v>
      </c>
      <c r="AU36" s="188">
        <v>0</v>
      </c>
      <c r="AV36" s="188">
        <v>0</v>
      </c>
      <c r="AW36" s="188">
        <v>0</v>
      </c>
      <c r="AX36" s="188">
        <v>211553923.69</v>
      </c>
      <c r="AY36" s="188">
        <v>0</v>
      </c>
      <c r="AZ36" s="188">
        <v>21597629.75</v>
      </c>
      <c r="BA36" s="188">
        <v>1400000</v>
      </c>
      <c r="BB36" s="188">
        <v>248034936.44</v>
      </c>
      <c r="BC36" s="188">
        <v>1400000</v>
      </c>
      <c r="BD36" s="188">
        <v>0</v>
      </c>
      <c r="BE36" s="188">
        <v>2612627.69</v>
      </c>
      <c r="BF36" s="188">
        <v>15484553.380000001</v>
      </c>
      <c r="BG36" s="188">
        <v>2612627.69</v>
      </c>
      <c r="BH36" s="188">
        <v>0</v>
      </c>
      <c r="BI36" s="188">
        <v>0</v>
      </c>
      <c r="BJ36" s="188">
        <v>260800563.65000001</v>
      </c>
      <c r="BK36" s="188">
        <v>0</v>
      </c>
      <c r="BL36" s="188">
        <v>0</v>
      </c>
      <c r="BM36" s="188">
        <v>47509873.799999997</v>
      </c>
      <c r="BN36" s="188">
        <v>193742403.52000001</v>
      </c>
      <c r="BO36" s="188">
        <v>4073602.72</v>
      </c>
      <c r="BP36" s="188">
        <v>141605131.96000001</v>
      </c>
      <c r="BQ36" s="188">
        <v>0</v>
      </c>
      <c r="BR36" s="188">
        <v>140544869.84999999</v>
      </c>
      <c r="BS36" s="188">
        <v>74207233.75</v>
      </c>
      <c r="BT36" s="188">
        <v>0</v>
      </c>
      <c r="BU36" s="188">
        <v>0</v>
      </c>
      <c r="BV36" s="188">
        <v>0</v>
      </c>
      <c r="BW36" s="188">
        <v>0</v>
      </c>
    </row>
    <row r="37" spans="1:75">
      <c r="A37" s="188" t="s">
        <v>252</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0</v>
      </c>
      <c r="R37" s="188">
        <v>0</v>
      </c>
      <c r="S37" s="188">
        <v>0</v>
      </c>
      <c r="T37" s="188">
        <v>0</v>
      </c>
      <c r="U37" s="188">
        <v>0</v>
      </c>
      <c r="V37" s="188">
        <v>0</v>
      </c>
      <c r="W37" s="188">
        <v>8050</v>
      </c>
      <c r="X37" s="188">
        <v>8050</v>
      </c>
      <c r="Y37" s="188">
        <v>0</v>
      </c>
      <c r="Z37" s="188">
        <v>0</v>
      </c>
      <c r="AA37" s="188">
        <v>0</v>
      </c>
      <c r="AB37" s="188">
        <v>0</v>
      </c>
      <c r="AC37" s="188">
        <v>0</v>
      </c>
      <c r="AD37" s="188">
        <v>1610920.89</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0</v>
      </c>
      <c r="AW37" s="188">
        <v>0</v>
      </c>
      <c r="AX37" s="188">
        <v>0</v>
      </c>
      <c r="AY37" s="188">
        <v>2142258.38</v>
      </c>
      <c r="AZ37" s="188">
        <v>0</v>
      </c>
      <c r="BA37" s="188">
        <v>674216.64</v>
      </c>
      <c r="BB37" s="188">
        <v>0</v>
      </c>
      <c r="BC37" s="188">
        <v>0</v>
      </c>
      <c r="BD37" s="188">
        <v>0</v>
      </c>
      <c r="BE37" s="188">
        <v>0</v>
      </c>
      <c r="BF37" s="188">
        <v>0</v>
      </c>
      <c r="BG37" s="188">
        <v>0</v>
      </c>
      <c r="BH37" s="188">
        <v>2462936.4700000002</v>
      </c>
      <c r="BI37" s="188">
        <v>0</v>
      </c>
      <c r="BJ37" s="188">
        <v>36546056.780000001</v>
      </c>
      <c r="BK37" s="188">
        <v>36617674.280000001</v>
      </c>
      <c r="BL37" s="188">
        <v>964600.57</v>
      </c>
      <c r="BM37" s="188">
        <v>313971.81</v>
      </c>
      <c r="BN37" s="188">
        <v>301982141.69999999</v>
      </c>
      <c r="BO37" s="188">
        <v>61740.93</v>
      </c>
      <c r="BP37" s="188">
        <v>100450</v>
      </c>
      <c r="BQ37" s="188">
        <v>305216.15000000002</v>
      </c>
      <c r="BR37" s="188">
        <v>0</v>
      </c>
      <c r="BS37" s="188">
        <v>-12284.78</v>
      </c>
      <c r="BT37" s="188">
        <v>3280062.26</v>
      </c>
      <c r="BU37" s="188">
        <v>509868.68</v>
      </c>
      <c r="BV37" s="188">
        <v>3264464.68</v>
      </c>
      <c r="BW37" s="188">
        <v>0</v>
      </c>
    </row>
    <row r="38" spans="1:75">
      <c r="A38" s="188" t="s">
        <v>253</v>
      </c>
      <c r="B38" s="188">
        <v>1454755882.1800001</v>
      </c>
      <c r="C38" s="188">
        <v>1434647033.29</v>
      </c>
      <c r="D38" s="188">
        <v>692396282.87</v>
      </c>
      <c r="E38" s="188">
        <v>83246783.790000007</v>
      </c>
      <c r="F38" s="188">
        <v>1276646865.5799999</v>
      </c>
      <c r="G38" s="188">
        <v>1216175778.0999999</v>
      </c>
      <c r="H38" s="188">
        <v>564575853.34000003</v>
      </c>
      <c r="I38" s="188">
        <v>10276293.09</v>
      </c>
      <c r="J38" s="188">
        <v>1196060145.71</v>
      </c>
      <c r="K38" s="188">
        <v>1031612702.46</v>
      </c>
      <c r="L38" s="188">
        <v>381900537.12</v>
      </c>
      <c r="M38" s="188">
        <v>15562615.689999999</v>
      </c>
      <c r="N38" s="188">
        <v>1271046505.1400001</v>
      </c>
      <c r="O38" s="188">
        <v>1205663548.8900001</v>
      </c>
      <c r="P38" s="188">
        <v>439718337.13</v>
      </c>
      <c r="Q38" s="188">
        <v>19336628.039999999</v>
      </c>
      <c r="R38" s="188">
        <v>2736480445.5500002</v>
      </c>
      <c r="S38" s="188">
        <v>1159532182.8599999</v>
      </c>
      <c r="T38" s="188">
        <v>143897847.31999999</v>
      </c>
      <c r="U38" s="188">
        <v>51049316.539999999</v>
      </c>
      <c r="V38" s="188">
        <v>2696821807.77</v>
      </c>
      <c r="W38" s="188">
        <v>2388046261.1799998</v>
      </c>
      <c r="X38" s="188">
        <v>1647597455.48</v>
      </c>
      <c r="Y38" s="188">
        <v>1459909442.6600001</v>
      </c>
      <c r="Z38" s="188">
        <v>1006113680.3</v>
      </c>
      <c r="AA38" s="188">
        <v>924772225.38999999</v>
      </c>
      <c r="AB38" s="188">
        <v>180729275.93000001</v>
      </c>
      <c r="AC38" s="188">
        <v>57879588.039999999</v>
      </c>
      <c r="AD38" s="188">
        <v>763463710.77999997</v>
      </c>
      <c r="AE38" s="188">
        <v>648557522.70000005</v>
      </c>
      <c r="AF38" s="188">
        <v>326415652.06999999</v>
      </c>
      <c r="AG38" s="188">
        <v>14939913.16</v>
      </c>
      <c r="AH38" s="188">
        <v>1055259684.1799999</v>
      </c>
      <c r="AI38" s="188">
        <v>758949363.11000001</v>
      </c>
      <c r="AJ38" s="188">
        <v>435288490.31999999</v>
      </c>
      <c r="AK38" s="188">
        <v>140759542.5</v>
      </c>
      <c r="AL38" s="188">
        <v>1081547857.9100001</v>
      </c>
      <c r="AM38" s="188">
        <v>748250681.61000001</v>
      </c>
      <c r="AN38" s="188">
        <v>307906904.19</v>
      </c>
      <c r="AO38" s="188">
        <v>140198654.25999999</v>
      </c>
      <c r="AP38" s="188">
        <v>769435595.23000002</v>
      </c>
      <c r="AQ38" s="188">
        <v>561576109.47000003</v>
      </c>
      <c r="AR38" s="188">
        <v>248679758.91</v>
      </c>
      <c r="AS38" s="188">
        <v>95772364.450000003</v>
      </c>
      <c r="AT38" s="188">
        <v>799297871.04999995</v>
      </c>
      <c r="AU38" s="188">
        <v>756576628.26999998</v>
      </c>
      <c r="AV38" s="188">
        <v>384808290.55000001</v>
      </c>
      <c r="AW38" s="188">
        <v>84840332.069999993</v>
      </c>
      <c r="AX38" s="188">
        <v>1027623076.28</v>
      </c>
      <c r="AY38" s="188">
        <v>670962826.83000004</v>
      </c>
      <c r="AZ38" s="188">
        <v>494027089.98000002</v>
      </c>
      <c r="BA38" s="188">
        <v>136068790.12</v>
      </c>
      <c r="BB38" s="188">
        <v>1546319938</v>
      </c>
      <c r="BC38" s="188">
        <v>1173864242.73</v>
      </c>
      <c r="BD38" s="188">
        <v>842563871.53999996</v>
      </c>
      <c r="BE38" s="188">
        <v>258929482.88999999</v>
      </c>
      <c r="BF38" s="188">
        <v>1621774182.3599999</v>
      </c>
      <c r="BG38" s="188">
        <v>1197664238.6800001</v>
      </c>
      <c r="BH38" s="188">
        <v>726313070.63</v>
      </c>
      <c r="BI38" s="188">
        <v>321323185.30000001</v>
      </c>
      <c r="BJ38" s="188">
        <v>2192612006.23</v>
      </c>
      <c r="BK38" s="188">
        <v>1822068892.71</v>
      </c>
      <c r="BL38" s="188">
        <v>1150844830.6800001</v>
      </c>
      <c r="BM38" s="188">
        <v>351859990.05000001</v>
      </c>
      <c r="BN38" s="188">
        <v>2050729747.8900001</v>
      </c>
      <c r="BO38" s="188">
        <v>643459228.66999996</v>
      </c>
      <c r="BP38" s="188">
        <v>1227987758.74</v>
      </c>
      <c r="BQ38" s="188">
        <v>449939304.16000003</v>
      </c>
      <c r="BR38" s="188">
        <v>1608035646.0899999</v>
      </c>
      <c r="BS38" s="188">
        <v>779138706.01999998</v>
      </c>
      <c r="BT38" s="188">
        <v>1308057301.9300001</v>
      </c>
      <c r="BU38" s="188">
        <v>761315471.74000001</v>
      </c>
      <c r="BV38" s="188">
        <v>1389907451.71</v>
      </c>
      <c r="BW38" s="188">
        <v>0</v>
      </c>
    </row>
    <row r="39" spans="1:75">
      <c r="A39" s="188" t="s">
        <v>254</v>
      </c>
      <c r="B39" s="188">
        <v>-1415755882.1800001</v>
      </c>
      <c r="C39" s="188">
        <v>-1415147033.29</v>
      </c>
      <c r="D39" s="188">
        <v>-677896282.87</v>
      </c>
      <c r="E39" s="188">
        <v>-68746783.790000007</v>
      </c>
      <c r="F39" s="188">
        <v>-1242146865.5799999</v>
      </c>
      <c r="G39" s="188">
        <v>-1201175778.0999999</v>
      </c>
      <c r="H39" s="188">
        <v>-554575853.34000003</v>
      </c>
      <c r="I39" s="188">
        <v>-276293.09000000003</v>
      </c>
      <c r="J39" s="188">
        <v>-1166560145.71</v>
      </c>
      <c r="K39" s="188">
        <v>-1021612702.46</v>
      </c>
      <c r="L39" s="188">
        <v>-371900537.12</v>
      </c>
      <c r="M39" s="188">
        <v>-6979835.6900000004</v>
      </c>
      <c r="N39" s="188">
        <v>-814202285.13999999</v>
      </c>
      <c r="O39" s="188">
        <v>-741978136.34000003</v>
      </c>
      <c r="P39" s="188">
        <v>-10032924.58</v>
      </c>
      <c r="Q39" s="188">
        <v>-1014628.04</v>
      </c>
      <c r="R39" s="188">
        <v>-1073854823.5999999</v>
      </c>
      <c r="S39" s="188">
        <v>-1076095235.9000001</v>
      </c>
      <c r="T39" s="188">
        <v>-79545090.819999993</v>
      </c>
      <c r="U39" s="188">
        <v>-349316.54</v>
      </c>
      <c r="V39" s="188">
        <v>-2356343028.48</v>
      </c>
      <c r="W39" s="188">
        <v>-2175546261.1799998</v>
      </c>
      <c r="X39" s="188">
        <v>-1495097455.48</v>
      </c>
      <c r="Y39" s="188">
        <v>-1421909442.6600001</v>
      </c>
      <c r="Z39" s="188">
        <v>611639170.17999995</v>
      </c>
      <c r="AA39" s="188">
        <v>-717887225.38999999</v>
      </c>
      <c r="AB39" s="188">
        <v>-23844275.93</v>
      </c>
      <c r="AC39" s="188">
        <v>-18894588.039999999</v>
      </c>
      <c r="AD39" s="188">
        <v>-400637118.02999997</v>
      </c>
      <c r="AE39" s="188">
        <v>-426057522.69999999</v>
      </c>
      <c r="AF39" s="188">
        <v>-178500188.06999999</v>
      </c>
      <c r="AG39" s="188">
        <v>13060086.84</v>
      </c>
      <c r="AH39" s="188">
        <v>-709175148.17999995</v>
      </c>
      <c r="AI39" s="188">
        <v>-565949363.11000001</v>
      </c>
      <c r="AJ39" s="188">
        <v>-287288490.31999999</v>
      </c>
      <c r="AK39" s="188">
        <v>-42759542.5</v>
      </c>
      <c r="AL39" s="188">
        <v>-345795857.91000003</v>
      </c>
      <c r="AM39" s="188">
        <v>-272498681.61000001</v>
      </c>
      <c r="AN39" s="188">
        <v>-91406904.189999998</v>
      </c>
      <c r="AO39" s="188">
        <v>-30198654.260000002</v>
      </c>
      <c r="AP39" s="188">
        <v>-358935595.23000002</v>
      </c>
      <c r="AQ39" s="188">
        <v>-331576109.47000003</v>
      </c>
      <c r="AR39" s="188">
        <v>5375950.0899999999</v>
      </c>
      <c r="AS39" s="188">
        <v>19227635.550000001</v>
      </c>
      <c r="AT39" s="188">
        <v>-297582343.05000001</v>
      </c>
      <c r="AU39" s="188">
        <v>-303476628.26999998</v>
      </c>
      <c r="AV39" s="188">
        <v>-6808290.5499999998</v>
      </c>
      <c r="AW39" s="188">
        <v>26159667.93</v>
      </c>
      <c r="AX39" s="188">
        <v>-534097196.27999997</v>
      </c>
      <c r="AY39" s="188">
        <v>-314406450.19999999</v>
      </c>
      <c r="AZ39" s="188">
        <v>-190477089.97999999</v>
      </c>
      <c r="BA39" s="188">
        <v>-43757490.020000003</v>
      </c>
      <c r="BB39" s="188">
        <v>-561335938</v>
      </c>
      <c r="BC39" s="188">
        <v>-535164839.51999998</v>
      </c>
      <c r="BD39" s="188">
        <v>-277379871.54000002</v>
      </c>
      <c r="BE39" s="188">
        <v>31670517.109999999</v>
      </c>
      <c r="BF39" s="188">
        <v>-560234182.36000001</v>
      </c>
      <c r="BG39" s="188">
        <v>-561934038.67999995</v>
      </c>
      <c r="BH39" s="188">
        <v>-149082870.63</v>
      </c>
      <c r="BI39" s="188">
        <v>-26092985.300000001</v>
      </c>
      <c r="BJ39" s="188">
        <v>-952217706.23000002</v>
      </c>
      <c r="BK39" s="188">
        <v>-863140884.26999998</v>
      </c>
      <c r="BL39" s="188">
        <v>-286061241.39999998</v>
      </c>
      <c r="BM39" s="188">
        <v>20219862.699999999</v>
      </c>
      <c r="BN39" s="188">
        <v>-497757747.88999999</v>
      </c>
      <c r="BO39" s="188">
        <v>69180771.329999998</v>
      </c>
      <c r="BP39" s="188">
        <v>-213431258.74000001</v>
      </c>
      <c r="BQ39" s="188">
        <v>108990136.8</v>
      </c>
      <c r="BR39" s="188">
        <v>-216035950.44999999</v>
      </c>
      <c r="BS39" s="188">
        <v>-53663250.100000001</v>
      </c>
      <c r="BT39" s="188">
        <v>1199883182.9300001</v>
      </c>
      <c r="BU39" s="188">
        <v>-240455659.52000001</v>
      </c>
      <c r="BV39" s="188">
        <v>12699187.619999999</v>
      </c>
      <c r="BW39" s="188">
        <v>0</v>
      </c>
    </row>
    <row r="40" spans="1:75">
      <c r="A40" s="188" t="s">
        <v>255</v>
      </c>
      <c r="B40" s="188">
        <v>15316113.67</v>
      </c>
      <c r="C40" s="188">
        <v>16331831.710000001</v>
      </c>
      <c r="D40" s="188">
        <v>2691953.75</v>
      </c>
      <c r="E40" s="188">
        <v>-14781817.800000001</v>
      </c>
      <c r="F40" s="188">
        <v>-28508371.440000001</v>
      </c>
      <c r="G40" s="188">
        <v>-22003069.559999999</v>
      </c>
      <c r="H40" s="188">
        <v>-11688082.93</v>
      </c>
      <c r="I40" s="188">
        <v>-2771029.64</v>
      </c>
      <c r="J40" s="188">
        <v>13735037.199999999</v>
      </c>
      <c r="K40" s="188">
        <v>3097325.14</v>
      </c>
      <c r="L40" s="188">
        <v>2265598.2000000002</v>
      </c>
      <c r="M40" s="188">
        <v>-679871.7</v>
      </c>
      <c r="N40" s="188">
        <v>405766.38</v>
      </c>
      <c r="O40" s="188">
        <v>-1612307.12</v>
      </c>
      <c r="P40" s="188">
        <v>-1736023.04</v>
      </c>
      <c r="Q40" s="188">
        <v>368925.07</v>
      </c>
      <c r="R40" s="188">
        <v>-15696045.48</v>
      </c>
      <c r="S40" s="188">
        <v>5162711.8499999996</v>
      </c>
      <c r="T40" s="188">
        <v>13603254.859999999</v>
      </c>
      <c r="U40" s="188">
        <v>-2604825.7799999998</v>
      </c>
      <c r="V40" s="188">
        <v>-18589985.800000001</v>
      </c>
      <c r="W40" s="188">
        <v>4334617.29</v>
      </c>
      <c r="X40" s="188">
        <v>-7111968.4100000001</v>
      </c>
      <c r="Y40" s="188">
        <v>985971.02</v>
      </c>
      <c r="Z40" s="188">
        <v>1614741.65</v>
      </c>
      <c r="AA40" s="188">
        <v>-3089172.87</v>
      </c>
      <c r="AB40" s="188">
        <v>-475499.18</v>
      </c>
      <c r="AC40" s="188">
        <v>-198758.04</v>
      </c>
      <c r="AD40" s="188">
        <v>-4274417</v>
      </c>
      <c r="AE40" s="188">
        <v>-1281212.6599999999</v>
      </c>
      <c r="AF40" s="188">
        <v>-499787.25</v>
      </c>
      <c r="AG40" s="188">
        <v>-306827.27</v>
      </c>
      <c r="AH40" s="188">
        <v>-2029647.13</v>
      </c>
      <c r="AI40" s="188">
        <v>-443358.29</v>
      </c>
      <c r="AJ40" s="188">
        <v>-213327.99</v>
      </c>
      <c r="AK40" s="188">
        <v>-123792.02</v>
      </c>
      <c r="AL40" s="188">
        <v>-1952789.5</v>
      </c>
      <c r="AM40" s="188">
        <v>-487219.55</v>
      </c>
      <c r="AN40" s="188">
        <v>-365937.4</v>
      </c>
      <c r="AO40" s="188">
        <v>-90858.64</v>
      </c>
      <c r="AP40" s="188">
        <v>-3763316.3</v>
      </c>
      <c r="AQ40" s="188">
        <v>294150.63</v>
      </c>
      <c r="AR40" s="188">
        <v>-373679.35</v>
      </c>
      <c r="AS40" s="188">
        <v>122265.75</v>
      </c>
      <c r="AT40" s="188">
        <v>-6087528.7400000002</v>
      </c>
      <c r="AU40" s="188">
        <v>-2048691.23</v>
      </c>
      <c r="AV40" s="188">
        <v>-2497195.13</v>
      </c>
      <c r="AW40" s="188">
        <v>-751062.62</v>
      </c>
      <c r="AX40" s="188">
        <v>-2822480.34</v>
      </c>
      <c r="AY40" s="188">
        <v>-366927.78</v>
      </c>
      <c r="AZ40" s="188">
        <v>-189774.5</v>
      </c>
      <c r="BA40" s="188">
        <v>-87844.5</v>
      </c>
      <c r="BB40" s="188">
        <v>-7864967.1799999997</v>
      </c>
      <c r="BC40" s="188">
        <v>-6727713.4299999997</v>
      </c>
      <c r="BD40" s="188">
        <v>-1884806.36</v>
      </c>
      <c r="BE40" s="188">
        <v>68792.789999999994</v>
      </c>
      <c r="BF40" s="188">
        <v>743124.25</v>
      </c>
      <c r="BG40" s="188">
        <v>-1773819.65</v>
      </c>
      <c r="BH40" s="188">
        <v>-48600.11</v>
      </c>
      <c r="BI40" s="188">
        <v>166294.87</v>
      </c>
      <c r="BJ40" s="188">
        <v>3726891</v>
      </c>
      <c r="BK40" s="188">
        <v>1387923.93</v>
      </c>
      <c r="BL40" s="188">
        <v>-1772.01</v>
      </c>
      <c r="BM40" s="188">
        <v>0</v>
      </c>
      <c r="BN40" s="188">
        <v>-832854.43</v>
      </c>
      <c r="BO40" s="188">
        <v>1274160.99</v>
      </c>
      <c r="BP40" s="188">
        <v>-1924830.85</v>
      </c>
      <c r="BQ40" s="188">
        <v>-687438.1</v>
      </c>
      <c r="BR40" s="188">
        <v>-383126.7</v>
      </c>
      <c r="BS40" s="188">
        <v>-956594.97</v>
      </c>
      <c r="BT40" s="188">
        <v>-227462.11</v>
      </c>
      <c r="BU40" s="188">
        <v>-1165286.75</v>
      </c>
      <c r="BV40" s="188">
        <v>-80076.160000000003</v>
      </c>
      <c r="BW40" s="188">
        <v>0</v>
      </c>
    </row>
    <row r="41" spans="1:75">
      <c r="A41" s="188" t="s">
        <v>256</v>
      </c>
      <c r="B41" s="188">
        <v>34162040.560000002</v>
      </c>
      <c r="C41" s="188">
        <v>-720883990.53999996</v>
      </c>
      <c r="D41" s="188">
        <v>-328612327.22000003</v>
      </c>
      <c r="E41" s="188">
        <v>298241806.31999999</v>
      </c>
      <c r="F41" s="188">
        <v>1611490235.6700001</v>
      </c>
      <c r="G41" s="188">
        <v>549166708.13999999</v>
      </c>
      <c r="H41" s="188">
        <v>847301995.17999995</v>
      </c>
      <c r="I41" s="188">
        <v>-246390479.62</v>
      </c>
      <c r="J41" s="188">
        <v>1445713107.9100001</v>
      </c>
      <c r="K41" s="188">
        <v>892395470.00999999</v>
      </c>
      <c r="L41" s="188">
        <v>1065962046.1799999</v>
      </c>
      <c r="M41" s="188">
        <v>17559661.77</v>
      </c>
      <c r="N41" s="188">
        <v>465302456.73000002</v>
      </c>
      <c r="O41" s="188">
        <v>754747069.82000005</v>
      </c>
      <c r="P41" s="188">
        <v>506112432.00999999</v>
      </c>
      <c r="Q41" s="188">
        <v>-207438069.84999999</v>
      </c>
      <c r="R41" s="188">
        <v>932650474.05999994</v>
      </c>
      <c r="S41" s="188">
        <v>713275792.30999994</v>
      </c>
      <c r="T41" s="188">
        <v>936295568.26999998</v>
      </c>
      <c r="U41" s="188">
        <v>-5744491.6500000004</v>
      </c>
      <c r="V41" s="188">
        <v>-654805995.99000001</v>
      </c>
      <c r="W41" s="188">
        <v>-711633497.90999997</v>
      </c>
      <c r="X41" s="188">
        <v>-584397446.38</v>
      </c>
      <c r="Y41" s="188">
        <v>-2113851490.02</v>
      </c>
      <c r="Z41" s="188">
        <v>3194224666.9299998</v>
      </c>
      <c r="AA41" s="188">
        <v>1117548778.74</v>
      </c>
      <c r="AB41" s="188">
        <v>1471377340.6099999</v>
      </c>
      <c r="AC41" s="188">
        <v>-248487637.62</v>
      </c>
      <c r="AD41" s="188">
        <v>1096973178.3499999</v>
      </c>
      <c r="AE41" s="188">
        <v>946099589.30999994</v>
      </c>
      <c r="AF41" s="188">
        <v>486847163.89999998</v>
      </c>
      <c r="AG41" s="188">
        <v>-260070739.75</v>
      </c>
      <c r="AH41" s="188">
        <v>1114283878.3</v>
      </c>
      <c r="AI41" s="188">
        <v>1146774747.24</v>
      </c>
      <c r="AJ41" s="188">
        <v>813654956.13999999</v>
      </c>
      <c r="AK41" s="188">
        <v>-24430216.960000001</v>
      </c>
      <c r="AL41" s="188">
        <v>1697421611.5799999</v>
      </c>
      <c r="AM41" s="188">
        <v>1300824980.45</v>
      </c>
      <c r="AN41" s="188">
        <v>918822160.09000003</v>
      </c>
      <c r="AO41" s="188">
        <v>515897071.12</v>
      </c>
      <c r="AP41" s="188">
        <v>78770317.439999998</v>
      </c>
      <c r="AQ41" s="188">
        <v>39759735.100000001</v>
      </c>
      <c r="AR41" s="188">
        <v>-46943665.640000001</v>
      </c>
      <c r="AS41" s="188">
        <v>-350594476.06</v>
      </c>
      <c r="AT41" s="188">
        <v>562735908.55999994</v>
      </c>
      <c r="AU41" s="188">
        <v>165068363.56999999</v>
      </c>
      <c r="AV41" s="188">
        <v>21091653.309999999</v>
      </c>
      <c r="AW41" s="188">
        <v>-21989574.52</v>
      </c>
      <c r="AX41" s="188">
        <v>350097584.88</v>
      </c>
      <c r="AY41" s="188">
        <v>370042915.64999998</v>
      </c>
      <c r="AZ41" s="188">
        <v>112423578.79000001</v>
      </c>
      <c r="BA41" s="188">
        <v>-82520177.819999993</v>
      </c>
      <c r="BB41" s="188">
        <v>-326789644.69999999</v>
      </c>
      <c r="BC41" s="188">
        <v>-731241136.34000003</v>
      </c>
      <c r="BD41" s="188">
        <v>-459558752.37</v>
      </c>
      <c r="BE41" s="188">
        <v>-174620083.99000001</v>
      </c>
      <c r="BF41" s="188">
        <v>-203943540.18000001</v>
      </c>
      <c r="BG41" s="188">
        <v>-327631569.58999997</v>
      </c>
      <c r="BH41" s="188">
        <v>-50027549</v>
      </c>
      <c r="BI41" s="188">
        <v>14429278.08</v>
      </c>
      <c r="BJ41" s="188">
        <v>-618020940.73000002</v>
      </c>
      <c r="BK41" s="188">
        <v>-383342899.42000002</v>
      </c>
      <c r="BL41" s="188">
        <v>-59560088.759999998</v>
      </c>
      <c r="BM41" s="188">
        <v>5330531.1500000004</v>
      </c>
      <c r="BN41" s="188">
        <v>274181247.70999998</v>
      </c>
      <c r="BO41" s="188">
        <v>442180215.52999997</v>
      </c>
      <c r="BP41" s="188">
        <v>378093462.20999998</v>
      </c>
      <c r="BQ41" s="188">
        <v>178866163.46000001</v>
      </c>
      <c r="BR41" s="188">
        <v>428534876.06999999</v>
      </c>
      <c r="BS41" s="188">
        <v>48175295.93</v>
      </c>
      <c r="BT41" s="188">
        <v>707655813.17999995</v>
      </c>
      <c r="BU41" s="188">
        <v>-180323290.09999999</v>
      </c>
      <c r="BV41" s="188">
        <v>1854059152.9100001</v>
      </c>
      <c r="BW41" s="188">
        <v>0</v>
      </c>
    </row>
    <row r="42" spans="1:75">
      <c r="A42" s="188" t="s">
        <v>257</v>
      </c>
      <c r="B42" s="188">
        <v>7516763869.54</v>
      </c>
      <c r="C42" s="188">
        <v>7516763869.54</v>
      </c>
      <c r="D42" s="188">
        <v>7516763869.54</v>
      </c>
      <c r="E42" s="188">
        <v>7516763869.54</v>
      </c>
      <c r="F42" s="188">
        <v>5905273633.8699999</v>
      </c>
      <c r="G42" s="188">
        <v>5905273633.8699999</v>
      </c>
      <c r="H42" s="188">
        <v>5905273633.8699999</v>
      </c>
      <c r="I42" s="188">
        <v>5905273633.8699999</v>
      </c>
      <c r="J42" s="188">
        <v>4459560525.96</v>
      </c>
      <c r="K42" s="188">
        <v>4459560525.96</v>
      </c>
      <c r="L42" s="188">
        <v>4459560525.96</v>
      </c>
      <c r="M42" s="188">
        <v>4459560525.96</v>
      </c>
      <c r="N42" s="188">
        <v>3994258069.23</v>
      </c>
      <c r="O42" s="188">
        <v>11566758069.23</v>
      </c>
      <c r="P42" s="188">
        <v>11566758069.23</v>
      </c>
      <c r="Q42" s="188">
        <v>11566758069.23</v>
      </c>
      <c r="R42" s="188">
        <v>10634107595.17</v>
      </c>
      <c r="S42" s="188">
        <v>10634107595.17</v>
      </c>
      <c r="T42" s="188">
        <v>10634107595.17</v>
      </c>
      <c r="U42" s="188">
        <v>10634107595.17</v>
      </c>
      <c r="V42" s="188">
        <v>11288913591.16</v>
      </c>
      <c r="W42" s="188">
        <v>11288913591.16</v>
      </c>
      <c r="X42" s="188">
        <v>11288913591.16</v>
      </c>
      <c r="Y42" s="188">
        <v>11288913591.16</v>
      </c>
      <c r="Z42" s="188">
        <v>8094688924.2299995</v>
      </c>
      <c r="AA42" s="188">
        <v>8027443674.3599997</v>
      </c>
      <c r="AB42" s="188">
        <v>7566875443.3199997</v>
      </c>
      <c r="AC42" s="188">
        <v>7566875443.3199997</v>
      </c>
      <c r="AD42" s="188">
        <v>6469902264.9700003</v>
      </c>
      <c r="AE42" s="188">
        <v>6469902264.9700003</v>
      </c>
      <c r="AF42" s="188">
        <v>6469902264.9700003</v>
      </c>
      <c r="AG42" s="188">
        <v>6469902264.9700003</v>
      </c>
      <c r="AH42" s="188">
        <v>5355618386.6700001</v>
      </c>
      <c r="AI42" s="188">
        <v>5355618386.6700001</v>
      </c>
      <c r="AJ42" s="188">
        <v>5355618386.6700001</v>
      </c>
      <c r="AK42" s="188">
        <v>5355618386.6700001</v>
      </c>
      <c r="AL42" s="188">
        <v>3658196775.0900002</v>
      </c>
      <c r="AM42" s="188">
        <v>3658196775.0900002</v>
      </c>
      <c r="AN42" s="188">
        <v>3658196775.0900002</v>
      </c>
      <c r="AO42" s="188">
        <v>3658196775.0900002</v>
      </c>
      <c r="AP42" s="188">
        <v>3579426457.6500001</v>
      </c>
      <c r="AQ42" s="188">
        <v>3579426457.6500001</v>
      </c>
      <c r="AR42" s="188">
        <v>3579426457.6500001</v>
      </c>
      <c r="AS42" s="188">
        <v>3579426457.6500001</v>
      </c>
      <c r="AT42" s="188">
        <v>3016690549.0900002</v>
      </c>
      <c r="AU42" s="188">
        <v>3016690549.0900002</v>
      </c>
      <c r="AV42" s="188">
        <v>3016690549.0900002</v>
      </c>
      <c r="AW42" s="188">
        <v>3016690549.0900002</v>
      </c>
      <c r="AX42" s="188">
        <v>2692734316.98</v>
      </c>
      <c r="AY42" s="188">
        <v>2692734316.98</v>
      </c>
      <c r="AZ42" s="188">
        <v>2692734316.98</v>
      </c>
      <c r="BA42" s="188">
        <v>2692734316.98</v>
      </c>
      <c r="BB42" s="188">
        <v>3019523961.6799998</v>
      </c>
      <c r="BC42" s="188">
        <v>3021753961.6799998</v>
      </c>
      <c r="BD42" s="188">
        <v>3021753961.6799998</v>
      </c>
      <c r="BE42" s="188">
        <v>3021753961.6799998</v>
      </c>
      <c r="BF42" s="188">
        <v>3223467501.8600001</v>
      </c>
      <c r="BG42" s="188">
        <v>3194952662.6999998</v>
      </c>
      <c r="BH42" s="188">
        <v>3194952662.6999998</v>
      </c>
      <c r="BI42" s="188">
        <v>3594952662.6999998</v>
      </c>
      <c r="BJ42" s="188">
        <v>3812973603.4299998</v>
      </c>
      <c r="BK42" s="188">
        <v>3812973603.4299998</v>
      </c>
      <c r="BL42" s="188">
        <v>3812973603.4299998</v>
      </c>
      <c r="BM42" s="188">
        <v>3812973603.4299998</v>
      </c>
      <c r="BN42" s="188">
        <v>3538792355.7199998</v>
      </c>
      <c r="BO42" s="188">
        <v>3538792355.7199998</v>
      </c>
      <c r="BP42" s="188">
        <v>3160698893.5100002</v>
      </c>
      <c r="BQ42" s="188">
        <v>3160775351.5900002</v>
      </c>
      <c r="BR42" s="188">
        <v>2732240475.52</v>
      </c>
      <c r="BS42" s="188">
        <v>2732240475.52</v>
      </c>
      <c r="BT42" s="188">
        <v>2024584662.3399999</v>
      </c>
      <c r="BU42" s="188">
        <v>2024584662.3399999</v>
      </c>
      <c r="BV42" s="188">
        <v>170525509.43000001</v>
      </c>
      <c r="BW42" s="188">
        <v>0</v>
      </c>
    </row>
    <row r="43" spans="1:75">
      <c r="A43" s="188" t="s">
        <v>258</v>
      </c>
      <c r="B43" s="188">
        <v>7550925910.1000004</v>
      </c>
      <c r="C43" s="188">
        <v>6795879879</v>
      </c>
      <c r="D43" s="188">
        <v>7188151542.3199997</v>
      </c>
      <c r="E43" s="188">
        <v>7815005675.8599997</v>
      </c>
      <c r="F43" s="188">
        <v>7516763869.54</v>
      </c>
      <c r="G43" s="188">
        <v>6454440342.0100002</v>
      </c>
      <c r="H43" s="188">
        <v>6752575629.0500002</v>
      </c>
      <c r="I43" s="188">
        <v>5658883154.25</v>
      </c>
      <c r="J43" s="188">
        <v>5905273633.8699999</v>
      </c>
      <c r="K43" s="188">
        <v>5351955995.9700003</v>
      </c>
      <c r="L43" s="188">
        <v>5525522572.1400003</v>
      </c>
      <c r="M43" s="188">
        <v>4477120187.7299995</v>
      </c>
      <c r="N43" s="188">
        <v>4459560525.96</v>
      </c>
      <c r="O43" s="188">
        <v>12321505139.049999</v>
      </c>
      <c r="P43" s="188">
        <v>12072870501.24</v>
      </c>
      <c r="Q43" s="188">
        <v>11359319999.379999</v>
      </c>
      <c r="R43" s="188">
        <v>11566758069.23</v>
      </c>
      <c r="S43" s="188">
        <v>11347383387.48</v>
      </c>
      <c r="T43" s="188">
        <v>11570403163.440001</v>
      </c>
      <c r="U43" s="188">
        <v>10628363103.52</v>
      </c>
      <c r="V43" s="188">
        <v>10634107595.17</v>
      </c>
      <c r="W43" s="188">
        <v>10577280093.25</v>
      </c>
      <c r="X43" s="188">
        <v>10704516144.780001</v>
      </c>
      <c r="Y43" s="188">
        <v>9175062101.1399994</v>
      </c>
      <c r="Z43" s="188">
        <v>11288913591.16</v>
      </c>
      <c r="AA43" s="188">
        <v>9144992453.1000004</v>
      </c>
      <c r="AB43" s="188">
        <v>9038252783.9300003</v>
      </c>
      <c r="AC43" s="188">
        <v>7318387805.6999998</v>
      </c>
      <c r="AD43" s="188">
        <v>7566875443.3199997</v>
      </c>
      <c r="AE43" s="188">
        <v>7416001854.2799997</v>
      </c>
      <c r="AF43" s="188">
        <v>6956749428.8699999</v>
      </c>
      <c r="AG43" s="188">
        <v>6209831525.2200003</v>
      </c>
      <c r="AH43" s="188">
        <v>6469902264.9700003</v>
      </c>
      <c r="AI43" s="188">
        <v>6502393133.9099998</v>
      </c>
      <c r="AJ43" s="188">
        <v>6169273342.8100004</v>
      </c>
      <c r="AK43" s="188">
        <v>5331188169.71</v>
      </c>
      <c r="AL43" s="188">
        <v>5355618386.6700001</v>
      </c>
      <c r="AM43" s="188">
        <v>4959021755.54</v>
      </c>
      <c r="AN43" s="188">
        <v>4577018935.1800003</v>
      </c>
      <c r="AO43" s="188">
        <v>4174093846.21</v>
      </c>
      <c r="AP43" s="188">
        <v>3658196775.0900002</v>
      </c>
      <c r="AQ43" s="188">
        <v>3619186192.75</v>
      </c>
      <c r="AR43" s="188">
        <v>3532482792.0100002</v>
      </c>
      <c r="AS43" s="188">
        <v>3228831981.5900002</v>
      </c>
      <c r="AT43" s="188">
        <v>3579426457.6500001</v>
      </c>
      <c r="AU43" s="188">
        <v>3181758912.6599998</v>
      </c>
      <c r="AV43" s="188">
        <v>3037782202.4000001</v>
      </c>
      <c r="AW43" s="188">
        <v>2994700974.5700002</v>
      </c>
      <c r="AX43" s="188">
        <v>3042831901.8600001</v>
      </c>
      <c r="AY43" s="188">
        <v>3062777232.6300001</v>
      </c>
      <c r="AZ43" s="188">
        <v>2805157895.77</v>
      </c>
      <c r="BA43" s="188">
        <v>2610214139.1599998</v>
      </c>
      <c r="BB43" s="188">
        <v>2692734316.98</v>
      </c>
      <c r="BC43" s="188">
        <v>2290512825.3400002</v>
      </c>
      <c r="BD43" s="188">
        <v>2562195209.3099999</v>
      </c>
      <c r="BE43" s="188">
        <v>2847133877.6900001</v>
      </c>
      <c r="BF43" s="188">
        <v>3019523961.6799998</v>
      </c>
      <c r="BG43" s="188">
        <v>2867321093.1100001</v>
      </c>
      <c r="BH43" s="188">
        <v>3144925113.6999998</v>
      </c>
      <c r="BI43" s="188">
        <v>3609381940.7800002</v>
      </c>
      <c r="BJ43" s="188">
        <v>3194952662.6999998</v>
      </c>
      <c r="BK43" s="188">
        <v>3429630704.0100002</v>
      </c>
      <c r="BL43" s="188">
        <v>3753413514.6700001</v>
      </c>
      <c r="BM43" s="188">
        <v>3818304134.5799999</v>
      </c>
      <c r="BN43" s="188">
        <v>3812973603.4299998</v>
      </c>
      <c r="BO43" s="188">
        <v>3980972571.25</v>
      </c>
      <c r="BP43" s="188">
        <v>3538792355.7199998</v>
      </c>
      <c r="BQ43" s="188">
        <v>3339641515.0500002</v>
      </c>
      <c r="BR43" s="188">
        <v>3160775351.5900002</v>
      </c>
      <c r="BS43" s="188">
        <v>2780415771.4499998</v>
      </c>
      <c r="BT43" s="188">
        <v>2732240475.52</v>
      </c>
      <c r="BU43" s="188">
        <v>1844261372.24</v>
      </c>
      <c r="BV43" s="188">
        <v>2024584662.3399999</v>
      </c>
      <c r="BW43" s="188">
        <v>0</v>
      </c>
    </row>
    <row r="44" spans="1:75">
      <c r="A44" s="188" t="s">
        <v>259</v>
      </c>
    </row>
    <row r="45" spans="1:75">
      <c r="A45" s="188" t="s">
        <v>260</v>
      </c>
      <c r="B45" s="188">
        <v>2135717248.49</v>
      </c>
      <c r="C45" s="188">
        <v>0</v>
      </c>
      <c r="D45" s="188">
        <v>1090083643.6700001</v>
      </c>
      <c r="E45" s="188">
        <v>0</v>
      </c>
      <c r="F45" s="188">
        <v>2361167577.8600001</v>
      </c>
      <c r="G45" s="188">
        <v>0</v>
      </c>
      <c r="H45" s="188">
        <v>1055685539.9400001</v>
      </c>
      <c r="I45" s="188">
        <v>0</v>
      </c>
      <c r="J45" s="188">
        <v>2413606492.8699999</v>
      </c>
      <c r="K45" s="188">
        <v>0</v>
      </c>
      <c r="L45" s="188">
        <v>1164939735.74</v>
      </c>
      <c r="M45" s="188">
        <v>0</v>
      </c>
      <c r="N45" s="188">
        <v>2800375875.0900002</v>
      </c>
      <c r="O45" s="188">
        <v>0</v>
      </c>
      <c r="P45" s="188">
        <v>973196132.04999995</v>
      </c>
      <c r="Q45" s="188">
        <v>0</v>
      </c>
      <c r="R45" s="188">
        <v>1799791966.72</v>
      </c>
      <c r="S45" s="188">
        <v>0</v>
      </c>
      <c r="T45" s="188">
        <v>861897327.41999996</v>
      </c>
      <c r="U45" s="188">
        <v>0</v>
      </c>
      <c r="V45" s="188">
        <v>1837010750.3</v>
      </c>
      <c r="W45" s="188">
        <v>0</v>
      </c>
      <c r="X45" s="188">
        <v>648015475.62</v>
      </c>
      <c r="Y45" s="188">
        <v>0</v>
      </c>
      <c r="Z45" s="188">
        <v>1314824682.5899999</v>
      </c>
      <c r="AA45" s="188">
        <v>0</v>
      </c>
      <c r="AB45" s="188">
        <v>820965753.33000004</v>
      </c>
      <c r="AC45" s="188">
        <v>0</v>
      </c>
      <c r="AD45" s="188">
        <v>1178295682.76</v>
      </c>
      <c r="AE45" s="188">
        <v>0</v>
      </c>
      <c r="AF45" s="188">
        <v>694225592.77999997</v>
      </c>
      <c r="AG45" s="188">
        <v>0</v>
      </c>
      <c r="AH45" s="188">
        <v>1086519101.5899999</v>
      </c>
      <c r="AI45" s="188">
        <v>0</v>
      </c>
      <c r="AJ45" s="188">
        <v>558561767.66999996</v>
      </c>
      <c r="AK45" s="188">
        <v>0</v>
      </c>
      <c r="AL45" s="188">
        <v>806759583.20000005</v>
      </c>
      <c r="AM45" s="188">
        <v>0</v>
      </c>
      <c r="AN45" s="188">
        <v>526251406.68000001</v>
      </c>
      <c r="AO45" s="188">
        <v>0</v>
      </c>
      <c r="AP45" s="188">
        <v>967108766.96000004</v>
      </c>
      <c r="AQ45" s="188">
        <v>0</v>
      </c>
      <c r="AR45" s="188">
        <v>497794244.75</v>
      </c>
      <c r="AS45" s="188">
        <v>0</v>
      </c>
      <c r="AT45" s="188">
        <v>892906408.98000002</v>
      </c>
      <c r="AU45" s="188">
        <v>0</v>
      </c>
      <c r="AV45" s="188">
        <v>442767373.94999999</v>
      </c>
      <c r="AW45" s="188">
        <v>0</v>
      </c>
      <c r="AX45" s="188">
        <v>401514527.35000002</v>
      </c>
      <c r="AY45" s="188">
        <v>256573756.66999999</v>
      </c>
      <c r="AZ45" s="188">
        <v>137612432.38</v>
      </c>
      <c r="BA45" s="188">
        <v>62226459.109999999</v>
      </c>
      <c r="BB45" s="188">
        <v>159443460.78999999</v>
      </c>
      <c r="BC45" s="188">
        <v>133564054.06999999</v>
      </c>
      <c r="BD45" s="188">
        <v>122533552.03</v>
      </c>
      <c r="BE45" s="188">
        <v>73002861.420000002</v>
      </c>
      <c r="BF45" s="188">
        <v>293740978.41000003</v>
      </c>
      <c r="BG45" s="188">
        <v>255376997.08000001</v>
      </c>
      <c r="BH45" s="188">
        <v>194491271.11000001</v>
      </c>
      <c r="BI45" s="188">
        <v>82187262.709999993</v>
      </c>
      <c r="BJ45" s="188">
        <v>412010778.26999998</v>
      </c>
      <c r="BK45" s="188">
        <v>307400101.85000002</v>
      </c>
      <c r="BL45" s="188">
        <v>220268441.96000001</v>
      </c>
      <c r="BM45" s="188">
        <v>73114610.659999996</v>
      </c>
      <c r="BN45" s="188">
        <v>272775662.16000003</v>
      </c>
      <c r="BO45" s="188">
        <v>134696233.75999999</v>
      </c>
      <c r="BP45" s="188">
        <v>246444551.36000001</v>
      </c>
      <c r="BQ45" s="188">
        <v>145924889.72999999</v>
      </c>
      <c r="BR45" s="188">
        <v>275868909.13999999</v>
      </c>
      <c r="BS45" s="188">
        <v>145360130.50999999</v>
      </c>
      <c r="BT45" s="188">
        <v>244333013.37</v>
      </c>
      <c r="BU45" s="188">
        <v>98950981.099999994</v>
      </c>
      <c r="BV45" s="188">
        <v>10415260.810000001</v>
      </c>
      <c r="BW45" s="188">
        <v>0</v>
      </c>
    </row>
    <row r="46" spans="1:7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260380319.21000001</v>
      </c>
      <c r="AY46" s="188">
        <v>185647156.86000001</v>
      </c>
      <c r="AZ46" s="188">
        <v>111568690.25</v>
      </c>
      <c r="BA46" s="188">
        <v>55206921.07</v>
      </c>
      <c r="BB46" s="188">
        <v>249412352.00999999</v>
      </c>
      <c r="BC46" s="188">
        <v>229613198.88</v>
      </c>
      <c r="BD46" s="188">
        <v>160180203.25999999</v>
      </c>
      <c r="BE46" s="188">
        <v>74017189.209999993</v>
      </c>
      <c r="BF46" s="188">
        <v>313879867.31999999</v>
      </c>
      <c r="BG46" s="188">
        <v>240094894.22</v>
      </c>
      <c r="BH46" s="188">
        <v>171840388.65000001</v>
      </c>
      <c r="BI46" s="188">
        <v>79723979.810000002</v>
      </c>
      <c r="BJ46" s="188">
        <v>354755251.63</v>
      </c>
      <c r="BK46" s="188">
        <v>261143817.5</v>
      </c>
      <c r="BL46" s="188">
        <v>158446089.09999999</v>
      </c>
      <c r="BM46" s="188">
        <v>69759969.170000002</v>
      </c>
      <c r="BN46" s="188">
        <v>311618075.51999998</v>
      </c>
      <c r="BO46" s="188">
        <v>160106779.80000001</v>
      </c>
      <c r="BP46" s="188">
        <v>258239260.90000001</v>
      </c>
      <c r="BQ46" s="188">
        <v>128086071.06</v>
      </c>
      <c r="BR46" s="188">
        <v>199833262.15000001</v>
      </c>
      <c r="BS46" s="188">
        <v>111173617.91</v>
      </c>
      <c r="BT46" s="188">
        <v>186685025.84999999</v>
      </c>
      <c r="BU46" s="188">
        <v>111461693.06999999</v>
      </c>
      <c r="BV46" s="188">
        <v>-4422017.92</v>
      </c>
      <c r="BW46" s="188">
        <v>0</v>
      </c>
    </row>
    <row r="47" spans="1:7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0</v>
      </c>
      <c r="BE47" s="188">
        <v>0</v>
      </c>
      <c r="BF47" s="188">
        <v>0</v>
      </c>
      <c r="BG47" s="188">
        <v>0</v>
      </c>
      <c r="BH47" s="188">
        <v>0</v>
      </c>
      <c r="BI47" s="188">
        <v>0</v>
      </c>
      <c r="BJ47" s="188">
        <v>0</v>
      </c>
      <c r="BK47" s="188">
        <v>0</v>
      </c>
      <c r="BL47" s="188">
        <v>0</v>
      </c>
      <c r="BM47" s="188">
        <v>0</v>
      </c>
      <c r="BN47" s="188">
        <v>0</v>
      </c>
      <c r="BO47" s="188">
        <v>0</v>
      </c>
      <c r="BP47" s="188">
        <v>0</v>
      </c>
      <c r="BQ47" s="188">
        <v>0</v>
      </c>
      <c r="BR47" s="188">
        <v>0</v>
      </c>
      <c r="BS47" s="188">
        <v>0</v>
      </c>
      <c r="BT47" s="188">
        <v>0</v>
      </c>
      <c r="BU47" s="188">
        <v>0</v>
      </c>
      <c r="BV47" s="188">
        <v>0</v>
      </c>
      <c r="BW47" s="188">
        <v>0</v>
      </c>
    </row>
    <row r="48" spans="1:75">
      <c r="A48" s="188" t="s">
        <v>262</v>
      </c>
      <c r="B48" s="188">
        <v>489077.55</v>
      </c>
      <c r="C48" s="188">
        <v>0</v>
      </c>
      <c r="D48" s="188">
        <v>-4068178.91</v>
      </c>
      <c r="E48" s="188">
        <v>0</v>
      </c>
      <c r="F48" s="188">
        <v>84893677.329999998</v>
      </c>
      <c r="G48" s="188">
        <v>0</v>
      </c>
      <c r="H48" s="188">
        <v>-9017574.5099999998</v>
      </c>
      <c r="I48" s="188">
        <v>0</v>
      </c>
      <c r="J48" s="188">
        <v>186234579.59</v>
      </c>
      <c r="K48" s="188">
        <v>0</v>
      </c>
      <c r="L48" s="188">
        <v>75046732.370000005</v>
      </c>
      <c r="M48" s="188">
        <v>0</v>
      </c>
      <c r="N48" s="188">
        <v>243482658.03</v>
      </c>
      <c r="O48" s="188">
        <v>0</v>
      </c>
      <c r="P48" s="188">
        <v>14682542.59</v>
      </c>
      <c r="Q48" s="188">
        <v>0</v>
      </c>
      <c r="R48" s="188">
        <v>124041702.59</v>
      </c>
      <c r="S48" s="188">
        <v>0</v>
      </c>
      <c r="T48" s="188">
        <v>-57587392.090000004</v>
      </c>
      <c r="U48" s="188">
        <v>0</v>
      </c>
      <c r="V48" s="188">
        <v>96208556.939999998</v>
      </c>
      <c r="W48" s="188">
        <v>0</v>
      </c>
      <c r="X48" s="188">
        <v>-18826371.219999999</v>
      </c>
      <c r="Y48" s="188">
        <v>0</v>
      </c>
      <c r="Z48" s="188">
        <v>53030020.170000002</v>
      </c>
      <c r="AA48" s="188">
        <v>0</v>
      </c>
      <c r="AB48" s="188">
        <v>14104676.15</v>
      </c>
      <c r="AC48" s="188">
        <v>0</v>
      </c>
      <c r="AD48" s="188">
        <v>93266157.510000005</v>
      </c>
      <c r="AE48" s="188">
        <v>0</v>
      </c>
      <c r="AF48" s="188">
        <v>-8577014.7400000002</v>
      </c>
      <c r="AG48" s="188">
        <v>0</v>
      </c>
      <c r="AH48" s="188">
        <v>181911146.94999999</v>
      </c>
      <c r="AI48" s="188">
        <v>0</v>
      </c>
      <c r="AJ48" s="188">
        <v>7482781.3399999999</v>
      </c>
      <c r="AK48" s="188">
        <v>0</v>
      </c>
      <c r="AL48" s="188">
        <v>114686083.62</v>
      </c>
      <c r="AM48" s="188">
        <v>0</v>
      </c>
      <c r="AN48" s="188">
        <v>-30637066.32</v>
      </c>
      <c r="AO48" s="188">
        <v>0</v>
      </c>
      <c r="AP48" s="188">
        <v>115301326.72</v>
      </c>
      <c r="AQ48" s="188">
        <v>0</v>
      </c>
      <c r="AR48" s="188">
        <v>36916701.020000003</v>
      </c>
      <c r="AS48" s="188">
        <v>0</v>
      </c>
      <c r="AT48" s="188">
        <v>43408183.109999999</v>
      </c>
      <c r="AU48" s="188">
        <v>0</v>
      </c>
      <c r="AV48" s="188">
        <v>-24190045.109999999</v>
      </c>
      <c r="AW48" s="188">
        <v>0</v>
      </c>
      <c r="AX48" s="188">
        <v>47471913.479999997</v>
      </c>
      <c r="AY48" s="188">
        <v>-112846.14</v>
      </c>
      <c r="AZ48" s="188">
        <v>-247134.14</v>
      </c>
      <c r="BA48" s="188">
        <v>219280.68</v>
      </c>
      <c r="BB48" s="188">
        <v>54908546.030000001</v>
      </c>
      <c r="BC48" s="188">
        <v>16293594.689999999</v>
      </c>
      <c r="BD48" s="188">
        <v>22490615.210000001</v>
      </c>
      <c r="BE48" s="188">
        <v>-95090</v>
      </c>
      <c r="BF48" s="188">
        <v>-46257251.75</v>
      </c>
      <c r="BG48" s="188">
        <v>-100043275.13</v>
      </c>
      <c r="BH48" s="188">
        <v>-95843019.280000001</v>
      </c>
      <c r="BI48" s="188">
        <v>-7199676.7400000002</v>
      </c>
      <c r="BJ48" s="188">
        <v>-295008216.08999997</v>
      </c>
      <c r="BK48" s="188">
        <v>1480417.41</v>
      </c>
      <c r="BL48" s="188">
        <v>4500</v>
      </c>
      <c r="BM48" s="188">
        <v>0</v>
      </c>
      <c r="BN48" s="188">
        <v>111140736.28</v>
      </c>
      <c r="BO48" s="188">
        <v>14610852.029999999</v>
      </c>
      <c r="BP48" s="188">
        <v>77915642.629999995</v>
      </c>
      <c r="BQ48" s="188">
        <v>376238.13</v>
      </c>
      <c r="BR48" s="188">
        <v>78247504.189999998</v>
      </c>
      <c r="BS48" s="188">
        <v>1139178.3799999999</v>
      </c>
      <c r="BT48" s="188">
        <v>101429188.83</v>
      </c>
      <c r="BU48" s="188">
        <v>-48896.84</v>
      </c>
      <c r="BV48" s="188">
        <v>-976817.08</v>
      </c>
      <c r="BW48" s="188">
        <v>0</v>
      </c>
    </row>
    <row r="49" spans="1:75">
      <c r="A49" s="188" t="s">
        <v>263</v>
      </c>
      <c r="B49" s="188">
        <v>207333338.52000001</v>
      </c>
      <c r="C49" s="188">
        <v>0</v>
      </c>
      <c r="D49" s="188">
        <v>104345762.37</v>
      </c>
      <c r="E49" s="188">
        <v>0</v>
      </c>
      <c r="F49" s="188">
        <v>216291451.30000001</v>
      </c>
      <c r="G49" s="188">
        <v>0</v>
      </c>
      <c r="H49" s="188">
        <v>108325102.36</v>
      </c>
      <c r="I49" s="188">
        <v>0</v>
      </c>
      <c r="J49" s="188">
        <v>203128375.74000001</v>
      </c>
      <c r="K49" s="188">
        <v>0</v>
      </c>
      <c r="L49" s="188">
        <v>96679162.939999998</v>
      </c>
      <c r="M49" s="188">
        <v>0</v>
      </c>
      <c r="N49" s="188">
        <v>222847806.49000001</v>
      </c>
      <c r="O49" s="188">
        <v>0</v>
      </c>
      <c r="P49" s="188">
        <v>119450542.08</v>
      </c>
      <c r="Q49" s="188">
        <v>0</v>
      </c>
      <c r="R49" s="188">
        <v>206709237.77000001</v>
      </c>
      <c r="S49" s="188">
        <v>0</v>
      </c>
      <c r="T49" s="188">
        <v>100964149.67</v>
      </c>
      <c r="U49" s="188">
        <v>0</v>
      </c>
      <c r="V49" s="188">
        <v>190840526.88</v>
      </c>
      <c r="W49" s="188">
        <v>0</v>
      </c>
      <c r="X49" s="188">
        <v>94240872.510000005</v>
      </c>
      <c r="Y49" s="188">
        <v>0</v>
      </c>
      <c r="Z49" s="188">
        <v>211656428.75</v>
      </c>
      <c r="AA49" s="188">
        <v>0</v>
      </c>
      <c r="AB49" s="188">
        <v>75401710.290000007</v>
      </c>
      <c r="AC49" s="188">
        <v>0</v>
      </c>
      <c r="AD49" s="188">
        <v>179708807.44</v>
      </c>
      <c r="AE49" s="188">
        <v>0</v>
      </c>
      <c r="AF49" s="188">
        <v>93353490.260000005</v>
      </c>
      <c r="AG49" s="188">
        <v>0</v>
      </c>
      <c r="AH49" s="188">
        <v>183797295.69</v>
      </c>
      <c r="AI49" s="188">
        <v>0</v>
      </c>
      <c r="AJ49" s="188">
        <v>96421944.840000004</v>
      </c>
      <c r="AK49" s="188">
        <v>0</v>
      </c>
      <c r="AL49" s="188">
        <v>173832101</v>
      </c>
      <c r="AM49" s="188">
        <v>0</v>
      </c>
      <c r="AN49" s="188">
        <v>74238264.670000002</v>
      </c>
      <c r="AO49" s="188">
        <v>0</v>
      </c>
      <c r="AP49" s="188">
        <v>149697083.86000001</v>
      </c>
      <c r="AQ49" s="188">
        <v>0</v>
      </c>
      <c r="AR49" s="188">
        <v>76707133.730000004</v>
      </c>
      <c r="AS49" s="188">
        <v>0</v>
      </c>
      <c r="AT49" s="188">
        <v>149095466.41</v>
      </c>
      <c r="AU49" s="188">
        <v>0</v>
      </c>
      <c r="AV49" s="188">
        <v>70480885.659999996</v>
      </c>
      <c r="AW49" s="188">
        <v>0</v>
      </c>
      <c r="AX49" s="188">
        <v>135970339.59</v>
      </c>
      <c r="AY49" s="188">
        <v>99638377.700000003</v>
      </c>
      <c r="AZ49" s="188">
        <v>66467900.159999996</v>
      </c>
      <c r="BA49" s="188">
        <v>32543624.02</v>
      </c>
      <c r="BB49" s="188">
        <v>127237559.11</v>
      </c>
      <c r="BC49" s="188">
        <v>102527567.28</v>
      </c>
      <c r="BD49" s="188">
        <v>60330594.689999998</v>
      </c>
      <c r="BE49" s="188">
        <v>32978661.32</v>
      </c>
      <c r="BF49" s="188">
        <v>126409348.19</v>
      </c>
      <c r="BG49" s="188">
        <v>100643777.94</v>
      </c>
      <c r="BH49" s="188">
        <v>67804503.920000002</v>
      </c>
      <c r="BI49" s="188">
        <v>33559333.810000002</v>
      </c>
      <c r="BJ49" s="188">
        <v>109899974.7</v>
      </c>
      <c r="BK49" s="188">
        <v>84496337.579999998</v>
      </c>
      <c r="BL49" s="188">
        <v>52892178.280000001</v>
      </c>
      <c r="BM49" s="188">
        <v>31403755.149999999</v>
      </c>
      <c r="BN49" s="188">
        <v>107782040.09</v>
      </c>
      <c r="BO49" s="188">
        <v>44246118.780000001</v>
      </c>
      <c r="BP49" s="188">
        <v>88222126.709999993</v>
      </c>
      <c r="BQ49" s="188">
        <v>41275585.07</v>
      </c>
      <c r="BR49" s="188">
        <v>95503651.379999995</v>
      </c>
      <c r="BS49" s="188">
        <v>40994058.859999999</v>
      </c>
      <c r="BT49" s="188">
        <v>89520764.239999995</v>
      </c>
      <c r="BU49" s="188">
        <v>41116374.049999997</v>
      </c>
      <c r="BV49" s="188">
        <v>26243609.890000001</v>
      </c>
      <c r="BW49" s="188">
        <v>0</v>
      </c>
    </row>
    <row r="50" spans="1:75">
      <c r="A50" s="188" t="s">
        <v>264</v>
      </c>
      <c r="B50" s="188">
        <v>11856611.15</v>
      </c>
      <c r="C50" s="188">
        <v>0</v>
      </c>
      <c r="D50" s="188">
        <v>6355119.8399999999</v>
      </c>
      <c r="E50" s="188">
        <v>0</v>
      </c>
      <c r="F50" s="188">
        <v>12100977.699999999</v>
      </c>
      <c r="G50" s="188">
        <v>0</v>
      </c>
      <c r="H50" s="188">
        <v>5621280.7300000004</v>
      </c>
      <c r="I50" s="188">
        <v>0</v>
      </c>
      <c r="J50" s="188">
        <v>11766445.74</v>
      </c>
      <c r="K50" s="188">
        <v>0</v>
      </c>
      <c r="L50" s="188">
        <v>7042826.4699999997</v>
      </c>
      <c r="M50" s="188">
        <v>0</v>
      </c>
      <c r="N50" s="188">
        <v>10836222.99</v>
      </c>
      <c r="O50" s="188">
        <v>0</v>
      </c>
      <c r="P50" s="188">
        <v>5389341.1500000004</v>
      </c>
      <c r="Q50" s="188">
        <v>0</v>
      </c>
      <c r="R50" s="188">
        <v>29509235.420000002</v>
      </c>
      <c r="S50" s="188">
        <v>0</v>
      </c>
      <c r="T50" s="188">
        <v>5904966.6299999999</v>
      </c>
      <c r="U50" s="188">
        <v>0</v>
      </c>
      <c r="V50" s="188">
        <v>18250433.190000001</v>
      </c>
      <c r="W50" s="188">
        <v>0</v>
      </c>
      <c r="X50" s="188">
        <v>7194405.1900000004</v>
      </c>
      <c r="Y50" s="188">
        <v>0</v>
      </c>
      <c r="Z50" s="188">
        <v>11104598.15</v>
      </c>
      <c r="AA50" s="188">
        <v>0</v>
      </c>
      <c r="AB50" s="188">
        <v>3637111.92</v>
      </c>
      <c r="AC50" s="188">
        <v>0</v>
      </c>
      <c r="AD50" s="188">
        <v>11362406.59</v>
      </c>
      <c r="AE50" s="188">
        <v>0</v>
      </c>
      <c r="AF50" s="188">
        <v>5885056.0300000003</v>
      </c>
      <c r="AG50" s="188">
        <v>0</v>
      </c>
      <c r="AH50" s="188">
        <v>13455764.949999999</v>
      </c>
      <c r="AI50" s="188">
        <v>0</v>
      </c>
      <c r="AJ50" s="188">
        <v>7770726.2400000002</v>
      </c>
      <c r="AK50" s="188">
        <v>0</v>
      </c>
      <c r="AL50" s="188">
        <v>10476796.07</v>
      </c>
      <c r="AM50" s="188">
        <v>0</v>
      </c>
      <c r="AN50" s="188">
        <v>3985898.22</v>
      </c>
      <c r="AO50" s="188">
        <v>0</v>
      </c>
      <c r="AP50" s="188">
        <v>8281692.7300000004</v>
      </c>
      <c r="AQ50" s="188">
        <v>0</v>
      </c>
      <c r="AR50" s="188">
        <v>4287664.18</v>
      </c>
      <c r="AS50" s="188">
        <v>0</v>
      </c>
      <c r="AT50" s="188">
        <v>9182599.4299999997</v>
      </c>
      <c r="AU50" s="188">
        <v>0</v>
      </c>
      <c r="AV50" s="188">
        <v>4229515.78</v>
      </c>
      <c r="AW50" s="188">
        <v>0</v>
      </c>
      <c r="AX50" s="188">
        <v>7588614.3200000003</v>
      </c>
      <c r="AY50" s="188">
        <v>5366158.8</v>
      </c>
      <c r="AZ50" s="188">
        <v>3936162.12</v>
      </c>
      <c r="BA50" s="188">
        <v>1714130.86</v>
      </c>
      <c r="BB50" s="188">
        <v>8559224.7200000007</v>
      </c>
      <c r="BC50" s="188">
        <v>6334941.6399999997</v>
      </c>
      <c r="BD50" s="188">
        <v>3852457.77</v>
      </c>
      <c r="BE50" s="188">
        <v>1902642.2</v>
      </c>
      <c r="BF50" s="188">
        <v>10406698.82</v>
      </c>
      <c r="BG50" s="188">
        <v>6792565.9699999997</v>
      </c>
      <c r="BH50" s="188">
        <v>4751764.13</v>
      </c>
      <c r="BI50" s="188">
        <v>2335835.9500000002</v>
      </c>
      <c r="BJ50" s="188">
        <v>8782625.9000000004</v>
      </c>
      <c r="BK50" s="188">
        <v>7089526.9800000004</v>
      </c>
      <c r="BL50" s="188">
        <v>1620462.95</v>
      </c>
      <c r="BM50" s="188">
        <v>1763517.7</v>
      </c>
      <c r="BN50" s="188">
        <v>2443610.4700000002</v>
      </c>
      <c r="BO50" s="188">
        <v>1123455.74</v>
      </c>
      <c r="BP50" s="188">
        <v>1595400.12</v>
      </c>
      <c r="BQ50" s="188">
        <v>600708.37</v>
      </c>
      <c r="BR50" s="188">
        <v>11702335.1</v>
      </c>
      <c r="BS50" s="188">
        <v>-80152.47</v>
      </c>
      <c r="BT50" s="188">
        <v>5482118.0300000003</v>
      </c>
      <c r="BU50" s="188">
        <v>2729291.5</v>
      </c>
      <c r="BV50" s="188">
        <v>2377808.85</v>
      </c>
      <c r="BW50" s="188">
        <v>0</v>
      </c>
    </row>
    <row r="51" spans="1:75">
      <c r="A51" s="188" t="s">
        <v>265</v>
      </c>
      <c r="B51" s="188">
        <v>5009659.03</v>
      </c>
      <c r="C51" s="188">
        <v>0</v>
      </c>
      <c r="D51" s="188">
        <v>562767.42000000004</v>
      </c>
      <c r="E51" s="188">
        <v>0</v>
      </c>
      <c r="F51" s="188">
        <v>3834444.51</v>
      </c>
      <c r="G51" s="188">
        <v>0</v>
      </c>
      <c r="H51" s="188">
        <v>1032693.37</v>
      </c>
      <c r="I51" s="188">
        <v>0</v>
      </c>
      <c r="J51" s="188">
        <v>3574635.55</v>
      </c>
      <c r="K51" s="188">
        <v>0</v>
      </c>
      <c r="L51" s="188">
        <v>1371001.43</v>
      </c>
      <c r="M51" s="188">
        <v>0</v>
      </c>
      <c r="N51" s="188">
        <v>2948250.25</v>
      </c>
      <c r="O51" s="188">
        <v>0</v>
      </c>
      <c r="P51" s="188">
        <v>2774819.35</v>
      </c>
      <c r="Q51" s="188">
        <v>0</v>
      </c>
      <c r="R51" s="188">
        <v>3947946.12</v>
      </c>
      <c r="S51" s="188">
        <v>0</v>
      </c>
      <c r="T51" s="188">
        <v>1449728.46</v>
      </c>
      <c r="U51" s="188">
        <v>0</v>
      </c>
      <c r="V51" s="188">
        <v>3549047</v>
      </c>
      <c r="W51" s="188">
        <v>0</v>
      </c>
      <c r="X51" s="188">
        <v>1015878.84</v>
      </c>
      <c r="Y51" s="188">
        <v>0</v>
      </c>
      <c r="Z51" s="188">
        <v>3261544.59</v>
      </c>
      <c r="AA51" s="188">
        <v>0</v>
      </c>
      <c r="AB51" s="188">
        <v>1055298.78</v>
      </c>
      <c r="AC51" s="188">
        <v>0</v>
      </c>
      <c r="AD51" s="188">
        <v>2420528.16</v>
      </c>
      <c r="AE51" s="188">
        <v>0</v>
      </c>
      <c r="AF51" s="188">
        <v>1236152.3999999999</v>
      </c>
      <c r="AG51" s="188">
        <v>0</v>
      </c>
      <c r="AH51" s="188">
        <v>2160991.79</v>
      </c>
      <c r="AI51" s="188">
        <v>0</v>
      </c>
      <c r="AJ51" s="188">
        <v>1515130.74</v>
      </c>
      <c r="AK51" s="188">
        <v>0</v>
      </c>
      <c r="AL51" s="188">
        <v>3888307.08</v>
      </c>
      <c r="AM51" s="188">
        <v>0</v>
      </c>
      <c r="AN51" s="188">
        <v>2222649.63</v>
      </c>
      <c r="AO51" s="188">
        <v>0</v>
      </c>
      <c r="AP51" s="188">
        <v>3255932.87</v>
      </c>
      <c r="AQ51" s="188">
        <v>0</v>
      </c>
      <c r="AR51" s="188">
        <v>521360.08</v>
      </c>
      <c r="AS51" s="188">
        <v>0</v>
      </c>
      <c r="AT51" s="188">
        <v>549249.48</v>
      </c>
      <c r="AU51" s="188">
        <v>0</v>
      </c>
      <c r="AV51" s="188">
        <v>320435.40000000002</v>
      </c>
      <c r="AW51" s="188">
        <v>0</v>
      </c>
      <c r="AX51" s="188">
        <v>472638.68</v>
      </c>
      <c r="AY51" s="188">
        <v>0</v>
      </c>
      <c r="AZ51" s="188">
        <v>217166.64</v>
      </c>
      <c r="BA51" s="188">
        <v>108583.32</v>
      </c>
      <c r="BB51" s="188">
        <v>3725414.18</v>
      </c>
      <c r="BC51" s="188">
        <v>1042249.97</v>
      </c>
      <c r="BD51" s="188">
        <v>1864638.85</v>
      </c>
      <c r="BE51" s="188">
        <v>214083.35</v>
      </c>
      <c r="BF51" s="188">
        <v>805724.4</v>
      </c>
      <c r="BG51" s="188">
        <v>650441.05000000005</v>
      </c>
      <c r="BH51" s="188">
        <v>150594.06</v>
      </c>
      <c r="BI51" s="188">
        <v>75297.03</v>
      </c>
      <c r="BJ51" s="188">
        <v>815521.44</v>
      </c>
      <c r="BK51" s="188">
        <v>270000</v>
      </c>
      <c r="BL51" s="188">
        <v>0</v>
      </c>
      <c r="BM51" s="188">
        <v>0</v>
      </c>
      <c r="BN51" s="188">
        <v>11111469.439999999</v>
      </c>
      <c r="BO51" s="188">
        <v>6254422.8600000003</v>
      </c>
      <c r="BP51" s="188">
        <v>16627329</v>
      </c>
      <c r="BQ51" s="188">
        <v>715497.66</v>
      </c>
      <c r="BR51" s="188">
        <v>0</v>
      </c>
      <c r="BS51" s="188">
        <v>0</v>
      </c>
      <c r="BT51" s="188">
        <v>0</v>
      </c>
      <c r="BU51" s="188">
        <v>0</v>
      </c>
      <c r="BV51" s="188">
        <v>0</v>
      </c>
      <c r="BW51" s="188">
        <v>0</v>
      </c>
    </row>
    <row r="52" spans="1:7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2330807.15</v>
      </c>
      <c r="AY52" s="188">
        <v>-2895194.54</v>
      </c>
      <c r="AZ52" s="188">
        <v>-4451409.71</v>
      </c>
      <c r="BA52" s="188">
        <v>-4603439.92</v>
      </c>
      <c r="BB52" s="188">
        <v>-1145419.52</v>
      </c>
      <c r="BC52" s="188">
        <v>-6900901.1500000004</v>
      </c>
      <c r="BD52" s="188">
        <v>-4855470.7699999996</v>
      </c>
      <c r="BE52" s="188">
        <v>-2552220.9700000002</v>
      </c>
      <c r="BF52" s="188">
        <v>-1319288.74</v>
      </c>
      <c r="BG52" s="188">
        <v>-3567654.07</v>
      </c>
      <c r="BH52" s="188">
        <v>-3032196.37</v>
      </c>
      <c r="BI52" s="188">
        <v>-1339343.43</v>
      </c>
      <c r="BJ52" s="188">
        <v>304445.68</v>
      </c>
      <c r="BK52" s="188">
        <v>-1212662.71</v>
      </c>
      <c r="BL52" s="188">
        <v>-780534.11</v>
      </c>
      <c r="BM52" s="188">
        <v>122616.9</v>
      </c>
      <c r="BN52" s="188">
        <v>221604.63</v>
      </c>
      <c r="BO52" s="188">
        <v>82360768.730000004</v>
      </c>
      <c r="BP52" s="188">
        <v>1258082.44</v>
      </c>
      <c r="BQ52" s="188">
        <v>10771448.060000001</v>
      </c>
      <c r="BR52" s="188">
        <v>1659798.94</v>
      </c>
      <c r="BS52" s="188">
        <v>0</v>
      </c>
      <c r="BT52" s="188">
        <v>-6407716.7599999998</v>
      </c>
      <c r="BU52" s="188">
        <v>3252954.96</v>
      </c>
      <c r="BV52" s="188">
        <v>4469070.16</v>
      </c>
      <c r="BW52" s="188">
        <v>0</v>
      </c>
    </row>
    <row r="53" spans="1:7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3654505.62</v>
      </c>
      <c r="AY53" s="188">
        <v>9118213.7400000002</v>
      </c>
      <c r="AZ53" s="188">
        <v>5602227.5300000003</v>
      </c>
      <c r="BA53" s="188">
        <v>157072410.22999999</v>
      </c>
      <c r="BB53" s="188">
        <v>1942393.29</v>
      </c>
      <c r="BC53" s="188">
        <v>8249002.7199999997</v>
      </c>
      <c r="BD53" s="188">
        <v>7053178.75</v>
      </c>
      <c r="BE53" s="188">
        <v>7916669.3399999999</v>
      </c>
      <c r="BF53" s="188">
        <v>-3170522.94</v>
      </c>
      <c r="BG53" s="188">
        <v>16593817.960000001</v>
      </c>
      <c r="BH53" s="188">
        <v>16249617.27</v>
      </c>
      <c r="BI53" s="188">
        <v>19552626.609999999</v>
      </c>
      <c r="BJ53" s="188">
        <v>-4769211.5999999996</v>
      </c>
      <c r="BK53" s="188">
        <v>48222570.68</v>
      </c>
      <c r="BL53" s="188">
        <v>22800799.800000001</v>
      </c>
      <c r="BM53" s="188">
        <v>92494185.019999996</v>
      </c>
      <c r="BN53" s="188">
        <v>-183701.92</v>
      </c>
      <c r="BO53" s="188">
        <v>3078820.06</v>
      </c>
      <c r="BP53" s="188">
        <v>1097615</v>
      </c>
      <c r="BQ53" s="188">
        <v>5841145.25</v>
      </c>
      <c r="BR53" s="188">
        <v>342145.17</v>
      </c>
      <c r="BS53" s="188">
        <v>0</v>
      </c>
      <c r="BT53" s="188">
        <v>797371.81</v>
      </c>
      <c r="BU53" s="188">
        <v>0</v>
      </c>
      <c r="BV53" s="188">
        <v>0</v>
      </c>
      <c r="BW53" s="188">
        <v>0</v>
      </c>
    </row>
    <row r="54" spans="1:75">
      <c r="A54" s="188" t="s">
        <v>268</v>
      </c>
      <c r="B54" s="188">
        <v>22004664.890000001</v>
      </c>
      <c r="C54" s="188">
        <v>0</v>
      </c>
      <c r="D54" s="188">
        <v>1151235.1499999999</v>
      </c>
      <c r="E54" s="188">
        <v>0</v>
      </c>
      <c r="F54" s="188">
        <v>2634605.08</v>
      </c>
      <c r="G54" s="188">
        <v>0</v>
      </c>
      <c r="H54" s="188">
        <v>177407.02</v>
      </c>
      <c r="I54" s="188">
        <v>0</v>
      </c>
      <c r="J54" s="188">
        <v>-2583506.83</v>
      </c>
      <c r="K54" s="188">
        <v>0</v>
      </c>
      <c r="L54" s="188">
        <v>-1475420.23</v>
      </c>
      <c r="M54" s="188">
        <v>0</v>
      </c>
      <c r="N54" s="188">
        <v>-7584455.8499999996</v>
      </c>
      <c r="O54" s="188">
        <v>0</v>
      </c>
      <c r="P54" s="188">
        <v>494174.06</v>
      </c>
      <c r="Q54" s="188">
        <v>0</v>
      </c>
      <c r="R54" s="188">
        <v>-43590900.140000001</v>
      </c>
      <c r="S54" s="188">
        <v>0</v>
      </c>
      <c r="T54" s="188">
        <v>-635067.56999999995</v>
      </c>
      <c r="U54" s="188">
        <v>0</v>
      </c>
      <c r="V54" s="188">
        <v>-11109.1</v>
      </c>
      <c r="W54" s="188">
        <v>0</v>
      </c>
      <c r="X54" s="188">
        <v>-2781848.42</v>
      </c>
      <c r="Y54" s="188">
        <v>0</v>
      </c>
      <c r="Z54" s="188">
        <v>-15580237.02</v>
      </c>
      <c r="AA54" s="188">
        <v>0</v>
      </c>
      <c r="AB54" s="188">
        <v>-5509407.6799999997</v>
      </c>
      <c r="AC54" s="188">
        <v>0</v>
      </c>
      <c r="AD54" s="188">
        <v>-1028767.17</v>
      </c>
      <c r="AE54" s="188">
        <v>0</v>
      </c>
      <c r="AF54" s="188">
        <v>2470634.19</v>
      </c>
      <c r="AG54" s="188">
        <v>0</v>
      </c>
      <c r="AH54" s="188">
        <v>-16473816.779999999</v>
      </c>
      <c r="AI54" s="188">
        <v>0</v>
      </c>
      <c r="AJ54" s="188">
        <v>297735.53999999998</v>
      </c>
      <c r="AK54" s="188">
        <v>0</v>
      </c>
      <c r="AL54" s="188">
        <v>-15148984.42</v>
      </c>
      <c r="AM54" s="188">
        <v>0</v>
      </c>
      <c r="AN54" s="188">
        <v>818666.38</v>
      </c>
      <c r="AO54" s="188">
        <v>0</v>
      </c>
      <c r="AP54" s="188">
        <v>2982227.09</v>
      </c>
      <c r="AQ54" s="188">
        <v>0</v>
      </c>
      <c r="AR54" s="188">
        <v>3814238.88</v>
      </c>
      <c r="AS54" s="188">
        <v>0</v>
      </c>
      <c r="AT54" s="188">
        <v>-877676.99</v>
      </c>
      <c r="AU54" s="188">
        <v>0</v>
      </c>
      <c r="AV54" s="188">
        <v>737015.48</v>
      </c>
      <c r="AW54" s="188">
        <v>0</v>
      </c>
      <c r="AX54" s="188">
        <v>-4208975.4400000004</v>
      </c>
      <c r="AY54" s="188">
        <v>-4371197.1399999997</v>
      </c>
      <c r="AZ54" s="188">
        <v>-3444912.78</v>
      </c>
      <c r="BA54" s="188">
        <v>-825342.77</v>
      </c>
      <c r="BB54" s="188">
        <v>-3771127.98</v>
      </c>
      <c r="BC54" s="188">
        <v>-3964748.61</v>
      </c>
      <c r="BD54" s="188">
        <v>-34907.67</v>
      </c>
      <c r="BE54" s="188">
        <v>20651.740000000002</v>
      </c>
      <c r="BF54" s="188">
        <v>-1203819.48</v>
      </c>
      <c r="BG54" s="188">
        <v>-1449535.52</v>
      </c>
      <c r="BH54" s="188">
        <v>-1646497.44</v>
      </c>
      <c r="BI54" s="188">
        <v>-1167774.18</v>
      </c>
      <c r="BJ54" s="188">
        <v>109793000.17</v>
      </c>
      <c r="BK54" s="188">
        <v>17882960.59</v>
      </c>
      <c r="BL54" s="188">
        <v>876509.65</v>
      </c>
      <c r="BM54" s="188">
        <v>-611768.49</v>
      </c>
      <c r="BN54" s="188">
        <v>4354770.18</v>
      </c>
      <c r="BO54" s="188">
        <v>486335.56</v>
      </c>
      <c r="BP54" s="188">
        <v>403950.03</v>
      </c>
      <c r="BQ54" s="188">
        <v>62125.15</v>
      </c>
      <c r="BR54" s="188">
        <v>1766643.97</v>
      </c>
      <c r="BS54" s="188">
        <v>-26839.89</v>
      </c>
      <c r="BT54" s="188">
        <v>2926130.13</v>
      </c>
      <c r="BU54" s="188">
        <v>497243.51</v>
      </c>
      <c r="BV54" s="188">
        <v>-4723976.24</v>
      </c>
      <c r="BW54" s="188">
        <v>0</v>
      </c>
    </row>
    <row r="55" spans="1:75">
      <c r="A55" s="188" t="s">
        <v>269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-785626.86</v>
      </c>
      <c r="Y55" s="188">
        <v>0</v>
      </c>
      <c r="Z55" s="188">
        <v>0</v>
      </c>
      <c r="AA55" s="188">
        <v>0</v>
      </c>
      <c r="AB55" s="188">
        <v>43481.42</v>
      </c>
      <c r="AC55" s="188">
        <v>0</v>
      </c>
      <c r="AD55" s="188">
        <v>0</v>
      </c>
      <c r="AE55" s="188">
        <v>0</v>
      </c>
      <c r="AF55" s="188">
        <v>0</v>
      </c>
      <c r="AG55" s="188">
        <v>0</v>
      </c>
      <c r="AH55" s="188">
        <v>0</v>
      </c>
      <c r="AI55" s="188">
        <v>0</v>
      </c>
      <c r="AJ55" s="188">
        <v>126562.73</v>
      </c>
      <c r="AK55" s="188">
        <v>0</v>
      </c>
      <c r="AL55" s="188">
        <v>4696280.87</v>
      </c>
      <c r="AM55" s="188">
        <v>0</v>
      </c>
      <c r="AN55" s="188">
        <v>544578.19999999995</v>
      </c>
      <c r="AO55" s="188">
        <v>0</v>
      </c>
      <c r="AP55" s="188">
        <v>45788.21</v>
      </c>
      <c r="AQ55" s="188">
        <v>0</v>
      </c>
      <c r="AR55" s="188">
        <v>159435.85999999999</v>
      </c>
      <c r="AS55" s="188">
        <v>0</v>
      </c>
      <c r="AT55" s="188">
        <v>1332829.3400000001</v>
      </c>
      <c r="AU55" s="188">
        <v>0</v>
      </c>
      <c r="AV55" s="188">
        <v>815529.13</v>
      </c>
      <c r="AW55" s="188">
        <v>0</v>
      </c>
      <c r="AX55" s="188">
        <v>1794685</v>
      </c>
      <c r="AY55" s="188">
        <v>1115687</v>
      </c>
      <c r="AZ55" s="188">
        <v>0</v>
      </c>
      <c r="BA55" s="188">
        <v>2650</v>
      </c>
      <c r="BB55" s="188">
        <v>72072.160000000003</v>
      </c>
      <c r="BC55" s="188">
        <v>147194.41</v>
      </c>
      <c r="BD55" s="188">
        <v>47824.41</v>
      </c>
      <c r="BE55" s="188">
        <v>142236.41</v>
      </c>
      <c r="BF55" s="188">
        <v>1465303.32</v>
      </c>
      <c r="BG55" s="188">
        <v>4084502.1</v>
      </c>
      <c r="BH55" s="188">
        <v>2197201.34</v>
      </c>
      <c r="BI55" s="188">
        <v>1952404.56</v>
      </c>
      <c r="BJ55" s="188">
        <v>927280.99</v>
      </c>
      <c r="BK55" s="188">
        <v>859864.72</v>
      </c>
      <c r="BL55" s="188">
        <v>648703.48</v>
      </c>
      <c r="BM55" s="188">
        <v>8525</v>
      </c>
      <c r="BN55" s="188">
        <v>550805.42000000004</v>
      </c>
      <c r="BO55" s="188">
        <v>38757.050000000003</v>
      </c>
      <c r="BP55" s="188">
        <v>253471</v>
      </c>
      <c r="BQ55" s="188">
        <v>568103.55000000005</v>
      </c>
      <c r="BR55" s="188">
        <v>198046.58</v>
      </c>
      <c r="BS55" s="188">
        <v>20412.77</v>
      </c>
      <c r="BT55" s="188">
        <v>20588.57</v>
      </c>
      <c r="BU55" s="188">
        <v>11000</v>
      </c>
      <c r="BV55" s="188">
        <v>443143.48</v>
      </c>
      <c r="BW55" s="188">
        <v>0</v>
      </c>
    </row>
    <row r="56" spans="1:75">
      <c r="A56" s="188" t="s">
        <v>270</v>
      </c>
      <c r="B56" s="188">
        <v>9120246.5600000005</v>
      </c>
      <c r="C56" s="188">
        <v>0</v>
      </c>
      <c r="D56" s="188">
        <v>18242348.899999999</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c r="BW56" s="188">
        <v>0</v>
      </c>
    </row>
    <row r="57" spans="1:75">
      <c r="A57" s="188" t="s">
        <v>271</v>
      </c>
      <c r="B57" s="188">
        <v>-9198155.4600000009</v>
      </c>
      <c r="C57" s="188">
        <v>0</v>
      </c>
      <c r="D57" s="188">
        <v>0</v>
      </c>
      <c r="E57" s="188">
        <v>0</v>
      </c>
      <c r="F57" s="188">
        <v>-10678155.48</v>
      </c>
      <c r="G57" s="188">
        <v>0</v>
      </c>
      <c r="H57" s="188">
        <v>0</v>
      </c>
      <c r="I57" s="188">
        <v>0</v>
      </c>
      <c r="J57" s="188">
        <v>-13497233.18</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c r="BW57" s="188">
        <v>0</v>
      </c>
    </row>
    <row r="58" spans="1:7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c r="BJ58" s="188">
        <v>0</v>
      </c>
      <c r="BK58" s="188">
        <v>0</v>
      </c>
      <c r="BL58" s="188">
        <v>0</v>
      </c>
      <c r="BM58" s="188">
        <v>0</v>
      </c>
      <c r="BN58" s="188">
        <v>0</v>
      </c>
      <c r="BO58" s="188">
        <v>0</v>
      </c>
      <c r="BP58" s="188">
        <v>0</v>
      </c>
      <c r="BQ58" s="188">
        <v>0</v>
      </c>
      <c r="BR58" s="188">
        <v>0</v>
      </c>
      <c r="BS58" s="188">
        <v>0</v>
      </c>
      <c r="BT58" s="188">
        <v>0</v>
      </c>
      <c r="BU58" s="188">
        <v>0</v>
      </c>
      <c r="BV58" s="188">
        <v>0</v>
      </c>
      <c r="BW58" s="188">
        <v>0</v>
      </c>
    </row>
    <row r="59" spans="1:75">
      <c r="A59" s="188" t="s">
        <v>197</v>
      </c>
      <c r="B59" s="188">
        <v>-148063730.90000001</v>
      </c>
      <c r="C59" s="188">
        <v>0</v>
      </c>
      <c r="D59" s="188">
        <v>-72464290.230000004</v>
      </c>
      <c r="E59" s="188">
        <v>0</v>
      </c>
      <c r="F59" s="188">
        <v>-128724942.86</v>
      </c>
      <c r="G59" s="188">
        <v>0</v>
      </c>
      <c r="H59" s="188">
        <v>-77377461.900000006</v>
      </c>
      <c r="I59" s="188">
        <v>0</v>
      </c>
      <c r="J59" s="188">
        <v>-199751474.94999999</v>
      </c>
      <c r="K59" s="188">
        <v>0</v>
      </c>
      <c r="L59" s="188">
        <v>-103098875.67</v>
      </c>
      <c r="M59" s="188">
        <v>0</v>
      </c>
      <c r="N59" s="188">
        <v>-264354272.96000001</v>
      </c>
      <c r="O59" s="188">
        <v>0</v>
      </c>
      <c r="P59" s="188">
        <v>28285966.920000002</v>
      </c>
      <c r="Q59" s="188">
        <v>0</v>
      </c>
      <c r="R59" s="188">
        <v>27687309.359999999</v>
      </c>
      <c r="S59" s="188">
        <v>0</v>
      </c>
      <c r="T59" s="188">
        <v>19587867.960000001</v>
      </c>
      <c r="U59" s="188">
        <v>0</v>
      </c>
      <c r="V59" s="188">
        <v>32161386.079999998</v>
      </c>
      <c r="W59" s="188">
        <v>0</v>
      </c>
      <c r="X59" s="188">
        <v>23580143.18</v>
      </c>
      <c r="Y59" s="188">
        <v>0</v>
      </c>
      <c r="Z59" s="188">
        <v>51728236.600000001</v>
      </c>
      <c r="AA59" s="188">
        <v>0</v>
      </c>
      <c r="AB59" s="188">
        <v>10074775.109999999</v>
      </c>
      <c r="AC59" s="188">
        <v>0</v>
      </c>
      <c r="AD59" s="188">
        <v>9280342.7300000004</v>
      </c>
      <c r="AE59" s="188">
        <v>0</v>
      </c>
      <c r="AF59" s="188">
        <v>7962231.7800000003</v>
      </c>
      <c r="AG59" s="188">
        <v>0</v>
      </c>
      <c r="AH59" s="188">
        <v>12651826.15</v>
      </c>
      <c r="AI59" s="188">
        <v>0</v>
      </c>
      <c r="AJ59" s="188">
        <v>13626786.529999999</v>
      </c>
      <c r="AK59" s="188">
        <v>0</v>
      </c>
      <c r="AL59" s="188">
        <v>4749273.5</v>
      </c>
      <c r="AM59" s="188">
        <v>0</v>
      </c>
      <c r="AN59" s="188">
        <v>9826102.4900000002</v>
      </c>
      <c r="AO59" s="188">
        <v>0</v>
      </c>
      <c r="AP59" s="188">
        <v>11379980.58</v>
      </c>
      <c r="AQ59" s="188">
        <v>0</v>
      </c>
      <c r="AR59" s="188">
        <v>13562832.65</v>
      </c>
      <c r="AS59" s="188">
        <v>0</v>
      </c>
      <c r="AT59" s="188">
        <v>19496954.859999999</v>
      </c>
      <c r="AU59" s="188">
        <v>0</v>
      </c>
      <c r="AV59" s="188">
        <v>10549275.689999999</v>
      </c>
      <c r="AW59" s="188">
        <v>0</v>
      </c>
      <c r="AX59" s="188">
        <v>29317795.780000001</v>
      </c>
      <c r="AY59" s="188">
        <v>21836882.190000001</v>
      </c>
      <c r="AZ59" s="188">
        <v>14390098.869999999</v>
      </c>
      <c r="BA59" s="188">
        <v>7930588.8799999999</v>
      </c>
      <c r="BB59" s="188">
        <v>41848936.689999998</v>
      </c>
      <c r="BC59" s="188">
        <v>34031331.810000002</v>
      </c>
      <c r="BD59" s="188">
        <v>20381562.460000001</v>
      </c>
      <c r="BE59" s="188">
        <v>7803248.9800000004</v>
      </c>
      <c r="BF59" s="188">
        <v>35887592.640000001</v>
      </c>
      <c r="BG59" s="188">
        <v>28891198.809999999</v>
      </c>
      <c r="BH59" s="188">
        <v>19238661.98</v>
      </c>
      <c r="BI59" s="188">
        <v>8767678.7400000002</v>
      </c>
      <c r="BJ59" s="188">
        <v>57235692.200000003</v>
      </c>
      <c r="BK59" s="188">
        <v>49427495.600000001</v>
      </c>
      <c r="BL59" s="188">
        <v>36216842.700000003</v>
      </c>
      <c r="BM59" s="188">
        <v>16282656.23</v>
      </c>
      <c r="BN59" s="188">
        <v>71959672.269999996</v>
      </c>
      <c r="BO59" s="188">
        <v>31275826.550000001</v>
      </c>
      <c r="BP59" s="188">
        <v>60025590.369999997</v>
      </c>
      <c r="BQ59" s="188">
        <v>26491318.57</v>
      </c>
      <c r="BR59" s="188">
        <v>56218165.460000001</v>
      </c>
      <c r="BS59" s="188">
        <v>-87429.7</v>
      </c>
      <c r="BT59" s="188">
        <v>54253933.350000001</v>
      </c>
      <c r="BU59" s="188">
        <v>27410048.010000002</v>
      </c>
      <c r="BV59" s="188">
        <v>868607.39</v>
      </c>
      <c r="BW59" s="188">
        <v>0</v>
      </c>
    </row>
    <row r="60" spans="1:75">
      <c r="A60" s="188" t="s">
        <v>273</v>
      </c>
      <c r="B60" s="188">
        <v>-307404582.81</v>
      </c>
      <c r="C60" s="188">
        <v>0</v>
      </c>
      <c r="D60" s="188">
        <v>-142435555.63999999</v>
      </c>
      <c r="E60" s="188">
        <v>0</v>
      </c>
      <c r="F60" s="188">
        <v>-335160128.07999998</v>
      </c>
      <c r="G60" s="188">
        <v>0</v>
      </c>
      <c r="H60" s="188">
        <v>-155147077.78</v>
      </c>
      <c r="I60" s="188">
        <v>0</v>
      </c>
      <c r="J60" s="188">
        <v>-564831382.39999998</v>
      </c>
      <c r="K60" s="188">
        <v>0</v>
      </c>
      <c r="L60" s="188">
        <v>-326237733.10000002</v>
      </c>
      <c r="M60" s="188">
        <v>0</v>
      </c>
      <c r="N60" s="188">
        <v>-1151206092.8099999</v>
      </c>
      <c r="O60" s="188">
        <v>0</v>
      </c>
      <c r="P60" s="188">
        <v>-240115838.13999999</v>
      </c>
      <c r="Q60" s="188">
        <v>0</v>
      </c>
      <c r="R60" s="188">
        <v>-316311672.64999998</v>
      </c>
      <c r="S60" s="188">
        <v>0</v>
      </c>
      <c r="T60" s="188">
        <v>-182282145.13</v>
      </c>
      <c r="U60" s="188">
        <v>0</v>
      </c>
      <c r="V60" s="188">
        <v>-243256941.71000001</v>
      </c>
      <c r="W60" s="188">
        <v>0</v>
      </c>
      <c r="X60" s="188">
        <v>-52985679.450000003</v>
      </c>
      <c r="Y60" s="188">
        <v>0</v>
      </c>
      <c r="Z60" s="188">
        <v>-437060383.77999997</v>
      </c>
      <c r="AA60" s="188">
        <v>0</v>
      </c>
      <c r="AB60" s="188">
        <v>-316779008.56999999</v>
      </c>
      <c r="AC60" s="188">
        <v>0</v>
      </c>
      <c r="AD60" s="188">
        <v>-345448072.76999998</v>
      </c>
      <c r="AE60" s="188">
        <v>0</v>
      </c>
      <c r="AF60" s="188">
        <v>-206154765.75999999</v>
      </c>
      <c r="AG60" s="188">
        <v>0</v>
      </c>
      <c r="AH60" s="188">
        <v>-358487050.43000001</v>
      </c>
      <c r="AI60" s="188">
        <v>0</v>
      </c>
      <c r="AJ60" s="188">
        <v>-171484647.58000001</v>
      </c>
      <c r="AK60" s="188">
        <v>0</v>
      </c>
      <c r="AL60" s="188">
        <v>-251508369.59</v>
      </c>
      <c r="AM60" s="188">
        <v>0</v>
      </c>
      <c r="AN60" s="188">
        <v>-130525571.23999999</v>
      </c>
      <c r="AO60" s="188">
        <v>0</v>
      </c>
      <c r="AP60" s="188">
        <v>-412102974.93000001</v>
      </c>
      <c r="AQ60" s="188">
        <v>0</v>
      </c>
      <c r="AR60" s="188">
        <v>-147019454.00999999</v>
      </c>
      <c r="AS60" s="188">
        <v>0</v>
      </c>
      <c r="AT60" s="188">
        <v>-251429322.63999999</v>
      </c>
      <c r="AU60" s="188">
        <v>0</v>
      </c>
      <c r="AV60" s="188">
        <v>-149178110.13999999</v>
      </c>
      <c r="AW60" s="188">
        <v>0</v>
      </c>
      <c r="AX60" s="188">
        <v>-106002085.7</v>
      </c>
      <c r="AY60" s="188">
        <v>-78146813.989999995</v>
      </c>
      <c r="AZ60" s="188">
        <v>-31508275.550000001</v>
      </c>
      <c r="BA60" s="188">
        <v>-6818330.1399999997</v>
      </c>
      <c r="BB60" s="188">
        <v>52414533.450000003</v>
      </c>
      <c r="BC60" s="188">
        <v>47415743.689999998</v>
      </c>
      <c r="BD60" s="188">
        <v>4476487.08</v>
      </c>
      <c r="BE60" s="188">
        <v>-13731417.210000001</v>
      </c>
      <c r="BF60" s="188">
        <v>-74080792.579999998</v>
      </c>
      <c r="BG60" s="188">
        <v>-53634658.140000001</v>
      </c>
      <c r="BH60" s="188">
        <v>-44718368.039999999</v>
      </c>
      <c r="BI60" s="188">
        <v>-13012623.23</v>
      </c>
      <c r="BJ60" s="188">
        <v>-129351232.81999999</v>
      </c>
      <c r="BK60" s="188">
        <v>-126231548.87</v>
      </c>
      <c r="BL60" s="188">
        <v>-99137772.019999996</v>
      </c>
      <c r="BM60" s="188">
        <v>-21058739.870000001</v>
      </c>
      <c r="BN60" s="188">
        <v>-80579243.650000006</v>
      </c>
      <c r="BO60" s="188">
        <v>-47536007.049999997</v>
      </c>
      <c r="BP60" s="188">
        <v>-47111894.539999999</v>
      </c>
      <c r="BQ60" s="188">
        <v>-42178051.18</v>
      </c>
      <c r="BR60" s="188">
        <v>-116410829.40000001</v>
      </c>
      <c r="BS60" s="188">
        <v>-55492097.759999998</v>
      </c>
      <c r="BT60" s="188">
        <v>-42252799.109999999</v>
      </c>
      <c r="BU60" s="188">
        <v>8467811.9100000001</v>
      </c>
      <c r="BV60" s="188">
        <v>-44424228.259999998</v>
      </c>
      <c r="BW60" s="188">
        <v>0</v>
      </c>
    </row>
    <row r="61" spans="1:75">
      <c r="A61" s="188" t="s">
        <v>274</v>
      </c>
      <c r="B61" s="188">
        <v>-43205373.030000001</v>
      </c>
      <c r="C61" s="188">
        <v>0</v>
      </c>
      <c r="D61" s="188">
        <v>-2989118.5</v>
      </c>
      <c r="E61" s="188">
        <v>0</v>
      </c>
      <c r="F61" s="188">
        <v>-81807586.780000001</v>
      </c>
      <c r="G61" s="188">
        <v>0</v>
      </c>
      <c r="H61" s="188">
        <v>35783944.049999997</v>
      </c>
      <c r="I61" s="188">
        <v>0</v>
      </c>
      <c r="J61" s="188">
        <v>-20703647</v>
      </c>
      <c r="K61" s="188">
        <v>0</v>
      </c>
      <c r="L61" s="188">
        <v>-19739122.850000001</v>
      </c>
      <c r="M61" s="188">
        <v>0</v>
      </c>
      <c r="N61" s="188">
        <v>4683469.8</v>
      </c>
      <c r="O61" s="188">
        <v>0</v>
      </c>
      <c r="P61" s="188">
        <v>-23127482.050000001</v>
      </c>
      <c r="Q61" s="188">
        <v>0</v>
      </c>
      <c r="R61" s="188">
        <v>-1825074.41</v>
      </c>
      <c r="S61" s="188">
        <v>0</v>
      </c>
      <c r="T61" s="188">
        <v>-1495300.78</v>
      </c>
      <c r="U61" s="188">
        <v>0</v>
      </c>
      <c r="V61" s="188">
        <v>-28501854.18</v>
      </c>
      <c r="W61" s="188">
        <v>0</v>
      </c>
      <c r="X61" s="188">
        <v>-1347849.42</v>
      </c>
      <c r="Y61" s="188">
        <v>0</v>
      </c>
      <c r="Z61" s="188">
        <v>-24188107.140000001</v>
      </c>
      <c r="AA61" s="188">
        <v>0</v>
      </c>
      <c r="AB61" s="188">
        <v>-4694668.9800000004</v>
      </c>
      <c r="AC61" s="188">
        <v>0</v>
      </c>
      <c r="AD61" s="188">
        <v>-21208066.739999998</v>
      </c>
      <c r="AE61" s="188">
        <v>0</v>
      </c>
      <c r="AF61" s="188">
        <v>-577257.34</v>
      </c>
      <c r="AG61" s="188">
        <v>0</v>
      </c>
      <c r="AH61" s="188">
        <v>-21714280.91</v>
      </c>
      <c r="AI61" s="188">
        <v>0</v>
      </c>
      <c r="AJ61" s="188">
        <v>60258.83</v>
      </c>
      <c r="AK61" s="188">
        <v>0</v>
      </c>
      <c r="AL61" s="188">
        <v>-24510892.41</v>
      </c>
      <c r="AM61" s="188">
        <v>0</v>
      </c>
      <c r="AN61" s="188">
        <v>-2004885.16</v>
      </c>
      <c r="AO61" s="188">
        <v>0</v>
      </c>
      <c r="AP61" s="188">
        <v>-4005068.83</v>
      </c>
      <c r="AQ61" s="188">
        <v>0</v>
      </c>
      <c r="AR61" s="188">
        <v>-7341532.3499999996</v>
      </c>
      <c r="AS61" s="188">
        <v>0</v>
      </c>
      <c r="AT61" s="188">
        <v>-23234251.079999998</v>
      </c>
      <c r="AU61" s="188">
        <v>0</v>
      </c>
      <c r="AV61" s="188">
        <v>3292787.88</v>
      </c>
      <c r="AW61" s="188">
        <v>0</v>
      </c>
      <c r="AX61" s="188">
        <v>0</v>
      </c>
      <c r="AY61" s="188">
        <v>0</v>
      </c>
      <c r="AZ61" s="188">
        <v>0</v>
      </c>
      <c r="BA61" s="188">
        <v>0</v>
      </c>
      <c r="BB61" s="188">
        <v>0</v>
      </c>
      <c r="BC61" s="188">
        <v>0</v>
      </c>
      <c r="BD61" s="188">
        <v>0</v>
      </c>
      <c r="BE61" s="188">
        <v>0</v>
      </c>
      <c r="BF61" s="188">
        <v>0</v>
      </c>
      <c r="BG61" s="188">
        <v>0</v>
      </c>
      <c r="BH61" s="188">
        <v>0</v>
      </c>
      <c r="BI61" s="188">
        <v>0</v>
      </c>
      <c r="BJ61" s="188">
        <v>0</v>
      </c>
      <c r="BK61" s="188">
        <v>0</v>
      </c>
      <c r="BL61" s="188">
        <v>0</v>
      </c>
      <c r="BM61" s="188">
        <v>0</v>
      </c>
      <c r="BN61" s="188">
        <v>0</v>
      </c>
      <c r="BO61" s="188">
        <v>0</v>
      </c>
      <c r="BP61" s="188">
        <v>0</v>
      </c>
      <c r="BQ61" s="188">
        <v>0</v>
      </c>
      <c r="BR61" s="188">
        <v>0</v>
      </c>
      <c r="BS61" s="188">
        <v>0</v>
      </c>
      <c r="BT61" s="188">
        <v>0</v>
      </c>
      <c r="BU61" s="188">
        <v>0</v>
      </c>
      <c r="BV61" s="188">
        <v>0</v>
      </c>
      <c r="BW61" s="188">
        <v>0</v>
      </c>
    </row>
    <row r="62" spans="1:75">
      <c r="A62" s="188" t="s">
        <v>275</v>
      </c>
      <c r="B62" s="188">
        <v>-3627813.08</v>
      </c>
      <c r="C62" s="188">
        <v>0</v>
      </c>
      <c r="D62" s="188">
        <v>22418106.5</v>
      </c>
      <c r="E62" s="188">
        <v>0</v>
      </c>
      <c r="F62" s="188">
        <v>-16565504.17</v>
      </c>
      <c r="G62" s="188">
        <v>0</v>
      </c>
      <c r="H62" s="188">
        <v>1881552.89</v>
      </c>
      <c r="I62" s="188">
        <v>0</v>
      </c>
      <c r="J62" s="188">
        <v>-9355799.7200000007</v>
      </c>
      <c r="K62" s="188">
        <v>0</v>
      </c>
      <c r="L62" s="188">
        <v>-13764982.380000001</v>
      </c>
      <c r="M62" s="188">
        <v>0</v>
      </c>
      <c r="N62" s="188">
        <v>14220400.66</v>
      </c>
      <c r="O62" s="188">
        <v>0</v>
      </c>
      <c r="P62" s="188">
        <v>-98239.15</v>
      </c>
      <c r="Q62" s="188">
        <v>0</v>
      </c>
      <c r="R62" s="188">
        <v>-16563963.24</v>
      </c>
      <c r="S62" s="188">
        <v>0</v>
      </c>
      <c r="T62" s="188">
        <v>-2920880.83</v>
      </c>
      <c r="U62" s="188">
        <v>0</v>
      </c>
      <c r="V62" s="188">
        <v>-2583577.96</v>
      </c>
      <c r="W62" s="188">
        <v>0</v>
      </c>
      <c r="X62" s="188">
        <v>1555825.2</v>
      </c>
      <c r="Y62" s="188">
        <v>0</v>
      </c>
      <c r="Z62" s="188">
        <v>4898089.01</v>
      </c>
      <c r="AA62" s="188">
        <v>0</v>
      </c>
      <c r="AB62" s="188">
        <v>-380759.83</v>
      </c>
      <c r="AC62" s="188">
        <v>0</v>
      </c>
      <c r="AD62" s="188">
        <v>-1152943.95</v>
      </c>
      <c r="AE62" s="188">
        <v>0</v>
      </c>
      <c r="AF62" s="188">
        <v>-7306626.1799999997</v>
      </c>
      <c r="AG62" s="188">
        <v>0</v>
      </c>
      <c r="AH62" s="188">
        <v>-4035884.57</v>
      </c>
      <c r="AI62" s="188">
        <v>0</v>
      </c>
      <c r="AJ62" s="188">
        <v>-1586241.22</v>
      </c>
      <c r="AK62" s="188">
        <v>0</v>
      </c>
      <c r="AL62" s="188">
        <v>-3367173.56</v>
      </c>
      <c r="AM62" s="188">
        <v>0</v>
      </c>
      <c r="AN62" s="188">
        <v>-1761526.94</v>
      </c>
      <c r="AO62" s="188">
        <v>0</v>
      </c>
      <c r="AP62" s="188">
        <v>-8268833.4800000004</v>
      </c>
      <c r="AQ62" s="188">
        <v>0</v>
      </c>
      <c r="AR62" s="188">
        <v>3751750.75</v>
      </c>
      <c r="AS62" s="188">
        <v>0</v>
      </c>
      <c r="AT62" s="188">
        <v>6464761.2400000002</v>
      </c>
      <c r="AU62" s="188">
        <v>0</v>
      </c>
      <c r="AV62" s="188">
        <v>18727502.359999999</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v>0</v>
      </c>
      <c r="BM62" s="188">
        <v>0</v>
      </c>
      <c r="BN62" s="188">
        <v>0</v>
      </c>
      <c r="BO62" s="188">
        <v>0</v>
      </c>
      <c r="BP62" s="188">
        <v>0</v>
      </c>
      <c r="BQ62" s="188">
        <v>2045133.22</v>
      </c>
      <c r="BR62" s="188">
        <v>0</v>
      </c>
      <c r="BS62" s="188">
        <v>1128045.8600000001</v>
      </c>
      <c r="BT62" s="188">
        <v>0</v>
      </c>
      <c r="BU62" s="188">
        <v>0</v>
      </c>
      <c r="BV62" s="188">
        <v>0</v>
      </c>
      <c r="BW62" s="188">
        <v>0</v>
      </c>
    </row>
    <row r="63" spans="1:75">
      <c r="A63" s="188" t="s">
        <v>276</v>
      </c>
      <c r="B63" s="188">
        <v>-235901092.22</v>
      </c>
      <c r="C63" s="188">
        <v>0</v>
      </c>
      <c r="D63" s="188">
        <v>51787531.119999997</v>
      </c>
      <c r="E63" s="188">
        <v>0</v>
      </c>
      <c r="F63" s="188">
        <v>-1345384160</v>
      </c>
      <c r="G63" s="188">
        <v>0</v>
      </c>
      <c r="H63" s="188">
        <v>-271801600.31</v>
      </c>
      <c r="I63" s="188">
        <v>0</v>
      </c>
      <c r="J63" s="188">
        <v>-520740505.74000001</v>
      </c>
      <c r="K63" s="188">
        <v>0</v>
      </c>
      <c r="L63" s="188">
        <v>-29235461.710000001</v>
      </c>
      <c r="M63" s="188">
        <v>0</v>
      </c>
      <c r="N63" s="188">
        <v>147396067.34</v>
      </c>
      <c r="O63" s="188">
        <v>0</v>
      </c>
      <c r="P63" s="188">
        <v>716677969.57000005</v>
      </c>
      <c r="Q63" s="188">
        <v>0</v>
      </c>
      <c r="R63" s="188">
        <v>-1423975321.74</v>
      </c>
      <c r="S63" s="188">
        <v>0</v>
      </c>
      <c r="T63" s="188">
        <v>-507973442.58999997</v>
      </c>
      <c r="U63" s="188">
        <v>0</v>
      </c>
      <c r="V63" s="188">
        <v>-1731602128.9100001</v>
      </c>
      <c r="W63" s="188">
        <v>0</v>
      </c>
      <c r="X63" s="188">
        <v>-563270828.35000002</v>
      </c>
      <c r="Y63" s="188">
        <v>0</v>
      </c>
      <c r="Z63" s="188">
        <v>-637386557.01999998</v>
      </c>
      <c r="AA63" s="188">
        <v>0</v>
      </c>
      <c r="AB63" s="188">
        <v>-2391825.04</v>
      </c>
      <c r="AC63" s="188">
        <v>0</v>
      </c>
      <c r="AD63" s="188">
        <v>-1069823043.9</v>
      </c>
      <c r="AE63" s="188">
        <v>0</v>
      </c>
      <c r="AF63" s="188">
        <v>-268753843.43000001</v>
      </c>
      <c r="AG63" s="188">
        <v>0</v>
      </c>
      <c r="AH63" s="188">
        <v>-449631499.31999999</v>
      </c>
      <c r="AI63" s="188">
        <v>0</v>
      </c>
      <c r="AJ63" s="188">
        <v>73587656.950000003</v>
      </c>
      <c r="AK63" s="188">
        <v>0</v>
      </c>
      <c r="AL63" s="188">
        <v>-69426335.810000002</v>
      </c>
      <c r="AM63" s="188">
        <v>0</v>
      </c>
      <c r="AN63" s="188">
        <v>191270103.90000001</v>
      </c>
      <c r="AO63" s="188">
        <v>0</v>
      </c>
      <c r="AP63" s="188">
        <v>-144338344.81</v>
      </c>
      <c r="AQ63" s="188">
        <v>0</v>
      </c>
      <c r="AR63" s="188">
        <v>-171552255.84</v>
      </c>
      <c r="AS63" s="188">
        <v>0</v>
      </c>
      <c r="AT63" s="188">
        <v>-312584976.75999999</v>
      </c>
      <c r="AU63" s="188">
        <v>0</v>
      </c>
      <c r="AV63" s="188">
        <v>-203155499.75999999</v>
      </c>
      <c r="AW63" s="188">
        <v>0</v>
      </c>
      <c r="AX63" s="188">
        <v>-281427314.94</v>
      </c>
      <c r="AY63" s="188">
        <v>243392312.08000001</v>
      </c>
      <c r="AZ63" s="188">
        <v>152252822.71000001</v>
      </c>
      <c r="BA63" s="188">
        <v>82198436.969999999</v>
      </c>
      <c r="BB63" s="188">
        <v>45992740.700000003</v>
      </c>
      <c r="BC63" s="188">
        <v>-122429316.67</v>
      </c>
      <c r="BD63" s="188">
        <v>-35812084.32</v>
      </c>
      <c r="BE63" s="188">
        <v>-68512974.989999995</v>
      </c>
      <c r="BF63" s="188">
        <v>-68683451.700000003</v>
      </c>
      <c r="BG63" s="188">
        <v>-29597334.73</v>
      </c>
      <c r="BH63" s="188">
        <v>56309564.390000001</v>
      </c>
      <c r="BI63" s="188">
        <v>180670480.34</v>
      </c>
      <c r="BJ63" s="188">
        <v>-161825605.94999999</v>
      </c>
      <c r="BK63" s="188">
        <v>-96295323.819999993</v>
      </c>
      <c r="BL63" s="188">
        <v>39699790.780000001</v>
      </c>
      <c r="BM63" s="188">
        <v>44996058.270000003</v>
      </c>
      <c r="BN63" s="188">
        <v>-401717642.95999998</v>
      </c>
      <c r="BO63" s="188">
        <v>153214169.71000001</v>
      </c>
      <c r="BP63" s="188">
        <v>24042664.359999999</v>
      </c>
      <c r="BQ63" s="188">
        <v>70458797.650000006</v>
      </c>
      <c r="BR63" s="188">
        <v>-60657947.170000002</v>
      </c>
      <c r="BS63" s="188">
        <v>-25015726.43</v>
      </c>
      <c r="BT63" s="188">
        <v>-230698857.69999999</v>
      </c>
      <c r="BU63" s="188">
        <v>-100046202.38</v>
      </c>
      <c r="BV63" s="188">
        <v>70142663.879999995</v>
      </c>
      <c r="BW63" s="188">
        <v>0</v>
      </c>
    </row>
    <row r="64" spans="1:75">
      <c r="A64" s="188" t="s">
        <v>277</v>
      </c>
      <c r="B64" s="188">
        <v>-923154917.63</v>
      </c>
      <c r="C64" s="188">
        <v>0</v>
      </c>
      <c r="D64" s="188">
        <v>-615180458.07000005</v>
      </c>
      <c r="E64" s="188">
        <v>0</v>
      </c>
      <c r="F64" s="188">
        <v>74082968.730000004</v>
      </c>
      <c r="G64" s="188">
        <v>0</v>
      </c>
      <c r="H64" s="188">
        <v>488021230.01999998</v>
      </c>
      <c r="I64" s="188">
        <v>0</v>
      </c>
      <c r="J64" s="188">
        <v>-295463057.07999998</v>
      </c>
      <c r="K64" s="188">
        <v>0</v>
      </c>
      <c r="L64" s="188">
        <v>-25987432.010000002</v>
      </c>
      <c r="M64" s="188">
        <v>0</v>
      </c>
      <c r="N64" s="188">
        <v>-998909392.55999994</v>
      </c>
      <c r="O64" s="188">
        <v>0</v>
      </c>
      <c r="P64" s="188">
        <v>-723446569.17999995</v>
      </c>
      <c r="Q64" s="188">
        <v>0</v>
      </c>
      <c r="R64" s="188">
        <v>-384805309.30000001</v>
      </c>
      <c r="S64" s="188">
        <v>0</v>
      </c>
      <c r="T64" s="188">
        <v>-15452597.02</v>
      </c>
      <c r="U64" s="188">
        <v>0</v>
      </c>
      <c r="V64" s="188">
        <v>-495438400.27999997</v>
      </c>
      <c r="W64" s="188">
        <v>0</v>
      </c>
      <c r="X64" s="188">
        <v>-57958398.020000003</v>
      </c>
      <c r="Y64" s="188">
        <v>0</v>
      </c>
      <c r="Z64" s="188">
        <v>-750776589.62</v>
      </c>
      <c r="AA64" s="188">
        <v>0</v>
      </c>
      <c r="AB64" s="188">
        <v>-525332568.94999999</v>
      </c>
      <c r="AC64" s="188">
        <v>0</v>
      </c>
      <c r="AD64" s="188">
        <v>-718676433</v>
      </c>
      <c r="AE64" s="188">
        <v>0</v>
      </c>
      <c r="AF64" s="188">
        <v>-485283377.26999998</v>
      </c>
      <c r="AG64" s="188">
        <v>0</v>
      </c>
      <c r="AH64" s="188">
        <v>-602079510.98000002</v>
      </c>
      <c r="AI64" s="188">
        <v>0</v>
      </c>
      <c r="AJ64" s="188">
        <v>-440036647.70999998</v>
      </c>
      <c r="AK64" s="188">
        <v>0</v>
      </c>
      <c r="AL64" s="188">
        <v>-275331370.44</v>
      </c>
      <c r="AM64" s="188">
        <v>0</v>
      </c>
      <c r="AN64" s="188">
        <v>-463665108.51999998</v>
      </c>
      <c r="AO64" s="188">
        <v>0</v>
      </c>
      <c r="AP64" s="188">
        <v>-60205473.100000001</v>
      </c>
      <c r="AQ64" s="188">
        <v>0</v>
      </c>
      <c r="AR64" s="188">
        <v>-314000456.07999998</v>
      </c>
      <c r="AS64" s="188">
        <v>0</v>
      </c>
      <c r="AT64" s="188">
        <v>-365084508.38999999</v>
      </c>
      <c r="AU64" s="188">
        <v>0</v>
      </c>
      <c r="AV64" s="188">
        <v>-316527848.49000001</v>
      </c>
      <c r="AW64" s="188">
        <v>0</v>
      </c>
      <c r="AX64" s="188">
        <v>-160172650.83000001</v>
      </c>
      <c r="AY64" s="188">
        <v>-7857889.0099999998</v>
      </c>
      <c r="AZ64" s="188">
        <v>-53258064.829999998</v>
      </c>
      <c r="BA64" s="188">
        <v>-102871520.40000001</v>
      </c>
      <c r="BB64" s="188">
        <v>-140825288.12</v>
      </c>
      <c r="BC64" s="188">
        <v>-273874328.13999999</v>
      </c>
      <c r="BD64" s="188">
        <v>-214240783.13</v>
      </c>
      <c r="BE64" s="188">
        <v>-92917349.629999995</v>
      </c>
      <c r="BF64" s="188">
        <v>-132355610.91</v>
      </c>
      <c r="BG64" s="188">
        <v>-232868162.43000001</v>
      </c>
      <c r="BH64" s="188">
        <v>-186564154.86000001</v>
      </c>
      <c r="BI64" s="188">
        <v>-121640023</v>
      </c>
      <c r="BJ64" s="188">
        <v>-285391552.36000001</v>
      </c>
      <c r="BK64" s="188">
        <v>-200525188.16</v>
      </c>
      <c r="BL64" s="188">
        <v>-156467125.44</v>
      </c>
      <c r="BM64" s="188">
        <v>-175225292.24000001</v>
      </c>
      <c r="BN64" s="188">
        <v>-146640631.16</v>
      </c>
      <c r="BO64" s="188">
        <v>-189348060.13999999</v>
      </c>
      <c r="BP64" s="188">
        <v>82198383.299999997</v>
      </c>
      <c r="BQ64" s="188">
        <v>-57169712.159999996</v>
      </c>
      <c r="BR64" s="188">
        <v>330067626.42000002</v>
      </c>
      <c r="BS64" s="188">
        <v>-127595169.08</v>
      </c>
      <c r="BT64" s="188">
        <v>-11104610.439999999</v>
      </c>
      <c r="BU64" s="188">
        <v>-130022707.01000001</v>
      </c>
      <c r="BV64" s="188">
        <v>-3804584.91</v>
      </c>
      <c r="BW64" s="188">
        <v>0</v>
      </c>
    </row>
    <row r="65" spans="1:75">
      <c r="A65" s="188" t="s">
        <v>278</v>
      </c>
      <c r="B65" s="188">
        <v>-631878456.59000003</v>
      </c>
      <c r="C65" s="188">
        <v>0</v>
      </c>
      <c r="D65" s="188">
        <v>-822433745.38999999</v>
      </c>
      <c r="E65" s="188">
        <v>0</v>
      </c>
      <c r="F65" s="188">
        <v>694445992.83000004</v>
      </c>
      <c r="G65" s="188">
        <v>0</v>
      </c>
      <c r="H65" s="188">
        <v>-750169287.62</v>
      </c>
      <c r="I65" s="188">
        <v>0</v>
      </c>
      <c r="J65" s="188">
        <v>796894143.97000003</v>
      </c>
      <c r="K65" s="188">
        <v>0</v>
      </c>
      <c r="L65" s="188">
        <v>481745293.64999998</v>
      </c>
      <c r="M65" s="188">
        <v>0</v>
      </c>
      <c r="N65" s="188">
        <v>317781172.38999999</v>
      </c>
      <c r="O65" s="188">
        <v>0</v>
      </c>
      <c r="P65" s="188">
        <v>-210664228.41999999</v>
      </c>
      <c r="Q65" s="188">
        <v>0</v>
      </c>
      <c r="R65" s="188">
        <v>2000472842.96</v>
      </c>
      <c r="S65" s="188">
        <v>0</v>
      </c>
      <c r="T65" s="188">
        <v>747751783.73000002</v>
      </c>
      <c r="U65" s="188">
        <v>0</v>
      </c>
      <c r="V65" s="188">
        <v>2088089685.9200001</v>
      </c>
      <c r="W65" s="188">
        <v>0</v>
      </c>
      <c r="X65" s="188">
        <v>847140879.13</v>
      </c>
      <c r="Y65" s="188">
        <v>0</v>
      </c>
      <c r="Z65" s="188">
        <v>3321789665.6599998</v>
      </c>
      <c r="AA65" s="188">
        <v>0</v>
      </c>
      <c r="AB65" s="188">
        <v>1435022382.28</v>
      </c>
      <c r="AC65" s="188">
        <v>0</v>
      </c>
      <c r="AD65" s="188">
        <v>2222556767.6500001</v>
      </c>
      <c r="AE65" s="188">
        <v>0</v>
      </c>
      <c r="AF65" s="188">
        <v>1054250746.4299999</v>
      </c>
      <c r="AG65" s="188">
        <v>0</v>
      </c>
      <c r="AH65" s="188">
        <v>1756539989.8199999</v>
      </c>
      <c r="AI65" s="188">
        <v>0</v>
      </c>
      <c r="AJ65" s="188">
        <v>973993960.90999997</v>
      </c>
      <c r="AK65" s="188">
        <v>0</v>
      </c>
      <c r="AL65" s="188">
        <v>1547504904.6500001</v>
      </c>
      <c r="AM65" s="188">
        <v>0</v>
      </c>
      <c r="AN65" s="188">
        <v>762916591.28999996</v>
      </c>
      <c r="AO65" s="188">
        <v>0</v>
      </c>
      <c r="AP65" s="188">
        <v>-112635005.90000001</v>
      </c>
      <c r="AQ65" s="188">
        <v>0</v>
      </c>
      <c r="AR65" s="188">
        <v>6482946.6799999997</v>
      </c>
      <c r="AS65" s="188">
        <v>0</v>
      </c>
      <c r="AT65" s="188">
        <v>903304818.19000006</v>
      </c>
      <c r="AU65" s="188">
        <v>0</v>
      </c>
      <c r="AV65" s="188">
        <v>436739371.30000001</v>
      </c>
      <c r="AW65" s="188">
        <v>0</v>
      </c>
      <c r="AX65" s="188">
        <v>508272001.29000002</v>
      </c>
      <c r="AY65" s="188">
        <v>-244064512.78999999</v>
      </c>
      <c r="AZ65" s="188">
        <v>-199828259.62</v>
      </c>
      <c r="BA65" s="188">
        <v>-364217810.97000003</v>
      </c>
      <c r="BB65" s="188">
        <v>-356284616.81</v>
      </c>
      <c r="BC65" s="188">
        <v>-337420281.70999998</v>
      </c>
      <c r="BD65" s="188">
        <v>-305647116.06</v>
      </c>
      <c r="BE65" s="188">
        <v>-253734956.75</v>
      </c>
      <c r="BF65" s="188">
        <v>151372985.59</v>
      </c>
      <c r="BG65" s="188">
        <v>105485523.01000001</v>
      </c>
      <c r="BH65" s="188">
        <v>-124475868.7</v>
      </c>
      <c r="BI65" s="188">
        <v>-207716643.90000001</v>
      </c>
      <c r="BJ65" s="188">
        <v>113991724.59999999</v>
      </c>
      <c r="BK65" s="188">
        <v>102645128.18000001</v>
      </c>
      <c r="BL65" s="188">
        <v>-120185707.77</v>
      </c>
      <c r="BM65" s="188">
        <v>-138921308.08000001</v>
      </c>
      <c r="BN65" s="188">
        <v>425754390.45999998</v>
      </c>
      <c r="BO65" s="188">
        <v>-76017181.739999995</v>
      </c>
      <c r="BP65" s="188">
        <v>75973857.620000005</v>
      </c>
      <c r="BQ65" s="188">
        <v>-116156319.88</v>
      </c>
      <c r="BR65" s="188">
        <v>-196186379.44999999</v>
      </c>
      <c r="BS65" s="188">
        <v>-45120933.270000003</v>
      </c>
      <c r="BT65" s="188">
        <v>-146235501.94</v>
      </c>
      <c r="BU65" s="188">
        <v>-20683315.18</v>
      </c>
      <c r="BV65" s="188">
        <v>-211549915.44</v>
      </c>
      <c r="BW65" s="188">
        <v>0</v>
      </c>
    </row>
    <row r="66" spans="1:7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row>
    <row r="67" spans="1:7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c r="BS67" s="188">
        <v>0</v>
      </c>
      <c r="BT67" s="188">
        <v>0</v>
      </c>
      <c r="BU67" s="188">
        <v>0</v>
      </c>
      <c r="BV67" s="188">
        <v>0</v>
      </c>
      <c r="BW67" s="188">
        <v>0</v>
      </c>
    </row>
    <row r="68" spans="1:75">
      <c r="A68" s="188" t="s">
        <v>281</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-14651653.789999999</v>
      </c>
      <c r="AU68" s="188">
        <v>0</v>
      </c>
      <c r="AV68" s="188">
        <v>0</v>
      </c>
      <c r="AW68" s="188">
        <v>0</v>
      </c>
      <c r="AX68" s="188">
        <v>0</v>
      </c>
      <c r="AY68" s="188">
        <v>0</v>
      </c>
      <c r="AZ68" s="188">
        <v>0</v>
      </c>
      <c r="BA68" s="188">
        <v>0</v>
      </c>
      <c r="BB68" s="188">
        <v>0</v>
      </c>
      <c r="BC68" s="188">
        <v>0</v>
      </c>
      <c r="BD68" s="188">
        <v>0</v>
      </c>
      <c r="BE68" s="188">
        <v>0</v>
      </c>
      <c r="BF68" s="188">
        <v>0</v>
      </c>
      <c r="BG68" s="188">
        <v>0</v>
      </c>
      <c r="BH68" s="188">
        <v>0</v>
      </c>
      <c r="BI68" s="188">
        <v>0</v>
      </c>
      <c r="BJ68" s="188">
        <v>0</v>
      </c>
      <c r="BK68" s="188">
        <v>70000</v>
      </c>
      <c r="BL68" s="188">
        <v>70000</v>
      </c>
      <c r="BM68" s="188">
        <v>0</v>
      </c>
      <c r="BN68" s="188">
        <v>0</v>
      </c>
      <c r="BO68" s="188">
        <v>0</v>
      </c>
      <c r="BP68" s="188">
        <v>0</v>
      </c>
      <c r="BQ68" s="188">
        <v>-17488975.260000002</v>
      </c>
      <c r="BR68" s="188">
        <v>0</v>
      </c>
      <c r="BS68" s="188">
        <v>85295200.790000007</v>
      </c>
      <c r="BT68" s="188">
        <v>-1315540.25</v>
      </c>
      <c r="BU68" s="188">
        <v>-25739.31</v>
      </c>
      <c r="BV68" s="188">
        <v>0</v>
      </c>
      <c r="BW68" s="188">
        <v>0</v>
      </c>
    </row>
    <row r="69" spans="1:75">
      <c r="A69" s="188" t="s">
        <v>282</v>
      </c>
      <c r="B69" s="188">
        <v>188450269.55000001</v>
      </c>
      <c r="C69" s="188">
        <v>0</v>
      </c>
      <c r="D69" s="188">
        <v>-360888706.42000002</v>
      </c>
      <c r="E69" s="188">
        <v>0</v>
      </c>
      <c r="F69" s="188">
        <v>1930118454.01</v>
      </c>
      <c r="G69" s="188">
        <v>0</v>
      </c>
      <c r="H69" s="188">
        <v>436621687.81999999</v>
      </c>
      <c r="I69" s="188">
        <v>0</v>
      </c>
      <c r="J69" s="188">
        <v>1999573702.98</v>
      </c>
      <c r="K69" s="188">
        <v>0</v>
      </c>
      <c r="L69" s="188">
        <v>1316392351.1300001</v>
      </c>
      <c r="M69" s="188">
        <v>0</v>
      </c>
      <c r="N69" s="188">
        <v>1338774524.46</v>
      </c>
      <c r="O69" s="188">
        <v>0</v>
      </c>
      <c r="P69" s="188">
        <v>563731554.65999997</v>
      </c>
      <c r="Q69" s="188">
        <v>0</v>
      </c>
      <c r="R69" s="188">
        <v>2011963265.6500001</v>
      </c>
      <c r="S69" s="188">
        <v>0</v>
      </c>
      <c r="T69" s="188">
        <v>972053307.75999999</v>
      </c>
      <c r="U69" s="188">
        <v>0</v>
      </c>
      <c r="V69" s="188">
        <v>1758892889.23</v>
      </c>
      <c r="W69" s="188">
        <v>0</v>
      </c>
      <c r="X69" s="188">
        <v>928841205.42999995</v>
      </c>
      <c r="Y69" s="188">
        <v>0</v>
      </c>
      <c r="Z69" s="188">
        <v>3120058762.9099998</v>
      </c>
      <c r="AA69" s="188">
        <v>0</v>
      </c>
      <c r="AB69" s="188">
        <v>1506595920.0599999</v>
      </c>
      <c r="AC69" s="188">
        <v>0</v>
      </c>
      <c r="AD69" s="188">
        <v>1542378253.03</v>
      </c>
      <c r="AE69" s="188">
        <v>0</v>
      </c>
      <c r="AF69" s="188">
        <v>884143463.00999999</v>
      </c>
      <c r="AG69" s="188">
        <v>0</v>
      </c>
      <c r="AH69" s="188">
        <v>1787464327.6600001</v>
      </c>
      <c r="AI69" s="188">
        <v>0</v>
      </c>
      <c r="AJ69" s="188">
        <v>1122202879.6700001</v>
      </c>
      <c r="AK69" s="188">
        <v>0</v>
      </c>
      <c r="AL69" s="188">
        <v>2028598332.1700001</v>
      </c>
      <c r="AM69" s="188">
        <v>0</v>
      </c>
      <c r="AN69" s="188">
        <v>943480103.27999997</v>
      </c>
      <c r="AO69" s="188">
        <v>0</v>
      </c>
      <c r="AP69" s="188">
        <v>516497097.97000003</v>
      </c>
      <c r="AQ69" s="188">
        <v>0</v>
      </c>
      <c r="AR69" s="188">
        <v>4084610.3</v>
      </c>
      <c r="AS69" s="188">
        <v>0</v>
      </c>
      <c r="AT69" s="188">
        <v>1057878881.39</v>
      </c>
      <c r="AU69" s="188">
        <v>0</v>
      </c>
      <c r="AV69" s="188">
        <v>295608189.13</v>
      </c>
      <c r="AW69" s="188">
        <v>0</v>
      </c>
      <c r="AX69" s="188">
        <v>846957120.55999994</v>
      </c>
      <c r="AY69" s="188">
        <v>485240091.43000001</v>
      </c>
      <c r="AZ69" s="188">
        <v>199309444.03</v>
      </c>
      <c r="BA69" s="188">
        <v>-80113359.060000002</v>
      </c>
      <c r="BB69" s="188">
        <v>243530780.69999999</v>
      </c>
      <c r="BC69" s="188">
        <v>-165370697.12</v>
      </c>
      <c r="BD69" s="188">
        <v>-157379247.44</v>
      </c>
      <c r="BE69" s="188">
        <v>-233545765.58000001</v>
      </c>
      <c r="BF69" s="188">
        <v>604667760.59000003</v>
      </c>
      <c r="BG69" s="188">
        <v>337453098.12</v>
      </c>
      <c r="BH69" s="188">
        <v>76753462.159999996</v>
      </c>
      <c r="BI69" s="188">
        <v>56748815.079999998</v>
      </c>
      <c r="BJ69" s="188">
        <v>292170476.75999999</v>
      </c>
      <c r="BK69" s="188">
        <v>456723497.52999997</v>
      </c>
      <c r="BL69" s="188">
        <v>156973179.36000001</v>
      </c>
      <c r="BM69" s="188">
        <v>-5871214.5800000001</v>
      </c>
      <c r="BN69" s="188">
        <v>690591617.23000002</v>
      </c>
      <c r="BO69" s="188">
        <v>318591291.69999999</v>
      </c>
      <c r="BP69" s="188">
        <v>887186030.29999995</v>
      </c>
      <c r="BQ69" s="188">
        <v>200224002.99000001</v>
      </c>
      <c r="BR69" s="188">
        <v>678152932.48000002</v>
      </c>
      <c r="BS69" s="188">
        <v>131692296.48</v>
      </c>
      <c r="BT69" s="188">
        <v>247433107.97999999</v>
      </c>
      <c r="BU69" s="188">
        <v>43070537.390000001</v>
      </c>
      <c r="BV69" s="188">
        <v>-154941375.38999999</v>
      </c>
      <c r="BW69" s="188">
        <v>0</v>
      </c>
    </row>
    <row r="70" spans="1:7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0</v>
      </c>
      <c r="BR70" s="188">
        <v>0</v>
      </c>
      <c r="BS70" s="188">
        <v>0</v>
      </c>
      <c r="BT70" s="188">
        <v>0</v>
      </c>
      <c r="BU70" s="188">
        <v>0</v>
      </c>
      <c r="BV70" s="188">
        <v>0</v>
      </c>
      <c r="BW70" s="188">
        <v>0</v>
      </c>
    </row>
    <row r="71" spans="1:7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c r="BF71" s="188">
        <v>0</v>
      </c>
      <c r="BG71" s="188">
        <v>0</v>
      </c>
      <c r="BH71" s="188">
        <v>0</v>
      </c>
      <c r="BI71" s="188">
        <v>0</v>
      </c>
      <c r="BJ71" s="188">
        <v>0</v>
      </c>
      <c r="BK71" s="188">
        <v>0</v>
      </c>
      <c r="BL71" s="188">
        <v>0</v>
      </c>
      <c r="BM71" s="188">
        <v>0</v>
      </c>
      <c r="BN71" s="188">
        <v>0</v>
      </c>
      <c r="BO71" s="188">
        <v>0</v>
      </c>
      <c r="BP71" s="188">
        <v>0</v>
      </c>
      <c r="BQ71" s="188">
        <v>0</v>
      </c>
      <c r="BR71" s="188">
        <v>0</v>
      </c>
      <c r="BS71" s="188">
        <v>0</v>
      </c>
      <c r="BT71" s="188">
        <v>0</v>
      </c>
      <c r="BU71" s="188">
        <v>0</v>
      </c>
      <c r="BV71" s="188">
        <v>0</v>
      </c>
      <c r="BW71" s="188">
        <v>0</v>
      </c>
    </row>
    <row r="72" spans="1:75">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c r="BF72" s="188">
        <v>0</v>
      </c>
      <c r="BG72" s="188">
        <v>0</v>
      </c>
      <c r="BH72" s="188">
        <v>0</v>
      </c>
      <c r="BI72" s="188">
        <v>0</v>
      </c>
      <c r="BJ72" s="188">
        <v>0</v>
      </c>
      <c r="BK72" s="188">
        <v>0</v>
      </c>
      <c r="BL72" s="188">
        <v>0</v>
      </c>
      <c r="BM72" s="188">
        <v>0</v>
      </c>
      <c r="BN72" s="188">
        <v>0</v>
      </c>
      <c r="BO72" s="188">
        <v>0</v>
      </c>
      <c r="BP72" s="188">
        <v>0</v>
      </c>
      <c r="BQ72" s="188">
        <v>0</v>
      </c>
      <c r="BR72" s="188">
        <v>0</v>
      </c>
      <c r="BS72" s="188">
        <v>0</v>
      </c>
      <c r="BT72" s="188">
        <v>0</v>
      </c>
      <c r="BU72" s="188">
        <v>0</v>
      </c>
      <c r="BV72" s="188">
        <v>0</v>
      </c>
      <c r="BW72" s="188">
        <v>0</v>
      </c>
    </row>
    <row r="73" spans="1:75">
      <c r="A73" s="188" t="s">
        <v>286</v>
      </c>
      <c r="B73" s="188">
        <v>7550925910.1000004</v>
      </c>
      <c r="C73" s="188">
        <v>0</v>
      </c>
      <c r="D73" s="188">
        <v>7188151542.3199997</v>
      </c>
      <c r="E73" s="188">
        <v>0</v>
      </c>
      <c r="F73" s="188">
        <v>7516763869.54</v>
      </c>
      <c r="G73" s="188">
        <v>0</v>
      </c>
      <c r="H73" s="188">
        <v>6752575629.0500002</v>
      </c>
      <c r="I73" s="188">
        <v>0</v>
      </c>
      <c r="J73" s="188">
        <v>5905273633.8699999</v>
      </c>
      <c r="K73" s="188">
        <v>0</v>
      </c>
      <c r="L73" s="188">
        <v>5525522572.1400003</v>
      </c>
      <c r="M73" s="188">
        <v>0</v>
      </c>
      <c r="N73" s="188">
        <v>4459560525.96</v>
      </c>
      <c r="O73" s="188">
        <v>0</v>
      </c>
      <c r="P73" s="188">
        <v>12072870501.24</v>
      </c>
      <c r="Q73" s="188">
        <v>0</v>
      </c>
      <c r="R73" s="188">
        <v>11566758069.23</v>
      </c>
      <c r="S73" s="188">
        <v>0</v>
      </c>
      <c r="T73" s="188">
        <v>11570403163.440001</v>
      </c>
      <c r="U73" s="188">
        <v>0</v>
      </c>
      <c r="V73" s="188">
        <v>0</v>
      </c>
      <c r="W73" s="188">
        <v>0</v>
      </c>
      <c r="X73" s="188">
        <v>0</v>
      </c>
      <c r="Y73" s="188">
        <v>0</v>
      </c>
      <c r="Z73" s="188">
        <v>0</v>
      </c>
      <c r="AA73" s="188">
        <v>0</v>
      </c>
      <c r="AB73" s="188">
        <v>0</v>
      </c>
      <c r="AC73" s="188">
        <v>0</v>
      </c>
      <c r="AD73" s="188">
        <v>0</v>
      </c>
      <c r="AE73" s="188">
        <v>0</v>
      </c>
      <c r="AF73" s="188">
        <v>6956749428.8699999</v>
      </c>
      <c r="AG73" s="188">
        <v>6209831525.2200003</v>
      </c>
      <c r="AH73" s="188">
        <v>6469902264.9700003</v>
      </c>
      <c r="AI73" s="188">
        <v>6502393133.9099998</v>
      </c>
      <c r="AJ73" s="188">
        <v>6169273342.8100004</v>
      </c>
      <c r="AK73" s="188">
        <v>5331188169.71</v>
      </c>
      <c r="AL73" s="188">
        <v>5355618386.6700001</v>
      </c>
      <c r="AM73" s="188">
        <v>4959021755.54</v>
      </c>
      <c r="AN73" s="188">
        <v>4577018935.1800003</v>
      </c>
      <c r="AO73" s="188">
        <v>4174093846.21</v>
      </c>
      <c r="AP73" s="188">
        <v>3658196775.0900002</v>
      </c>
      <c r="AQ73" s="188">
        <v>3619186192.75</v>
      </c>
      <c r="AR73" s="188">
        <v>3532482792.0100002</v>
      </c>
      <c r="AS73" s="188">
        <v>3228831981.5900002</v>
      </c>
      <c r="AT73" s="188">
        <v>3579426457.6500001</v>
      </c>
      <c r="AU73" s="188">
        <v>3181758912.6599998</v>
      </c>
      <c r="AV73" s="188">
        <v>3037782202.4000001</v>
      </c>
      <c r="AW73" s="188">
        <v>2994700974.5700002</v>
      </c>
      <c r="AX73" s="188">
        <v>3042831901.8600001</v>
      </c>
      <c r="AY73" s="188">
        <v>3062777232.6300001</v>
      </c>
      <c r="AZ73" s="188">
        <v>2805157895.77</v>
      </c>
      <c r="BA73" s="188">
        <v>2610214139.1599998</v>
      </c>
      <c r="BB73" s="188">
        <v>2692734316.98</v>
      </c>
      <c r="BC73" s="188">
        <v>2290512825.3400002</v>
      </c>
      <c r="BD73" s="188">
        <v>2562195209.3099999</v>
      </c>
      <c r="BE73" s="188">
        <v>2847133877.6900001</v>
      </c>
      <c r="BF73" s="188">
        <v>3019523961.6799998</v>
      </c>
      <c r="BG73" s="188">
        <v>2867321093.1100001</v>
      </c>
      <c r="BH73" s="188">
        <v>3144925113.6999998</v>
      </c>
      <c r="BI73" s="188">
        <v>3609381940.7800002</v>
      </c>
      <c r="BJ73" s="188">
        <v>3194952662.6999998</v>
      </c>
      <c r="BK73" s="188">
        <v>3429630704.0100002</v>
      </c>
      <c r="BL73" s="188">
        <v>3753413514.6700001</v>
      </c>
      <c r="BM73" s="188">
        <v>3818304134.5799999</v>
      </c>
      <c r="BN73" s="188">
        <v>3812973603.4299998</v>
      </c>
      <c r="BO73" s="188">
        <v>3980972571.25</v>
      </c>
      <c r="BP73" s="188">
        <v>3538792355.7199998</v>
      </c>
      <c r="BQ73" s="188">
        <v>3339641515.0500002</v>
      </c>
      <c r="BR73" s="188">
        <v>3160775351.5900002</v>
      </c>
      <c r="BS73" s="188">
        <v>2780415771.4499998</v>
      </c>
      <c r="BT73" s="188">
        <v>2732240475.52</v>
      </c>
      <c r="BU73" s="188">
        <v>1844261372.24</v>
      </c>
      <c r="BV73" s="188">
        <v>2024584662.3399999</v>
      </c>
      <c r="BW73" s="188">
        <v>0</v>
      </c>
    </row>
    <row r="74" spans="1:75">
      <c r="A74" s="188" t="s">
        <v>287</v>
      </c>
      <c r="B74" s="188">
        <v>7516763869.54</v>
      </c>
      <c r="C74" s="188">
        <v>0</v>
      </c>
      <c r="D74" s="188">
        <v>7516763869.54</v>
      </c>
      <c r="E74" s="188">
        <v>0</v>
      </c>
      <c r="F74" s="188">
        <v>5905273633.8699999</v>
      </c>
      <c r="G74" s="188">
        <v>0</v>
      </c>
      <c r="H74" s="188">
        <v>5905273633.8699999</v>
      </c>
      <c r="I74" s="188">
        <v>0</v>
      </c>
      <c r="J74" s="188">
        <v>4459560525.96</v>
      </c>
      <c r="K74" s="188">
        <v>0</v>
      </c>
      <c r="L74" s="188">
        <v>4459560525.96</v>
      </c>
      <c r="M74" s="188">
        <v>0</v>
      </c>
      <c r="N74" s="188">
        <v>3994258069.23</v>
      </c>
      <c r="O74" s="188">
        <v>0</v>
      </c>
      <c r="P74" s="188">
        <v>11566758069.23</v>
      </c>
      <c r="Q74" s="188">
        <v>0</v>
      </c>
      <c r="R74" s="188">
        <v>10634107595.17</v>
      </c>
      <c r="S74" s="188">
        <v>0</v>
      </c>
      <c r="T74" s="188">
        <v>10634107595.17</v>
      </c>
      <c r="U74" s="188">
        <v>0</v>
      </c>
      <c r="V74" s="188">
        <v>0</v>
      </c>
      <c r="W74" s="188">
        <v>0</v>
      </c>
      <c r="X74" s="188">
        <v>0</v>
      </c>
      <c r="Y74" s="188">
        <v>0</v>
      </c>
      <c r="Z74" s="188">
        <v>0</v>
      </c>
      <c r="AA74" s="188">
        <v>0</v>
      </c>
      <c r="AB74" s="188">
        <v>0</v>
      </c>
      <c r="AC74" s="188">
        <v>0</v>
      </c>
      <c r="AD74" s="188">
        <v>0</v>
      </c>
      <c r="AE74" s="188">
        <v>0</v>
      </c>
      <c r="AF74" s="188">
        <v>6469902264.9700003</v>
      </c>
      <c r="AG74" s="188">
        <v>6469902264.9700003</v>
      </c>
      <c r="AH74" s="188">
        <v>5355618386.6700001</v>
      </c>
      <c r="AI74" s="188">
        <v>5355618386.6700001</v>
      </c>
      <c r="AJ74" s="188">
        <v>5355618386.6700001</v>
      </c>
      <c r="AK74" s="188">
        <v>5355618386.6700001</v>
      </c>
      <c r="AL74" s="188">
        <v>3658196775.0900002</v>
      </c>
      <c r="AM74" s="188">
        <v>3658196775.0900002</v>
      </c>
      <c r="AN74" s="188">
        <v>3658196775.0900002</v>
      </c>
      <c r="AO74" s="188">
        <v>3658196775.0900002</v>
      </c>
      <c r="AP74" s="188">
        <v>3579426457.6500001</v>
      </c>
      <c r="AQ74" s="188">
        <v>3579426457.6500001</v>
      </c>
      <c r="AR74" s="188">
        <v>3579426457.6500001</v>
      </c>
      <c r="AS74" s="188">
        <v>3579426457.6500001</v>
      </c>
      <c r="AT74" s="188">
        <v>3016690549.0900002</v>
      </c>
      <c r="AU74" s="188">
        <v>3016690549.0900002</v>
      </c>
      <c r="AV74" s="188">
        <v>3016690549.0900002</v>
      </c>
      <c r="AW74" s="188">
        <v>3016690549.0900002</v>
      </c>
      <c r="AX74" s="188">
        <v>2692734316.98</v>
      </c>
      <c r="AY74" s="188">
        <v>2692734316.98</v>
      </c>
      <c r="AZ74" s="188">
        <v>2692734316.98</v>
      </c>
      <c r="BA74" s="188">
        <v>2692734316.98</v>
      </c>
      <c r="BB74" s="188">
        <v>3019523961.6799998</v>
      </c>
      <c r="BC74" s="188">
        <v>3021753961.6799998</v>
      </c>
      <c r="BD74" s="188">
        <v>3021753961.6799998</v>
      </c>
      <c r="BE74" s="188">
        <v>3021753961.6799998</v>
      </c>
      <c r="BF74" s="188">
        <v>3223467501.8600001</v>
      </c>
      <c r="BG74" s="188">
        <v>3194952662.6999998</v>
      </c>
      <c r="BH74" s="188">
        <v>3194952662.6999998</v>
      </c>
      <c r="BI74" s="188">
        <v>3594952662.6999998</v>
      </c>
      <c r="BJ74" s="188">
        <v>3812973603.4299998</v>
      </c>
      <c r="BK74" s="188">
        <v>3812973603.4299998</v>
      </c>
      <c r="BL74" s="188">
        <v>3812973603.4299998</v>
      </c>
      <c r="BM74" s="188">
        <v>3812973603.4299998</v>
      </c>
      <c r="BN74" s="188">
        <v>3538792355.7199998</v>
      </c>
      <c r="BO74" s="188">
        <v>3538792355.7199998</v>
      </c>
      <c r="BP74" s="188">
        <v>3160698893.5100002</v>
      </c>
      <c r="BQ74" s="188">
        <v>3160775351.5900002</v>
      </c>
      <c r="BR74" s="188">
        <v>2732240475.52</v>
      </c>
      <c r="BS74" s="188">
        <v>2732240475.52</v>
      </c>
      <c r="BT74" s="188">
        <v>2024584662.3399999</v>
      </c>
      <c r="BU74" s="188">
        <v>2024584662.3399999</v>
      </c>
      <c r="BV74" s="188">
        <v>170525509.43000001</v>
      </c>
      <c r="BW74" s="188">
        <v>0</v>
      </c>
    </row>
    <row r="75" spans="1:7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c r="BS75" s="188">
        <v>0</v>
      </c>
      <c r="BT75" s="188">
        <v>0</v>
      </c>
      <c r="BU75" s="188">
        <v>0</v>
      </c>
      <c r="BV75" s="188">
        <v>0</v>
      </c>
      <c r="BW75" s="188">
        <v>0</v>
      </c>
    </row>
    <row r="76" spans="1:7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0</v>
      </c>
      <c r="BU76" s="188">
        <v>0</v>
      </c>
      <c r="BV76" s="188">
        <v>0</v>
      </c>
      <c r="BW76" s="188">
        <v>0</v>
      </c>
    </row>
    <row r="77" spans="1:75">
      <c r="A77" s="188" t="s">
        <v>290</v>
      </c>
      <c r="B77" s="188">
        <v>34162040.560000002</v>
      </c>
      <c r="C77" s="188">
        <v>0</v>
      </c>
      <c r="D77" s="188">
        <v>-328612327.22000003</v>
      </c>
      <c r="E77" s="188">
        <v>0</v>
      </c>
      <c r="F77" s="188">
        <v>1611490235.6700001</v>
      </c>
      <c r="G77" s="188">
        <v>0</v>
      </c>
      <c r="H77" s="188">
        <v>847301995.17999995</v>
      </c>
      <c r="I77" s="188">
        <v>0</v>
      </c>
      <c r="J77" s="188">
        <v>1445713107.9100001</v>
      </c>
      <c r="K77" s="188">
        <v>0</v>
      </c>
      <c r="L77" s="188">
        <v>1065962046.1799999</v>
      </c>
      <c r="M77" s="188">
        <v>0</v>
      </c>
      <c r="N77" s="188">
        <v>465302456.73000002</v>
      </c>
      <c r="O77" s="188">
        <v>0</v>
      </c>
      <c r="P77" s="188">
        <v>506112432.00999999</v>
      </c>
      <c r="Q77" s="188">
        <v>0</v>
      </c>
      <c r="R77" s="188">
        <v>932650474.05999994</v>
      </c>
      <c r="S77" s="188">
        <v>0</v>
      </c>
      <c r="T77" s="188">
        <v>936295568.26999998</v>
      </c>
      <c r="U77" s="188">
        <v>0</v>
      </c>
      <c r="V77" s="188">
        <v>0</v>
      </c>
      <c r="W77" s="188">
        <v>0</v>
      </c>
      <c r="X77" s="188">
        <v>0</v>
      </c>
      <c r="Y77" s="188">
        <v>0</v>
      </c>
      <c r="Z77" s="188">
        <v>0</v>
      </c>
      <c r="AA77" s="188">
        <v>0</v>
      </c>
      <c r="AB77" s="188">
        <v>0</v>
      </c>
      <c r="AC77" s="188">
        <v>0</v>
      </c>
      <c r="AD77" s="188">
        <v>0</v>
      </c>
      <c r="AE77" s="188">
        <v>0</v>
      </c>
      <c r="AF77" s="188">
        <v>486847163.89999998</v>
      </c>
      <c r="AG77" s="188">
        <v>-260070739.75</v>
      </c>
      <c r="AH77" s="188">
        <v>1114283878.3</v>
      </c>
      <c r="AI77" s="188">
        <v>1146774747.24</v>
      </c>
      <c r="AJ77" s="188">
        <v>813654956.13999999</v>
      </c>
      <c r="AK77" s="188">
        <v>-24430216.960000001</v>
      </c>
      <c r="AL77" s="188">
        <v>1697421611.5799999</v>
      </c>
      <c r="AM77" s="188">
        <v>1300824980.45</v>
      </c>
      <c r="AN77" s="188">
        <v>918822160.09000003</v>
      </c>
      <c r="AO77" s="188">
        <v>515897071.12</v>
      </c>
      <c r="AP77" s="188">
        <v>78770317.439999998</v>
      </c>
      <c r="AQ77" s="188">
        <v>39759735.100000001</v>
      </c>
      <c r="AR77" s="188">
        <v>-46943665.640000001</v>
      </c>
      <c r="AS77" s="188">
        <v>-350594476.06</v>
      </c>
      <c r="AT77" s="188">
        <v>562735908.55999994</v>
      </c>
      <c r="AU77" s="188">
        <v>165068363.56999999</v>
      </c>
      <c r="AV77" s="188">
        <v>21091653.309999999</v>
      </c>
      <c r="AW77" s="188">
        <v>-21989574.52</v>
      </c>
      <c r="AX77" s="188">
        <v>350097584.88</v>
      </c>
      <c r="AY77" s="188">
        <v>370042915.64999998</v>
      </c>
      <c r="AZ77" s="188">
        <v>112423578.79000001</v>
      </c>
      <c r="BA77" s="188">
        <v>-82520177.819999993</v>
      </c>
      <c r="BB77" s="188">
        <v>-326789644.69999999</v>
      </c>
      <c r="BC77" s="188">
        <v>-731241136.34000003</v>
      </c>
      <c r="BD77" s="188">
        <v>-459558752.37</v>
      </c>
      <c r="BE77" s="188">
        <v>-174620083.99000001</v>
      </c>
      <c r="BF77" s="188">
        <v>-203943540.18000001</v>
      </c>
      <c r="BG77" s="188">
        <v>-327631569.58999997</v>
      </c>
      <c r="BH77" s="188">
        <v>-50027549</v>
      </c>
      <c r="BI77" s="188">
        <v>14429278.08</v>
      </c>
      <c r="BJ77" s="188">
        <v>-618020940.73000002</v>
      </c>
      <c r="BK77" s="188">
        <v>-383342899.42000002</v>
      </c>
      <c r="BL77" s="188">
        <v>-59560088.759999998</v>
      </c>
      <c r="BM77" s="188">
        <v>5330531.1500000004</v>
      </c>
      <c r="BN77" s="188">
        <v>274181247.70999998</v>
      </c>
      <c r="BO77" s="188">
        <v>442180215.52999997</v>
      </c>
      <c r="BP77" s="188">
        <v>378093462.20999998</v>
      </c>
      <c r="BQ77" s="188">
        <v>178866163.46000001</v>
      </c>
      <c r="BR77" s="188">
        <v>428534876.06999999</v>
      </c>
      <c r="BS77" s="188">
        <v>48175295.93</v>
      </c>
      <c r="BT77" s="188">
        <v>707655813.17999995</v>
      </c>
      <c r="BU77" s="188">
        <v>-180323290.09999999</v>
      </c>
      <c r="BV77" s="188">
        <v>1854059152.9100001</v>
      </c>
      <c r="BW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69" sqref="E69"/>
    </sheetView>
  </sheetViews>
  <sheetFormatPr defaultRowHeight="13.5"/>
  <cols>
    <col min="1" max="1" width="31.875" style="17" bestFit="1" customWidth="1"/>
    <col min="2" max="2" width="21.625" bestFit="1" customWidth="1"/>
    <col min="3" max="5" width="21.625" hidden="1" customWidth="1"/>
    <col min="6" max="6" width="21.625" bestFit="1" customWidth="1"/>
    <col min="7" max="7" width="21.625" hidden="1" customWidth="1"/>
    <col min="8" max="9" width="20.5" hidden="1" customWidth="1"/>
    <col min="10" max="10" width="20.5" bestFit="1" customWidth="1"/>
    <col min="11" max="13" width="20.5" hidden="1" customWidth="1"/>
    <col min="14" max="14" width="20.5" bestFit="1" customWidth="1"/>
    <col min="15" max="17" width="20.5" hidden="1" customWidth="1"/>
    <col min="18" max="18" width="20.5" bestFit="1" customWidth="1"/>
    <col min="19" max="21" width="20.5" hidden="1" customWidth="1"/>
    <col min="22" max="22" width="20.5" bestFit="1" customWidth="1"/>
    <col min="23" max="25" width="20.5" hidden="1" customWidth="1"/>
    <col min="26" max="26" width="20.5" bestFit="1" customWidth="1"/>
    <col min="27" max="29" width="20.5" hidden="1" customWidth="1"/>
    <col min="30" max="30" width="20.5" bestFit="1" customWidth="1"/>
    <col min="31" max="33" width="20.5" hidden="1" customWidth="1"/>
    <col min="34" max="34" width="20.5" bestFit="1" customWidth="1"/>
    <col min="35" max="37" width="20.5" hidden="1" customWidth="1"/>
    <col min="38" max="38" width="20.5" bestFit="1" customWidth="1"/>
    <col min="39" max="41" width="20.5" hidden="1" customWidth="1"/>
    <col min="42" max="42" width="20.5" bestFit="1" customWidth="1"/>
    <col min="43" max="43" width="20.5" hidden="1" customWidth="1"/>
    <col min="44" max="45" width="19.375" hidden="1" customWidth="1"/>
    <col min="46" max="46" width="19.375" bestFit="1" customWidth="1"/>
    <col min="47" max="49" width="19.375" hidden="1" customWidth="1"/>
    <col min="50" max="50" width="20.5" bestFit="1" customWidth="1"/>
    <col min="51" max="51" width="20.5" hidden="1" customWidth="1"/>
    <col min="52" max="53" width="19.375" hidden="1" customWidth="1"/>
    <col min="54" max="54" width="19.375" bestFit="1" customWidth="1"/>
    <col min="55" max="57" width="19.375" hidden="1" customWidth="1"/>
    <col min="58" max="58" width="19.375" bestFit="1" customWidth="1"/>
    <col min="59" max="61" width="19.375" hidden="1" customWidth="1"/>
    <col min="62" max="62" width="19.375" bestFit="1" customWidth="1"/>
    <col min="63" max="65" width="19.375" hidden="1" customWidth="1"/>
    <col min="66" max="66" width="19.375" bestFit="1" customWidth="1"/>
    <col min="67" max="69" width="19.375" hidden="1" customWidth="1"/>
    <col min="70" max="70" width="19.375" bestFit="1" customWidth="1"/>
    <col min="71" max="71" width="19.5" hidden="1" customWidth="1"/>
    <col min="72" max="74" width="19.5" bestFit="1" customWidth="1"/>
    <col min="75" max="75" width="9.5" hidden="1" customWidth="1"/>
    <col min="76" max="78" width="19.375" bestFit="1" customWidth="1"/>
    <col min="79" max="81" width="17.25" bestFit="1" customWidth="1"/>
    <col min="82" max="82" width="7.375" bestFit="1" customWidth="1"/>
    <col min="83" max="84" width="19.375" bestFit="1" customWidth="1"/>
    <col min="85" max="87" width="17.25" bestFit="1" customWidth="1"/>
    <col min="88" max="89" width="16.125" bestFit="1" customWidth="1"/>
    <col min="90" max="90" width="7.375" bestFit="1" customWidth="1"/>
  </cols>
  <sheetData>
    <row r="1" spans="1:90" s="41" customFormat="1">
      <c r="A1" s="41">
        <v>600519</v>
      </c>
      <c r="B1" s="188">
        <v>20181231</v>
      </c>
      <c r="C1" s="188">
        <v>20180930</v>
      </c>
      <c r="D1" s="188">
        <v>20180630</v>
      </c>
      <c r="E1" s="188">
        <v>20180331</v>
      </c>
      <c r="F1" s="188">
        <v>20171231</v>
      </c>
      <c r="G1" s="188">
        <v>20170930</v>
      </c>
      <c r="H1" s="188">
        <v>20170630</v>
      </c>
      <c r="I1" s="188">
        <v>20170331</v>
      </c>
      <c r="J1" s="188">
        <v>20161231</v>
      </c>
      <c r="K1" s="188">
        <v>20160930</v>
      </c>
      <c r="L1" s="188">
        <v>20160630</v>
      </c>
      <c r="M1" s="188">
        <v>20160331</v>
      </c>
      <c r="N1" s="188">
        <v>20151231</v>
      </c>
      <c r="O1" s="188">
        <v>20150930</v>
      </c>
      <c r="P1" s="188">
        <v>20150630</v>
      </c>
      <c r="Q1" s="188">
        <v>20150331</v>
      </c>
      <c r="R1" s="188">
        <v>20141231</v>
      </c>
      <c r="S1" s="188">
        <v>20140930</v>
      </c>
      <c r="T1" s="188">
        <v>20140630</v>
      </c>
      <c r="U1" s="188">
        <v>20140331</v>
      </c>
      <c r="V1" s="188">
        <v>20131231</v>
      </c>
      <c r="W1" s="188">
        <v>20130930</v>
      </c>
      <c r="X1" s="188">
        <v>20130630</v>
      </c>
      <c r="Y1" s="188">
        <v>20130331</v>
      </c>
      <c r="Z1" s="188">
        <v>20121231</v>
      </c>
      <c r="AA1" s="188">
        <v>20120930</v>
      </c>
      <c r="AB1" s="188">
        <v>20120630</v>
      </c>
      <c r="AC1" s="188">
        <v>20120331</v>
      </c>
      <c r="AD1" s="188">
        <v>20111231</v>
      </c>
      <c r="AE1" s="188">
        <v>20110930</v>
      </c>
      <c r="AF1" s="188">
        <v>20110630</v>
      </c>
      <c r="AG1" s="188">
        <v>20110331</v>
      </c>
      <c r="AH1" s="188">
        <v>20101231</v>
      </c>
      <c r="AI1" s="188">
        <v>20100930</v>
      </c>
      <c r="AJ1" s="188">
        <v>20100630</v>
      </c>
      <c r="AK1" s="188">
        <v>20100331</v>
      </c>
      <c r="AL1" s="188">
        <v>20091231</v>
      </c>
      <c r="AM1" s="188">
        <v>20090930</v>
      </c>
      <c r="AN1" s="188">
        <v>20090630</v>
      </c>
      <c r="AO1" s="188">
        <v>20090331</v>
      </c>
      <c r="AP1" s="188">
        <v>20081231</v>
      </c>
      <c r="AQ1" s="188">
        <v>20080930</v>
      </c>
      <c r="AR1" s="188">
        <v>20080630</v>
      </c>
      <c r="AS1" s="188">
        <v>20080331</v>
      </c>
      <c r="AT1" s="188">
        <v>20071231</v>
      </c>
      <c r="AU1" s="188">
        <v>20070930</v>
      </c>
      <c r="AV1" s="188">
        <v>20070630</v>
      </c>
      <c r="AW1" s="188">
        <v>20070331</v>
      </c>
      <c r="AX1" s="188">
        <v>20061231</v>
      </c>
      <c r="AY1" s="188">
        <v>20060930</v>
      </c>
      <c r="AZ1" s="188">
        <v>20060630</v>
      </c>
      <c r="BA1" s="188">
        <v>20060331</v>
      </c>
      <c r="BB1" s="188">
        <v>20051231</v>
      </c>
      <c r="BC1" s="188">
        <v>20050930</v>
      </c>
      <c r="BD1" s="188">
        <v>20050630</v>
      </c>
      <c r="BE1" s="188">
        <v>20050331</v>
      </c>
      <c r="BF1" s="188">
        <v>20041231</v>
      </c>
      <c r="BG1" s="188">
        <v>20040930</v>
      </c>
      <c r="BH1" s="188">
        <v>20040630</v>
      </c>
      <c r="BI1" s="188">
        <v>20040331</v>
      </c>
      <c r="BJ1" s="188">
        <v>20031231</v>
      </c>
      <c r="BK1" s="188">
        <v>20030930</v>
      </c>
      <c r="BL1" s="188">
        <v>20030630</v>
      </c>
      <c r="BM1" s="188">
        <v>20030331</v>
      </c>
      <c r="BN1" s="188">
        <v>20021231</v>
      </c>
      <c r="BO1" s="188">
        <v>20020930</v>
      </c>
      <c r="BP1" s="188">
        <v>20020630</v>
      </c>
      <c r="BQ1" s="188">
        <v>20020331</v>
      </c>
      <c r="BR1" s="188">
        <v>20011231</v>
      </c>
      <c r="BS1" s="188">
        <v>20010630</v>
      </c>
      <c r="BT1" s="188">
        <v>20001231</v>
      </c>
      <c r="BU1" s="188">
        <v>19991231</v>
      </c>
      <c r="BV1" s="188">
        <v>19981231</v>
      </c>
      <c r="BW1" s="188">
        <v>19700101</v>
      </c>
      <c r="BX1" s="188"/>
      <c r="BY1" s="188"/>
      <c r="BZ1" s="188"/>
      <c r="CA1" s="188"/>
      <c r="CB1" s="188"/>
      <c r="CC1" s="188"/>
      <c r="CD1" s="188"/>
      <c r="CE1" s="188"/>
      <c r="CF1" s="188"/>
      <c r="CG1" s="188"/>
      <c r="CH1" s="188"/>
      <c r="CI1" s="188"/>
      <c r="CJ1" s="188"/>
      <c r="CK1" s="188"/>
      <c r="CL1" s="188"/>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188">
        <v>112074791420.06</v>
      </c>
      <c r="C4" s="188">
        <v>100750857255.34</v>
      </c>
      <c r="D4" s="188">
        <v>83660170568.710007</v>
      </c>
      <c r="E4" s="188">
        <v>87211373700.729996</v>
      </c>
      <c r="F4" s="188">
        <v>87868869913.339996</v>
      </c>
      <c r="G4" s="188">
        <v>80964678997.119995</v>
      </c>
      <c r="H4" s="188">
        <v>73635347053.149994</v>
      </c>
      <c r="I4" s="188">
        <v>72708333794.740005</v>
      </c>
      <c r="J4" s="188">
        <v>66854962118.220001</v>
      </c>
      <c r="K4" s="188">
        <v>61999742903.470001</v>
      </c>
      <c r="L4" s="188">
        <v>47528057097.449997</v>
      </c>
      <c r="M4" s="188">
        <v>43775736151.699997</v>
      </c>
      <c r="N4" s="188">
        <v>36800749895.059998</v>
      </c>
      <c r="O4" s="188">
        <v>30536117619.709999</v>
      </c>
      <c r="P4" s="188">
        <v>30236504717.380001</v>
      </c>
      <c r="Q4" s="188">
        <v>28420683403.889999</v>
      </c>
      <c r="R4" s="188">
        <v>27710717680.209999</v>
      </c>
      <c r="S4" s="188">
        <v>22795906975.310001</v>
      </c>
      <c r="T4" s="188">
        <v>21095077301.209999</v>
      </c>
      <c r="U4" s="188">
        <v>23364071644.09</v>
      </c>
      <c r="V4" s="188">
        <v>25185009331.68</v>
      </c>
      <c r="W4" s="188">
        <v>22011372945.09</v>
      </c>
      <c r="X4" s="188">
        <v>18274962102.509998</v>
      </c>
      <c r="Y4" s="188">
        <v>21735234696.970001</v>
      </c>
      <c r="Z4" s="188">
        <v>22061999850.169998</v>
      </c>
      <c r="AA4" s="188">
        <v>18690032974.060001</v>
      </c>
      <c r="AB4" s="188">
        <v>20981859110.759998</v>
      </c>
      <c r="AC4" s="188">
        <v>18851427038.66</v>
      </c>
      <c r="AD4" s="188">
        <v>18254690162.040001</v>
      </c>
      <c r="AE4" s="188">
        <v>18288326258.07</v>
      </c>
      <c r="AF4" s="188">
        <v>17291687378.52</v>
      </c>
      <c r="AG4" s="188">
        <v>15998489422.76</v>
      </c>
      <c r="AH4" s="188">
        <v>12888393889.290001</v>
      </c>
      <c r="AI4" s="188">
        <v>11026669577.42</v>
      </c>
      <c r="AJ4" s="188">
        <v>10268861587.440001</v>
      </c>
      <c r="AK4" s="188">
        <v>9980435183.5699997</v>
      </c>
      <c r="AL4" s="188">
        <v>9743152155.2399998</v>
      </c>
      <c r="AM4" s="188">
        <v>7895280562.8000002</v>
      </c>
      <c r="AN4" s="188">
        <v>7795808371.21</v>
      </c>
      <c r="AO4" s="188">
        <v>7662321131.3000002</v>
      </c>
      <c r="AP4" s="188">
        <v>8093721891.1599998</v>
      </c>
      <c r="AQ4" s="188">
        <v>6402015794.54</v>
      </c>
      <c r="AR4" s="188">
        <v>5065871830.8000002</v>
      </c>
      <c r="AS4" s="188">
        <v>5564443319.29</v>
      </c>
      <c r="AT4" s="188">
        <v>4722706300.0200005</v>
      </c>
      <c r="AU4" s="188">
        <v>4753385536.3500004</v>
      </c>
      <c r="AV4" s="188">
        <v>4809865056.1599998</v>
      </c>
      <c r="AW4" s="188">
        <v>4655485481.29</v>
      </c>
      <c r="AX4" s="188">
        <v>4463098038.6400003</v>
      </c>
      <c r="AY4" s="188">
        <v>4083907788.3400002</v>
      </c>
      <c r="AZ4" s="188">
        <v>3419099920.6599998</v>
      </c>
      <c r="BA4" s="188">
        <v>3975708186.8800001</v>
      </c>
      <c r="BB4" s="188">
        <v>3891989433.5300002</v>
      </c>
      <c r="BC4" s="188">
        <v>3217007276.75</v>
      </c>
      <c r="BD4" s="188">
        <v>3065214770.1900001</v>
      </c>
      <c r="BE4" s="188">
        <v>3024925341.3800001</v>
      </c>
      <c r="BF4" s="188">
        <v>2898327418.8499999</v>
      </c>
      <c r="BG4" s="188">
        <v>2419288966.46</v>
      </c>
      <c r="BH4" s="188">
        <v>2172790156.5900002</v>
      </c>
      <c r="BI4" s="188">
        <v>2091330580.1099999</v>
      </c>
      <c r="BJ4" s="188">
        <v>2340047386.8499999</v>
      </c>
      <c r="BK4" s="188">
        <v>1868792963.71</v>
      </c>
      <c r="BL4" s="188">
        <v>1536249315.6400001</v>
      </c>
      <c r="BM4" s="188">
        <v>1684957738.5599999</v>
      </c>
      <c r="BN4" s="188">
        <v>1780307690.6400001</v>
      </c>
      <c r="BO4" s="188">
        <v>1677224920.04</v>
      </c>
      <c r="BP4" s="188">
        <v>1513800289.8299999</v>
      </c>
      <c r="BQ4" s="188">
        <v>1877929846.0899999</v>
      </c>
      <c r="BR4" s="188">
        <v>1956436570.0999999</v>
      </c>
      <c r="BS4" s="188">
        <v>336439213.5</v>
      </c>
      <c r="BT4" s="188">
        <v>460983583.45999998</v>
      </c>
      <c r="BU4" s="188">
        <v>198390615.12</v>
      </c>
      <c r="BV4" s="188">
        <v>124765368.73999999</v>
      </c>
      <c r="BW4" s="188">
        <v>0</v>
      </c>
      <c r="BX4" s="188"/>
      <c r="BY4" s="188"/>
      <c r="BZ4" s="188"/>
      <c r="CA4" s="188"/>
      <c r="CB4" s="188"/>
      <c r="CC4" s="188"/>
      <c r="CD4" s="188"/>
      <c r="CE4" s="188"/>
      <c r="CF4" s="188"/>
      <c r="CG4" s="188"/>
      <c r="CH4" s="188"/>
      <c r="CI4" s="188"/>
      <c r="CJ4" s="188"/>
      <c r="CK4" s="188"/>
      <c r="CL4" s="188"/>
    </row>
    <row r="5" spans="1:90">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v>0</v>
      </c>
      <c r="BI5" s="188">
        <v>0</v>
      </c>
      <c r="BJ5" s="188">
        <v>0</v>
      </c>
      <c r="BK5" s="188">
        <v>0</v>
      </c>
      <c r="BL5" s="188">
        <v>0</v>
      </c>
      <c r="BM5" s="188">
        <v>0</v>
      </c>
      <c r="BN5" s="188">
        <v>0</v>
      </c>
      <c r="BO5" s="188">
        <v>0</v>
      </c>
      <c r="BP5" s="188">
        <v>0</v>
      </c>
      <c r="BQ5" s="188">
        <v>0</v>
      </c>
      <c r="BR5" s="188">
        <v>0</v>
      </c>
      <c r="BS5" s="188">
        <v>0</v>
      </c>
      <c r="BT5" s="188">
        <v>0</v>
      </c>
      <c r="BU5" s="188">
        <v>0</v>
      </c>
      <c r="BV5" s="188">
        <v>0</v>
      </c>
      <c r="BW5" s="188">
        <v>0</v>
      </c>
      <c r="BX5" s="188"/>
      <c r="BY5" s="188"/>
      <c r="BZ5" s="188"/>
      <c r="CA5" s="188"/>
      <c r="CB5" s="188"/>
      <c r="CC5" s="188"/>
      <c r="CD5" s="188"/>
      <c r="CE5" s="188"/>
      <c r="CF5" s="188"/>
      <c r="CG5" s="188"/>
      <c r="CH5" s="188"/>
      <c r="CI5" s="188"/>
      <c r="CJ5" s="188"/>
      <c r="CK5" s="188"/>
      <c r="CL5" s="188"/>
    </row>
    <row r="6" spans="1:90">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v>0</v>
      </c>
      <c r="BU6" s="188">
        <v>0</v>
      </c>
      <c r="BV6" s="188">
        <v>0</v>
      </c>
      <c r="BW6" s="188">
        <v>0</v>
      </c>
      <c r="BX6" s="188"/>
      <c r="BY6" s="188"/>
      <c r="BZ6" s="188"/>
      <c r="CA6" s="188"/>
      <c r="CB6" s="188"/>
      <c r="CC6" s="188"/>
      <c r="CD6" s="188"/>
      <c r="CE6" s="188"/>
      <c r="CF6" s="188"/>
      <c r="CG6" s="188"/>
      <c r="CH6" s="188"/>
      <c r="CI6" s="188"/>
      <c r="CJ6" s="188"/>
      <c r="CK6" s="188"/>
      <c r="CL6" s="188"/>
    </row>
    <row r="7" spans="1:90">
      <c r="A7" s="17" t="s">
        <v>4</v>
      </c>
      <c r="B7" s="188">
        <v>36075000</v>
      </c>
      <c r="C7" s="188">
        <v>42900000</v>
      </c>
      <c r="D7" s="188">
        <v>42900000</v>
      </c>
      <c r="E7" s="188">
        <v>25593750</v>
      </c>
      <c r="F7" s="188">
        <v>33150000</v>
      </c>
      <c r="G7" s="188">
        <v>29250000</v>
      </c>
      <c r="H7" s="188">
        <v>224250000</v>
      </c>
      <c r="I7" s="188">
        <v>242701246.38</v>
      </c>
      <c r="J7" s="188">
        <v>60833517.030000001</v>
      </c>
      <c r="K7" s="188">
        <v>169872720.99000001</v>
      </c>
      <c r="L7" s="188">
        <v>171638439.88999999</v>
      </c>
      <c r="M7" s="188">
        <v>136500000</v>
      </c>
      <c r="N7" s="188">
        <v>19500000</v>
      </c>
      <c r="O7" s="188">
        <v>21060000</v>
      </c>
      <c r="P7" s="188">
        <v>30810000</v>
      </c>
      <c r="Q7" s="188">
        <v>30810000</v>
      </c>
      <c r="R7" s="188">
        <v>30810000</v>
      </c>
      <c r="S7" s="188">
        <v>9850000</v>
      </c>
      <c r="T7" s="188">
        <v>0</v>
      </c>
      <c r="U7" s="188">
        <v>16596250</v>
      </c>
      <c r="V7" s="188">
        <v>90527500</v>
      </c>
      <c r="W7" s="188">
        <v>24750000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v>0</v>
      </c>
      <c r="BI7" s="188">
        <v>0</v>
      </c>
      <c r="BJ7" s="188">
        <v>0</v>
      </c>
      <c r="BK7" s="188">
        <v>0</v>
      </c>
      <c r="BL7" s="188">
        <v>0</v>
      </c>
      <c r="BM7" s="188">
        <v>0</v>
      </c>
      <c r="BN7" s="188">
        <v>0</v>
      </c>
      <c r="BO7" s="188">
        <v>0</v>
      </c>
      <c r="BP7" s="188">
        <v>0</v>
      </c>
      <c r="BQ7" s="188">
        <v>0</v>
      </c>
      <c r="BR7" s="188">
        <v>0</v>
      </c>
      <c r="BS7" s="188">
        <v>0</v>
      </c>
      <c r="BT7" s="188">
        <v>0</v>
      </c>
      <c r="BU7" s="188">
        <v>0</v>
      </c>
      <c r="BV7" s="188">
        <v>0</v>
      </c>
      <c r="BW7" s="188">
        <v>0</v>
      </c>
      <c r="BX7" s="188"/>
      <c r="BY7" s="188"/>
      <c r="BZ7" s="188"/>
      <c r="CA7" s="188"/>
      <c r="CB7" s="188"/>
      <c r="CC7" s="188"/>
      <c r="CD7" s="188"/>
      <c r="CE7" s="188"/>
      <c r="CF7" s="188"/>
      <c r="CG7" s="188"/>
      <c r="CH7" s="188"/>
      <c r="CI7" s="188"/>
      <c r="CJ7" s="188"/>
      <c r="CK7" s="188"/>
      <c r="CL7" s="188"/>
    </row>
    <row r="8" spans="1:90">
      <c r="A8" s="17" t="s">
        <v>5</v>
      </c>
      <c r="B8" s="188">
        <v>29000000</v>
      </c>
      <c r="C8" s="188">
        <v>29000000</v>
      </c>
      <c r="D8" s="188">
        <v>29000000</v>
      </c>
      <c r="E8" s="188">
        <v>29000000</v>
      </c>
      <c r="F8" s="188">
        <v>29000000</v>
      </c>
      <c r="G8" s="188">
        <v>29000000</v>
      </c>
      <c r="H8" s="188">
        <v>29000000</v>
      </c>
      <c r="I8" s="188">
        <v>29000000</v>
      </c>
      <c r="J8" s="188">
        <v>29000000</v>
      </c>
      <c r="K8" s="188">
        <v>29000000</v>
      </c>
      <c r="L8" s="188">
        <v>29000000</v>
      </c>
      <c r="M8" s="188">
        <v>29000000</v>
      </c>
      <c r="N8" s="188">
        <v>29000000</v>
      </c>
      <c r="O8" s="188">
        <v>29000000</v>
      </c>
      <c r="P8" s="188">
        <v>29000000</v>
      </c>
      <c r="Q8" s="188">
        <v>4000000</v>
      </c>
      <c r="R8" s="188">
        <v>4000000</v>
      </c>
      <c r="S8" s="188">
        <v>4000000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v>0</v>
      </c>
      <c r="BI8" s="188">
        <v>0</v>
      </c>
      <c r="BJ8" s="188">
        <v>0</v>
      </c>
      <c r="BK8" s="188">
        <v>0</v>
      </c>
      <c r="BL8" s="188">
        <v>0</v>
      </c>
      <c r="BM8" s="188">
        <v>0</v>
      </c>
      <c r="BN8" s="188">
        <v>0</v>
      </c>
      <c r="BO8" s="188">
        <v>0</v>
      </c>
      <c r="BP8" s="188">
        <v>0</v>
      </c>
      <c r="BQ8" s="188">
        <v>0</v>
      </c>
      <c r="BR8" s="188">
        <v>0</v>
      </c>
      <c r="BS8" s="188">
        <v>0</v>
      </c>
      <c r="BT8" s="188">
        <v>0</v>
      </c>
      <c r="BU8" s="188">
        <v>0</v>
      </c>
      <c r="BV8" s="188">
        <v>0</v>
      </c>
      <c r="BW8" s="188">
        <v>0</v>
      </c>
      <c r="BX8" s="188"/>
      <c r="BY8" s="188"/>
      <c r="BZ8" s="188"/>
      <c r="CA8" s="188"/>
      <c r="CB8" s="188"/>
      <c r="CC8" s="188"/>
      <c r="CD8" s="188"/>
      <c r="CE8" s="188"/>
      <c r="CF8" s="188"/>
      <c r="CG8" s="188"/>
      <c r="CH8" s="188"/>
      <c r="CI8" s="188"/>
      <c r="CJ8" s="188"/>
      <c r="CK8" s="188"/>
      <c r="CL8" s="188"/>
    </row>
    <row r="9" spans="1:90">
      <c r="A9" s="17" t="s">
        <v>6</v>
      </c>
      <c r="B9" s="188">
        <v>0</v>
      </c>
      <c r="C9" s="188">
        <v>0</v>
      </c>
      <c r="D9" s="188">
        <v>0</v>
      </c>
      <c r="E9" s="188">
        <v>0</v>
      </c>
      <c r="F9" s="188">
        <v>0</v>
      </c>
      <c r="G9" s="188">
        <v>0</v>
      </c>
      <c r="H9" s="188">
        <v>0</v>
      </c>
      <c r="I9" s="188">
        <v>0</v>
      </c>
      <c r="J9" s="188">
        <v>0</v>
      </c>
      <c r="K9" s="188">
        <v>0</v>
      </c>
      <c r="L9" s="188">
        <v>0</v>
      </c>
      <c r="M9" s="188">
        <v>0</v>
      </c>
      <c r="N9" s="188">
        <v>0</v>
      </c>
      <c r="O9" s="188">
        <v>0</v>
      </c>
      <c r="P9" s="188">
        <v>50000000</v>
      </c>
      <c r="Q9" s="188">
        <v>50000000</v>
      </c>
      <c r="R9" s="188">
        <v>60000000</v>
      </c>
      <c r="S9" s="188">
        <v>65000000</v>
      </c>
      <c r="T9" s="188">
        <v>65000000</v>
      </c>
      <c r="U9" s="188">
        <v>50000000</v>
      </c>
      <c r="V9" s="188">
        <v>50000000</v>
      </c>
      <c r="W9" s="188">
        <v>50000000</v>
      </c>
      <c r="X9" s="188">
        <v>50000000</v>
      </c>
      <c r="Y9" s="188">
        <v>50000000</v>
      </c>
      <c r="Z9" s="188">
        <v>50000000</v>
      </c>
      <c r="AA9" s="188">
        <v>50000000</v>
      </c>
      <c r="AB9" s="188">
        <v>50000000</v>
      </c>
      <c r="AC9" s="188">
        <v>50000000</v>
      </c>
      <c r="AD9" s="188">
        <v>60000000</v>
      </c>
      <c r="AE9" s="188">
        <v>60000000</v>
      </c>
      <c r="AF9" s="188">
        <v>60000000</v>
      </c>
      <c r="AG9" s="188">
        <v>60000000</v>
      </c>
      <c r="AH9" s="188">
        <v>60000000</v>
      </c>
      <c r="AI9" s="188">
        <v>60000000</v>
      </c>
      <c r="AJ9" s="188">
        <v>60000000</v>
      </c>
      <c r="AK9" s="188">
        <v>10000000</v>
      </c>
      <c r="AL9" s="188">
        <v>10000000</v>
      </c>
      <c r="AM9" s="188">
        <v>27000000</v>
      </c>
      <c r="AN9" s="188">
        <v>27000000</v>
      </c>
      <c r="AO9" s="188">
        <v>52000000</v>
      </c>
      <c r="AP9" s="188">
        <v>42000000</v>
      </c>
      <c r="AQ9" s="188">
        <v>37000000</v>
      </c>
      <c r="AR9" s="188">
        <v>37000000</v>
      </c>
      <c r="AS9" s="188">
        <v>37000000</v>
      </c>
      <c r="AT9" s="188">
        <v>58000000</v>
      </c>
      <c r="AU9" s="188">
        <v>58000000</v>
      </c>
      <c r="AV9" s="188">
        <v>58000000</v>
      </c>
      <c r="AW9" s="188">
        <v>59769450</v>
      </c>
      <c r="AX9" s="188">
        <v>42769450</v>
      </c>
      <c r="AY9" s="188">
        <v>0</v>
      </c>
      <c r="AZ9" s="188">
        <v>0</v>
      </c>
      <c r="BA9" s="188">
        <v>0</v>
      </c>
      <c r="BB9" s="188">
        <v>0</v>
      </c>
      <c r="BC9" s="188">
        <v>0</v>
      </c>
      <c r="BD9" s="188">
        <v>0</v>
      </c>
      <c r="BE9" s="188">
        <v>0</v>
      </c>
      <c r="BF9" s="188">
        <v>0</v>
      </c>
      <c r="BG9" s="188">
        <v>0</v>
      </c>
      <c r="BH9" s="188">
        <v>0</v>
      </c>
      <c r="BI9" s="188">
        <v>0</v>
      </c>
      <c r="BJ9" s="188">
        <v>0</v>
      </c>
      <c r="BK9" s="188">
        <v>0</v>
      </c>
      <c r="BL9" s="188">
        <v>0</v>
      </c>
      <c r="BM9" s="188">
        <v>0</v>
      </c>
      <c r="BN9" s="188">
        <v>0</v>
      </c>
      <c r="BO9" s="188">
        <v>0</v>
      </c>
      <c r="BP9" s="188">
        <v>0</v>
      </c>
      <c r="BQ9" s="188">
        <v>0</v>
      </c>
      <c r="BR9" s="188">
        <v>0</v>
      </c>
      <c r="BS9" s="188">
        <v>0</v>
      </c>
      <c r="BT9" s="188">
        <v>0</v>
      </c>
      <c r="BU9" s="188">
        <v>0</v>
      </c>
      <c r="BV9" s="188">
        <v>0</v>
      </c>
      <c r="BW9" s="188">
        <v>0</v>
      </c>
      <c r="BX9" s="188"/>
      <c r="BY9" s="188"/>
      <c r="BZ9" s="188"/>
      <c r="CA9" s="188"/>
      <c r="CB9" s="188"/>
      <c r="CC9" s="188"/>
      <c r="CD9" s="188"/>
      <c r="CE9" s="188"/>
      <c r="CF9" s="188"/>
      <c r="CG9" s="188"/>
      <c r="CH9" s="188"/>
      <c r="CI9" s="188"/>
      <c r="CJ9" s="188"/>
      <c r="CK9" s="188"/>
      <c r="CL9" s="188"/>
    </row>
    <row r="10" spans="1:90">
      <c r="A10" s="19" t="s">
        <v>7</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c r="BT10" s="188">
        <v>0</v>
      </c>
      <c r="BU10" s="188">
        <v>0</v>
      </c>
      <c r="BV10" s="188">
        <v>0</v>
      </c>
      <c r="BW10" s="188">
        <v>0</v>
      </c>
      <c r="BX10" s="188"/>
      <c r="BY10" s="188"/>
      <c r="BZ10" s="188"/>
      <c r="CA10" s="188"/>
      <c r="CB10" s="188"/>
      <c r="CC10" s="188"/>
      <c r="CD10" s="188"/>
      <c r="CE10" s="188"/>
      <c r="CF10" s="188"/>
      <c r="CG10" s="188"/>
      <c r="CH10" s="188"/>
      <c r="CI10" s="188"/>
      <c r="CJ10" s="188"/>
      <c r="CK10" s="188"/>
      <c r="CL10" s="188"/>
    </row>
    <row r="11" spans="1:90">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0</v>
      </c>
      <c r="BI11" s="188">
        <v>10118265.609999999</v>
      </c>
      <c r="BJ11" s="188">
        <v>0</v>
      </c>
      <c r="BK11" s="188">
        <v>0</v>
      </c>
      <c r="BL11" s="188">
        <v>0</v>
      </c>
      <c r="BM11" s="188">
        <v>0</v>
      </c>
      <c r="BN11" s="188">
        <v>0</v>
      </c>
      <c r="BO11" s="188">
        <v>0</v>
      </c>
      <c r="BP11" s="188">
        <v>0</v>
      </c>
      <c r="BQ11" s="188">
        <v>0</v>
      </c>
      <c r="BR11" s="188">
        <v>0</v>
      </c>
      <c r="BS11" s="188">
        <v>0</v>
      </c>
      <c r="BT11" s="188">
        <v>0</v>
      </c>
      <c r="BU11" s="188">
        <v>0</v>
      </c>
      <c r="BV11" s="188">
        <v>0</v>
      </c>
      <c r="BW11" s="188">
        <v>0</v>
      </c>
      <c r="BX11" s="188"/>
      <c r="BY11" s="188"/>
      <c r="BZ11" s="188"/>
      <c r="CA11" s="188"/>
      <c r="CB11" s="188"/>
      <c r="CC11" s="188"/>
      <c r="CD11" s="188"/>
      <c r="CE11" s="188"/>
      <c r="CF11" s="188"/>
      <c r="CG11" s="188"/>
      <c r="CH11" s="188"/>
      <c r="CI11" s="188"/>
      <c r="CJ11" s="188"/>
      <c r="CK11" s="188"/>
      <c r="CL11" s="188"/>
    </row>
    <row r="12" spans="1:90">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v>0</v>
      </c>
      <c r="BU12" s="188">
        <v>0</v>
      </c>
      <c r="BV12" s="188">
        <v>0</v>
      </c>
      <c r="BW12" s="188">
        <v>0</v>
      </c>
      <c r="BX12" s="188"/>
      <c r="BY12" s="188"/>
      <c r="BZ12" s="188"/>
      <c r="CA12" s="188"/>
      <c r="CB12" s="188"/>
      <c r="CC12" s="188"/>
      <c r="CD12" s="188"/>
      <c r="CE12" s="188"/>
      <c r="CF12" s="188"/>
      <c r="CG12" s="188"/>
      <c r="CH12" s="188"/>
      <c r="CI12" s="188"/>
      <c r="CJ12" s="188"/>
      <c r="CK12" s="188"/>
      <c r="CL12" s="188"/>
    </row>
    <row r="13" spans="1:90">
      <c r="A13" s="17" t="s">
        <v>10</v>
      </c>
      <c r="B13" s="188">
        <v>343889944.47000003</v>
      </c>
      <c r="C13" s="188">
        <v>382283378.07999998</v>
      </c>
      <c r="D13" s="188">
        <v>381568388.93000001</v>
      </c>
      <c r="E13" s="188">
        <v>832616980.51999998</v>
      </c>
      <c r="F13" s="188">
        <v>241458615.88999999</v>
      </c>
      <c r="G13" s="188">
        <v>242686627.52000001</v>
      </c>
      <c r="H13" s="188">
        <v>156890931.40000001</v>
      </c>
      <c r="I13" s="188">
        <v>239223538.55000001</v>
      </c>
      <c r="J13" s="188">
        <v>140904856.88</v>
      </c>
      <c r="K13" s="188">
        <v>125442817.73</v>
      </c>
      <c r="L13" s="188">
        <v>80171834.959999993</v>
      </c>
      <c r="M13" s="188">
        <v>133573079.36</v>
      </c>
      <c r="N13" s="188">
        <v>85347051.469999999</v>
      </c>
      <c r="O13" s="188">
        <v>136725651.16999999</v>
      </c>
      <c r="P13" s="188">
        <v>136529732.49000001</v>
      </c>
      <c r="Q13" s="188">
        <v>117630548.84</v>
      </c>
      <c r="R13" s="188">
        <v>80602922.329999998</v>
      </c>
      <c r="S13" s="188">
        <v>35968733.609999999</v>
      </c>
      <c r="T13" s="188">
        <v>40227055.549999997</v>
      </c>
      <c r="U13" s="188">
        <v>69911833.340000004</v>
      </c>
      <c r="V13" s="188">
        <v>188599147.22999999</v>
      </c>
      <c r="W13" s="188">
        <v>291069085.54000002</v>
      </c>
      <c r="X13" s="188">
        <v>237708837.44</v>
      </c>
      <c r="Y13" s="188">
        <v>169802147.38</v>
      </c>
      <c r="Z13" s="188">
        <v>264612813.22</v>
      </c>
      <c r="AA13" s="188">
        <v>265954783.11000001</v>
      </c>
      <c r="AB13" s="188">
        <v>213786369.86000001</v>
      </c>
      <c r="AC13" s="188">
        <v>154585967.41999999</v>
      </c>
      <c r="AD13" s="188">
        <v>225182760.05000001</v>
      </c>
      <c r="AE13" s="188">
        <v>176109284.02000001</v>
      </c>
      <c r="AF13" s="188">
        <v>127606199.03</v>
      </c>
      <c r="AG13" s="188">
        <v>39447517.810000002</v>
      </c>
      <c r="AH13" s="188">
        <v>42728425.340000004</v>
      </c>
      <c r="AI13" s="188">
        <v>76696541.090000004</v>
      </c>
      <c r="AJ13" s="188">
        <v>49443756.840000004</v>
      </c>
      <c r="AK13" s="188">
        <v>183700</v>
      </c>
      <c r="AL13" s="188">
        <v>1912600</v>
      </c>
      <c r="AM13" s="188">
        <v>1675275</v>
      </c>
      <c r="AN13" s="188">
        <v>1437950</v>
      </c>
      <c r="AO13" s="188">
        <v>3084625</v>
      </c>
      <c r="AP13" s="188">
        <v>2783550</v>
      </c>
      <c r="AQ13" s="188">
        <v>2482475</v>
      </c>
      <c r="AR13" s="188">
        <v>2181400</v>
      </c>
      <c r="AS13" s="188">
        <v>1880325</v>
      </c>
      <c r="AT13" s="188">
        <v>3584400</v>
      </c>
      <c r="AU13" s="188">
        <v>2629400</v>
      </c>
      <c r="AV13" s="188">
        <v>2629400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c r="BW13" s="188">
        <v>0</v>
      </c>
      <c r="BX13" s="188"/>
      <c r="BY13" s="188"/>
      <c r="BZ13" s="188"/>
      <c r="CA13" s="188"/>
      <c r="CB13" s="188"/>
      <c r="CC13" s="188"/>
      <c r="CD13" s="188"/>
      <c r="CE13" s="188"/>
      <c r="CF13" s="188"/>
      <c r="CG13" s="188"/>
      <c r="CH13" s="188"/>
      <c r="CI13" s="188"/>
      <c r="CJ13" s="188"/>
      <c r="CK13" s="188"/>
      <c r="CL13" s="188"/>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21" t="s">
        <v>11</v>
      </c>
      <c r="B17" s="33">
        <f>SUM(B4:B13)</f>
        <v>112483756364.53</v>
      </c>
      <c r="C17" s="33">
        <f t="shared" ref="C17:BN17" si="0">SUM(C4:C13)</f>
        <v>101205040633.42</v>
      </c>
      <c r="D17" s="33">
        <f t="shared" si="0"/>
        <v>84113638957.639999</v>
      </c>
      <c r="E17" s="33">
        <f t="shared" si="0"/>
        <v>88098584431.25</v>
      </c>
      <c r="F17" s="33">
        <f t="shared" si="0"/>
        <v>88172478529.229996</v>
      </c>
      <c r="G17" s="33">
        <f t="shared" si="0"/>
        <v>81265615624.639999</v>
      </c>
      <c r="H17" s="33">
        <f t="shared" si="0"/>
        <v>74045487984.549988</v>
      </c>
      <c r="I17" s="33">
        <f t="shared" si="0"/>
        <v>73219258579.670013</v>
      </c>
      <c r="J17" s="33">
        <f t="shared" si="0"/>
        <v>67085700492.129997</v>
      </c>
      <c r="K17" s="33">
        <f t="shared" si="0"/>
        <v>62324058442.190002</v>
      </c>
      <c r="L17" s="33">
        <f t="shared" si="0"/>
        <v>47808867372.299995</v>
      </c>
      <c r="M17" s="33">
        <f t="shared" si="0"/>
        <v>44074809231.059998</v>
      </c>
      <c r="N17" s="33">
        <f t="shared" si="0"/>
        <v>36934596946.529999</v>
      </c>
      <c r="O17" s="33">
        <f t="shared" si="0"/>
        <v>30722903270.879997</v>
      </c>
      <c r="P17" s="33">
        <f t="shared" si="0"/>
        <v>30482844449.870003</v>
      </c>
      <c r="Q17" s="33">
        <f t="shared" si="0"/>
        <v>28623123952.73</v>
      </c>
      <c r="R17" s="33">
        <f t="shared" si="0"/>
        <v>27886130602.540001</v>
      </c>
      <c r="S17" s="33">
        <f t="shared" si="0"/>
        <v>22910725708.920002</v>
      </c>
      <c r="T17" s="33">
        <f t="shared" si="0"/>
        <v>21200304356.759998</v>
      </c>
      <c r="U17" s="33">
        <f t="shared" si="0"/>
        <v>23500579727.43</v>
      </c>
      <c r="V17" s="33">
        <f t="shared" si="0"/>
        <v>25514135978.91</v>
      </c>
      <c r="W17" s="33">
        <f t="shared" si="0"/>
        <v>22377192030.630001</v>
      </c>
      <c r="X17" s="33">
        <f t="shared" si="0"/>
        <v>18562670939.949997</v>
      </c>
      <c r="Y17" s="33">
        <f t="shared" si="0"/>
        <v>21955036844.350002</v>
      </c>
      <c r="Z17" s="33">
        <f t="shared" si="0"/>
        <v>22376612663.389999</v>
      </c>
      <c r="AA17" s="33">
        <f t="shared" si="0"/>
        <v>19005987757.170002</v>
      </c>
      <c r="AB17" s="33">
        <f t="shared" si="0"/>
        <v>21245645480.619999</v>
      </c>
      <c r="AC17" s="33">
        <f t="shared" si="0"/>
        <v>19056013006.079998</v>
      </c>
      <c r="AD17" s="33">
        <f t="shared" si="0"/>
        <v>18539872922.09</v>
      </c>
      <c r="AE17" s="33">
        <f t="shared" si="0"/>
        <v>18524435542.09</v>
      </c>
      <c r="AF17" s="33">
        <f t="shared" si="0"/>
        <v>17479293577.549999</v>
      </c>
      <c r="AG17" s="33">
        <f t="shared" si="0"/>
        <v>16097936940.57</v>
      </c>
      <c r="AH17" s="33">
        <f t="shared" si="0"/>
        <v>12991122314.630001</v>
      </c>
      <c r="AI17" s="33">
        <f t="shared" si="0"/>
        <v>11163366118.51</v>
      </c>
      <c r="AJ17" s="33">
        <f t="shared" si="0"/>
        <v>10378305344.280001</v>
      </c>
      <c r="AK17" s="33">
        <f t="shared" si="0"/>
        <v>9990618883.5699997</v>
      </c>
      <c r="AL17" s="33">
        <f t="shared" si="0"/>
        <v>9755064755.2399998</v>
      </c>
      <c r="AM17" s="33">
        <f t="shared" si="0"/>
        <v>7923955837.8000002</v>
      </c>
      <c r="AN17" s="33">
        <f t="shared" si="0"/>
        <v>7824246321.21</v>
      </c>
      <c r="AO17" s="33">
        <f t="shared" si="0"/>
        <v>7717405756.3000002</v>
      </c>
      <c r="AP17" s="33">
        <f t="shared" si="0"/>
        <v>8138505441.1599998</v>
      </c>
      <c r="AQ17" s="33">
        <f t="shared" si="0"/>
        <v>6441498269.54</v>
      </c>
      <c r="AR17" s="33">
        <f t="shared" si="0"/>
        <v>5105053230.8000002</v>
      </c>
      <c r="AS17" s="33">
        <f t="shared" si="0"/>
        <v>5603323644.29</v>
      </c>
      <c r="AT17" s="33">
        <f t="shared" si="0"/>
        <v>4784290700.0200005</v>
      </c>
      <c r="AU17" s="33">
        <f t="shared" si="0"/>
        <v>4814014936.3500004</v>
      </c>
      <c r="AV17" s="33">
        <f t="shared" si="0"/>
        <v>4870494456.1599998</v>
      </c>
      <c r="AW17" s="33">
        <f t="shared" si="0"/>
        <v>4715254931.29</v>
      </c>
      <c r="AX17" s="33">
        <f t="shared" si="0"/>
        <v>4505867488.6400003</v>
      </c>
      <c r="AY17" s="33">
        <f t="shared" si="0"/>
        <v>4083907788.3400002</v>
      </c>
      <c r="AZ17" s="33">
        <f t="shared" si="0"/>
        <v>3419099920.6599998</v>
      </c>
      <c r="BA17" s="33">
        <f t="shared" si="0"/>
        <v>3975708186.8800001</v>
      </c>
      <c r="BB17" s="33">
        <f t="shared" si="0"/>
        <v>3891989433.5300002</v>
      </c>
      <c r="BC17" s="33">
        <f t="shared" si="0"/>
        <v>3217007276.75</v>
      </c>
      <c r="BD17" s="33">
        <f t="shared" si="0"/>
        <v>3065214770.1900001</v>
      </c>
      <c r="BE17" s="33">
        <f t="shared" si="0"/>
        <v>3024925341.3800001</v>
      </c>
      <c r="BF17" s="33">
        <f t="shared" si="0"/>
        <v>2898327418.8499999</v>
      </c>
      <c r="BG17" s="33">
        <f t="shared" si="0"/>
        <v>2419288966.46</v>
      </c>
      <c r="BH17" s="33">
        <f t="shared" si="0"/>
        <v>2172790156.5900002</v>
      </c>
      <c r="BI17" s="33">
        <f t="shared" si="0"/>
        <v>2101448845.7199998</v>
      </c>
      <c r="BJ17" s="33">
        <f t="shared" si="0"/>
        <v>2340047386.8499999</v>
      </c>
      <c r="BK17" s="33">
        <f t="shared" si="0"/>
        <v>1868792963.71</v>
      </c>
      <c r="BL17" s="33">
        <f t="shared" si="0"/>
        <v>1536249315.6400001</v>
      </c>
      <c r="BM17" s="33">
        <f t="shared" si="0"/>
        <v>1684957738.5599999</v>
      </c>
      <c r="BN17" s="33">
        <f t="shared" si="0"/>
        <v>1780307690.6400001</v>
      </c>
      <c r="BO17" s="33">
        <f t="shared" ref="BO17:CK17" si="1">SUM(BO4:BO13)</f>
        <v>1677224920.04</v>
      </c>
      <c r="BP17" s="33">
        <f t="shared" si="1"/>
        <v>1513800289.8299999</v>
      </c>
      <c r="BQ17" s="33">
        <f t="shared" si="1"/>
        <v>1877929846.0899999</v>
      </c>
      <c r="BR17" s="33">
        <f t="shared" si="1"/>
        <v>1956436570.0999999</v>
      </c>
      <c r="BS17" s="33">
        <f t="shared" si="1"/>
        <v>336439213.5</v>
      </c>
      <c r="BT17" s="33">
        <f t="shared" si="1"/>
        <v>460983583.45999998</v>
      </c>
      <c r="BU17" s="33">
        <f t="shared" si="1"/>
        <v>198390615.12</v>
      </c>
      <c r="BV17" s="33">
        <f t="shared" si="1"/>
        <v>124765368.73999999</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22" t="s">
        <v>79</v>
      </c>
      <c r="B18" s="34"/>
      <c r="C18" s="34"/>
      <c r="D18" s="34"/>
      <c r="E18" s="34"/>
      <c r="F18" s="34"/>
      <c r="G18" s="34"/>
      <c r="H18" s="34"/>
      <c r="I18" s="34"/>
      <c r="J18" s="34"/>
      <c r="K18" s="34"/>
      <c r="L18" s="32"/>
      <c r="M18" s="14"/>
      <c r="N18" s="14"/>
    </row>
    <row r="19" spans="1:90" s="5" customFormat="1">
      <c r="A19" s="121" t="s">
        <v>78</v>
      </c>
      <c r="B19" s="188">
        <v>0</v>
      </c>
      <c r="C19" s="188">
        <v>0</v>
      </c>
      <c r="D19" s="188">
        <v>0</v>
      </c>
      <c r="E19" s="188">
        <v>0</v>
      </c>
      <c r="F19" s="188">
        <v>0</v>
      </c>
      <c r="G19" s="188">
        <v>0</v>
      </c>
      <c r="H19" s="188">
        <v>0</v>
      </c>
      <c r="I19" s="188">
        <v>0</v>
      </c>
      <c r="J19" s="188">
        <v>0</v>
      </c>
      <c r="K19" s="188">
        <v>0</v>
      </c>
      <c r="L19" s="188">
        <v>0</v>
      </c>
      <c r="M19" s="188">
        <v>0</v>
      </c>
      <c r="N19" s="188">
        <v>0</v>
      </c>
      <c r="O19" s="188">
        <v>0</v>
      </c>
      <c r="P19" s="188">
        <v>0</v>
      </c>
      <c r="Q19" s="188">
        <v>0</v>
      </c>
      <c r="R19" s="188">
        <v>0</v>
      </c>
      <c r="S19" s="188">
        <v>2750000</v>
      </c>
      <c r="T19" s="188">
        <v>6750000</v>
      </c>
      <c r="U19" s="188">
        <v>6750000</v>
      </c>
      <c r="V19" s="188">
        <v>4000000</v>
      </c>
      <c r="W19" s="188">
        <v>4000000</v>
      </c>
      <c r="X19" s="188">
        <v>4000000</v>
      </c>
      <c r="Y19" s="188">
        <v>4000000</v>
      </c>
      <c r="Z19" s="188">
        <v>4000000</v>
      </c>
      <c r="AA19" s="188">
        <v>4000000</v>
      </c>
      <c r="AB19" s="188">
        <v>4000000</v>
      </c>
      <c r="AC19" s="188">
        <v>4000000</v>
      </c>
      <c r="AD19" s="188">
        <v>4000000</v>
      </c>
      <c r="AE19" s="188">
        <v>4000000</v>
      </c>
      <c r="AF19" s="188">
        <v>4000000</v>
      </c>
      <c r="AG19" s="188">
        <v>4000000</v>
      </c>
      <c r="AH19" s="188">
        <v>4000000</v>
      </c>
      <c r="AI19" s="188">
        <v>4000000</v>
      </c>
      <c r="AJ19" s="188">
        <v>4000000</v>
      </c>
      <c r="AK19" s="188">
        <v>4000000</v>
      </c>
      <c r="AL19" s="188">
        <v>4000000</v>
      </c>
      <c r="AM19" s="188">
        <v>4000000</v>
      </c>
      <c r="AN19" s="188">
        <v>4000000</v>
      </c>
      <c r="AO19" s="188">
        <v>4000000</v>
      </c>
      <c r="AP19" s="188">
        <v>4000000</v>
      </c>
      <c r="AQ19" s="188">
        <v>4000000</v>
      </c>
      <c r="AR19" s="188">
        <v>4000000</v>
      </c>
      <c r="AS19" s="188">
        <v>4000000</v>
      </c>
      <c r="AT19" s="188">
        <v>4000000</v>
      </c>
      <c r="AU19" s="188">
        <v>4000000</v>
      </c>
      <c r="AV19" s="188">
        <v>4000000</v>
      </c>
      <c r="AW19" s="188">
        <v>4000000</v>
      </c>
      <c r="AX19" s="188">
        <v>11486496.289999999</v>
      </c>
      <c r="AY19" s="188">
        <v>10767452.710000001</v>
      </c>
      <c r="AZ19" s="188">
        <v>10387452.699999999</v>
      </c>
      <c r="BA19" s="188">
        <v>10243017.33</v>
      </c>
      <c r="BB19" s="188">
        <v>10243017.33</v>
      </c>
      <c r="BC19" s="188">
        <v>9838781.9600000009</v>
      </c>
      <c r="BD19" s="188">
        <v>9838781.9600000009</v>
      </c>
      <c r="BE19" s="188">
        <v>9627405.1300000008</v>
      </c>
      <c r="BF19" s="188">
        <v>9815063.7300000004</v>
      </c>
      <c r="BG19" s="188">
        <v>4000000</v>
      </c>
      <c r="BH19" s="188">
        <v>4000000</v>
      </c>
      <c r="BI19" s="188">
        <v>4000000</v>
      </c>
      <c r="BJ19" s="188">
        <v>4000000</v>
      </c>
      <c r="BK19" s="188">
        <v>4000000</v>
      </c>
      <c r="BL19" s="188">
        <v>4000000</v>
      </c>
      <c r="BM19" s="188">
        <v>4000000</v>
      </c>
      <c r="BN19" s="188">
        <v>4000000</v>
      </c>
      <c r="BO19" s="188">
        <v>4000000</v>
      </c>
      <c r="BP19" s="188">
        <v>4000000</v>
      </c>
      <c r="BQ19" s="188">
        <v>0</v>
      </c>
      <c r="BR19" s="188">
        <v>0</v>
      </c>
      <c r="BS19" s="188">
        <v>0</v>
      </c>
      <c r="BT19" s="188">
        <v>0</v>
      </c>
      <c r="BU19" s="188">
        <v>0</v>
      </c>
      <c r="BV19" s="188">
        <v>0</v>
      </c>
      <c r="BW19" s="188">
        <v>0</v>
      </c>
      <c r="BX19" s="188"/>
      <c r="BY19" s="188"/>
      <c r="BZ19" s="188"/>
      <c r="CA19" s="188"/>
      <c r="CB19" s="188"/>
      <c r="CC19" s="188"/>
      <c r="CD19" s="188"/>
      <c r="CE19" s="188"/>
      <c r="CF19" s="188"/>
      <c r="CG19" s="188"/>
      <c r="CH19" s="188"/>
      <c r="CI19" s="188"/>
      <c r="CJ19" s="188"/>
      <c r="CK19" s="188"/>
      <c r="CL19" s="188"/>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188">
        <v>563739710</v>
      </c>
      <c r="C22" s="188">
        <v>620590547</v>
      </c>
      <c r="D22" s="188">
        <v>690294516.89999998</v>
      </c>
      <c r="E22" s="188">
        <v>798746524.89999998</v>
      </c>
      <c r="F22" s="188">
        <v>1221706039</v>
      </c>
      <c r="G22" s="188">
        <v>1829625354</v>
      </c>
      <c r="H22" s="188">
        <v>1698067207.28</v>
      </c>
      <c r="I22" s="188">
        <v>1176901568.28</v>
      </c>
      <c r="J22" s="188">
        <v>817627172</v>
      </c>
      <c r="K22" s="188">
        <v>1138138783.0999999</v>
      </c>
      <c r="L22" s="188">
        <v>6561484493.6400003</v>
      </c>
      <c r="M22" s="188">
        <v>4678118906.46</v>
      </c>
      <c r="N22" s="188">
        <v>8578935406.8199997</v>
      </c>
      <c r="O22" s="188">
        <v>8291402262.2299995</v>
      </c>
      <c r="P22" s="188">
        <v>3954874737.4899998</v>
      </c>
      <c r="Q22" s="188">
        <v>2808126680.46</v>
      </c>
      <c r="R22" s="188">
        <v>1847838617.8299999</v>
      </c>
      <c r="S22" s="188">
        <v>1158808485.0999999</v>
      </c>
      <c r="T22" s="188">
        <v>299692582.10000002</v>
      </c>
      <c r="U22" s="188">
        <v>287246643</v>
      </c>
      <c r="V22" s="188">
        <v>296084005</v>
      </c>
      <c r="W22" s="188">
        <v>196272614</v>
      </c>
      <c r="X22" s="188">
        <v>159151909</v>
      </c>
      <c r="Y22" s="188">
        <v>70770220.780000001</v>
      </c>
      <c r="Z22" s="188">
        <v>204079117.80000001</v>
      </c>
      <c r="AA22" s="188">
        <v>348529803.5</v>
      </c>
      <c r="AB22" s="188">
        <v>221512122.5</v>
      </c>
      <c r="AC22" s="188">
        <v>231498512.5</v>
      </c>
      <c r="AD22" s="188">
        <v>252101396.08000001</v>
      </c>
      <c r="AE22" s="188">
        <v>296850744.07999998</v>
      </c>
      <c r="AF22" s="188">
        <v>216485295.28</v>
      </c>
      <c r="AG22" s="188">
        <v>175868596.69999999</v>
      </c>
      <c r="AH22" s="188">
        <v>204811101.19999999</v>
      </c>
      <c r="AI22" s="188">
        <v>271163836.5</v>
      </c>
      <c r="AJ22" s="188">
        <v>179851211.30000001</v>
      </c>
      <c r="AK22" s="188">
        <v>302156251.19999999</v>
      </c>
      <c r="AL22" s="188">
        <v>380760283.19999999</v>
      </c>
      <c r="AM22" s="188">
        <v>275946452.80000001</v>
      </c>
      <c r="AN22" s="188">
        <v>157290474.40000001</v>
      </c>
      <c r="AO22" s="188">
        <v>176104343.59999999</v>
      </c>
      <c r="AP22" s="188">
        <v>170612609</v>
      </c>
      <c r="AQ22" s="188">
        <v>90608212.799999997</v>
      </c>
      <c r="AR22" s="188">
        <v>94821890.799999997</v>
      </c>
      <c r="AS22" s="188">
        <v>82127468.400000006</v>
      </c>
      <c r="AT22" s="188">
        <v>101046224</v>
      </c>
      <c r="AU22" s="188">
        <v>146604935.58000001</v>
      </c>
      <c r="AV22" s="188">
        <v>179337941.80000001</v>
      </c>
      <c r="AW22" s="188">
        <v>195159382.47</v>
      </c>
      <c r="AX22" s="188">
        <v>185653838.47</v>
      </c>
      <c r="AY22" s="188">
        <v>232808366.58000001</v>
      </c>
      <c r="AZ22" s="188">
        <v>113565011.8</v>
      </c>
      <c r="BA22" s="188">
        <v>72016701.799999997</v>
      </c>
      <c r="BB22" s="188">
        <v>159665200.08000001</v>
      </c>
      <c r="BC22" s="188">
        <v>142698346.08000001</v>
      </c>
      <c r="BD22" s="188">
        <v>99986019.079999998</v>
      </c>
      <c r="BE22" s="188">
        <v>129762839.45</v>
      </c>
      <c r="BF22" s="188">
        <v>115374909.92</v>
      </c>
      <c r="BG22" s="188">
        <v>128441126.8</v>
      </c>
      <c r="BH22" s="188">
        <v>62807660.799999997</v>
      </c>
      <c r="BI22" s="188">
        <v>54118710</v>
      </c>
      <c r="BJ22" s="188">
        <v>46540363.600000001</v>
      </c>
      <c r="BK22" s="188">
        <v>71795352.799999997</v>
      </c>
      <c r="BL22" s="188">
        <v>20242382</v>
      </c>
      <c r="BM22" s="188">
        <v>5500000</v>
      </c>
      <c r="BN22" s="188">
        <v>37016763.100000001</v>
      </c>
      <c r="BO22" s="188">
        <v>6167260</v>
      </c>
      <c r="BP22" s="188">
        <v>46470610</v>
      </c>
      <c r="BQ22" s="188">
        <v>16681000</v>
      </c>
      <c r="BR22" s="188">
        <v>11740000</v>
      </c>
      <c r="BS22" s="188">
        <v>31154620</v>
      </c>
      <c r="BT22" s="188">
        <v>2500000</v>
      </c>
      <c r="BU22" s="188">
        <v>13412198</v>
      </c>
      <c r="BV22" s="188">
        <v>0</v>
      </c>
      <c r="BW22" s="188">
        <v>0</v>
      </c>
      <c r="BX22" s="188"/>
      <c r="BY22" s="188"/>
      <c r="BZ22" s="188"/>
      <c r="CA22" s="188"/>
      <c r="CB22" s="188"/>
      <c r="CC22" s="188"/>
      <c r="CD22" s="188"/>
      <c r="CE22" s="188"/>
      <c r="CF22" s="188"/>
      <c r="CG22" s="188"/>
      <c r="CH22" s="188"/>
      <c r="CI22" s="188"/>
      <c r="CJ22" s="188"/>
      <c r="CK22" s="188"/>
      <c r="CL22" s="188"/>
    </row>
    <row r="23" spans="1:90">
      <c r="A23" s="17" t="s">
        <v>15</v>
      </c>
      <c r="B23" s="188">
        <v>0</v>
      </c>
      <c r="C23" s="188">
        <v>0</v>
      </c>
      <c r="D23" s="188">
        <v>0</v>
      </c>
      <c r="E23" s="188">
        <v>0</v>
      </c>
      <c r="F23" s="188">
        <v>0</v>
      </c>
      <c r="G23" s="188">
        <v>0</v>
      </c>
      <c r="H23" s="188">
        <v>0</v>
      </c>
      <c r="I23" s="188">
        <v>0</v>
      </c>
      <c r="J23" s="188">
        <v>0</v>
      </c>
      <c r="K23" s="188">
        <v>8502001.1999999993</v>
      </c>
      <c r="L23" s="188">
        <v>1044639.8</v>
      </c>
      <c r="M23" s="188">
        <v>230768.89</v>
      </c>
      <c r="N23" s="188">
        <v>230768.89</v>
      </c>
      <c r="O23" s="188">
        <v>3824472.83</v>
      </c>
      <c r="P23" s="188">
        <v>366443.99</v>
      </c>
      <c r="Q23" s="188">
        <v>491086.99</v>
      </c>
      <c r="R23" s="188">
        <v>4306161.24</v>
      </c>
      <c r="S23" s="188">
        <v>2220278.9900000002</v>
      </c>
      <c r="T23" s="188">
        <v>2220278.9900000002</v>
      </c>
      <c r="U23" s="188">
        <v>2676414.79</v>
      </c>
      <c r="V23" s="188">
        <v>927222.79</v>
      </c>
      <c r="W23" s="188">
        <v>927270.79</v>
      </c>
      <c r="X23" s="188">
        <v>927222.79</v>
      </c>
      <c r="Y23" s="188">
        <v>1344597.39</v>
      </c>
      <c r="Z23" s="188">
        <v>17818147.27</v>
      </c>
      <c r="AA23" s="188">
        <v>1853461.74</v>
      </c>
      <c r="AB23" s="188">
        <v>1985526.74</v>
      </c>
      <c r="AC23" s="188">
        <v>2056894.08</v>
      </c>
      <c r="AD23" s="188">
        <v>2225396.48</v>
      </c>
      <c r="AE23" s="188">
        <v>2119216.6800000002</v>
      </c>
      <c r="AF23" s="188">
        <v>2298535.27</v>
      </c>
      <c r="AG23" s="188">
        <v>997308.9</v>
      </c>
      <c r="AH23" s="188">
        <v>1254599.9099999999</v>
      </c>
      <c r="AI23" s="188">
        <v>28003199.84</v>
      </c>
      <c r="AJ23" s="188">
        <v>28759555.530000001</v>
      </c>
      <c r="AK23" s="188">
        <v>31070214.280000001</v>
      </c>
      <c r="AL23" s="188">
        <v>21386314.280000001</v>
      </c>
      <c r="AM23" s="188">
        <v>41565282.450000003</v>
      </c>
      <c r="AN23" s="188">
        <v>39875502.539999999</v>
      </c>
      <c r="AO23" s="188">
        <v>56118460.450000003</v>
      </c>
      <c r="AP23" s="188">
        <v>34825094.840000004</v>
      </c>
      <c r="AQ23" s="188">
        <v>47344076.619999997</v>
      </c>
      <c r="AR23" s="188">
        <v>47820451.060000002</v>
      </c>
      <c r="AS23" s="188">
        <v>77785411.650000006</v>
      </c>
      <c r="AT23" s="188">
        <v>46407153.340000004</v>
      </c>
      <c r="AU23" s="188">
        <v>68786878.849999994</v>
      </c>
      <c r="AV23" s="188">
        <v>65189432.07</v>
      </c>
      <c r="AW23" s="188">
        <v>103831215.66</v>
      </c>
      <c r="AX23" s="188">
        <v>67438863.700000003</v>
      </c>
      <c r="AY23" s="188">
        <v>78798820.950000003</v>
      </c>
      <c r="AZ23" s="188">
        <v>68909631.170000002</v>
      </c>
      <c r="BA23" s="188">
        <v>61221809.439999998</v>
      </c>
      <c r="BB23" s="188">
        <v>43685990.329999998</v>
      </c>
      <c r="BC23" s="188">
        <v>40672843.719999999</v>
      </c>
      <c r="BD23" s="188">
        <v>45101032.82</v>
      </c>
      <c r="BE23" s="188">
        <v>28773108.710000001</v>
      </c>
      <c r="BF23" s="188">
        <v>31277360.66</v>
      </c>
      <c r="BG23" s="188">
        <v>42938727.75</v>
      </c>
      <c r="BH23" s="188">
        <v>29019562.670000002</v>
      </c>
      <c r="BI23" s="188">
        <v>22935426.949999999</v>
      </c>
      <c r="BJ23" s="188">
        <v>27486075.27</v>
      </c>
      <c r="BK23" s="188">
        <v>30028932.350000001</v>
      </c>
      <c r="BL23" s="188">
        <v>32813851.629999999</v>
      </c>
      <c r="BM23" s="188">
        <v>59698287.530000001</v>
      </c>
      <c r="BN23" s="188">
        <v>42735776.909999996</v>
      </c>
      <c r="BO23" s="188">
        <v>69269778.560000002</v>
      </c>
      <c r="BP23" s="188">
        <v>41917386.700000003</v>
      </c>
      <c r="BQ23" s="188">
        <v>67909035.709999993</v>
      </c>
      <c r="BR23" s="188">
        <v>46700450.369999997</v>
      </c>
      <c r="BS23" s="188">
        <v>45485831.93</v>
      </c>
      <c r="BT23" s="188">
        <v>47884805.68</v>
      </c>
      <c r="BU23" s="188">
        <v>58760152.619999997</v>
      </c>
      <c r="BV23" s="188">
        <v>29350910</v>
      </c>
      <c r="BW23" s="188">
        <v>0</v>
      </c>
      <c r="BX23" s="188"/>
      <c r="BY23" s="188"/>
      <c r="BZ23" s="188"/>
      <c r="CA23" s="188"/>
      <c r="CB23" s="188"/>
      <c r="CC23" s="188"/>
      <c r="CD23" s="188"/>
      <c r="CE23" s="188"/>
      <c r="CF23" s="188"/>
      <c r="CG23" s="188"/>
      <c r="CH23" s="188"/>
      <c r="CI23" s="188"/>
      <c r="CJ23" s="188"/>
      <c r="CK23" s="188"/>
      <c r="CL23" s="188"/>
    </row>
    <row r="24" spans="1:90">
      <c r="A24" s="17" t="s">
        <v>16</v>
      </c>
      <c r="B24" s="188">
        <v>1182378508.0599999</v>
      </c>
      <c r="C24" s="188">
        <v>1121079958.8099999</v>
      </c>
      <c r="D24" s="188">
        <v>818855540.60000002</v>
      </c>
      <c r="E24" s="188">
        <v>756802769.07000005</v>
      </c>
      <c r="F24" s="188">
        <v>790807322.07000005</v>
      </c>
      <c r="G24" s="188">
        <v>801295419.16999996</v>
      </c>
      <c r="H24" s="188">
        <v>984578688.41999996</v>
      </c>
      <c r="I24" s="188">
        <v>861069103.00999999</v>
      </c>
      <c r="J24" s="188">
        <v>1046100696.92</v>
      </c>
      <c r="K24" s="188">
        <v>1323120682.97</v>
      </c>
      <c r="L24" s="188">
        <v>1281379954.6099999</v>
      </c>
      <c r="M24" s="188">
        <v>1523446788.5599999</v>
      </c>
      <c r="N24" s="188">
        <v>1477734859.9000001</v>
      </c>
      <c r="O24" s="188">
        <v>1888387087.9400001</v>
      </c>
      <c r="P24" s="188">
        <v>2556244726.21</v>
      </c>
      <c r="Q24" s="188">
        <v>3399221186.7399998</v>
      </c>
      <c r="R24" s="188">
        <v>2864210404.2800002</v>
      </c>
      <c r="S24" s="188">
        <v>4397548540.9899998</v>
      </c>
      <c r="T24" s="188">
        <v>3864638855.5</v>
      </c>
      <c r="U24" s="188">
        <v>3882463942.29</v>
      </c>
      <c r="V24" s="188">
        <v>4304579299.6800003</v>
      </c>
      <c r="W24" s="188">
        <v>6514401257.1300001</v>
      </c>
      <c r="X24" s="188">
        <v>5560921770.1099997</v>
      </c>
      <c r="Y24" s="188">
        <v>4682606669.5</v>
      </c>
      <c r="Z24" s="188">
        <v>3872870407.8899999</v>
      </c>
      <c r="AA24" s="188">
        <v>3967252707.7800002</v>
      </c>
      <c r="AB24" s="188">
        <v>3010108854.5900002</v>
      </c>
      <c r="AC24" s="188">
        <v>2326144239.71</v>
      </c>
      <c r="AD24" s="188">
        <v>1861027424.03</v>
      </c>
      <c r="AE24" s="188">
        <v>1911544400.1300001</v>
      </c>
      <c r="AF24" s="188">
        <v>1861395541.03</v>
      </c>
      <c r="AG24" s="188">
        <v>1609203876.23</v>
      </c>
      <c r="AH24" s="188">
        <v>1529868837.52</v>
      </c>
      <c r="AI24" s="188">
        <v>1696132652.8099999</v>
      </c>
      <c r="AJ24" s="188">
        <v>1491650205.1199999</v>
      </c>
      <c r="AK24" s="188">
        <v>1450038504.22</v>
      </c>
      <c r="AL24" s="188">
        <v>1203126087.1600001</v>
      </c>
      <c r="AM24" s="188">
        <v>1140280815.6900001</v>
      </c>
      <c r="AN24" s="188">
        <v>896708844.5</v>
      </c>
      <c r="AO24" s="188">
        <v>715183784.33000004</v>
      </c>
      <c r="AP24" s="188">
        <v>741638536.34000003</v>
      </c>
      <c r="AQ24" s="188">
        <v>29936840.23</v>
      </c>
      <c r="AR24" s="188">
        <v>6728563.8700000001</v>
      </c>
      <c r="AS24" s="188">
        <v>2194804.11</v>
      </c>
      <c r="AT24" s="188">
        <v>6825624.6200000001</v>
      </c>
      <c r="AU24" s="188">
        <v>4056810.58</v>
      </c>
      <c r="AV24" s="188">
        <v>629243.94999999995</v>
      </c>
      <c r="AW24" s="188">
        <v>5226084.2699999996</v>
      </c>
      <c r="AX24" s="188">
        <v>4242010.29</v>
      </c>
      <c r="AY24" s="188">
        <v>29101123.609999999</v>
      </c>
      <c r="AZ24" s="188">
        <v>15830509.640000001</v>
      </c>
      <c r="BA24" s="188">
        <v>5682241.0099999998</v>
      </c>
      <c r="BB24" s="188">
        <v>12385914.41</v>
      </c>
      <c r="BC24" s="188">
        <v>8885528.6099999994</v>
      </c>
      <c r="BD24" s="188">
        <v>10016746.35</v>
      </c>
      <c r="BE24" s="188">
        <v>7780206.7999999998</v>
      </c>
      <c r="BF24" s="188">
        <v>4744646.4000000004</v>
      </c>
      <c r="BG24" s="188">
        <v>7209175.5800000001</v>
      </c>
      <c r="BH24" s="188">
        <v>9198150.3399999999</v>
      </c>
      <c r="BI24" s="188">
        <v>11433268.529999999</v>
      </c>
      <c r="BJ24" s="188">
        <v>6176790.79</v>
      </c>
      <c r="BK24" s="188">
        <v>5424392.3799999999</v>
      </c>
      <c r="BL24" s="188">
        <v>3096295.69</v>
      </c>
      <c r="BM24" s="188">
        <v>31437389.690000001</v>
      </c>
      <c r="BN24" s="188">
        <v>6120132.5</v>
      </c>
      <c r="BO24" s="188">
        <v>4912526.1100000003</v>
      </c>
      <c r="BP24" s="188">
        <v>3978615.9</v>
      </c>
      <c r="BQ24" s="188">
        <v>6243525.0999999996</v>
      </c>
      <c r="BR24" s="188">
        <v>3011768.4</v>
      </c>
      <c r="BS24" s="188">
        <v>2365520.34</v>
      </c>
      <c r="BT24" s="188">
        <v>15247081.699999999</v>
      </c>
      <c r="BU24" s="188">
        <v>8745548.2400000002</v>
      </c>
      <c r="BV24" s="188">
        <v>10516948.130000001</v>
      </c>
      <c r="BW24" s="188">
        <v>0</v>
      </c>
      <c r="BX24" s="188"/>
      <c r="BY24" s="188"/>
      <c r="BZ24" s="188"/>
      <c r="CA24" s="188"/>
      <c r="CB24" s="188"/>
      <c r="CC24" s="188"/>
      <c r="CD24" s="188"/>
      <c r="CE24" s="188"/>
      <c r="CF24" s="188"/>
      <c r="CG24" s="188"/>
      <c r="CH24" s="188"/>
      <c r="CI24" s="188"/>
      <c r="CJ24" s="188"/>
      <c r="CK24" s="188"/>
      <c r="CL24" s="188"/>
    </row>
    <row r="25" spans="1:90">
      <c r="A25" s="17" t="s">
        <v>17</v>
      </c>
      <c r="B25" s="188">
        <v>393890493.12</v>
      </c>
      <c r="C25" s="188">
        <v>450243280.27999997</v>
      </c>
      <c r="D25" s="188">
        <v>68065410.060000002</v>
      </c>
      <c r="E25" s="188">
        <v>41794738.229999997</v>
      </c>
      <c r="F25" s="188">
        <v>31323463.350000001</v>
      </c>
      <c r="G25" s="188">
        <v>58475466.270000003</v>
      </c>
      <c r="H25" s="188">
        <v>48447614.909999996</v>
      </c>
      <c r="I25" s="188">
        <v>121467406.43000001</v>
      </c>
      <c r="J25" s="188">
        <v>77227565.370000005</v>
      </c>
      <c r="K25" s="188">
        <v>125415641.23</v>
      </c>
      <c r="L25" s="188">
        <v>56402587.5</v>
      </c>
      <c r="M25" s="188">
        <v>64872644.270000003</v>
      </c>
      <c r="N25" s="188">
        <v>48219018.75</v>
      </c>
      <c r="O25" s="188">
        <v>59819918.299999997</v>
      </c>
      <c r="P25" s="188">
        <v>71376458.319999993</v>
      </c>
      <c r="Q25" s="188">
        <v>88011586.519999996</v>
      </c>
      <c r="R25" s="188">
        <v>80888920.579999998</v>
      </c>
      <c r="S25" s="188">
        <v>145347841.69999999</v>
      </c>
      <c r="T25" s="188">
        <v>95846344.879999995</v>
      </c>
      <c r="U25" s="188">
        <v>141988112.84999999</v>
      </c>
      <c r="V25" s="188">
        <v>119574188.81999999</v>
      </c>
      <c r="W25" s="188">
        <v>140614152.96000001</v>
      </c>
      <c r="X25" s="188">
        <v>110283776.33</v>
      </c>
      <c r="Y25" s="188">
        <v>111065467.06</v>
      </c>
      <c r="Z25" s="188">
        <v>137968684.11000001</v>
      </c>
      <c r="AA25" s="188">
        <v>324914133.94</v>
      </c>
      <c r="AB25" s="188">
        <v>221192977.41999999</v>
      </c>
      <c r="AC25" s="188">
        <v>88895233</v>
      </c>
      <c r="AD25" s="188">
        <v>47287488.890000001</v>
      </c>
      <c r="AE25" s="188">
        <v>79529417.680000007</v>
      </c>
      <c r="AF25" s="188">
        <v>54398087.07</v>
      </c>
      <c r="AG25" s="188">
        <v>101048054.41</v>
      </c>
      <c r="AH25" s="188">
        <v>59101891.630000003</v>
      </c>
      <c r="AI25" s="188">
        <v>65611949.079999998</v>
      </c>
      <c r="AJ25" s="188">
        <v>69410894.239999995</v>
      </c>
      <c r="AK25" s="188">
        <v>91758741.030000001</v>
      </c>
      <c r="AL25" s="188">
        <v>96001483.150000006</v>
      </c>
      <c r="AM25" s="188">
        <v>84784967.439999998</v>
      </c>
      <c r="AN25" s="188">
        <v>69470701.019999996</v>
      </c>
      <c r="AO25" s="188">
        <v>61047011.649999999</v>
      </c>
      <c r="AP25" s="188">
        <v>82601388.170000002</v>
      </c>
      <c r="AQ25" s="188">
        <v>89917156.879999995</v>
      </c>
      <c r="AR25" s="188">
        <v>89092773.840000004</v>
      </c>
      <c r="AS25" s="188">
        <v>101816908.19</v>
      </c>
      <c r="AT25" s="188">
        <v>86114253.519999996</v>
      </c>
      <c r="AU25" s="188">
        <v>31805579.48</v>
      </c>
      <c r="AV25" s="188">
        <v>96256039.760000005</v>
      </c>
      <c r="AW25" s="188">
        <v>69985881.109999999</v>
      </c>
      <c r="AX25" s="188">
        <v>55431205.840000004</v>
      </c>
      <c r="AY25" s="188">
        <v>45825294.799999997</v>
      </c>
      <c r="AZ25" s="188">
        <v>59586527.93</v>
      </c>
      <c r="BA25" s="188">
        <v>66722558.240000002</v>
      </c>
      <c r="BB25" s="188">
        <v>51244124.020000003</v>
      </c>
      <c r="BC25" s="188">
        <v>71144267.859999999</v>
      </c>
      <c r="BD25" s="188">
        <v>55856617.920000002</v>
      </c>
      <c r="BE25" s="188">
        <v>51292931.18</v>
      </c>
      <c r="BF25" s="188">
        <v>29172976.859999999</v>
      </c>
      <c r="BG25" s="188">
        <v>48728659.770000003</v>
      </c>
      <c r="BH25" s="188">
        <v>47259374.100000001</v>
      </c>
      <c r="BI25" s="188">
        <v>49557977.350000001</v>
      </c>
      <c r="BJ25" s="188">
        <v>119865787.90000001</v>
      </c>
      <c r="BK25" s="188">
        <v>100482020.20999999</v>
      </c>
      <c r="BL25" s="188">
        <v>39505064.740000002</v>
      </c>
      <c r="BM25" s="188">
        <v>41010360.689999998</v>
      </c>
      <c r="BN25" s="188">
        <v>45195662.659999996</v>
      </c>
      <c r="BO25" s="188">
        <v>47097802.979999997</v>
      </c>
      <c r="BP25" s="188">
        <v>39558251.939999998</v>
      </c>
      <c r="BQ25" s="188">
        <v>28157899.100000001</v>
      </c>
      <c r="BR25" s="188">
        <v>33320706.809999999</v>
      </c>
      <c r="BS25" s="188">
        <v>12899599</v>
      </c>
      <c r="BT25" s="188">
        <v>9792294.1199999992</v>
      </c>
      <c r="BU25" s="188">
        <v>16920539.600000001</v>
      </c>
      <c r="BV25" s="188">
        <v>43237967.210000001</v>
      </c>
      <c r="BW25" s="188">
        <v>0</v>
      </c>
      <c r="BX25" s="188"/>
      <c r="BY25" s="188"/>
      <c r="BZ25" s="188"/>
      <c r="CA25" s="188"/>
      <c r="CB25" s="188"/>
      <c r="CC25" s="188"/>
      <c r="CD25" s="188"/>
      <c r="CE25" s="188"/>
      <c r="CF25" s="188"/>
      <c r="CG25" s="188"/>
      <c r="CH25" s="188"/>
      <c r="CI25" s="188"/>
      <c r="CJ25" s="188"/>
      <c r="CK25" s="188"/>
      <c r="CL25" s="188"/>
    </row>
    <row r="26" spans="1:90">
      <c r="A26" s="17" t="s">
        <v>18</v>
      </c>
      <c r="B26" s="188">
        <v>23506950842.220001</v>
      </c>
      <c r="C26" s="188">
        <v>21862256652.91</v>
      </c>
      <c r="D26" s="188">
        <v>22087351503.610001</v>
      </c>
      <c r="E26" s="188">
        <v>22026303941.34</v>
      </c>
      <c r="F26" s="188">
        <v>22057481376.459999</v>
      </c>
      <c r="G26" s="188">
        <v>20871002103.490002</v>
      </c>
      <c r="H26" s="188">
        <v>20850310407.040001</v>
      </c>
      <c r="I26" s="188">
        <v>20760473514.599998</v>
      </c>
      <c r="J26" s="188">
        <v>20622251825.549999</v>
      </c>
      <c r="K26" s="188">
        <v>18782523499.959999</v>
      </c>
      <c r="L26" s="188">
        <v>18444926424.66</v>
      </c>
      <c r="M26" s="188">
        <v>18537817778.200001</v>
      </c>
      <c r="N26" s="188">
        <v>18013297022.700001</v>
      </c>
      <c r="O26" s="188">
        <v>16381165059.870001</v>
      </c>
      <c r="P26" s="188">
        <v>16284072631.219999</v>
      </c>
      <c r="Q26" s="188">
        <v>15619209608.459999</v>
      </c>
      <c r="R26" s="188">
        <v>14982364367.85</v>
      </c>
      <c r="S26" s="188">
        <v>13454959038.030001</v>
      </c>
      <c r="T26" s="188">
        <v>13240654522.65</v>
      </c>
      <c r="U26" s="188">
        <v>12697658854.74</v>
      </c>
      <c r="V26" s="188">
        <v>11836810239.030001</v>
      </c>
      <c r="W26" s="188">
        <v>10686189842.1</v>
      </c>
      <c r="X26" s="188">
        <v>10339021451.719999</v>
      </c>
      <c r="Y26" s="188">
        <v>10085273971.49</v>
      </c>
      <c r="Z26" s="188">
        <v>9665727593.4200001</v>
      </c>
      <c r="AA26" s="188">
        <v>7887354887.0600004</v>
      </c>
      <c r="AB26" s="188">
        <v>7773834492.6700001</v>
      </c>
      <c r="AC26" s="188">
        <v>7578019306.96</v>
      </c>
      <c r="AD26" s="188">
        <v>7187117552.8599997</v>
      </c>
      <c r="AE26" s="188">
        <v>6232185752.04</v>
      </c>
      <c r="AF26" s="188">
        <v>5915613288.3299999</v>
      </c>
      <c r="AG26" s="188">
        <v>5831734652.0799999</v>
      </c>
      <c r="AH26" s="188">
        <v>5574126083.4200001</v>
      </c>
      <c r="AI26" s="188">
        <v>4791428914.6599998</v>
      </c>
      <c r="AJ26" s="188">
        <v>4495328930.5799999</v>
      </c>
      <c r="AK26" s="188">
        <v>4350958976.0299997</v>
      </c>
      <c r="AL26" s="188">
        <v>4192246440.3600001</v>
      </c>
      <c r="AM26" s="188">
        <v>3405325024.77</v>
      </c>
      <c r="AN26" s="188">
        <v>3256220582.6500001</v>
      </c>
      <c r="AO26" s="188">
        <v>3222966302.98</v>
      </c>
      <c r="AP26" s="188">
        <v>3114567813.3299999</v>
      </c>
      <c r="AQ26" s="188">
        <v>2588105778.73</v>
      </c>
      <c r="AR26" s="188">
        <v>2443474684.3400002</v>
      </c>
      <c r="AS26" s="188">
        <v>2388248473.75</v>
      </c>
      <c r="AT26" s="188">
        <v>2304818947.9200001</v>
      </c>
      <c r="AU26" s="188">
        <v>2100782615.3299999</v>
      </c>
      <c r="AV26" s="188">
        <v>2120021426.0999999</v>
      </c>
      <c r="AW26" s="188">
        <v>2008331715.46</v>
      </c>
      <c r="AX26" s="188">
        <v>1974710283.3499999</v>
      </c>
      <c r="AY26" s="188">
        <v>1883507683.55</v>
      </c>
      <c r="AZ26" s="188">
        <v>1855279898.3099999</v>
      </c>
      <c r="BA26" s="188">
        <v>1800160745.1700001</v>
      </c>
      <c r="BB26" s="188">
        <v>1860549625.24</v>
      </c>
      <c r="BC26" s="188">
        <v>1684279669.8499999</v>
      </c>
      <c r="BD26" s="188">
        <v>1668181460.46</v>
      </c>
      <c r="BE26" s="188">
        <v>1640412382.3499999</v>
      </c>
      <c r="BF26" s="188">
        <v>1693741195.1099999</v>
      </c>
      <c r="BG26" s="188">
        <v>1516497795.8499999</v>
      </c>
      <c r="BH26" s="188">
        <v>1318555940.24</v>
      </c>
      <c r="BI26" s="188">
        <v>1279320067.02</v>
      </c>
      <c r="BJ26" s="188">
        <v>1215006621.05</v>
      </c>
      <c r="BK26" s="188">
        <v>1215900105.02</v>
      </c>
      <c r="BL26" s="188">
        <v>1203247938.1400001</v>
      </c>
      <c r="BM26" s="188">
        <v>1045879054.34</v>
      </c>
      <c r="BN26" s="188">
        <v>1076612588.52</v>
      </c>
      <c r="BO26" s="188">
        <v>1021098759.08</v>
      </c>
      <c r="BP26" s="188">
        <v>1011422579.27</v>
      </c>
      <c r="BQ26" s="188">
        <v>819827003.17999995</v>
      </c>
      <c r="BR26" s="188">
        <v>786368826.80999994</v>
      </c>
      <c r="BS26" s="188">
        <v>575547814.27999997</v>
      </c>
      <c r="BT26" s="188">
        <v>512332818.61000001</v>
      </c>
      <c r="BU26" s="188">
        <v>423401102.17000002</v>
      </c>
      <c r="BV26" s="188">
        <v>316665851.52999997</v>
      </c>
      <c r="BW26" s="188">
        <v>0</v>
      </c>
      <c r="BX26" s="188"/>
      <c r="BY26" s="188"/>
      <c r="BZ26" s="188"/>
      <c r="CA26" s="188"/>
      <c r="CB26" s="188"/>
      <c r="CC26" s="188"/>
      <c r="CD26" s="188"/>
      <c r="CE26" s="188"/>
      <c r="CF26" s="188"/>
      <c r="CG26" s="188"/>
      <c r="CH26" s="188"/>
      <c r="CI26" s="188"/>
      <c r="CJ26" s="188"/>
      <c r="CK26" s="188"/>
      <c r="CL26" s="188"/>
    </row>
    <row r="27" spans="1:90">
      <c r="A27" s="17" t="s">
        <v>19</v>
      </c>
      <c r="B27" s="188">
        <v>140084334.11000001</v>
      </c>
      <c r="C27" s="188">
        <v>25871272.989999998</v>
      </c>
      <c r="D27" s="188">
        <v>32598221.52</v>
      </c>
      <c r="E27" s="188">
        <v>16247363.82</v>
      </c>
      <c r="F27" s="188">
        <v>37539231.490000002</v>
      </c>
      <c r="G27" s="188">
        <v>35530822.630000003</v>
      </c>
      <c r="H27" s="188">
        <v>24148290.789999999</v>
      </c>
      <c r="I27" s="188">
        <v>21954140.710000001</v>
      </c>
      <c r="J27" s="188">
        <v>231474570.63</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25315.56</v>
      </c>
      <c r="AR27" s="188">
        <v>25315.56</v>
      </c>
      <c r="AS27" s="188">
        <v>41315.56</v>
      </c>
      <c r="AT27" s="188">
        <v>0</v>
      </c>
      <c r="AU27" s="188">
        <v>7770.58</v>
      </c>
      <c r="AV27" s="188">
        <v>3604.78</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10897017</v>
      </c>
      <c r="BT27" s="188">
        <v>0</v>
      </c>
      <c r="BU27" s="188">
        <v>0</v>
      </c>
      <c r="BV27" s="188">
        <v>0</v>
      </c>
      <c r="BW27" s="188">
        <v>0</v>
      </c>
      <c r="BX27" s="188"/>
      <c r="BY27" s="188"/>
      <c r="BZ27" s="188"/>
      <c r="CA27" s="188"/>
      <c r="CB27" s="188"/>
      <c r="CC27" s="188"/>
      <c r="CD27" s="188"/>
      <c r="CE27" s="188"/>
      <c r="CF27" s="188"/>
      <c r="CG27" s="188"/>
      <c r="CH27" s="188"/>
      <c r="CI27" s="188"/>
      <c r="CJ27" s="188"/>
      <c r="CK27" s="188"/>
      <c r="CL27" s="188"/>
    </row>
    <row r="28" spans="1:90">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v>0</v>
      </c>
      <c r="BU28" s="188">
        <v>0</v>
      </c>
      <c r="BV28" s="188">
        <v>0</v>
      </c>
      <c r="BW28" s="188">
        <v>0</v>
      </c>
      <c r="BX28" s="188"/>
      <c r="BY28" s="188"/>
      <c r="BZ28" s="188"/>
      <c r="CA28" s="188"/>
      <c r="CB28" s="188"/>
      <c r="CC28" s="188"/>
      <c r="CD28" s="188"/>
      <c r="CE28" s="188"/>
      <c r="CF28" s="188"/>
      <c r="CG28" s="188"/>
      <c r="CH28" s="188"/>
      <c r="CI28" s="188"/>
      <c r="CJ28" s="188"/>
      <c r="CK28" s="188"/>
      <c r="CL28" s="188"/>
    </row>
    <row r="29" spans="1:90">
      <c r="A29" s="17" t="s">
        <v>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17000000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c r="BV29" s="188">
        <v>0</v>
      </c>
      <c r="BW29" s="188">
        <v>0</v>
      </c>
      <c r="BX29" s="188"/>
      <c r="BY29" s="188"/>
      <c r="BZ29" s="188"/>
      <c r="CA29" s="188"/>
      <c r="CB29" s="188"/>
      <c r="CC29" s="188"/>
      <c r="CD29" s="188"/>
      <c r="CE29" s="188"/>
      <c r="CF29" s="188"/>
      <c r="CG29" s="188"/>
      <c r="CH29" s="188"/>
      <c r="CI29" s="188"/>
      <c r="CJ29" s="188"/>
      <c r="CK29" s="188"/>
      <c r="CL29" s="188"/>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23" t="s">
        <v>20</v>
      </c>
      <c r="B33" s="35">
        <f>SUM(B22:B29)</f>
        <v>25787043887.510002</v>
      </c>
      <c r="C33" s="35">
        <f t="shared" ref="C33:BN33" si="2">SUM(C22:C29)</f>
        <v>24080041711.990002</v>
      </c>
      <c r="D33" s="35">
        <f t="shared" si="2"/>
        <v>23697165192.690002</v>
      </c>
      <c r="E33" s="35">
        <f t="shared" si="2"/>
        <v>23639895337.360001</v>
      </c>
      <c r="F33" s="35">
        <f t="shared" si="2"/>
        <v>24138857432.369999</v>
      </c>
      <c r="G33" s="35">
        <f t="shared" si="2"/>
        <v>23595929165.560001</v>
      </c>
      <c r="H33" s="35">
        <f t="shared" si="2"/>
        <v>23605552208.440002</v>
      </c>
      <c r="I33" s="35">
        <f t="shared" si="2"/>
        <v>22941865733.029999</v>
      </c>
      <c r="J33" s="35">
        <f t="shared" si="2"/>
        <v>22794681830.470001</v>
      </c>
      <c r="K33" s="35">
        <f t="shared" si="2"/>
        <v>21377700608.459999</v>
      </c>
      <c r="L33" s="35">
        <f t="shared" si="2"/>
        <v>26345238100.209999</v>
      </c>
      <c r="M33" s="35">
        <f t="shared" si="2"/>
        <v>24804486886.380001</v>
      </c>
      <c r="N33" s="35">
        <f t="shared" si="2"/>
        <v>28118417077.060001</v>
      </c>
      <c r="O33" s="35">
        <f t="shared" si="2"/>
        <v>26624598801.169998</v>
      </c>
      <c r="P33" s="35">
        <f t="shared" si="2"/>
        <v>22866934997.23</v>
      </c>
      <c r="Q33" s="35">
        <f t="shared" si="2"/>
        <v>21915060149.169998</v>
      </c>
      <c r="R33" s="35">
        <f t="shared" si="2"/>
        <v>19779608471.779999</v>
      </c>
      <c r="S33" s="35">
        <f t="shared" si="2"/>
        <v>19158884184.810001</v>
      </c>
      <c r="T33" s="35">
        <f t="shared" si="2"/>
        <v>17503052584.119999</v>
      </c>
      <c r="U33" s="35">
        <f t="shared" si="2"/>
        <v>17012033967.67</v>
      </c>
      <c r="V33" s="35">
        <f t="shared" si="2"/>
        <v>16557974955.32</v>
      </c>
      <c r="W33" s="35">
        <f t="shared" si="2"/>
        <v>17538405136.98</v>
      </c>
      <c r="X33" s="35">
        <f t="shared" si="2"/>
        <v>16170306129.949999</v>
      </c>
      <c r="Y33" s="35">
        <f t="shared" si="2"/>
        <v>14951060926.220001</v>
      </c>
      <c r="Z33" s="35">
        <f t="shared" si="2"/>
        <v>13898463950.49</v>
      </c>
      <c r="AA33" s="35">
        <f t="shared" si="2"/>
        <v>12529904994.02</v>
      </c>
      <c r="AB33" s="35">
        <f t="shared" si="2"/>
        <v>11228633973.92</v>
      </c>
      <c r="AC33" s="35">
        <f t="shared" si="2"/>
        <v>10226614186.25</v>
      </c>
      <c r="AD33" s="35">
        <f t="shared" si="2"/>
        <v>9349759258.3400002</v>
      </c>
      <c r="AE33" s="35">
        <f t="shared" si="2"/>
        <v>8522229530.6100006</v>
      </c>
      <c r="AF33" s="35">
        <f t="shared" si="2"/>
        <v>8050190746.9799995</v>
      </c>
      <c r="AG33" s="35">
        <f t="shared" si="2"/>
        <v>7718852488.3199997</v>
      </c>
      <c r="AH33" s="35">
        <f t="shared" si="2"/>
        <v>7369162513.6800003</v>
      </c>
      <c r="AI33" s="35">
        <f t="shared" si="2"/>
        <v>6852340552.8899994</v>
      </c>
      <c r="AJ33" s="35">
        <f t="shared" si="2"/>
        <v>6265000796.7699995</v>
      </c>
      <c r="AK33" s="35">
        <f t="shared" si="2"/>
        <v>6225982686.7600002</v>
      </c>
      <c r="AL33" s="35">
        <f t="shared" si="2"/>
        <v>5910520608.1500006</v>
      </c>
      <c r="AM33" s="35">
        <f t="shared" si="2"/>
        <v>4947902543.1499996</v>
      </c>
      <c r="AN33" s="35">
        <f t="shared" si="2"/>
        <v>4419566105.1100006</v>
      </c>
      <c r="AO33" s="35">
        <f t="shared" si="2"/>
        <v>4231419903.0100002</v>
      </c>
      <c r="AP33" s="35">
        <f t="shared" si="2"/>
        <v>4144245441.6799998</v>
      </c>
      <c r="AQ33" s="35">
        <f t="shared" si="2"/>
        <v>2845937380.8200002</v>
      </c>
      <c r="AR33" s="35">
        <f t="shared" si="2"/>
        <v>2681963679.4700003</v>
      </c>
      <c r="AS33" s="35">
        <f t="shared" si="2"/>
        <v>2652214381.6599998</v>
      </c>
      <c r="AT33" s="35">
        <f t="shared" si="2"/>
        <v>2545212203.4000001</v>
      </c>
      <c r="AU33" s="35">
        <f t="shared" si="2"/>
        <v>2352044590.3999996</v>
      </c>
      <c r="AV33" s="35">
        <f t="shared" si="2"/>
        <v>2461437688.46</v>
      </c>
      <c r="AW33" s="35">
        <f t="shared" si="2"/>
        <v>2382534278.9700003</v>
      </c>
      <c r="AX33" s="35">
        <f t="shared" si="2"/>
        <v>2287476201.6500001</v>
      </c>
      <c r="AY33" s="35">
        <f t="shared" si="2"/>
        <v>2270041289.4899998</v>
      </c>
      <c r="AZ33" s="35">
        <f t="shared" si="2"/>
        <v>2113171578.8499999</v>
      </c>
      <c r="BA33" s="35">
        <f t="shared" si="2"/>
        <v>2005804055.6600001</v>
      </c>
      <c r="BB33" s="35">
        <f t="shared" si="2"/>
        <v>2127530854.0799999</v>
      </c>
      <c r="BC33" s="35">
        <f t="shared" si="2"/>
        <v>1947680656.1199999</v>
      </c>
      <c r="BD33" s="35">
        <f t="shared" si="2"/>
        <v>1879141876.6300001</v>
      </c>
      <c r="BE33" s="35">
        <f t="shared" si="2"/>
        <v>1858021468.49</v>
      </c>
      <c r="BF33" s="35">
        <f t="shared" si="2"/>
        <v>1874311088.9499998</v>
      </c>
      <c r="BG33" s="35">
        <f t="shared" si="2"/>
        <v>1743815485.75</v>
      </c>
      <c r="BH33" s="35">
        <f t="shared" si="2"/>
        <v>1466840688.1500001</v>
      </c>
      <c r="BI33" s="35">
        <f t="shared" si="2"/>
        <v>1417365449.8499999</v>
      </c>
      <c r="BJ33" s="35">
        <f t="shared" si="2"/>
        <v>1415075638.6099999</v>
      </c>
      <c r="BK33" s="35">
        <f t="shared" si="2"/>
        <v>1423630802.76</v>
      </c>
      <c r="BL33" s="35">
        <f t="shared" si="2"/>
        <v>1298905532.2</v>
      </c>
      <c r="BM33" s="35">
        <f t="shared" si="2"/>
        <v>1183525092.25</v>
      </c>
      <c r="BN33" s="35">
        <f t="shared" si="2"/>
        <v>1207680923.6900001</v>
      </c>
      <c r="BO33" s="35">
        <f t="shared" ref="BO33:CK33" si="3">SUM(BO22:BO29)</f>
        <v>1148546126.73</v>
      </c>
      <c r="BP33" s="35">
        <f t="shared" si="3"/>
        <v>1143347443.8099999</v>
      </c>
      <c r="BQ33" s="35">
        <f t="shared" si="3"/>
        <v>938818463.08999991</v>
      </c>
      <c r="BR33" s="35">
        <f t="shared" si="3"/>
        <v>881141752.38999999</v>
      </c>
      <c r="BS33" s="35">
        <f t="shared" si="3"/>
        <v>678350402.54999995</v>
      </c>
      <c r="BT33" s="35">
        <f t="shared" si="3"/>
        <v>587757000.11000001</v>
      </c>
      <c r="BU33" s="35">
        <f t="shared" si="3"/>
        <v>521239540.63</v>
      </c>
      <c r="BV33" s="35">
        <f t="shared" si="3"/>
        <v>399771676.87</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22" t="s">
        <v>82</v>
      </c>
      <c r="B34" s="34"/>
      <c r="C34" s="34"/>
      <c r="D34" s="34"/>
      <c r="E34" s="34"/>
      <c r="F34" s="34"/>
      <c r="G34" s="34"/>
      <c r="H34" s="34"/>
      <c r="I34" s="34"/>
      <c r="J34" s="34"/>
      <c r="K34" s="34"/>
      <c r="L34" s="32"/>
      <c r="M34" s="14"/>
      <c r="N34" s="14"/>
    </row>
    <row r="35" spans="1:90">
      <c r="A35" s="17" t="s">
        <v>21</v>
      </c>
      <c r="B35" s="188">
        <v>0</v>
      </c>
      <c r="C35" s="188">
        <v>0</v>
      </c>
      <c r="D35" s="188">
        <v>0</v>
      </c>
      <c r="E35" s="188">
        <v>0</v>
      </c>
      <c r="F35" s="188">
        <v>0</v>
      </c>
      <c r="G35" s="188">
        <v>0</v>
      </c>
      <c r="H35" s="188">
        <v>0</v>
      </c>
      <c r="I35" s="188">
        <v>0</v>
      </c>
      <c r="J35" s="188">
        <v>0</v>
      </c>
      <c r="K35" s="188">
        <v>0</v>
      </c>
      <c r="L35" s="188">
        <v>0</v>
      </c>
      <c r="M35" s="188">
        <v>0</v>
      </c>
      <c r="N35" s="188">
        <v>0</v>
      </c>
      <c r="O35" s="188">
        <v>0</v>
      </c>
      <c r="P35" s="188">
        <v>0</v>
      </c>
      <c r="Q35" s="188">
        <v>0</v>
      </c>
      <c r="R35" s="188">
        <v>0</v>
      </c>
      <c r="S35" s="188">
        <v>0</v>
      </c>
      <c r="T35" s="188">
        <v>0</v>
      </c>
      <c r="U35" s="188">
        <v>0</v>
      </c>
      <c r="V35" s="188">
        <v>0</v>
      </c>
      <c r="W35" s="188">
        <v>0</v>
      </c>
      <c r="X35" s="188">
        <v>0</v>
      </c>
      <c r="Y35" s="188">
        <v>0</v>
      </c>
      <c r="Z35" s="188">
        <v>0</v>
      </c>
      <c r="AA35" s="188">
        <v>0</v>
      </c>
      <c r="AB35" s="188">
        <v>0</v>
      </c>
      <c r="AC35" s="188">
        <v>0</v>
      </c>
      <c r="AD35" s="188">
        <v>0</v>
      </c>
      <c r="AE35" s="188">
        <v>0</v>
      </c>
      <c r="AF35" s="188">
        <v>0</v>
      </c>
      <c r="AG35" s="188">
        <v>0</v>
      </c>
      <c r="AH35" s="188">
        <v>0</v>
      </c>
      <c r="AI35" s="188">
        <v>0</v>
      </c>
      <c r="AJ35" s="188">
        <v>0</v>
      </c>
      <c r="AK35" s="188">
        <v>0</v>
      </c>
      <c r="AL35" s="188">
        <v>0</v>
      </c>
      <c r="AM35" s="188">
        <v>0</v>
      </c>
      <c r="AN35" s="188">
        <v>0</v>
      </c>
      <c r="AO35" s="188">
        <v>0</v>
      </c>
      <c r="AP35" s="188">
        <v>0</v>
      </c>
      <c r="AQ35" s="188">
        <v>0</v>
      </c>
      <c r="AR35" s="188">
        <v>0</v>
      </c>
      <c r="AS35" s="188">
        <v>0</v>
      </c>
      <c r="AT35" s="188">
        <v>0</v>
      </c>
      <c r="AU35" s="188">
        <v>0</v>
      </c>
      <c r="AV35" s="188">
        <v>0</v>
      </c>
      <c r="AW35" s="188">
        <v>0</v>
      </c>
      <c r="AX35" s="188">
        <v>0</v>
      </c>
      <c r="AY35" s="188">
        <v>0</v>
      </c>
      <c r="AZ35" s="188">
        <v>0</v>
      </c>
      <c r="BA35" s="188">
        <v>0</v>
      </c>
      <c r="BB35" s="188">
        <v>0</v>
      </c>
      <c r="BC35" s="188">
        <v>0</v>
      </c>
      <c r="BD35" s="188">
        <v>0</v>
      </c>
      <c r="BE35" s="188">
        <v>0</v>
      </c>
      <c r="BF35" s="188">
        <v>0</v>
      </c>
      <c r="BG35" s="188">
        <v>0</v>
      </c>
      <c r="BH35" s="188">
        <v>0</v>
      </c>
      <c r="BI35" s="188">
        <v>0</v>
      </c>
      <c r="BJ35" s="188">
        <v>0</v>
      </c>
      <c r="BK35" s="188">
        <v>0</v>
      </c>
      <c r="BL35" s="188">
        <v>0</v>
      </c>
      <c r="BM35" s="188">
        <v>0</v>
      </c>
      <c r="BN35" s="188">
        <v>0</v>
      </c>
      <c r="BO35" s="188">
        <v>0</v>
      </c>
      <c r="BP35" s="188">
        <v>0</v>
      </c>
      <c r="BQ35" s="188">
        <v>0</v>
      </c>
      <c r="BR35" s="188">
        <v>0</v>
      </c>
      <c r="BS35" s="188">
        <v>0</v>
      </c>
      <c r="BT35" s="188">
        <v>0</v>
      </c>
      <c r="BU35" s="188">
        <v>0</v>
      </c>
      <c r="BV35" s="188">
        <v>0</v>
      </c>
      <c r="BW35" s="188">
        <v>0</v>
      </c>
      <c r="BX35" s="188"/>
      <c r="BY35" s="188"/>
      <c r="BZ35" s="188"/>
      <c r="CA35" s="188"/>
      <c r="CB35" s="188"/>
      <c r="CC35" s="188"/>
      <c r="CD35" s="188"/>
      <c r="CE35" s="188"/>
      <c r="CF35" s="188"/>
      <c r="CG35" s="188"/>
      <c r="CH35" s="188"/>
      <c r="CI35" s="188"/>
      <c r="CJ35" s="188"/>
      <c r="CK35" s="188"/>
      <c r="CL35" s="188"/>
    </row>
    <row r="36" spans="1:90">
      <c r="A36" s="17" t="s">
        <v>22</v>
      </c>
      <c r="B36" s="188">
        <v>0</v>
      </c>
      <c r="C36" s="188">
        <v>0</v>
      </c>
      <c r="D36" s="188">
        <v>1168934463.4000001</v>
      </c>
      <c r="E36" s="188">
        <v>1020239721.89</v>
      </c>
      <c r="F36" s="188">
        <v>992055910.47000003</v>
      </c>
      <c r="G36" s="188">
        <v>1087911405.1900001</v>
      </c>
      <c r="H36" s="188">
        <v>1064431609.1799999</v>
      </c>
      <c r="I36" s="188">
        <v>1061686903.5</v>
      </c>
      <c r="J36" s="188">
        <v>1040608203.1799999</v>
      </c>
      <c r="K36" s="188">
        <v>196762048.31999999</v>
      </c>
      <c r="L36" s="188">
        <v>287201701.54000002</v>
      </c>
      <c r="M36" s="188">
        <v>527287333.60000002</v>
      </c>
      <c r="N36" s="188">
        <v>880976072.09000003</v>
      </c>
      <c r="O36" s="188">
        <v>316757090.77999997</v>
      </c>
      <c r="P36" s="188">
        <v>563904100.65999997</v>
      </c>
      <c r="Q36" s="188">
        <v>280348676.61000001</v>
      </c>
      <c r="R36" s="188">
        <v>707534647.53999996</v>
      </c>
      <c r="S36" s="188">
        <v>254046624.27000001</v>
      </c>
      <c r="T36" s="188">
        <v>300447845.04000002</v>
      </c>
      <c r="U36" s="188">
        <v>179958598.31</v>
      </c>
      <c r="V36" s="188">
        <v>284748288.88999999</v>
      </c>
      <c r="W36" s="188">
        <v>295246227.42000002</v>
      </c>
      <c r="X36" s="188">
        <v>154945158.11000001</v>
      </c>
      <c r="Y36" s="188">
        <v>228373243.58000001</v>
      </c>
      <c r="Z36" s="188">
        <v>345280977.68000001</v>
      </c>
      <c r="AA36" s="188">
        <v>192020463.81999999</v>
      </c>
      <c r="AB36" s="188">
        <v>177403043.46000001</v>
      </c>
      <c r="AC36" s="188">
        <v>227653182.72</v>
      </c>
      <c r="AD36" s="188">
        <v>172343585.06</v>
      </c>
      <c r="AE36" s="188">
        <v>256736972.69</v>
      </c>
      <c r="AF36" s="188">
        <v>103561187.98</v>
      </c>
      <c r="AG36" s="188">
        <v>105625766.65000001</v>
      </c>
      <c r="AH36" s="188">
        <v>232013104.28</v>
      </c>
      <c r="AI36" s="188">
        <v>141223975.25</v>
      </c>
      <c r="AJ36" s="188">
        <v>86036869.109999999</v>
      </c>
      <c r="AK36" s="188">
        <v>68881978.819999993</v>
      </c>
      <c r="AL36" s="188">
        <v>139121352.44999999</v>
      </c>
      <c r="AM36" s="188">
        <v>88587110.959999993</v>
      </c>
      <c r="AN36" s="188">
        <v>59902501.899999999</v>
      </c>
      <c r="AO36" s="188">
        <v>56283240.369999997</v>
      </c>
      <c r="AP36" s="188">
        <v>121289073.56999999</v>
      </c>
      <c r="AQ36" s="188">
        <v>121894425.3</v>
      </c>
      <c r="AR36" s="188">
        <v>74163740.540000007</v>
      </c>
      <c r="AS36" s="188">
        <v>67839733.090000004</v>
      </c>
      <c r="AT36" s="188">
        <v>59681964.5</v>
      </c>
      <c r="AU36" s="188">
        <v>58157974.630000003</v>
      </c>
      <c r="AV36" s="188">
        <v>69880889.480000004</v>
      </c>
      <c r="AW36" s="188">
        <v>62111408.07</v>
      </c>
      <c r="AX36" s="188">
        <v>40813549.990000002</v>
      </c>
      <c r="AY36" s="188">
        <v>74371691.400000006</v>
      </c>
      <c r="AZ36" s="188">
        <v>21723602.780000001</v>
      </c>
      <c r="BA36" s="188">
        <v>44681505.439999998</v>
      </c>
      <c r="BB36" s="188">
        <v>30329177.02</v>
      </c>
      <c r="BC36" s="188">
        <v>21384556.039999999</v>
      </c>
      <c r="BD36" s="188">
        <v>1663140.34</v>
      </c>
      <c r="BE36" s="188">
        <v>37176128.240000002</v>
      </c>
      <c r="BF36" s="188">
        <v>35782831.799999997</v>
      </c>
      <c r="BG36" s="188">
        <v>29554677.23</v>
      </c>
      <c r="BH36" s="188">
        <v>25711328.100000001</v>
      </c>
      <c r="BI36" s="188">
        <v>18026442.379999999</v>
      </c>
      <c r="BJ36" s="188">
        <v>40004706.009999998</v>
      </c>
      <c r="BK36" s="188">
        <v>45095250.130000003</v>
      </c>
      <c r="BL36" s="188">
        <v>30349687.07</v>
      </c>
      <c r="BM36" s="188">
        <v>92997296.129999995</v>
      </c>
      <c r="BN36" s="188">
        <v>24208759.649999999</v>
      </c>
      <c r="BO36" s="188">
        <v>46612121.450000003</v>
      </c>
      <c r="BP36" s="188">
        <v>22218060.289999999</v>
      </c>
      <c r="BQ36" s="188">
        <v>23806561.09</v>
      </c>
      <c r="BR36" s="188">
        <v>10084988.039999999</v>
      </c>
      <c r="BS36" s="188">
        <v>31911863.66</v>
      </c>
      <c r="BT36" s="188">
        <v>29849878.670000002</v>
      </c>
      <c r="BU36" s="188">
        <v>30919891.949999999</v>
      </c>
      <c r="BV36" s="188">
        <v>25626956.390000001</v>
      </c>
      <c r="BW36" s="188">
        <v>0</v>
      </c>
      <c r="BX36" s="188"/>
      <c r="BY36" s="188"/>
      <c r="BZ36" s="188"/>
      <c r="CA36" s="188"/>
      <c r="CB36" s="188"/>
      <c r="CC36" s="188"/>
      <c r="CD36" s="188"/>
      <c r="CE36" s="188"/>
      <c r="CF36" s="188"/>
      <c r="CG36" s="188"/>
      <c r="CH36" s="188"/>
      <c r="CI36" s="188"/>
      <c r="CJ36" s="188"/>
      <c r="CK36" s="188"/>
      <c r="CL36" s="188"/>
    </row>
    <row r="37" spans="1:90">
      <c r="A37" s="17" t="s">
        <v>23</v>
      </c>
      <c r="B37" s="188">
        <v>13576516813.440001</v>
      </c>
      <c r="C37" s="188">
        <v>11167533769.620001</v>
      </c>
      <c r="D37" s="188">
        <v>9940315208.2800007</v>
      </c>
      <c r="E37" s="188">
        <v>13172068428.440001</v>
      </c>
      <c r="F37" s="188">
        <v>14429106902.379999</v>
      </c>
      <c r="G37" s="188">
        <v>17471599148.5</v>
      </c>
      <c r="H37" s="188">
        <v>17780462402.41</v>
      </c>
      <c r="I37" s="188">
        <v>18987716266.919998</v>
      </c>
      <c r="J37" s="188">
        <v>17541082237.009998</v>
      </c>
      <c r="K37" s="188">
        <v>17393113994.450001</v>
      </c>
      <c r="L37" s="188">
        <v>11481462347.1</v>
      </c>
      <c r="M37" s="188">
        <v>8544531234.9899998</v>
      </c>
      <c r="N37" s="188">
        <v>8261582073.04</v>
      </c>
      <c r="O37" s="188">
        <v>5605690314.3900003</v>
      </c>
      <c r="P37" s="188">
        <v>2336532250.0799999</v>
      </c>
      <c r="Q37" s="188">
        <v>2791357240.5900002</v>
      </c>
      <c r="R37" s="188">
        <v>1476233096.0899999</v>
      </c>
      <c r="S37" s="188">
        <v>863078519.53999996</v>
      </c>
      <c r="T37" s="188">
        <v>544093908.05999994</v>
      </c>
      <c r="U37" s="188">
        <v>1620934562.9400001</v>
      </c>
      <c r="V37" s="188">
        <v>3045113586.0999999</v>
      </c>
      <c r="W37" s="188">
        <v>1942323729.47</v>
      </c>
      <c r="X37" s="188">
        <v>834909649.15999997</v>
      </c>
      <c r="Y37" s="188">
        <v>2866551653.98</v>
      </c>
      <c r="Z37" s="188">
        <v>5091386269.5500002</v>
      </c>
      <c r="AA37" s="188">
        <v>3747235013.6199999</v>
      </c>
      <c r="AB37" s="188">
        <v>4045101878.2199998</v>
      </c>
      <c r="AC37" s="188">
        <v>5771602337.29</v>
      </c>
      <c r="AD37" s="188">
        <v>7026648776.8000002</v>
      </c>
      <c r="AE37" s="188">
        <v>6818054223.3400002</v>
      </c>
      <c r="AF37" s="188">
        <v>4934943749.8800001</v>
      </c>
      <c r="AG37" s="188">
        <v>6343640233.4899998</v>
      </c>
      <c r="AH37" s="188">
        <v>4738570750.1599998</v>
      </c>
      <c r="AI37" s="188">
        <v>3261960544.9899998</v>
      </c>
      <c r="AJ37" s="188">
        <v>1967772191.1500001</v>
      </c>
      <c r="AK37" s="188">
        <v>3061744018.5999999</v>
      </c>
      <c r="AL37" s="188">
        <v>3516423880.1999998</v>
      </c>
      <c r="AM37" s="188">
        <v>1291979488.28</v>
      </c>
      <c r="AN37" s="188">
        <v>656278377.95000005</v>
      </c>
      <c r="AO37" s="188">
        <v>1843123125.75</v>
      </c>
      <c r="AP37" s="188">
        <v>2936266375.0999999</v>
      </c>
      <c r="AQ37" s="188">
        <v>936307045.5</v>
      </c>
      <c r="AR37" s="188">
        <v>294309661.06</v>
      </c>
      <c r="AS37" s="188">
        <v>1299238882.0799999</v>
      </c>
      <c r="AT37" s="188">
        <v>1125288196.26</v>
      </c>
      <c r="AU37" s="188">
        <v>2225691510.1700001</v>
      </c>
      <c r="AV37" s="188">
        <v>2442383982.6399999</v>
      </c>
      <c r="AW37" s="188">
        <v>2288687475.4299998</v>
      </c>
      <c r="AX37" s="188">
        <v>2136139561.53</v>
      </c>
      <c r="AY37" s="188">
        <v>2376011815.6199999</v>
      </c>
      <c r="AZ37" s="188">
        <v>1930943022.1900001</v>
      </c>
      <c r="BA37" s="188">
        <v>1497531229.96</v>
      </c>
      <c r="BB37" s="188">
        <v>1543198286.97</v>
      </c>
      <c r="BC37" s="188">
        <v>1432522801.74</v>
      </c>
      <c r="BD37" s="188">
        <v>1142634233.98</v>
      </c>
      <c r="BE37" s="188">
        <v>975658209.26999998</v>
      </c>
      <c r="BF37" s="188">
        <v>1036893726.13</v>
      </c>
      <c r="BG37" s="188">
        <v>940904599.92999995</v>
      </c>
      <c r="BH37" s="188">
        <v>689015516.62</v>
      </c>
      <c r="BI37" s="188">
        <v>559029622.73000002</v>
      </c>
      <c r="BJ37" s="188">
        <v>745368392.5</v>
      </c>
      <c r="BK37" s="188">
        <v>740386373.70000005</v>
      </c>
      <c r="BL37" s="188">
        <v>405099682.74000001</v>
      </c>
      <c r="BM37" s="188">
        <v>163378923.87</v>
      </c>
      <c r="BN37" s="188">
        <v>452516762.87</v>
      </c>
      <c r="BO37" s="188">
        <v>319415404.31999999</v>
      </c>
      <c r="BP37" s="188">
        <v>230405955.47</v>
      </c>
      <c r="BQ37" s="188">
        <v>167693673.66999999</v>
      </c>
      <c r="BR37" s="188">
        <v>306147007.76999998</v>
      </c>
      <c r="BS37" s="188">
        <v>60338220.450000003</v>
      </c>
      <c r="BT37" s="188">
        <v>385340199.56</v>
      </c>
      <c r="BU37" s="188">
        <v>86012360.840000004</v>
      </c>
      <c r="BV37" s="188">
        <v>93845099.560000002</v>
      </c>
      <c r="BW37" s="188">
        <v>0</v>
      </c>
      <c r="BX37" s="188"/>
      <c r="BY37" s="188"/>
      <c r="BZ37" s="188"/>
      <c r="CA37" s="188"/>
      <c r="CB37" s="188"/>
      <c r="CC37" s="188"/>
      <c r="CD37" s="188"/>
      <c r="CE37" s="188"/>
      <c r="CF37" s="188"/>
      <c r="CG37" s="188"/>
      <c r="CH37" s="188"/>
      <c r="CI37" s="188"/>
      <c r="CJ37" s="188"/>
      <c r="CK37" s="188"/>
      <c r="CL37" s="188"/>
    </row>
    <row r="38" spans="1:90">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0</v>
      </c>
      <c r="BJ38" s="188">
        <v>0</v>
      </c>
      <c r="BK38" s="188">
        <v>0</v>
      </c>
      <c r="BL38" s="188">
        <v>0</v>
      </c>
      <c r="BM38" s="188">
        <v>0</v>
      </c>
      <c r="BN38" s="188">
        <v>0</v>
      </c>
      <c r="BO38" s="188">
        <v>0</v>
      </c>
      <c r="BP38" s="188">
        <v>0</v>
      </c>
      <c r="BQ38" s="188">
        <v>0</v>
      </c>
      <c r="BR38" s="188">
        <v>0</v>
      </c>
      <c r="BS38" s="188">
        <v>0</v>
      </c>
      <c r="BT38" s="188">
        <v>0</v>
      </c>
      <c r="BU38" s="188">
        <v>0</v>
      </c>
      <c r="BV38" s="188">
        <v>0</v>
      </c>
      <c r="BW38" s="188">
        <v>0</v>
      </c>
      <c r="BX38" s="188"/>
      <c r="BY38" s="188"/>
      <c r="BZ38" s="188"/>
      <c r="CA38" s="188"/>
      <c r="CB38" s="188"/>
      <c r="CC38" s="188"/>
      <c r="CD38" s="188"/>
      <c r="CE38" s="188"/>
      <c r="CF38" s="188"/>
      <c r="CG38" s="188"/>
      <c r="CH38" s="188"/>
      <c r="CI38" s="188"/>
      <c r="CJ38" s="188"/>
      <c r="CK38" s="188"/>
      <c r="CL38" s="188"/>
    </row>
    <row r="39" spans="1:90">
      <c r="A39" s="17" t="s">
        <v>25</v>
      </c>
      <c r="B39" s="188">
        <v>2034514658.9100001</v>
      </c>
      <c r="C39" s="188">
        <v>548714026.45000005</v>
      </c>
      <c r="D39" s="188">
        <v>505809848.75999999</v>
      </c>
      <c r="E39" s="188">
        <v>335223076.5</v>
      </c>
      <c r="F39" s="188">
        <v>1901644193.6400001</v>
      </c>
      <c r="G39" s="188">
        <v>438813137.86000001</v>
      </c>
      <c r="H39" s="188">
        <v>412607384.94</v>
      </c>
      <c r="I39" s="188">
        <v>428985472.00999999</v>
      </c>
      <c r="J39" s="188">
        <v>1628507252.03</v>
      </c>
      <c r="K39" s="188">
        <v>425171258.81999999</v>
      </c>
      <c r="L39" s="188">
        <v>426673790.70999998</v>
      </c>
      <c r="M39" s="188">
        <v>468031934.29000002</v>
      </c>
      <c r="N39" s="188">
        <v>975477747.05999994</v>
      </c>
      <c r="O39" s="188">
        <v>330010898.12</v>
      </c>
      <c r="P39" s="188">
        <v>272740804.58999997</v>
      </c>
      <c r="Q39" s="188">
        <v>314852542.08999997</v>
      </c>
      <c r="R39" s="188">
        <v>988643842.55999994</v>
      </c>
      <c r="S39" s="188">
        <v>229074380.43000001</v>
      </c>
      <c r="T39" s="188">
        <v>206743735.74000001</v>
      </c>
      <c r="U39" s="188">
        <v>246301793.31999999</v>
      </c>
      <c r="V39" s="188">
        <v>260284491.74000001</v>
      </c>
      <c r="W39" s="188">
        <v>234790816.41</v>
      </c>
      <c r="X39" s="188">
        <v>237704671.96000001</v>
      </c>
      <c r="Y39" s="188">
        <v>243914542.02000001</v>
      </c>
      <c r="Z39" s="188">
        <v>269657755.57999998</v>
      </c>
      <c r="AA39" s="188">
        <v>230251781.13</v>
      </c>
      <c r="AB39" s="188">
        <v>209540857.96000001</v>
      </c>
      <c r="AC39" s="188">
        <v>239894196.91999999</v>
      </c>
      <c r="AD39" s="188">
        <v>577522908.05999994</v>
      </c>
      <c r="AE39" s="188">
        <v>224194887.56999999</v>
      </c>
      <c r="AF39" s="188">
        <v>236869502</v>
      </c>
      <c r="AG39" s="188">
        <v>315369564.19</v>
      </c>
      <c r="AH39" s="188">
        <v>500258690.69</v>
      </c>
      <c r="AI39" s="188">
        <v>228822513.61000001</v>
      </c>
      <c r="AJ39" s="188">
        <v>219342568.91999999</v>
      </c>
      <c r="AK39" s="188">
        <v>221876918.46000001</v>
      </c>
      <c r="AL39" s="188">
        <v>463948636.85000002</v>
      </c>
      <c r="AM39" s="188">
        <v>85504323.519999996</v>
      </c>
      <c r="AN39" s="188">
        <v>81161284.650000006</v>
      </c>
      <c r="AO39" s="188">
        <v>94590770.930000007</v>
      </c>
      <c r="AP39" s="188">
        <v>361007478.76999998</v>
      </c>
      <c r="AQ39" s="188">
        <v>27515257.91</v>
      </c>
      <c r="AR39" s="188">
        <v>25823194.859999999</v>
      </c>
      <c r="AS39" s="188">
        <v>595973.82999999996</v>
      </c>
      <c r="AT39" s="188">
        <v>54596365.240000002</v>
      </c>
      <c r="AU39" s="188">
        <v>59665279.289999999</v>
      </c>
      <c r="AV39" s="188">
        <v>55185885.549999997</v>
      </c>
      <c r="AW39" s="188">
        <v>32087669.52</v>
      </c>
      <c r="AX39" s="188">
        <v>97946613.019999996</v>
      </c>
      <c r="AY39" s="188">
        <v>61323495.32</v>
      </c>
      <c r="AZ39" s="188">
        <v>55493188.909999996</v>
      </c>
      <c r="BA39" s="188">
        <v>51631572.920000002</v>
      </c>
      <c r="BB39" s="188">
        <v>94549201.409999996</v>
      </c>
      <c r="BC39" s="188">
        <v>41176966.369999997</v>
      </c>
      <c r="BD39" s="188">
        <v>41989017.979999997</v>
      </c>
      <c r="BE39" s="188">
        <v>38014868.420000002</v>
      </c>
      <c r="BF39" s="188">
        <v>62895093.140000001</v>
      </c>
      <c r="BG39" s="188">
        <v>33756781.299999997</v>
      </c>
      <c r="BH39" s="188">
        <v>32351576.68</v>
      </c>
      <c r="BI39" s="188">
        <v>56944253.479999997</v>
      </c>
      <c r="BJ39" s="188">
        <v>55513753.5</v>
      </c>
      <c r="BK39" s="188">
        <v>49277141.649999999</v>
      </c>
      <c r="BL39" s="188">
        <v>47550824.859999999</v>
      </c>
      <c r="BM39" s="188">
        <v>45728489.82</v>
      </c>
      <c r="BN39" s="188">
        <v>61785500.240000002</v>
      </c>
      <c r="BO39" s="188">
        <v>26779980.550000001</v>
      </c>
      <c r="BP39" s="188">
        <v>10786313.76</v>
      </c>
      <c r="BQ39" s="188">
        <v>19273924.690000001</v>
      </c>
      <c r="BR39" s="188">
        <v>19823059.32</v>
      </c>
      <c r="BS39" s="188">
        <v>0</v>
      </c>
      <c r="BT39" s="188">
        <v>6706990.0999999996</v>
      </c>
      <c r="BU39" s="188">
        <v>890294.04</v>
      </c>
      <c r="BV39" s="188">
        <v>0</v>
      </c>
      <c r="BW39" s="188">
        <v>0</v>
      </c>
      <c r="BX39" s="188"/>
      <c r="BY39" s="188"/>
      <c r="BZ39" s="188"/>
      <c r="CA39" s="188"/>
      <c r="CB39" s="188"/>
      <c r="CC39" s="188"/>
      <c r="CD39" s="188"/>
      <c r="CE39" s="188"/>
      <c r="CF39" s="188"/>
      <c r="CG39" s="188"/>
      <c r="CH39" s="188"/>
      <c r="CI39" s="188"/>
      <c r="CJ39" s="188"/>
      <c r="CK39" s="188"/>
      <c r="CL39" s="188"/>
    </row>
    <row r="40" spans="1:90">
      <c r="A40" s="17" t="s">
        <v>26</v>
      </c>
      <c r="B40" s="188">
        <v>10771075966.85</v>
      </c>
      <c r="C40" s="188">
        <v>5025353546.0500002</v>
      </c>
      <c r="D40" s="188">
        <v>1712995353.28</v>
      </c>
      <c r="E40" s="188">
        <v>2384919698.71</v>
      </c>
      <c r="F40" s="188">
        <v>7726135741.8999996</v>
      </c>
      <c r="G40" s="188">
        <v>5369883309.7799997</v>
      </c>
      <c r="H40" s="188">
        <v>1942909140.98</v>
      </c>
      <c r="I40" s="188">
        <v>2972481741.98</v>
      </c>
      <c r="J40" s="188">
        <v>4272289194.5700002</v>
      </c>
      <c r="K40" s="188">
        <v>1940334705.9000001</v>
      </c>
      <c r="L40" s="188">
        <v>1839062337.4400001</v>
      </c>
      <c r="M40" s="188">
        <v>1872491613.95</v>
      </c>
      <c r="N40" s="188">
        <v>2515516156.8299999</v>
      </c>
      <c r="O40" s="188">
        <v>1747481864.04</v>
      </c>
      <c r="P40" s="188">
        <v>1160203414.3900001</v>
      </c>
      <c r="Q40" s="188">
        <v>1394870953.3499999</v>
      </c>
      <c r="R40" s="188">
        <v>2105178165.8699999</v>
      </c>
      <c r="S40" s="188">
        <v>1739406024.6199999</v>
      </c>
      <c r="T40" s="188">
        <v>2044133978.8</v>
      </c>
      <c r="U40" s="188">
        <v>2154365485.9000001</v>
      </c>
      <c r="V40" s="188">
        <v>3311880890.4899998</v>
      </c>
      <c r="W40" s="188">
        <v>2412250959.0700002</v>
      </c>
      <c r="X40" s="188">
        <v>1605568712.3900001</v>
      </c>
      <c r="Y40" s="188">
        <v>1777802419.79</v>
      </c>
      <c r="Z40" s="188">
        <v>2430093461.3800001</v>
      </c>
      <c r="AA40" s="188">
        <v>1343260348.4100001</v>
      </c>
      <c r="AB40" s="188">
        <v>1533917683.5599999</v>
      </c>
      <c r="AC40" s="188">
        <v>759279831.04999995</v>
      </c>
      <c r="AD40" s="188">
        <v>788080887.25</v>
      </c>
      <c r="AE40" s="188">
        <v>1426862877.28</v>
      </c>
      <c r="AF40" s="188">
        <v>996570725.11000001</v>
      </c>
      <c r="AG40" s="188">
        <v>707250314.51999998</v>
      </c>
      <c r="AH40" s="188">
        <v>419882954.10000002</v>
      </c>
      <c r="AI40" s="188">
        <v>480477504.12</v>
      </c>
      <c r="AJ40" s="188">
        <v>333972453.07999998</v>
      </c>
      <c r="AK40" s="188">
        <v>351232906.33999997</v>
      </c>
      <c r="AL40" s="188">
        <v>140524984.34</v>
      </c>
      <c r="AM40" s="188">
        <v>361096981.97000003</v>
      </c>
      <c r="AN40" s="188">
        <v>317344605.56999999</v>
      </c>
      <c r="AO40" s="188">
        <v>256948214.31999999</v>
      </c>
      <c r="AP40" s="188">
        <v>256300257.22999999</v>
      </c>
      <c r="AQ40" s="188">
        <v>338517455.50999999</v>
      </c>
      <c r="AR40" s="188">
        <v>274146541.99000001</v>
      </c>
      <c r="AS40" s="188">
        <v>223988069.66999999</v>
      </c>
      <c r="AT40" s="188">
        <v>407747376.14999998</v>
      </c>
      <c r="AU40" s="188">
        <v>444610409.02999997</v>
      </c>
      <c r="AV40" s="188">
        <v>302508705.35000002</v>
      </c>
      <c r="AW40" s="188">
        <v>580497443.63999999</v>
      </c>
      <c r="AX40" s="188">
        <v>799888744.17999995</v>
      </c>
      <c r="AY40" s="188">
        <v>579933248.23000002</v>
      </c>
      <c r="AZ40" s="188">
        <v>518046187.67000002</v>
      </c>
      <c r="BA40" s="188">
        <v>650983556.03999996</v>
      </c>
      <c r="BB40" s="188">
        <v>910874634.37</v>
      </c>
      <c r="BC40" s="188">
        <v>571081576.00999999</v>
      </c>
      <c r="BD40" s="188">
        <v>488276213.82999998</v>
      </c>
      <c r="BE40" s="188">
        <v>572520719.29999995</v>
      </c>
      <c r="BF40" s="188">
        <v>592839376.00999999</v>
      </c>
      <c r="BG40" s="188">
        <v>267592270.5</v>
      </c>
      <c r="BH40" s="188">
        <v>201851940.25</v>
      </c>
      <c r="BI40" s="188">
        <v>207579844.30000001</v>
      </c>
      <c r="BJ40" s="188">
        <v>415165509.57999998</v>
      </c>
      <c r="BK40" s="188">
        <v>148931189.75999999</v>
      </c>
      <c r="BL40" s="188">
        <v>107864087.18000001</v>
      </c>
      <c r="BM40" s="188">
        <v>280379277.95999998</v>
      </c>
      <c r="BN40" s="188">
        <v>320854102.24000001</v>
      </c>
      <c r="BO40" s="188">
        <v>185026778.38</v>
      </c>
      <c r="BP40" s="188">
        <v>105457534.38</v>
      </c>
      <c r="BQ40" s="188">
        <v>201581710.71000001</v>
      </c>
      <c r="BR40" s="188">
        <v>237655974.44</v>
      </c>
      <c r="BS40" s="188">
        <v>218621799.30000001</v>
      </c>
      <c r="BT40" s="188">
        <v>163768961.56</v>
      </c>
      <c r="BU40" s="188">
        <v>279994490.42000002</v>
      </c>
      <c r="BV40" s="188">
        <v>157969304.36000001</v>
      </c>
      <c r="BW40" s="188">
        <v>0</v>
      </c>
      <c r="BX40" s="188"/>
      <c r="BY40" s="188"/>
      <c r="BZ40" s="188"/>
      <c r="CA40" s="188"/>
      <c r="CB40" s="188"/>
      <c r="CC40" s="188"/>
      <c r="CD40" s="188"/>
      <c r="CE40" s="188"/>
      <c r="CF40" s="188"/>
      <c r="CG40" s="188"/>
      <c r="CH40" s="188"/>
      <c r="CI40" s="188"/>
      <c r="CJ40" s="188"/>
      <c r="CK40" s="188"/>
      <c r="CL40" s="188"/>
    </row>
    <row r="41" spans="1:90">
      <c r="A41" s="17" t="s">
        <v>27</v>
      </c>
      <c r="B41" s="188">
        <v>3404771072.3299999</v>
      </c>
      <c r="C41" s="188">
        <v>4618218558.0200005</v>
      </c>
      <c r="D41" s="188">
        <v>4459746711.6800003</v>
      </c>
      <c r="E41" s="188">
        <v>3660293060.71</v>
      </c>
      <c r="F41" s="188">
        <v>3039948303.8000002</v>
      </c>
      <c r="G41" s="188">
        <v>3092024975.4400001</v>
      </c>
      <c r="H41" s="188">
        <v>2745801694.9200001</v>
      </c>
      <c r="I41" s="188">
        <v>2473356946.23</v>
      </c>
      <c r="J41" s="188">
        <v>1724638571.4400001</v>
      </c>
      <c r="K41" s="188">
        <v>1388858403.96</v>
      </c>
      <c r="L41" s="188">
        <v>1439340879.6400001</v>
      </c>
      <c r="M41" s="188">
        <v>1322204243.4400001</v>
      </c>
      <c r="N41" s="188">
        <v>1423139205.9300001</v>
      </c>
      <c r="O41" s="188">
        <v>1240211431.3299999</v>
      </c>
      <c r="P41" s="188">
        <v>1242727741.6400001</v>
      </c>
      <c r="Q41" s="188">
        <v>1181440647.8800001</v>
      </c>
      <c r="R41" s="188">
        <v>1231886240.3499999</v>
      </c>
      <c r="S41" s="188">
        <v>1121122683.4000001</v>
      </c>
      <c r="T41" s="188">
        <v>1297059321.48</v>
      </c>
      <c r="U41" s="188">
        <v>1297181405.1400001</v>
      </c>
      <c r="V41" s="188">
        <v>1604688158.1400001</v>
      </c>
      <c r="W41" s="188">
        <v>1325343399.9000001</v>
      </c>
      <c r="X41" s="188">
        <v>1339057191.5599999</v>
      </c>
      <c r="Y41" s="188">
        <v>1542658486.48</v>
      </c>
      <c r="Z41" s="188">
        <v>1389984092.02</v>
      </c>
      <c r="AA41" s="188">
        <v>1117084930.97</v>
      </c>
      <c r="AB41" s="188">
        <v>1089178004.96</v>
      </c>
      <c r="AC41" s="188">
        <v>858514785.59000003</v>
      </c>
      <c r="AD41" s="188">
        <v>916123206.95000005</v>
      </c>
      <c r="AE41" s="188">
        <v>839515287.22000003</v>
      </c>
      <c r="AF41" s="188">
        <v>814640531.35000002</v>
      </c>
      <c r="AG41" s="188">
        <v>820549084.16999996</v>
      </c>
      <c r="AH41" s="188">
        <v>818880550.54999995</v>
      </c>
      <c r="AI41" s="188">
        <v>745527353.89999998</v>
      </c>
      <c r="AJ41" s="188">
        <v>792826638.99000001</v>
      </c>
      <c r="AK41" s="188">
        <v>720415463.54999995</v>
      </c>
      <c r="AL41" s="188">
        <v>710831237.04999995</v>
      </c>
      <c r="AM41" s="188">
        <v>685092693.53999996</v>
      </c>
      <c r="AN41" s="188">
        <v>623444447.46000004</v>
      </c>
      <c r="AO41" s="188">
        <v>584099269.07000005</v>
      </c>
      <c r="AP41" s="188">
        <v>575906355.73000002</v>
      </c>
      <c r="AQ41" s="188">
        <v>642824025.63</v>
      </c>
      <c r="AR41" s="188">
        <v>634832659.15999997</v>
      </c>
      <c r="AS41" s="188">
        <v>637466044.74000001</v>
      </c>
      <c r="AT41" s="188">
        <v>423495209.81999999</v>
      </c>
      <c r="AU41" s="188">
        <v>411364074.5</v>
      </c>
      <c r="AV41" s="188">
        <v>414688558.23000002</v>
      </c>
      <c r="AW41" s="188">
        <v>308664076.18000001</v>
      </c>
      <c r="AX41" s="188">
        <v>310137150.24000001</v>
      </c>
      <c r="AY41" s="188">
        <v>240631371.05000001</v>
      </c>
      <c r="AZ41" s="188">
        <v>208860858.97</v>
      </c>
      <c r="BA41" s="188">
        <v>178052630.78</v>
      </c>
      <c r="BB41" s="188">
        <v>269348761.11000001</v>
      </c>
      <c r="BC41" s="188">
        <v>188286286.91999999</v>
      </c>
      <c r="BD41" s="188">
        <v>320008573.99000001</v>
      </c>
      <c r="BE41" s="188">
        <v>275403561.31999999</v>
      </c>
      <c r="BF41" s="188">
        <v>396044896.51999998</v>
      </c>
      <c r="BG41" s="188">
        <v>325601208.31999999</v>
      </c>
      <c r="BH41" s="188">
        <v>199590239.62</v>
      </c>
      <c r="BI41" s="188">
        <v>200822198.28</v>
      </c>
      <c r="BJ41" s="188">
        <v>213109026.88999999</v>
      </c>
      <c r="BK41" s="188">
        <v>173188379.44999999</v>
      </c>
      <c r="BL41" s="188">
        <v>139850240.44999999</v>
      </c>
      <c r="BM41" s="188">
        <v>135595654.83000001</v>
      </c>
      <c r="BN41" s="188">
        <v>127453900</v>
      </c>
      <c r="BO41" s="188">
        <v>101540468.89</v>
      </c>
      <c r="BP41" s="188">
        <v>81084064.260000005</v>
      </c>
      <c r="BQ41" s="188">
        <v>88203915.760000005</v>
      </c>
      <c r="BR41" s="188">
        <v>176692131.93000001</v>
      </c>
      <c r="BS41" s="188">
        <v>61064695.939999998</v>
      </c>
      <c r="BT41" s="188">
        <v>105580857.90000001</v>
      </c>
      <c r="BU41" s="188">
        <v>59024931.399999999</v>
      </c>
      <c r="BV41" s="188">
        <v>18613175.010000002</v>
      </c>
      <c r="BW41" s="188">
        <v>0</v>
      </c>
      <c r="BX41" s="188"/>
      <c r="BY41" s="188"/>
      <c r="BZ41" s="188"/>
      <c r="CA41" s="188"/>
      <c r="CB41" s="188"/>
      <c r="CC41" s="188"/>
      <c r="CD41" s="188"/>
      <c r="CE41" s="188"/>
      <c r="CF41" s="188"/>
      <c r="CG41" s="188"/>
      <c r="CH41" s="188"/>
      <c r="CI41" s="188"/>
      <c r="CJ41" s="188"/>
      <c r="CK41" s="188"/>
      <c r="CL41" s="188"/>
    </row>
    <row r="42" spans="1:90" s="39" customFormat="1">
      <c r="A42" s="124" t="s">
        <v>28</v>
      </c>
      <c r="B42" s="188">
        <v>0</v>
      </c>
      <c r="C42" s="188">
        <v>0</v>
      </c>
      <c r="D42" s="188">
        <v>0</v>
      </c>
      <c r="E42" s="188">
        <v>0</v>
      </c>
      <c r="F42" s="188">
        <v>0</v>
      </c>
      <c r="G42" s="188">
        <v>0</v>
      </c>
      <c r="H42" s="188">
        <v>0</v>
      </c>
      <c r="I42" s="188">
        <v>0</v>
      </c>
      <c r="J42" s="188">
        <v>0</v>
      </c>
      <c r="K42" s="188">
        <v>0</v>
      </c>
      <c r="L42" s="188">
        <v>0</v>
      </c>
      <c r="M42" s="188">
        <v>0</v>
      </c>
      <c r="N42" s="188">
        <v>0</v>
      </c>
      <c r="O42" s="188">
        <v>0</v>
      </c>
      <c r="P42" s="188">
        <v>0</v>
      </c>
      <c r="Q42" s="188">
        <v>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v>0</v>
      </c>
      <c r="BI42" s="188">
        <v>0</v>
      </c>
      <c r="BJ42" s="188">
        <v>0</v>
      </c>
      <c r="BK42" s="188">
        <v>0</v>
      </c>
      <c r="BL42" s="188">
        <v>0</v>
      </c>
      <c r="BM42" s="188">
        <v>0</v>
      </c>
      <c r="BN42" s="188">
        <v>0</v>
      </c>
      <c r="BO42" s="188">
        <v>0</v>
      </c>
      <c r="BP42" s="188">
        <v>0</v>
      </c>
      <c r="BQ42" s="188">
        <v>0</v>
      </c>
      <c r="BR42" s="188">
        <v>0</v>
      </c>
      <c r="BS42" s="188">
        <v>0</v>
      </c>
      <c r="BT42" s="188">
        <v>0</v>
      </c>
      <c r="BU42" s="188">
        <v>0</v>
      </c>
      <c r="BV42" s="188">
        <v>0</v>
      </c>
      <c r="BW42" s="188">
        <v>0</v>
      </c>
      <c r="BX42" s="188"/>
      <c r="BY42" s="188"/>
      <c r="BZ42" s="188"/>
      <c r="CA42" s="188"/>
      <c r="CB42" s="188"/>
      <c r="CC42" s="188"/>
      <c r="CD42" s="188"/>
      <c r="CE42" s="188"/>
      <c r="CF42" s="188"/>
      <c r="CG42" s="188"/>
      <c r="CH42" s="188"/>
      <c r="CI42" s="188"/>
      <c r="CJ42" s="188"/>
      <c r="CK42" s="188"/>
      <c r="CL42" s="188"/>
    </row>
    <row r="43" spans="1:90">
      <c r="A43" s="17" t="s">
        <v>29</v>
      </c>
      <c r="B43" s="188">
        <v>0</v>
      </c>
      <c r="C43" s="188">
        <v>0</v>
      </c>
      <c r="D43" s="188">
        <v>0</v>
      </c>
      <c r="E43" s="188">
        <v>0</v>
      </c>
      <c r="F43" s="188">
        <v>0</v>
      </c>
      <c r="G43" s="188">
        <v>0</v>
      </c>
      <c r="H43" s="188">
        <v>0</v>
      </c>
      <c r="I43" s="188">
        <v>0</v>
      </c>
      <c r="J43" s="188">
        <v>0</v>
      </c>
      <c r="K43" s="188">
        <v>0</v>
      </c>
      <c r="L43" s="188">
        <v>0</v>
      </c>
      <c r="M43" s="188">
        <v>0</v>
      </c>
      <c r="N43" s="188">
        <v>0</v>
      </c>
      <c r="O43" s="188">
        <v>0</v>
      </c>
      <c r="P43" s="188">
        <v>0</v>
      </c>
      <c r="Q43" s="188">
        <v>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v>0</v>
      </c>
      <c r="BI43" s="188">
        <v>0</v>
      </c>
      <c r="BJ43" s="188">
        <v>0</v>
      </c>
      <c r="BK43" s="188">
        <v>0</v>
      </c>
      <c r="BL43" s="188">
        <v>0</v>
      </c>
      <c r="BM43" s="188">
        <v>0</v>
      </c>
      <c r="BN43" s="188">
        <v>0</v>
      </c>
      <c r="BO43" s="188">
        <v>0</v>
      </c>
      <c r="BP43" s="188">
        <v>0</v>
      </c>
      <c r="BQ43" s="188">
        <v>0</v>
      </c>
      <c r="BR43" s="188">
        <v>0</v>
      </c>
      <c r="BS43" s="188">
        <v>0</v>
      </c>
      <c r="BT43" s="188">
        <v>0</v>
      </c>
      <c r="BU43" s="188">
        <v>0</v>
      </c>
      <c r="BV43" s="188">
        <v>0</v>
      </c>
      <c r="BW43" s="188">
        <v>0</v>
      </c>
      <c r="BX43" s="188"/>
      <c r="BY43" s="188"/>
      <c r="BZ43" s="188"/>
      <c r="CA43" s="188"/>
      <c r="CB43" s="188"/>
      <c r="CC43" s="188"/>
      <c r="CD43" s="188"/>
      <c r="CE43" s="188"/>
      <c r="CF43" s="188"/>
      <c r="CG43" s="188"/>
      <c r="CH43" s="188"/>
      <c r="CI43" s="188"/>
      <c r="CJ43" s="188"/>
      <c r="CK43" s="188"/>
      <c r="CL43" s="188"/>
    </row>
    <row r="44" spans="1:90">
      <c r="A44" s="17" t="s">
        <v>30</v>
      </c>
      <c r="B44" s="188">
        <v>0</v>
      </c>
      <c r="C44" s="188">
        <v>0</v>
      </c>
      <c r="D44" s="188">
        <v>15570000</v>
      </c>
      <c r="E44" s="188">
        <v>15570000</v>
      </c>
      <c r="F44" s="188">
        <v>15570000</v>
      </c>
      <c r="G44" s="188">
        <v>15570000</v>
      </c>
      <c r="H44" s="188">
        <v>15570000</v>
      </c>
      <c r="I44" s="188">
        <v>15570000</v>
      </c>
      <c r="J44" s="188">
        <v>15570000</v>
      </c>
      <c r="K44" s="188">
        <v>15570000</v>
      </c>
      <c r="L44" s="188">
        <v>15570000</v>
      </c>
      <c r="M44" s="188">
        <v>15570000</v>
      </c>
      <c r="N44" s="188">
        <v>15570000</v>
      </c>
      <c r="O44" s="188">
        <v>17770000</v>
      </c>
      <c r="P44" s="188">
        <v>17770000</v>
      </c>
      <c r="Q44" s="188">
        <v>17770000</v>
      </c>
      <c r="R44" s="188">
        <v>17770000</v>
      </c>
      <c r="S44" s="188">
        <v>17770000</v>
      </c>
      <c r="T44" s="188">
        <v>17770000</v>
      </c>
      <c r="U44" s="188">
        <v>17770000</v>
      </c>
      <c r="V44" s="188">
        <v>17770000</v>
      </c>
      <c r="W44" s="188">
        <v>17770000</v>
      </c>
      <c r="X44" s="188">
        <v>17770000</v>
      </c>
      <c r="Y44" s="188">
        <v>17770000</v>
      </c>
      <c r="Z44" s="188">
        <v>17770000</v>
      </c>
      <c r="AA44" s="188">
        <v>17770000</v>
      </c>
      <c r="AB44" s="188">
        <v>17770000</v>
      </c>
      <c r="AC44" s="188">
        <v>17770000</v>
      </c>
      <c r="AD44" s="188">
        <v>16770000</v>
      </c>
      <c r="AE44" s="188">
        <v>19530000</v>
      </c>
      <c r="AF44" s="188">
        <v>19530000</v>
      </c>
      <c r="AG44" s="188">
        <v>10000000</v>
      </c>
      <c r="AH44" s="188">
        <v>10000000</v>
      </c>
      <c r="AI44" s="188">
        <v>10000000</v>
      </c>
      <c r="AJ44" s="188">
        <v>10000000</v>
      </c>
      <c r="AK44" s="188">
        <v>10000000</v>
      </c>
      <c r="AL44" s="188">
        <v>10000000</v>
      </c>
      <c r="AM44" s="188">
        <v>10000000</v>
      </c>
      <c r="AN44" s="188">
        <v>10000000</v>
      </c>
      <c r="AO44" s="188">
        <v>10000000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300000</v>
      </c>
      <c r="BF44" s="188">
        <v>0</v>
      </c>
      <c r="BG44" s="188">
        <v>300000</v>
      </c>
      <c r="BH44" s="188">
        <v>300000</v>
      </c>
      <c r="BI44" s="188">
        <v>300000</v>
      </c>
      <c r="BJ44" s="188">
        <v>300000</v>
      </c>
      <c r="BK44" s="188">
        <v>0</v>
      </c>
      <c r="BL44" s="188">
        <v>0</v>
      </c>
      <c r="BM44" s="188">
        <v>0</v>
      </c>
      <c r="BN44" s="188">
        <v>0</v>
      </c>
      <c r="BO44" s="188">
        <v>0</v>
      </c>
      <c r="BP44" s="188">
        <v>0</v>
      </c>
      <c r="BQ44" s="188">
        <v>0</v>
      </c>
      <c r="BR44" s="188">
        <v>0</v>
      </c>
      <c r="BS44" s="188">
        <v>0</v>
      </c>
      <c r="BT44" s="188">
        <v>0</v>
      </c>
      <c r="BU44" s="188">
        <v>0</v>
      </c>
      <c r="BV44" s="188">
        <v>0</v>
      </c>
      <c r="BW44" s="188">
        <v>0</v>
      </c>
      <c r="BX44" s="188"/>
      <c r="BY44" s="188"/>
      <c r="BZ44" s="188"/>
      <c r="CA44" s="188"/>
      <c r="CB44" s="188"/>
      <c r="CC44" s="188"/>
      <c r="CD44" s="188"/>
      <c r="CE44" s="188"/>
      <c r="CF44" s="188"/>
      <c r="CG44" s="188"/>
      <c r="CH44" s="188"/>
      <c r="CI44" s="188"/>
      <c r="CJ44" s="188"/>
      <c r="CK44" s="188"/>
      <c r="CL44" s="188"/>
    </row>
    <row r="45" spans="1:90">
      <c r="A45" s="17" t="s">
        <v>31</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191241.2</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c r="BT45" s="188">
        <v>0</v>
      </c>
      <c r="BU45" s="188">
        <v>0</v>
      </c>
      <c r="BV45" s="188">
        <v>0</v>
      </c>
      <c r="BW45" s="188">
        <v>0</v>
      </c>
      <c r="BX45" s="188"/>
      <c r="BY45" s="188"/>
      <c r="BZ45" s="188"/>
      <c r="CA45" s="188"/>
      <c r="CB45" s="188"/>
      <c r="CC45" s="188"/>
      <c r="CD45" s="188"/>
      <c r="CE45" s="188"/>
      <c r="CF45" s="188"/>
      <c r="CG45" s="188"/>
      <c r="CH45" s="188"/>
      <c r="CI45" s="188"/>
      <c r="CJ45" s="188"/>
      <c r="CK45" s="188"/>
      <c r="CL45" s="188"/>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90" s="10" customFormat="1">
      <c r="A49" s="123" t="s">
        <v>32</v>
      </c>
      <c r="B49" s="35">
        <f>SUM(B35:B41)+SUM(B43:B45)</f>
        <v>29786878511.529999</v>
      </c>
      <c r="C49" s="35">
        <f>SUM(C35:C41)+SUM(C43:C45)</f>
        <v>21359819900.140003</v>
      </c>
      <c r="D49" s="35">
        <f>SUM(D35:D41)+SUM(D43:D45)</f>
        <v>17803371585.400002</v>
      </c>
      <c r="E49" s="35">
        <f>SUM(E35:E45)</f>
        <v>20588313986.25</v>
      </c>
      <c r="F49" s="35">
        <f t="shared" ref="F49:BQ49" si="4">SUM(F35:F45)</f>
        <v>28104461052.189999</v>
      </c>
      <c r="G49" s="35">
        <f t="shared" si="4"/>
        <v>27475801976.769997</v>
      </c>
      <c r="H49" s="35">
        <f t="shared" si="4"/>
        <v>23961782232.43</v>
      </c>
      <c r="I49" s="35">
        <f t="shared" si="4"/>
        <v>25939797330.639996</v>
      </c>
      <c r="J49" s="35">
        <f t="shared" si="4"/>
        <v>26222695458.229996</v>
      </c>
      <c r="K49" s="35">
        <f t="shared" si="4"/>
        <v>21359810411.450001</v>
      </c>
      <c r="L49" s="35">
        <f t="shared" si="4"/>
        <v>15489311056.43</v>
      </c>
      <c r="M49" s="35">
        <f t="shared" si="4"/>
        <v>12750116360.270002</v>
      </c>
      <c r="N49" s="35">
        <f t="shared" si="4"/>
        <v>14072261254.949999</v>
      </c>
      <c r="O49" s="35">
        <f t="shared" si="4"/>
        <v>9257921598.6599998</v>
      </c>
      <c r="P49" s="35">
        <f t="shared" si="4"/>
        <v>5593878311.3600006</v>
      </c>
      <c r="Q49" s="35">
        <f t="shared" si="4"/>
        <v>5980640060.5200005</v>
      </c>
      <c r="R49" s="35">
        <f t="shared" si="4"/>
        <v>6527245992.4099998</v>
      </c>
      <c r="S49" s="35">
        <f t="shared" si="4"/>
        <v>4224498232.2599998</v>
      </c>
      <c r="T49" s="35">
        <f t="shared" si="4"/>
        <v>4410248789.1199999</v>
      </c>
      <c r="U49" s="35">
        <f t="shared" si="4"/>
        <v>5516511845.6100006</v>
      </c>
      <c r="V49" s="35">
        <f t="shared" si="4"/>
        <v>8524485415.3599997</v>
      </c>
      <c r="W49" s="35">
        <f t="shared" si="4"/>
        <v>6227725132.2700005</v>
      </c>
      <c r="X49" s="35">
        <f t="shared" si="4"/>
        <v>4189955383.1799998</v>
      </c>
      <c r="Y49" s="35">
        <f t="shared" si="4"/>
        <v>6677070345.8500004</v>
      </c>
      <c r="Z49" s="35">
        <f t="shared" si="4"/>
        <v>9544172556.210001</v>
      </c>
      <c r="AA49" s="35">
        <f t="shared" si="4"/>
        <v>6647622537.9500008</v>
      </c>
      <c r="AB49" s="35">
        <f t="shared" si="4"/>
        <v>7072911468.1599989</v>
      </c>
      <c r="AC49" s="35">
        <f t="shared" si="4"/>
        <v>7874714333.5700006</v>
      </c>
      <c r="AD49" s="35">
        <f t="shared" si="4"/>
        <v>9497489364.1200008</v>
      </c>
      <c r="AE49" s="35">
        <f t="shared" si="4"/>
        <v>9584894248.0999985</v>
      </c>
      <c r="AF49" s="35">
        <f t="shared" si="4"/>
        <v>7106115696.3199997</v>
      </c>
      <c r="AG49" s="35">
        <f t="shared" si="4"/>
        <v>8302434963.0199986</v>
      </c>
      <c r="AH49" s="35">
        <f t="shared" si="4"/>
        <v>6719606049.7799997</v>
      </c>
      <c r="AI49" s="35">
        <f t="shared" si="4"/>
        <v>4868011891.8699999</v>
      </c>
      <c r="AJ49" s="35">
        <f t="shared" si="4"/>
        <v>3409950721.25</v>
      </c>
      <c r="AK49" s="35">
        <f t="shared" si="4"/>
        <v>4434151285.7700005</v>
      </c>
      <c r="AL49" s="35">
        <f t="shared" si="4"/>
        <v>4980850090.8899994</v>
      </c>
      <c r="AM49" s="35">
        <f t="shared" si="4"/>
        <v>2522260598.27</v>
      </c>
      <c r="AN49" s="35">
        <f t="shared" si="4"/>
        <v>1748131217.53</v>
      </c>
      <c r="AO49" s="35">
        <f t="shared" si="4"/>
        <v>2845044620.4400001</v>
      </c>
      <c r="AP49" s="35">
        <f t="shared" si="4"/>
        <v>4250769540.4000001</v>
      </c>
      <c r="AQ49" s="35">
        <f t="shared" si="4"/>
        <v>2067058209.8499999</v>
      </c>
      <c r="AR49" s="35">
        <f t="shared" si="4"/>
        <v>1303275797.6100001</v>
      </c>
      <c r="AS49" s="35">
        <f t="shared" si="4"/>
        <v>2229128703.4099998</v>
      </c>
      <c r="AT49" s="35">
        <f t="shared" si="4"/>
        <v>2070809111.97</v>
      </c>
      <c r="AU49" s="35">
        <f t="shared" si="4"/>
        <v>3199489247.6199999</v>
      </c>
      <c r="AV49" s="35">
        <f t="shared" si="4"/>
        <v>3284648021.25</v>
      </c>
      <c r="AW49" s="35">
        <f t="shared" si="4"/>
        <v>3272239314.0399995</v>
      </c>
      <c r="AX49" s="35">
        <f t="shared" si="4"/>
        <v>3384925618.96</v>
      </c>
      <c r="AY49" s="35">
        <f t="shared" si="4"/>
        <v>3332271621.6200004</v>
      </c>
      <c r="AZ49" s="35">
        <f t="shared" si="4"/>
        <v>2735066860.52</v>
      </c>
      <c r="BA49" s="35">
        <f t="shared" si="4"/>
        <v>2422880495.1400003</v>
      </c>
      <c r="BB49" s="35">
        <f t="shared" si="4"/>
        <v>2848300060.8800001</v>
      </c>
      <c r="BC49" s="35">
        <f t="shared" si="4"/>
        <v>2254452187.0799999</v>
      </c>
      <c r="BD49" s="35">
        <f t="shared" si="4"/>
        <v>1994571180.1199999</v>
      </c>
      <c r="BE49" s="35">
        <f t="shared" si="4"/>
        <v>1899073486.55</v>
      </c>
      <c r="BF49" s="35">
        <f t="shared" si="4"/>
        <v>2124455923.5999999</v>
      </c>
      <c r="BG49" s="35">
        <f t="shared" si="4"/>
        <v>1597709537.28</v>
      </c>
      <c r="BH49" s="35">
        <f t="shared" si="4"/>
        <v>1148820601.27</v>
      </c>
      <c r="BI49" s="35">
        <f t="shared" si="4"/>
        <v>1042702361.1700001</v>
      </c>
      <c r="BJ49" s="35">
        <f t="shared" si="4"/>
        <v>1469461388.48</v>
      </c>
      <c r="BK49" s="35">
        <f t="shared" si="4"/>
        <v>1156878334.6900001</v>
      </c>
      <c r="BL49" s="35">
        <f t="shared" si="4"/>
        <v>730714522.29999995</v>
      </c>
      <c r="BM49" s="35">
        <f t="shared" si="4"/>
        <v>718079642.61000001</v>
      </c>
      <c r="BN49" s="35">
        <f t="shared" si="4"/>
        <v>986819025</v>
      </c>
      <c r="BO49" s="35">
        <f t="shared" si="4"/>
        <v>679374753.59000003</v>
      </c>
      <c r="BP49" s="35">
        <f t="shared" si="4"/>
        <v>449951928.15999997</v>
      </c>
      <c r="BQ49" s="35">
        <f t="shared" si="4"/>
        <v>500559785.91999996</v>
      </c>
      <c r="BR49" s="35">
        <f t="shared" ref="BR49:CK49" si="5">SUM(BR35:BR45)</f>
        <v>750403161.5</v>
      </c>
      <c r="BS49" s="35">
        <f t="shared" si="5"/>
        <v>371936579.35000002</v>
      </c>
      <c r="BT49" s="35">
        <f t="shared" si="5"/>
        <v>691246887.79000008</v>
      </c>
      <c r="BU49" s="35">
        <f t="shared" si="5"/>
        <v>456841968.64999998</v>
      </c>
      <c r="BV49" s="35">
        <f t="shared" si="5"/>
        <v>296054535.31999999</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25" t="s">
        <v>81</v>
      </c>
      <c r="B50" s="36">
        <f>B33-B49</f>
        <v>-3999834624.0199966</v>
      </c>
      <c r="C50" s="36">
        <f t="shared" ref="C50:BN50" si="6">C33-C49</f>
        <v>2720221811.8499985</v>
      </c>
      <c r="D50" s="36">
        <f t="shared" si="6"/>
        <v>5893793607.2900009</v>
      </c>
      <c r="E50" s="36">
        <f t="shared" si="6"/>
        <v>3051581351.1100006</v>
      </c>
      <c r="F50" s="36">
        <f t="shared" si="6"/>
        <v>-3965603619.8199997</v>
      </c>
      <c r="G50" s="36">
        <f t="shared" si="6"/>
        <v>-3879872811.2099953</v>
      </c>
      <c r="H50" s="36">
        <f t="shared" si="6"/>
        <v>-356230023.98999786</v>
      </c>
      <c r="I50" s="36">
        <f t="shared" si="6"/>
        <v>-2997931597.6099968</v>
      </c>
      <c r="J50" s="36">
        <f t="shared" si="6"/>
        <v>-3428013627.7599945</v>
      </c>
      <c r="K50" s="36">
        <f t="shared" si="6"/>
        <v>17890197.009998322</v>
      </c>
      <c r="L50" s="36">
        <f t="shared" si="6"/>
        <v>10855927043.779999</v>
      </c>
      <c r="M50" s="36">
        <f t="shared" si="6"/>
        <v>12054370526.109999</v>
      </c>
      <c r="N50" s="36">
        <f t="shared" si="6"/>
        <v>14046155822.110003</v>
      </c>
      <c r="O50" s="36">
        <f t="shared" si="6"/>
        <v>17366677202.509998</v>
      </c>
      <c r="P50" s="36">
        <f t="shared" si="6"/>
        <v>17273056685.869999</v>
      </c>
      <c r="Q50" s="36">
        <f t="shared" si="6"/>
        <v>15934420088.649998</v>
      </c>
      <c r="R50" s="36">
        <f t="shared" si="6"/>
        <v>13252362479.369999</v>
      </c>
      <c r="S50" s="36">
        <f t="shared" si="6"/>
        <v>14934385952.550001</v>
      </c>
      <c r="T50" s="36">
        <f t="shared" si="6"/>
        <v>13092803795</v>
      </c>
      <c r="U50" s="36">
        <f t="shared" si="6"/>
        <v>11495522122.059999</v>
      </c>
      <c r="V50" s="36">
        <f t="shared" si="6"/>
        <v>8033489539.96</v>
      </c>
      <c r="W50" s="36">
        <f t="shared" si="6"/>
        <v>11310680004.709999</v>
      </c>
      <c r="X50" s="36">
        <f t="shared" si="6"/>
        <v>11980350746.769999</v>
      </c>
      <c r="Y50" s="36">
        <f t="shared" si="6"/>
        <v>8273990580.3700008</v>
      </c>
      <c r="Z50" s="36">
        <f t="shared" si="6"/>
        <v>4354291394.2799988</v>
      </c>
      <c r="AA50" s="36">
        <f t="shared" si="6"/>
        <v>5882282456.0699997</v>
      </c>
      <c r="AB50" s="36">
        <f t="shared" si="6"/>
        <v>4155722505.7600012</v>
      </c>
      <c r="AC50" s="36">
        <f t="shared" si="6"/>
        <v>2351899852.6799994</v>
      </c>
      <c r="AD50" s="36">
        <f t="shared" si="6"/>
        <v>-147730105.78000069</v>
      </c>
      <c r="AE50" s="36">
        <f t="shared" si="6"/>
        <v>-1062664717.4899979</v>
      </c>
      <c r="AF50" s="36">
        <f t="shared" si="6"/>
        <v>944075050.65999985</v>
      </c>
      <c r="AG50" s="36">
        <f t="shared" si="6"/>
        <v>-583582474.69999886</v>
      </c>
      <c r="AH50" s="36">
        <f t="shared" si="6"/>
        <v>649556463.90000057</v>
      </c>
      <c r="AI50" s="36">
        <f t="shared" si="6"/>
        <v>1984328661.0199995</v>
      </c>
      <c r="AJ50" s="36">
        <f t="shared" si="6"/>
        <v>2855050075.5199995</v>
      </c>
      <c r="AK50" s="36">
        <f t="shared" si="6"/>
        <v>1791831400.9899998</v>
      </c>
      <c r="AL50" s="36">
        <f t="shared" si="6"/>
        <v>929670517.26000118</v>
      </c>
      <c r="AM50" s="36">
        <f t="shared" si="6"/>
        <v>2425641944.8799996</v>
      </c>
      <c r="AN50" s="36">
        <f t="shared" si="6"/>
        <v>2671434887.5800009</v>
      </c>
      <c r="AO50" s="36">
        <f t="shared" si="6"/>
        <v>1386375282.5700002</v>
      </c>
      <c r="AP50" s="36">
        <f t="shared" si="6"/>
        <v>-106524098.72000027</v>
      </c>
      <c r="AQ50" s="36">
        <f t="shared" si="6"/>
        <v>778879170.97000027</v>
      </c>
      <c r="AR50" s="36">
        <f t="shared" si="6"/>
        <v>1378687881.8600001</v>
      </c>
      <c r="AS50" s="36">
        <f t="shared" si="6"/>
        <v>423085678.25</v>
      </c>
      <c r="AT50" s="36">
        <f t="shared" si="6"/>
        <v>474403091.43000007</v>
      </c>
      <c r="AU50" s="36">
        <f t="shared" si="6"/>
        <v>-847444657.22000027</v>
      </c>
      <c r="AV50" s="36">
        <f t="shared" si="6"/>
        <v>-823210332.78999996</v>
      </c>
      <c r="AW50" s="36">
        <f t="shared" si="6"/>
        <v>-889705035.06999922</v>
      </c>
      <c r="AX50" s="36">
        <f t="shared" si="6"/>
        <v>-1097449417.3099999</v>
      </c>
      <c r="AY50" s="36">
        <f t="shared" si="6"/>
        <v>-1062230332.1300006</v>
      </c>
      <c r="AZ50" s="36">
        <f t="shared" si="6"/>
        <v>-621895281.67000008</v>
      </c>
      <c r="BA50" s="36">
        <f t="shared" si="6"/>
        <v>-417076439.48000026</v>
      </c>
      <c r="BB50" s="36">
        <f t="shared" si="6"/>
        <v>-720769206.80000019</v>
      </c>
      <c r="BC50" s="36">
        <f t="shared" si="6"/>
        <v>-306771530.96000004</v>
      </c>
      <c r="BD50" s="36">
        <f t="shared" si="6"/>
        <v>-115429303.48999977</v>
      </c>
      <c r="BE50" s="36">
        <f t="shared" si="6"/>
        <v>-41052018.059999943</v>
      </c>
      <c r="BF50" s="36">
        <f t="shared" si="6"/>
        <v>-250144834.6500001</v>
      </c>
      <c r="BG50" s="36">
        <f t="shared" si="6"/>
        <v>146105948.47000003</v>
      </c>
      <c r="BH50" s="36">
        <f t="shared" si="6"/>
        <v>318020086.88000011</v>
      </c>
      <c r="BI50" s="36">
        <f t="shared" si="6"/>
        <v>374663088.67999983</v>
      </c>
      <c r="BJ50" s="36">
        <f t="shared" si="6"/>
        <v>-54385749.870000124</v>
      </c>
      <c r="BK50" s="36">
        <f t="shared" si="6"/>
        <v>266752468.06999993</v>
      </c>
      <c r="BL50" s="36">
        <f t="shared" si="6"/>
        <v>568191009.9000001</v>
      </c>
      <c r="BM50" s="36">
        <f t="shared" si="6"/>
        <v>465445449.63999999</v>
      </c>
      <c r="BN50" s="36">
        <f t="shared" si="6"/>
        <v>220861898.69000006</v>
      </c>
      <c r="BO50" s="36">
        <f t="shared" ref="BO50:CK50" si="7">BO33-BO49</f>
        <v>469171373.13999999</v>
      </c>
      <c r="BP50" s="36">
        <f t="shared" si="7"/>
        <v>693395515.64999998</v>
      </c>
      <c r="BQ50" s="36">
        <f t="shared" si="7"/>
        <v>438258677.16999996</v>
      </c>
      <c r="BR50" s="36">
        <f t="shared" si="7"/>
        <v>130738590.88999999</v>
      </c>
      <c r="BS50" s="36">
        <f t="shared" si="7"/>
        <v>306413823.19999993</v>
      </c>
      <c r="BT50" s="36">
        <f t="shared" si="7"/>
        <v>-103489887.68000007</v>
      </c>
      <c r="BU50" s="36">
        <f t="shared" si="7"/>
        <v>64397571.980000019</v>
      </c>
      <c r="BV50" s="36">
        <f t="shared" si="7"/>
        <v>103717141.55000001</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c r="A51" s="191" t="s">
        <v>33</v>
      </c>
    </row>
    <row r="52" spans="1:90" s="191" customFormat="1">
      <c r="A52" s="191" t="s">
        <v>34</v>
      </c>
      <c r="B52" s="188">
        <v>15248556585.02</v>
      </c>
      <c r="C52" s="188">
        <v>14812649901.59</v>
      </c>
      <c r="D52" s="188">
        <v>14906697070.370001</v>
      </c>
      <c r="E52" s="188">
        <v>15179337572.51</v>
      </c>
      <c r="F52" s="188">
        <v>15244096632.02</v>
      </c>
      <c r="G52" s="188">
        <v>14851183242.59</v>
      </c>
      <c r="H52" s="188">
        <v>15035615814.030001</v>
      </c>
      <c r="I52" s="188">
        <v>15197596002.52</v>
      </c>
      <c r="J52" s="188">
        <v>14453177439.34</v>
      </c>
      <c r="K52" s="188">
        <v>11249022570.67</v>
      </c>
      <c r="L52" s="188">
        <v>11357781630.610001</v>
      </c>
      <c r="M52" s="188">
        <v>11485879409.51</v>
      </c>
      <c r="N52" s="188">
        <v>11415953189.719999</v>
      </c>
      <c r="O52" s="188">
        <v>10891205189.389999</v>
      </c>
      <c r="P52" s="188">
        <v>10376471791.040001</v>
      </c>
      <c r="Q52" s="188">
        <v>10438792823.57</v>
      </c>
      <c r="R52" s="188">
        <v>10375757771.59</v>
      </c>
      <c r="S52" s="188">
        <v>9003408249.8600006</v>
      </c>
      <c r="T52" s="188">
        <v>8917854215.1200008</v>
      </c>
      <c r="U52" s="188">
        <v>8768403594.1200008</v>
      </c>
      <c r="V52" s="188">
        <v>8523256960.1099997</v>
      </c>
      <c r="W52" s="188">
        <v>7165765337.1599998</v>
      </c>
      <c r="X52" s="188">
        <v>7047000358.4200001</v>
      </c>
      <c r="Y52" s="188">
        <v>6984113447.4300003</v>
      </c>
      <c r="Z52" s="188">
        <v>6807333231.0900002</v>
      </c>
      <c r="AA52" s="188">
        <v>5838430602.0500002</v>
      </c>
      <c r="AB52" s="188">
        <v>5698697789.6599998</v>
      </c>
      <c r="AC52" s="188">
        <v>5489821741.0500002</v>
      </c>
      <c r="AD52" s="188">
        <v>5426012349.6099997</v>
      </c>
      <c r="AE52" s="188">
        <v>4703882763.3800001</v>
      </c>
      <c r="AF52" s="188">
        <v>4268588603.6599998</v>
      </c>
      <c r="AG52" s="188">
        <v>4218762324.3099999</v>
      </c>
      <c r="AH52" s="188">
        <v>4191851111.9699998</v>
      </c>
      <c r="AI52" s="188">
        <v>3754654673.6300001</v>
      </c>
      <c r="AJ52" s="188">
        <v>3731222904.1199999</v>
      </c>
      <c r="AK52" s="188">
        <v>3223949711.6999998</v>
      </c>
      <c r="AL52" s="188">
        <v>3168725156.29</v>
      </c>
      <c r="AM52" s="188">
        <v>2420836029.8800001</v>
      </c>
      <c r="AN52" s="188">
        <v>2285285756.6500001</v>
      </c>
      <c r="AO52" s="188">
        <v>2247266187.8000002</v>
      </c>
      <c r="AP52" s="188">
        <v>2190171911.8899999</v>
      </c>
      <c r="AQ52" s="188">
        <v>1962510407.21</v>
      </c>
      <c r="AR52" s="188">
        <v>1946505196.6800001</v>
      </c>
      <c r="AS52" s="188">
        <v>1869754284.6900001</v>
      </c>
      <c r="AT52" s="188">
        <v>1826983364.3599999</v>
      </c>
      <c r="AU52" s="188">
        <v>1435078966.8699999</v>
      </c>
      <c r="AV52" s="188">
        <v>1431615294.0599999</v>
      </c>
      <c r="AW52" s="188">
        <v>1317726492.5999999</v>
      </c>
      <c r="AX52" s="188">
        <v>1222202623.3</v>
      </c>
      <c r="AY52" s="188">
        <v>1018003338.64</v>
      </c>
      <c r="AZ52" s="188">
        <v>1030973670.35</v>
      </c>
      <c r="BA52" s="188">
        <v>1019701197.52</v>
      </c>
      <c r="BB52" s="188">
        <v>981382035.5</v>
      </c>
      <c r="BC52" s="188">
        <v>744749773.96000004</v>
      </c>
      <c r="BD52" s="188">
        <v>704628195.86000001</v>
      </c>
      <c r="BE52" s="188">
        <v>718609837.72000003</v>
      </c>
      <c r="BF52" s="188">
        <v>715522677.41999996</v>
      </c>
      <c r="BG52" s="188">
        <v>650253702.34000003</v>
      </c>
      <c r="BH52" s="188">
        <v>651728272.55999994</v>
      </c>
      <c r="BI52" s="188">
        <v>644654996.78999996</v>
      </c>
      <c r="BJ52" s="188">
        <v>440813831.82999998</v>
      </c>
      <c r="BK52" s="188">
        <v>436222878.81</v>
      </c>
      <c r="BL52" s="188">
        <v>445032882.23000002</v>
      </c>
      <c r="BM52" s="188">
        <v>453833289.69999999</v>
      </c>
      <c r="BN52" s="188">
        <v>470098687.69</v>
      </c>
      <c r="BO52" s="188">
        <v>447507946.97000003</v>
      </c>
      <c r="BP52" s="188">
        <v>452942750.17000002</v>
      </c>
      <c r="BQ52" s="188">
        <v>409558858.49000001</v>
      </c>
      <c r="BR52" s="188">
        <v>414239895.73000002</v>
      </c>
      <c r="BS52" s="188">
        <v>177835639.06999999</v>
      </c>
      <c r="BT52" s="188">
        <v>180320389.09</v>
      </c>
      <c r="BU52" s="188">
        <v>184936865.90000001</v>
      </c>
      <c r="BV52" s="188">
        <v>213023445.34999999</v>
      </c>
      <c r="BW52" s="188">
        <v>0</v>
      </c>
      <c r="BX52" s="188"/>
      <c r="BY52" s="188"/>
      <c r="BZ52" s="188"/>
      <c r="CA52" s="188"/>
      <c r="CB52" s="188"/>
      <c r="CC52" s="188"/>
      <c r="CD52" s="188"/>
      <c r="CE52" s="188"/>
      <c r="CF52" s="188"/>
      <c r="CG52" s="188"/>
      <c r="CH52" s="188"/>
      <c r="CI52" s="188"/>
      <c r="CJ52" s="188"/>
      <c r="CK52" s="188"/>
      <c r="CL52" s="188"/>
    </row>
    <row r="53" spans="1:90" s="191" customFormat="1">
      <c r="A53" s="191" t="s">
        <v>35</v>
      </c>
      <c r="B53" s="188">
        <v>1954322968.6800001</v>
      </c>
      <c r="C53" s="188">
        <v>2351418276.5300002</v>
      </c>
      <c r="D53" s="188">
        <v>2320642541.0100002</v>
      </c>
      <c r="E53" s="188">
        <v>2377082563.9499998</v>
      </c>
      <c r="F53" s="188">
        <v>2016405005.77</v>
      </c>
      <c r="G53" s="188">
        <v>2393782465.27</v>
      </c>
      <c r="H53" s="188">
        <v>2191037165.1399999</v>
      </c>
      <c r="I53" s="188">
        <v>2082556665.8099999</v>
      </c>
      <c r="J53" s="188">
        <v>2745579995.6799998</v>
      </c>
      <c r="K53" s="188">
        <v>5549022900.4099998</v>
      </c>
      <c r="L53" s="188">
        <v>5372267342.3199997</v>
      </c>
      <c r="M53" s="188">
        <v>5277866268.5</v>
      </c>
      <c r="N53" s="188">
        <v>4895150716.5100002</v>
      </c>
      <c r="O53" s="188">
        <v>4746332449.54</v>
      </c>
      <c r="P53" s="188">
        <v>4446804735.3000002</v>
      </c>
      <c r="Q53" s="188">
        <v>3480877159.5599999</v>
      </c>
      <c r="R53" s="188">
        <v>3421774448.02</v>
      </c>
      <c r="S53" s="188">
        <v>3051662444.0799999</v>
      </c>
      <c r="T53" s="188">
        <v>2921492322.6199999</v>
      </c>
      <c r="U53" s="188">
        <v>2241975574.71</v>
      </c>
      <c r="V53" s="188">
        <v>456328292.13</v>
      </c>
      <c r="W53" s="188">
        <v>508298207</v>
      </c>
      <c r="X53" s="188">
        <v>500633130.51999998</v>
      </c>
      <c r="Y53" s="188">
        <v>477739596.64999998</v>
      </c>
      <c r="Z53" s="188">
        <v>392672323.94999999</v>
      </c>
      <c r="AA53" s="188">
        <v>357930180.56</v>
      </c>
      <c r="AB53" s="188">
        <v>331098306.48000002</v>
      </c>
      <c r="AC53" s="188">
        <v>316656062.33999997</v>
      </c>
      <c r="AD53" s="188">
        <v>251446326.43000001</v>
      </c>
      <c r="AE53" s="188">
        <v>293041026.48000002</v>
      </c>
      <c r="AF53" s="188">
        <v>341962470.41000003</v>
      </c>
      <c r="AG53" s="188">
        <v>312224946.49000001</v>
      </c>
      <c r="AH53" s="188">
        <v>263458445.09999999</v>
      </c>
      <c r="AI53" s="188">
        <v>267427752.28999999</v>
      </c>
      <c r="AJ53" s="188">
        <v>277632965.17000002</v>
      </c>
      <c r="AK53" s="188">
        <v>270471465.01999998</v>
      </c>
      <c r="AL53" s="188">
        <v>193956334.38999999</v>
      </c>
      <c r="AM53" s="188">
        <v>811284321.63999999</v>
      </c>
      <c r="AN53" s="188">
        <v>819595902.76999998</v>
      </c>
      <c r="AO53" s="188">
        <v>673327881.15999997</v>
      </c>
      <c r="AP53" s="188">
        <v>582860996.70000005</v>
      </c>
      <c r="AQ53" s="188">
        <v>1314894893.3699999</v>
      </c>
      <c r="AR53" s="188">
        <v>1197950992.3099999</v>
      </c>
      <c r="AS53" s="188">
        <v>1043792132.59</v>
      </c>
      <c r="AT53" s="188">
        <v>994453165.72000003</v>
      </c>
      <c r="AU53" s="188">
        <v>1207096398.72</v>
      </c>
      <c r="AV53" s="188">
        <v>1074086870.21</v>
      </c>
      <c r="AW53" s="188">
        <v>1073527595.41</v>
      </c>
      <c r="AX53" s="188">
        <v>1179883698.02</v>
      </c>
      <c r="AY53" s="188">
        <v>1208808413.78</v>
      </c>
      <c r="AZ53" s="188">
        <v>1042924430.55</v>
      </c>
      <c r="BA53" s="188">
        <v>943031845.61000001</v>
      </c>
      <c r="BB53" s="188">
        <v>909890443.63</v>
      </c>
      <c r="BC53" s="188">
        <v>974012522.40999997</v>
      </c>
      <c r="BD53" s="188">
        <v>929053724.75</v>
      </c>
      <c r="BE53" s="188">
        <v>849288036.95000005</v>
      </c>
      <c r="BF53" s="188">
        <v>776047024.87</v>
      </c>
      <c r="BG53" s="188">
        <v>733384383.46000004</v>
      </c>
      <c r="BH53" s="188">
        <v>675660352.38999999</v>
      </c>
      <c r="BI53" s="188">
        <v>637644833.05999994</v>
      </c>
      <c r="BJ53" s="188">
        <v>721652502.10000002</v>
      </c>
      <c r="BK53" s="188">
        <v>697188715.02999997</v>
      </c>
      <c r="BL53" s="188">
        <v>617706515.54999995</v>
      </c>
      <c r="BM53" s="188">
        <v>536385132.75</v>
      </c>
      <c r="BN53" s="188">
        <v>442903497.32999998</v>
      </c>
      <c r="BO53" s="188">
        <v>389477083.10000002</v>
      </c>
      <c r="BP53" s="188">
        <v>273149253.39999998</v>
      </c>
      <c r="BQ53" s="188">
        <v>184181516.44999999</v>
      </c>
      <c r="BR53" s="188">
        <v>162048784.65000001</v>
      </c>
      <c r="BS53" s="188">
        <v>0</v>
      </c>
      <c r="BT53" s="188">
        <v>5776136.6299999999</v>
      </c>
      <c r="BU53" s="188">
        <v>25290</v>
      </c>
      <c r="BV53" s="188">
        <v>0</v>
      </c>
      <c r="BW53" s="188">
        <v>0</v>
      </c>
      <c r="BX53" s="188"/>
      <c r="BY53" s="188"/>
      <c r="BZ53" s="188"/>
      <c r="CA53" s="188"/>
      <c r="CB53" s="188"/>
      <c r="CC53" s="188"/>
      <c r="CD53" s="188"/>
      <c r="CE53" s="188"/>
      <c r="CF53" s="188"/>
      <c r="CG53" s="188"/>
      <c r="CH53" s="188"/>
      <c r="CI53" s="188"/>
      <c r="CJ53" s="188"/>
      <c r="CK53" s="188"/>
      <c r="CL53" s="188"/>
    </row>
    <row r="54" spans="1:90" s="191" customFormat="1">
      <c r="A54" s="191" t="s">
        <v>36</v>
      </c>
      <c r="B54" s="188">
        <v>0</v>
      </c>
      <c r="C54" s="188">
        <v>0</v>
      </c>
      <c r="D54" s="188">
        <v>0</v>
      </c>
      <c r="E54" s="188">
        <v>0</v>
      </c>
      <c r="F54" s="188">
        <v>0</v>
      </c>
      <c r="G54" s="188">
        <v>0</v>
      </c>
      <c r="H54" s="188">
        <v>0</v>
      </c>
      <c r="I54" s="188">
        <v>0</v>
      </c>
      <c r="J54" s="188">
        <v>0</v>
      </c>
      <c r="K54" s="188">
        <v>269870.82</v>
      </c>
      <c r="L54" s="188">
        <v>269870.82</v>
      </c>
      <c r="M54" s="188">
        <v>260855.92</v>
      </c>
      <c r="N54" s="188">
        <v>260855.92</v>
      </c>
      <c r="O54" s="188">
        <v>260855.92</v>
      </c>
      <c r="P54" s="188">
        <v>260855.92</v>
      </c>
      <c r="Q54" s="188">
        <v>260855.92</v>
      </c>
      <c r="R54" s="188">
        <v>260855.92</v>
      </c>
      <c r="S54" s="188">
        <v>1224766.1499999999</v>
      </c>
      <c r="T54" s="188">
        <v>1224766.1499999999</v>
      </c>
      <c r="U54" s="188">
        <v>1725110.46</v>
      </c>
      <c r="V54" s="188">
        <v>1725110.46</v>
      </c>
      <c r="W54" s="188">
        <v>2676942.59</v>
      </c>
      <c r="X54" s="188">
        <v>2676942.59</v>
      </c>
      <c r="Y54" s="188">
        <v>2676942.59</v>
      </c>
      <c r="Z54" s="188">
        <v>2676942.59</v>
      </c>
      <c r="AA54" s="188">
        <v>2090289.79</v>
      </c>
      <c r="AB54" s="188">
        <v>2090289.79</v>
      </c>
      <c r="AC54" s="188">
        <v>17063746.940000001</v>
      </c>
      <c r="AD54" s="188">
        <v>4918294.6399999997</v>
      </c>
      <c r="AE54" s="188">
        <v>9193593.0800000001</v>
      </c>
      <c r="AF54" s="188">
        <v>8457630.3800000008</v>
      </c>
      <c r="AG54" s="188">
        <v>13359601.050000001</v>
      </c>
      <c r="AH54" s="188">
        <v>18528802.460000001</v>
      </c>
      <c r="AI54" s="188">
        <v>29764562.68</v>
      </c>
      <c r="AJ54" s="188">
        <v>28534493.73</v>
      </c>
      <c r="AK54" s="188">
        <v>34573760.18</v>
      </c>
      <c r="AL54" s="188">
        <v>24915041.530000001</v>
      </c>
      <c r="AM54" s="188">
        <v>58066303.960000001</v>
      </c>
      <c r="AN54" s="188">
        <v>48241829.450000003</v>
      </c>
      <c r="AO54" s="188">
        <v>76212689.329999998</v>
      </c>
      <c r="AP54" s="188">
        <v>62368950.890000001</v>
      </c>
      <c r="AQ54" s="188">
        <v>86238644.049999997</v>
      </c>
      <c r="AR54" s="188">
        <v>20951751.210000001</v>
      </c>
      <c r="AS54" s="188">
        <v>49874189.399999999</v>
      </c>
      <c r="AT54" s="188">
        <v>11931427.66</v>
      </c>
      <c r="AU54" s="188">
        <v>54999356.25</v>
      </c>
      <c r="AV54" s="188">
        <v>23465945.789999999</v>
      </c>
      <c r="AW54" s="188">
        <v>15359723.76</v>
      </c>
      <c r="AX54" s="188">
        <v>47444702.520000003</v>
      </c>
      <c r="AY54" s="188">
        <v>81705306.280000001</v>
      </c>
      <c r="AZ54" s="188">
        <v>49288779.32</v>
      </c>
      <c r="BA54" s="188">
        <v>27434478.82</v>
      </c>
      <c r="BB54" s="188">
        <v>19108529.359999999</v>
      </c>
      <c r="BC54" s="188">
        <v>60212675.93</v>
      </c>
      <c r="BD54" s="188">
        <v>45532107.710000001</v>
      </c>
      <c r="BE54" s="188">
        <v>20256459.23</v>
      </c>
      <c r="BF54" s="188">
        <v>10991173.91</v>
      </c>
      <c r="BG54" s="188">
        <v>20644752.170000002</v>
      </c>
      <c r="BH54" s="188">
        <v>17528075.469999999</v>
      </c>
      <c r="BI54" s="188">
        <v>0</v>
      </c>
      <c r="BJ54" s="188">
        <v>0</v>
      </c>
      <c r="BK54" s="188">
        <v>0</v>
      </c>
      <c r="BL54" s="188">
        <v>0</v>
      </c>
      <c r="BM54" s="188">
        <v>0</v>
      </c>
      <c r="BN54" s="188">
        <v>0</v>
      </c>
      <c r="BO54" s="188">
        <v>0</v>
      </c>
      <c r="BP54" s="188">
        <v>0</v>
      </c>
      <c r="BQ54" s="188">
        <v>0</v>
      </c>
      <c r="BR54" s="188">
        <v>0</v>
      </c>
      <c r="BS54" s="188">
        <v>0</v>
      </c>
      <c r="BT54" s="188">
        <v>0</v>
      </c>
      <c r="BU54" s="188">
        <v>0</v>
      </c>
      <c r="BV54" s="188">
        <v>0</v>
      </c>
      <c r="BW54" s="188">
        <v>0</v>
      </c>
      <c r="BX54" s="188"/>
      <c r="BY54" s="188"/>
      <c r="BZ54" s="188"/>
      <c r="CA54" s="188"/>
      <c r="CB54" s="188"/>
      <c r="CC54" s="188"/>
      <c r="CD54" s="188"/>
      <c r="CE54" s="188"/>
      <c r="CF54" s="188"/>
      <c r="CG54" s="188"/>
      <c r="CH54" s="188"/>
      <c r="CI54" s="188"/>
      <c r="CJ54" s="188"/>
      <c r="CK54" s="188"/>
      <c r="CL54" s="188"/>
    </row>
    <row r="55" spans="1:90" s="191" customFormat="1">
      <c r="A55" s="191" t="s">
        <v>37</v>
      </c>
      <c r="B55" s="188">
        <v>0</v>
      </c>
      <c r="C55" s="188">
        <v>0</v>
      </c>
      <c r="D55" s="188">
        <v>0</v>
      </c>
      <c r="E55" s="188">
        <v>0</v>
      </c>
      <c r="F55" s="188">
        <v>0</v>
      </c>
      <c r="G55" s="188">
        <v>0</v>
      </c>
      <c r="H55" s="188">
        <v>0</v>
      </c>
      <c r="I55" s="188">
        <v>0</v>
      </c>
      <c r="J55" s="188">
        <v>0</v>
      </c>
      <c r="K55" s="188">
        <v>1792981.04</v>
      </c>
      <c r="L55" s="188">
        <v>1792981.04</v>
      </c>
      <c r="M55" s="188">
        <v>1792981.04</v>
      </c>
      <c r="N55" s="188">
        <v>682594.04</v>
      </c>
      <c r="O55" s="188">
        <v>682594.04</v>
      </c>
      <c r="P55" s="188">
        <v>0</v>
      </c>
      <c r="Q55" s="188">
        <v>0</v>
      </c>
      <c r="R55" s="188">
        <v>0</v>
      </c>
      <c r="S55" s="188">
        <v>836478.5</v>
      </c>
      <c r="T55" s="188">
        <v>260558.5</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494592.89</v>
      </c>
      <c r="AL55" s="188">
        <v>0</v>
      </c>
      <c r="AM55" s="188">
        <v>0</v>
      </c>
      <c r="AN55" s="188">
        <v>0</v>
      </c>
      <c r="AO55" s="188">
        <v>0</v>
      </c>
      <c r="AP55" s="188">
        <v>0</v>
      </c>
      <c r="AQ55" s="188">
        <v>0</v>
      </c>
      <c r="AR55" s="188">
        <v>0</v>
      </c>
      <c r="AS55" s="188">
        <v>164317.37</v>
      </c>
      <c r="AT55" s="188">
        <v>0</v>
      </c>
      <c r="AU55" s="188">
        <v>456645.64</v>
      </c>
      <c r="AV55" s="188">
        <v>0</v>
      </c>
      <c r="AW55" s="188">
        <v>35490</v>
      </c>
      <c r="AX55" s="188">
        <v>0</v>
      </c>
      <c r="AY55" s="188">
        <v>140744.01</v>
      </c>
      <c r="AZ55" s="188">
        <v>122591.96</v>
      </c>
      <c r="BA55" s="188">
        <v>15676.67</v>
      </c>
      <c r="BB55" s="188">
        <v>0</v>
      </c>
      <c r="BC55" s="188">
        <v>13066.32</v>
      </c>
      <c r="BD55" s="188">
        <v>0</v>
      </c>
      <c r="BE55" s="188">
        <v>0</v>
      </c>
      <c r="BF55" s="188">
        <v>0</v>
      </c>
      <c r="BG55" s="188">
        <v>144779.23000000001</v>
      </c>
      <c r="BH55" s="188">
        <v>144779.23000000001</v>
      </c>
      <c r="BI55" s="188">
        <v>117684.47</v>
      </c>
      <c r="BJ55" s="188">
        <v>6730</v>
      </c>
      <c r="BK55" s="188">
        <v>6730</v>
      </c>
      <c r="BL55" s="188">
        <v>6730</v>
      </c>
      <c r="BM55" s="188">
        <v>0</v>
      </c>
      <c r="BN55" s="188">
        <v>0</v>
      </c>
      <c r="BO55" s="188">
        <v>0</v>
      </c>
      <c r="BP55" s="188">
        <v>0</v>
      </c>
      <c r="BQ55" s="188">
        <v>0</v>
      </c>
      <c r="BR55" s="188">
        <v>0</v>
      </c>
      <c r="BS55" s="188">
        <v>0</v>
      </c>
      <c r="BT55" s="188">
        <v>449993.46</v>
      </c>
      <c r="BU55" s="188">
        <v>0</v>
      </c>
      <c r="BV55" s="188">
        <v>0</v>
      </c>
      <c r="BW55" s="188">
        <v>0</v>
      </c>
      <c r="BX55" s="188"/>
      <c r="BY55" s="188"/>
      <c r="BZ55" s="188"/>
      <c r="CA55" s="188"/>
      <c r="CB55" s="188"/>
      <c r="CC55" s="188"/>
      <c r="CD55" s="188"/>
      <c r="CE55" s="188"/>
      <c r="CF55" s="188"/>
      <c r="CG55" s="188"/>
      <c r="CH55" s="188"/>
      <c r="CI55" s="188"/>
      <c r="CJ55" s="188"/>
      <c r="CK55" s="188"/>
      <c r="CL55" s="188"/>
    </row>
    <row r="56" spans="1:90" s="191" customFormat="1">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c r="BW56" s="188">
        <v>0</v>
      </c>
      <c r="BX56" s="188"/>
      <c r="BY56" s="188"/>
      <c r="BZ56" s="188"/>
      <c r="CA56" s="188"/>
      <c r="CB56" s="188"/>
      <c r="CC56" s="188"/>
      <c r="CD56" s="188"/>
      <c r="CE56" s="188"/>
      <c r="CF56" s="188"/>
      <c r="CG56" s="188"/>
      <c r="CH56" s="188"/>
      <c r="CI56" s="188"/>
      <c r="CJ56" s="188"/>
      <c r="CK56" s="188"/>
      <c r="CL56" s="188"/>
    </row>
    <row r="57" spans="1:90" s="191" customFormat="1">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c r="BW57" s="188">
        <v>0</v>
      </c>
      <c r="BX57" s="188"/>
      <c r="BY57" s="188"/>
      <c r="BZ57" s="188"/>
      <c r="CA57" s="188"/>
      <c r="CB57" s="188"/>
      <c r="CC57" s="188"/>
      <c r="CD57" s="188"/>
      <c r="CE57" s="188"/>
      <c r="CF57" s="188"/>
      <c r="CG57" s="188"/>
      <c r="CH57" s="188"/>
      <c r="CI57" s="188"/>
      <c r="CJ57" s="188"/>
      <c r="CK57" s="188"/>
      <c r="CL57" s="188"/>
    </row>
    <row r="58" spans="1:90" s="191" customFormat="1">
      <c r="A58" s="191" t="s">
        <v>40</v>
      </c>
      <c r="B58" s="188">
        <v>3499175374.52</v>
      </c>
      <c r="C58" s="188">
        <v>3468289232.1799998</v>
      </c>
      <c r="D58" s="188">
        <v>3487751876.7600002</v>
      </c>
      <c r="E58" s="188">
        <v>3437446976.0999999</v>
      </c>
      <c r="F58" s="188">
        <v>3458622239.3800001</v>
      </c>
      <c r="G58" s="188">
        <v>3473785664.3499999</v>
      </c>
      <c r="H58" s="188">
        <v>3486620572.5500002</v>
      </c>
      <c r="I58" s="188">
        <v>3506692179.8400002</v>
      </c>
      <c r="J58" s="188">
        <v>3531740625.5999999</v>
      </c>
      <c r="K58" s="188">
        <v>3551889907.73</v>
      </c>
      <c r="L58" s="188">
        <v>3572114511.04</v>
      </c>
      <c r="M58" s="188">
        <v>3562139114.3499999</v>
      </c>
      <c r="N58" s="188">
        <v>3582462431.04</v>
      </c>
      <c r="O58" s="188">
        <v>3603081357.7800002</v>
      </c>
      <c r="P58" s="188">
        <v>3612750116.1100001</v>
      </c>
      <c r="Q58" s="188">
        <v>3562868314.6999998</v>
      </c>
      <c r="R58" s="188">
        <v>3582623682.2399998</v>
      </c>
      <c r="S58" s="188">
        <v>3565626838.7800002</v>
      </c>
      <c r="T58" s="188">
        <v>3700019421.5900002</v>
      </c>
      <c r="U58" s="188">
        <v>3686129714.0799999</v>
      </c>
      <c r="V58" s="188">
        <v>3563308110.5100002</v>
      </c>
      <c r="W58" s="188">
        <v>1041613845.3099999</v>
      </c>
      <c r="X58" s="188">
        <v>1022370760.39</v>
      </c>
      <c r="Y58" s="188">
        <v>950991339.07000005</v>
      </c>
      <c r="Z58" s="188">
        <v>862615899.20000005</v>
      </c>
      <c r="AA58" s="188">
        <v>803234798.05999994</v>
      </c>
      <c r="AB58" s="188">
        <v>807769533.46000004</v>
      </c>
      <c r="AC58" s="188">
        <v>805843181.95000005</v>
      </c>
      <c r="AD58" s="188">
        <v>808425512.33000004</v>
      </c>
      <c r="AE58" s="188">
        <v>464193004.38999999</v>
      </c>
      <c r="AF58" s="188">
        <v>465496995.37</v>
      </c>
      <c r="AG58" s="188">
        <v>467473261.33999997</v>
      </c>
      <c r="AH58" s="188">
        <v>452317235.72000003</v>
      </c>
      <c r="AI58" s="188">
        <v>460772956.60000002</v>
      </c>
      <c r="AJ58" s="188">
        <v>463868158.93000001</v>
      </c>
      <c r="AK58" s="188">
        <v>462690687.36000001</v>
      </c>
      <c r="AL58" s="188">
        <v>465550825.17000002</v>
      </c>
      <c r="AM58" s="188">
        <v>466854656.80000001</v>
      </c>
      <c r="AN58" s="188">
        <v>473613977</v>
      </c>
      <c r="AO58" s="188">
        <v>476520713.93000001</v>
      </c>
      <c r="AP58" s="188">
        <v>445207595.72000003</v>
      </c>
      <c r="AQ58" s="188">
        <v>257618015.97</v>
      </c>
      <c r="AR58" s="188">
        <v>259113847.75999999</v>
      </c>
      <c r="AS58" s="188">
        <v>247652499.97999999</v>
      </c>
      <c r="AT58" s="188">
        <v>249274093.40000001</v>
      </c>
      <c r="AU58" s="188">
        <v>252846793.83000001</v>
      </c>
      <c r="AV58" s="188">
        <v>254479095.53999999</v>
      </c>
      <c r="AW58" s="188">
        <v>255348897.25</v>
      </c>
      <c r="AX58" s="188">
        <v>66093918.659999996</v>
      </c>
      <c r="AY58" s="188">
        <v>66853374.939999998</v>
      </c>
      <c r="AZ58" s="188">
        <v>69018445.219999999</v>
      </c>
      <c r="BA58" s="188">
        <v>56933580.289999999</v>
      </c>
      <c r="BB58" s="188">
        <v>57074911.579999998</v>
      </c>
      <c r="BC58" s="188">
        <v>57229688</v>
      </c>
      <c r="BD58" s="188">
        <v>39766396</v>
      </c>
      <c r="BE58" s="188">
        <v>37656999.829999998</v>
      </c>
      <c r="BF58" s="188">
        <v>37699499.840000004</v>
      </c>
      <c r="BG58" s="188">
        <v>128704.85</v>
      </c>
      <c r="BH58" s="188">
        <v>171204.86</v>
      </c>
      <c r="BI58" s="188">
        <v>213704.87</v>
      </c>
      <c r="BJ58" s="188">
        <v>256204.88</v>
      </c>
      <c r="BK58" s="188">
        <v>297499.89</v>
      </c>
      <c r="BL58" s="188">
        <v>339999.9</v>
      </c>
      <c r="BM58" s="188">
        <v>382499.91</v>
      </c>
      <c r="BN58" s="188">
        <v>424999.92</v>
      </c>
      <c r="BO58" s="188">
        <v>467499.93</v>
      </c>
      <c r="BP58" s="188">
        <v>509999.94</v>
      </c>
      <c r="BQ58" s="188">
        <v>552499.94999999995</v>
      </c>
      <c r="BR58" s="188">
        <v>594999.96</v>
      </c>
      <c r="BS58" s="188">
        <v>679999.98</v>
      </c>
      <c r="BT58" s="188">
        <v>765000</v>
      </c>
      <c r="BU58" s="188">
        <v>935000</v>
      </c>
      <c r="BV58" s="188">
        <v>0</v>
      </c>
      <c r="BW58" s="188">
        <v>0</v>
      </c>
      <c r="BX58" s="188"/>
      <c r="BY58" s="188"/>
      <c r="BZ58" s="188"/>
      <c r="CA58" s="188"/>
      <c r="CB58" s="188"/>
      <c r="CC58" s="188"/>
      <c r="CD58" s="188"/>
      <c r="CE58" s="188"/>
      <c r="CF58" s="188"/>
      <c r="CG58" s="188"/>
      <c r="CH58" s="188"/>
      <c r="CI58" s="188"/>
      <c r="CJ58" s="188"/>
      <c r="CK58" s="188"/>
      <c r="CL58" s="188"/>
    </row>
    <row r="59" spans="1:90" s="191" customFormat="1">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c r="BT59" s="188">
        <v>0</v>
      </c>
      <c r="BU59" s="188">
        <v>0</v>
      </c>
      <c r="BV59" s="188">
        <v>0</v>
      </c>
      <c r="BW59" s="188">
        <v>0</v>
      </c>
      <c r="BX59" s="188"/>
      <c r="BY59" s="188"/>
      <c r="BZ59" s="188"/>
      <c r="CA59" s="188"/>
      <c r="CB59" s="188"/>
      <c r="CC59" s="188"/>
      <c r="CD59" s="188"/>
      <c r="CE59" s="188"/>
      <c r="CF59" s="188"/>
      <c r="CG59" s="188"/>
      <c r="CH59" s="188"/>
      <c r="CI59" s="188"/>
      <c r="CJ59" s="188"/>
      <c r="CK59" s="188"/>
      <c r="CL59" s="188"/>
    </row>
    <row r="60" spans="1:90" s="191" customFormat="1">
      <c r="A60" s="191" t="s">
        <v>42</v>
      </c>
      <c r="B60" s="188">
        <v>0</v>
      </c>
      <c r="C60" s="188">
        <v>0</v>
      </c>
      <c r="D60" s="188">
        <v>0</v>
      </c>
      <c r="E60" s="188">
        <v>0</v>
      </c>
      <c r="F60" s="188">
        <v>0</v>
      </c>
      <c r="G60" s="188">
        <v>0</v>
      </c>
      <c r="H60" s="188">
        <v>0</v>
      </c>
      <c r="I60" s="188">
        <v>0</v>
      </c>
      <c r="J60" s="188">
        <v>0</v>
      </c>
      <c r="K60" s="188">
        <v>0</v>
      </c>
      <c r="L60" s="188">
        <v>0</v>
      </c>
      <c r="M60" s="188">
        <v>0</v>
      </c>
      <c r="N60" s="188">
        <v>0</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0</v>
      </c>
      <c r="AQ60" s="188">
        <v>0</v>
      </c>
      <c r="AR60" s="188">
        <v>0</v>
      </c>
      <c r="AS60" s="188">
        <v>0</v>
      </c>
      <c r="AT60" s="188">
        <v>0</v>
      </c>
      <c r="AU60" s="188">
        <v>0</v>
      </c>
      <c r="AV60" s="188">
        <v>0</v>
      </c>
      <c r="AW60" s="188">
        <v>0</v>
      </c>
      <c r="AX60" s="188">
        <v>0</v>
      </c>
      <c r="AY60" s="188">
        <v>0</v>
      </c>
      <c r="AZ60" s="188">
        <v>0</v>
      </c>
      <c r="BA60" s="188">
        <v>0</v>
      </c>
      <c r="BB60" s="188">
        <v>0</v>
      </c>
      <c r="BC60" s="188">
        <v>0</v>
      </c>
      <c r="BD60" s="188">
        <v>0</v>
      </c>
      <c r="BE60" s="188">
        <v>0</v>
      </c>
      <c r="BF60" s="188">
        <v>0</v>
      </c>
      <c r="BG60" s="188">
        <v>0</v>
      </c>
      <c r="BH60" s="188">
        <v>0</v>
      </c>
      <c r="BI60" s="188">
        <v>0</v>
      </c>
      <c r="BJ60" s="188">
        <v>0</v>
      </c>
      <c r="BK60" s="188">
        <v>0</v>
      </c>
      <c r="BL60" s="188">
        <v>0</v>
      </c>
      <c r="BM60" s="188">
        <v>0</v>
      </c>
      <c r="BN60" s="188">
        <v>0</v>
      </c>
      <c r="BO60" s="188">
        <v>0</v>
      </c>
      <c r="BP60" s="188">
        <v>0</v>
      </c>
      <c r="BQ60" s="188">
        <v>0</v>
      </c>
      <c r="BR60" s="188">
        <v>0</v>
      </c>
      <c r="BS60" s="188">
        <v>0</v>
      </c>
      <c r="BT60" s="188">
        <v>0</v>
      </c>
      <c r="BU60" s="188">
        <v>0</v>
      </c>
      <c r="BV60" s="188">
        <v>0</v>
      </c>
      <c r="BW60" s="188">
        <v>0</v>
      </c>
      <c r="BX60" s="188"/>
      <c r="BY60" s="188"/>
      <c r="BZ60" s="188"/>
      <c r="CA60" s="188"/>
      <c r="CB60" s="188"/>
      <c r="CC60" s="188"/>
      <c r="CD60" s="188"/>
      <c r="CE60" s="188"/>
      <c r="CF60" s="188"/>
      <c r="CG60" s="188"/>
      <c r="CH60" s="188"/>
      <c r="CI60" s="188"/>
      <c r="CJ60" s="188"/>
      <c r="CK60" s="188"/>
      <c r="CL60" s="188"/>
    </row>
    <row r="61" spans="1:90" s="191" customFormat="1">
      <c r="A61" s="191" t="s">
        <v>43</v>
      </c>
      <c r="B61" s="188">
        <v>168414678.77000001</v>
      </c>
      <c r="C61" s="188">
        <v>170268035.13</v>
      </c>
      <c r="D61" s="188">
        <v>172798581.59999999</v>
      </c>
      <c r="E61" s="188">
        <v>175329128.06999999</v>
      </c>
      <c r="F61" s="188">
        <v>177859674.53999999</v>
      </c>
      <c r="G61" s="188">
        <v>180381853.66999999</v>
      </c>
      <c r="H61" s="188">
        <v>182978339.78</v>
      </c>
      <c r="I61" s="188">
        <v>185603910.53</v>
      </c>
      <c r="J61" s="188">
        <v>188118776.50999999</v>
      </c>
      <c r="K61" s="188">
        <v>190287366.19999999</v>
      </c>
      <c r="L61" s="188">
        <v>192922015.68000001</v>
      </c>
      <c r="M61" s="188">
        <v>195934362.53999999</v>
      </c>
      <c r="N61" s="188">
        <v>198603537.81</v>
      </c>
      <c r="O61" s="188">
        <v>202031249.06</v>
      </c>
      <c r="P61" s="188">
        <v>2963228.01</v>
      </c>
      <c r="Q61" s="188">
        <v>4437945.83</v>
      </c>
      <c r="R61" s="188">
        <v>5408286.8300000001</v>
      </c>
      <c r="S61" s="188">
        <v>5917951.8899999997</v>
      </c>
      <c r="T61" s="188">
        <v>6799810.7400000002</v>
      </c>
      <c r="U61" s="188">
        <v>7196207.0800000001</v>
      </c>
      <c r="V61" s="188">
        <v>8048744.96</v>
      </c>
      <c r="W61" s="188">
        <v>8736497.5999999996</v>
      </c>
      <c r="X61" s="188">
        <v>8234551.5099999998</v>
      </c>
      <c r="Y61" s="188">
        <v>9205790.4700000007</v>
      </c>
      <c r="Z61" s="188">
        <v>10177029.43</v>
      </c>
      <c r="AA61" s="188">
        <v>11148268.390000001</v>
      </c>
      <c r="AB61" s="188">
        <v>11885526.800000001</v>
      </c>
      <c r="AC61" s="188">
        <v>12845444.119999999</v>
      </c>
      <c r="AD61" s="188">
        <v>13805361.439999999</v>
      </c>
      <c r="AE61" s="188">
        <v>16893673.399999999</v>
      </c>
      <c r="AF61" s="188">
        <v>17838414.5</v>
      </c>
      <c r="AG61" s="188">
        <v>18202831.82</v>
      </c>
      <c r="AH61" s="188">
        <v>18701578.16</v>
      </c>
      <c r="AI61" s="188">
        <v>19768820.690000001</v>
      </c>
      <c r="AJ61" s="188">
        <v>18891838.010000002</v>
      </c>
      <c r="AK61" s="188">
        <v>20112027.370000001</v>
      </c>
      <c r="AL61" s="188">
        <v>21469624.809999999</v>
      </c>
      <c r="AM61" s="188">
        <v>3152879.4</v>
      </c>
      <c r="AN61" s="188">
        <v>5462382.6500000004</v>
      </c>
      <c r="AO61" s="188">
        <v>7803175.4299999997</v>
      </c>
      <c r="AP61" s="188">
        <v>10146520.77</v>
      </c>
      <c r="AQ61" s="188">
        <v>8582962.8599999994</v>
      </c>
      <c r="AR61" s="188">
        <v>11461634.75</v>
      </c>
      <c r="AS61" s="188">
        <v>13941111.949999999</v>
      </c>
      <c r="AT61" s="188">
        <v>12477325.460000001</v>
      </c>
      <c r="AU61" s="188">
        <v>36691360.520000003</v>
      </c>
      <c r="AV61" s="188">
        <v>70552699.730000004</v>
      </c>
      <c r="AW61" s="188">
        <v>68191994.959999993</v>
      </c>
      <c r="AX61" s="188">
        <v>68459874.909999996</v>
      </c>
      <c r="AY61" s="188">
        <v>64111146.829999998</v>
      </c>
      <c r="AZ61" s="188">
        <v>60712606.950000003</v>
      </c>
      <c r="BA61" s="188">
        <v>58279125.240000002</v>
      </c>
      <c r="BB61" s="188">
        <v>60377239.579999998</v>
      </c>
      <c r="BC61" s="188">
        <v>58900390.140000001</v>
      </c>
      <c r="BD61" s="188">
        <v>52057433.049999997</v>
      </c>
      <c r="BE61" s="188">
        <v>49971049.43</v>
      </c>
      <c r="BF61" s="188">
        <v>50939036</v>
      </c>
      <c r="BG61" s="188">
        <v>55014337.399999999</v>
      </c>
      <c r="BH61" s="188">
        <v>49561075.75</v>
      </c>
      <c r="BI61" s="188">
        <v>45668919.369999997</v>
      </c>
      <c r="BJ61" s="188">
        <v>33607508.119999997</v>
      </c>
      <c r="BK61" s="188">
        <v>28195069.550000001</v>
      </c>
      <c r="BL61" s="188">
        <v>25847208.399999999</v>
      </c>
      <c r="BM61" s="188">
        <v>25173397.5</v>
      </c>
      <c r="BN61" s="188">
        <v>22221522.309999999</v>
      </c>
      <c r="BO61" s="188">
        <v>18148500.66</v>
      </c>
      <c r="BP61" s="188">
        <v>18219423.449999999</v>
      </c>
      <c r="BQ61" s="188">
        <v>16908806.059999999</v>
      </c>
      <c r="BR61" s="188">
        <v>16579763.939999999</v>
      </c>
      <c r="BS61" s="188">
        <v>16168889.27</v>
      </c>
      <c r="BT61" s="188">
        <v>11574814.359999999</v>
      </c>
      <c r="BU61" s="188">
        <v>8442496.9499999993</v>
      </c>
      <c r="BV61" s="188">
        <v>7917934.4500000002</v>
      </c>
      <c r="BW61" s="188">
        <v>0</v>
      </c>
      <c r="BX61" s="188"/>
      <c r="BY61" s="188"/>
      <c r="BZ61" s="188"/>
      <c r="CA61" s="188"/>
      <c r="CB61" s="188"/>
      <c r="CC61" s="188"/>
      <c r="CD61" s="188"/>
      <c r="CE61" s="188"/>
      <c r="CF61" s="188"/>
      <c r="CG61" s="188"/>
      <c r="CH61" s="188"/>
      <c r="CI61" s="188"/>
      <c r="CJ61" s="188"/>
      <c r="CK61" s="188"/>
      <c r="CL61" s="188"/>
    </row>
    <row r="62" spans="1:90" s="191" customFormat="1">
      <c r="A62" s="191" t="s">
        <v>44</v>
      </c>
      <c r="B62" s="188">
        <v>1049294821.45</v>
      </c>
      <c r="C62" s="188">
        <v>1442247963.4000001</v>
      </c>
      <c r="D62" s="188">
        <v>1216138278.1400001</v>
      </c>
      <c r="E62" s="188">
        <v>1399765939.0599999</v>
      </c>
      <c r="F62" s="188">
        <v>1401797361.77</v>
      </c>
      <c r="G62" s="188">
        <v>2019358117.1199999</v>
      </c>
      <c r="H62" s="188">
        <v>1835447883.46</v>
      </c>
      <c r="I62" s="188">
        <v>1845145948.6800001</v>
      </c>
      <c r="J62" s="188">
        <v>1745539120.6800001</v>
      </c>
      <c r="K62" s="188">
        <v>901987637.61000001</v>
      </c>
      <c r="L62" s="188">
        <v>895245348.82000005</v>
      </c>
      <c r="M62" s="188">
        <v>887280412.58000004</v>
      </c>
      <c r="N62" s="188">
        <v>1155336074.1400001</v>
      </c>
      <c r="O62" s="188">
        <v>767938421.36000001</v>
      </c>
      <c r="P62" s="188">
        <v>548714031.45000005</v>
      </c>
      <c r="Q62" s="188">
        <v>743599436.94000006</v>
      </c>
      <c r="R62" s="188">
        <v>821601105.71000004</v>
      </c>
      <c r="S62" s="188">
        <v>950518493.65999997</v>
      </c>
      <c r="T62" s="188">
        <v>960373469.90999997</v>
      </c>
      <c r="U62" s="188">
        <v>804831808.55999994</v>
      </c>
      <c r="V62" s="188">
        <v>825372524.64999998</v>
      </c>
      <c r="W62" s="188">
        <v>627749883.44000006</v>
      </c>
      <c r="X62" s="188">
        <v>302817568.36000001</v>
      </c>
      <c r="Y62" s="188">
        <v>567395099.30999994</v>
      </c>
      <c r="Z62" s="188">
        <v>643656913.32000005</v>
      </c>
      <c r="AA62" s="188">
        <v>282149572.67000002</v>
      </c>
      <c r="AB62" s="188">
        <v>381631064.63</v>
      </c>
      <c r="AC62" s="188">
        <v>478727366.87</v>
      </c>
      <c r="AD62" s="188">
        <v>502628950.52999997</v>
      </c>
      <c r="AE62" s="188">
        <v>356389121.89999998</v>
      </c>
      <c r="AF62" s="188">
        <v>284320662.57999998</v>
      </c>
      <c r="AG62" s="188">
        <v>310887789.67000002</v>
      </c>
      <c r="AH62" s="188">
        <v>278437938.97000003</v>
      </c>
      <c r="AI62" s="188">
        <v>257933326.34999999</v>
      </c>
      <c r="AJ62" s="188">
        <v>166372214.52000001</v>
      </c>
      <c r="AK62" s="188">
        <v>197205662.94</v>
      </c>
      <c r="AL62" s="188">
        <v>225420802.13999999</v>
      </c>
      <c r="AM62" s="188">
        <v>101887756.67</v>
      </c>
      <c r="AN62" s="188">
        <v>93737740.640000001</v>
      </c>
      <c r="AO62" s="188">
        <v>191547177.25</v>
      </c>
      <c r="AP62" s="188">
        <v>176680977.53999999</v>
      </c>
      <c r="AQ62" s="188">
        <v>68169347.540000007</v>
      </c>
      <c r="AR62" s="188">
        <v>49096749.719999999</v>
      </c>
      <c r="AS62" s="188">
        <v>72160364.549999997</v>
      </c>
      <c r="AT62" s="188">
        <v>52849560.43</v>
      </c>
      <c r="AU62" s="188">
        <v>36966481.409999996</v>
      </c>
      <c r="AV62" s="188">
        <v>36799639.740000002</v>
      </c>
      <c r="AW62" s="188">
        <v>51325209.009999998</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v>0</v>
      </c>
      <c r="BM62" s="188">
        <v>0</v>
      </c>
      <c r="BN62" s="188">
        <v>0</v>
      </c>
      <c r="BO62" s="188">
        <v>0</v>
      </c>
      <c r="BP62" s="188">
        <v>0</v>
      </c>
      <c r="BQ62" s="188">
        <v>0</v>
      </c>
      <c r="BR62" s="188">
        <v>0</v>
      </c>
      <c r="BS62" s="188">
        <v>0</v>
      </c>
      <c r="BT62" s="188">
        <v>0</v>
      </c>
      <c r="BU62" s="188">
        <v>0</v>
      </c>
      <c r="BV62" s="188">
        <v>0</v>
      </c>
      <c r="BW62" s="188">
        <v>0</v>
      </c>
      <c r="BX62" s="188"/>
      <c r="BY62" s="188"/>
      <c r="BZ62" s="188"/>
      <c r="CA62" s="188"/>
      <c r="CB62" s="188"/>
      <c r="CC62" s="188"/>
      <c r="CD62" s="188"/>
      <c r="CE62" s="188"/>
      <c r="CF62" s="188"/>
      <c r="CG62" s="188"/>
      <c r="CH62" s="188"/>
      <c r="CI62" s="188"/>
      <c r="CJ62" s="188"/>
      <c r="CK62" s="188"/>
      <c r="CL62" s="188"/>
    </row>
    <row r="63" spans="1:90" s="191" customFormat="1">
      <c r="A63" s="191" t="s">
        <v>45</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v>0</v>
      </c>
      <c r="BM63" s="188">
        <v>0</v>
      </c>
      <c r="BN63" s="188">
        <v>0</v>
      </c>
      <c r="BO63" s="188">
        <v>0</v>
      </c>
      <c r="BP63" s="188">
        <v>0</v>
      </c>
      <c r="BQ63" s="188">
        <v>0</v>
      </c>
      <c r="BR63" s="188">
        <v>0</v>
      </c>
      <c r="BS63" s="188">
        <v>0</v>
      </c>
      <c r="BT63" s="188">
        <v>0</v>
      </c>
      <c r="BU63" s="188">
        <v>0</v>
      </c>
      <c r="BV63" s="188">
        <v>0</v>
      </c>
      <c r="BW63" s="188">
        <v>0</v>
      </c>
      <c r="BX63" s="188"/>
      <c r="BY63" s="188"/>
      <c r="BZ63" s="188"/>
      <c r="CA63" s="188"/>
      <c r="CB63" s="188"/>
      <c r="CC63" s="188"/>
      <c r="CD63" s="188"/>
      <c r="CE63" s="188"/>
      <c r="CF63" s="188"/>
      <c r="CG63" s="188"/>
      <c r="CH63" s="188"/>
      <c r="CI63" s="188"/>
      <c r="CJ63" s="188"/>
      <c r="CK63" s="188"/>
      <c r="CL63" s="188"/>
    </row>
    <row r="64" spans="1:90" s="191" customFormat="1">
      <c r="A64" s="191" t="s">
        <v>46</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v>0</v>
      </c>
      <c r="BM64" s="188">
        <v>0</v>
      </c>
      <c r="BN64" s="188">
        <v>0</v>
      </c>
      <c r="BO64" s="188">
        <v>0</v>
      </c>
      <c r="BP64" s="188">
        <v>0</v>
      </c>
      <c r="BQ64" s="188">
        <v>0</v>
      </c>
      <c r="BR64" s="188">
        <v>0</v>
      </c>
      <c r="BS64" s="188">
        <v>0</v>
      </c>
      <c r="BT64" s="188">
        <v>0</v>
      </c>
      <c r="BU64" s="188">
        <v>0</v>
      </c>
      <c r="BV64" s="188">
        <v>0</v>
      </c>
      <c r="BW64" s="188">
        <v>0</v>
      </c>
      <c r="BX64" s="188"/>
      <c r="BY64" s="188"/>
      <c r="BZ64" s="188"/>
      <c r="CA64" s="188"/>
      <c r="CB64" s="188"/>
      <c r="CC64" s="188"/>
      <c r="CD64" s="188"/>
      <c r="CE64" s="188"/>
      <c r="CF64" s="188"/>
      <c r="CG64" s="188"/>
      <c r="CH64" s="188"/>
      <c r="CI64" s="188"/>
      <c r="CJ64" s="188"/>
      <c r="CK64" s="188"/>
      <c r="CL64" s="188"/>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25" t="s">
        <v>47</v>
      </c>
      <c r="B68" s="36">
        <f>SUM(B52:B64)-2*B63</f>
        <v>21919764428.440002</v>
      </c>
      <c r="C68" s="36">
        <f t="shared" ref="C68:BN68" si="8">SUM(C52:C64)-2*C63</f>
        <v>22244873408.830002</v>
      </c>
      <c r="D68" s="36">
        <f t="shared" si="8"/>
        <v>22104028347.879997</v>
      </c>
      <c r="E68" s="36">
        <f t="shared" si="8"/>
        <v>22568962179.689999</v>
      </c>
      <c r="F68" s="36">
        <f t="shared" si="8"/>
        <v>22298780913.480003</v>
      </c>
      <c r="G68" s="36">
        <f t="shared" si="8"/>
        <v>22918491342.999996</v>
      </c>
      <c r="H68" s="36">
        <f t="shared" si="8"/>
        <v>22731699774.959999</v>
      </c>
      <c r="I68" s="36">
        <f t="shared" si="8"/>
        <v>22817594707.380001</v>
      </c>
      <c r="J68" s="36">
        <f t="shared" si="8"/>
        <v>22664155957.809998</v>
      </c>
      <c r="K68" s="36">
        <f t="shared" si="8"/>
        <v>21444273234.480003</v>
      </c>
      <c r="L68" s="36">
        <f t="shared" si="8"/>
        <v>21392393700.330002</v>
      </c>
      <c r="M68" s="36">
        <f t="shared" si="8"/>
        <v>21411153404.440002</v>
      </c>
      <c r="N68" s="36">
        <f t="shared" si="8"/>
        <v>21248449399.18</v>
      </c>
      <c r="O68" s="36">
        <f t="shared" si="8"/>
        <v>20211532117.090004</v>
      </c>
      <c r="P68" s="36">
        <f t="shared" si="8"/>
        <v>18987964757.829998</v>
      </c>
      <c r="Q68" s="36">
        <f t="shared" si="8"/>
        <v>18230836536.52</v>
      </c>
      <c r="R68" s="36">
        <f t="shared" si="8"/>
        <v>18207426150.310001</v>
      </c>
      <c r="S68" s="36">
        <f t="shared" si="8"/>
        <v>16579195222.92</v>
      </c>
      <c r="T68" s="36">
        <f t="shared" si="8"/>
        <v>16508024564.630001</v>
      </c>
      <c r="U68" s="36">
        <f t="shared" si="8"/>
        <v>15510262009.01</v>
      </c>
      <c r="V68" s="36">
        <f t="shared" si="8"/>
        <v>13378039742.819998</v>
      </c>
      <c r="W68" s="36">
        <f t="shared" si="8"/>
        <v>9354840713.1000004</v>
      </c>
      <c r="X68" s="36">
        <f t="shared" si="8"/>
        <v>8883733311.7900009</v>
      </c>
      <c r="Y68" s="36">
        <f t="shared" si="8"/>
        <v>8992122215.5200005</v>
      </c>
      <c r="Z68" s="36">
        <f t="shared" si="8"/>
        <v>8719132339.5799999</v>
      </c>
      <c r="AA68" s="36">
        <f t="shared" si="8"/>
        <v>7294983711.5200014</v>
      </c>
      <c r="AB68" s="36">
        <f t="shared" si="8"/>
        <v>7233172510.8199997</v>
      </c>
      <c r="AC68" s="36">
        <f t="shared" si="8"/>
        <v>7120957543.2699995</v>
      </c>
      <c r="AD68" s="36">
        <f t="shared" si="8"/>
        <v>7007236794.9799995</v>
      </c>
      <c r="AE68" s="36">
        <f t="shared" si="8"/>
        <v>5843593182.6300001</v>
      </c>
      <c r="AF68" s="36">
        <f t="shared" si="8"/>
        <v>5386664776.8999996</v>
      </c>
      <c r="AG68" s="36">
        <f t="shared" si="8"/>
        <v>5340910754.6800003</v>
      </c>
      <c r="AH68" s="36">
        <f t="shared" si="8"/>
        <v>5223295112.3800001</v>
      </c>
      <c r="AI68" s="36">
        <f t="shared" si="8"/>
        <v>4790322092.2399998</v>
      </c>
      <c r="AJ68" s="36">
        <f t="shared" si="8"/>
        <v>4686522574.4800005</v>
      </c>
      <c r="AK68" s="36">
        <f t="shared" si="8"/>
        <v>4209497907.4599996</v>
      </c>
      <c r="AL68" s="36">
        <f t="shared" si="8"/>
        <v>4100037784.3299999</v>
      </c>
      <c r="AM68" s="36">
        <f t="shared" si="8"/>
        <v>3862081948.3500004</v>
      </c>
      <c r="AN68" s="36">
        <f t="shared" si="8"/>
        <v>3725937589.1599998</v>
      </c>
      <c r="AO68" s="36">
        <f t="shared" si="8"/>
        <v>3672677824.8999996</v>
      </c>
      <c r="AP68" s="36">
        <f t="shared" si="8"/>
        <v>3467436953.5099998</v>
      </c>
      <c r="AQ68" s="36">
        <f t="shared" si="8"/>
        <v>3698014271</v>
      </c>
      <c r="AR68" s="36">
        <f t="shared" si="8"/>
        <v>3485080172.4299998</v>
      </c>
      <c r="AS68" s="36">
        <f t="shared" si="8"/>
        <v>3297338900.5300002</v>
      </c>
      <c r="AT68" s="36">
        <f t="shared" si="8"/>
        <v>3147968937.0299997</v>
      </c>
      <c r="AU68" s="36">
        <f t="shared" si="8"/>
        <v>3024136003.2399998</v>
      </c>
      <c r="AV68" s="36">
        <f t="shared" si="8"/>
        <v>2890999545.0699997</v>
      </c>
      <c r="AW68" s="36">
        <f t="shared" si="8"/>
        <v>2781515402.9900002</v>
      </c>
      <c r="AX68" s="36">
        <f t="shared" si="8"/>
        <v>2584084817.4099994</v>
      </c>
      <c r="AY68" s="36">
        <f t="shared" si="8"/>
        <v>2439622324.4800005</v>
      </c>
      <c r="AZ68" s="36">
        <f t="shared" si="8"/>
        <v>2253040524.3499999</v>
      </c>
      <c r="BA68" s="36">
        <f t="shared" si="8"/>
        <v>2105395904.1500001</v>
      </c>
      <c r="BB68" s="36">
        <f t="shared" si="8"/>
        <v>2027833159.6499999</v>
      </c>
      <c r="BC68" s="36">
        <f t="shared" si="8"/>
        <v>1895118116.76</v>
      </c>
      <c r="BD68" s="36">
        <f t="shared" si="8"/>
        <v>1771037857.3700001</v>
      </c>
      <c r="BE68" s="36">
        <f t="shared" si="8"/>
        <v>1675782383.1600001</v>
      </c>
      <c r="BF68" s="36">
        <f t="shared" si="8"/>
        <v>1591199412.04</v>
      </c>
      <c r="BG68" s="36">
        <f t="shared" si="8"/>
        <v>1459570659.4500003</v>
      </c>
      <c r="BH68" s="36">
        <f t="shared" si="8"/>
        <v>1394793760.2599998</v>
      </c>
      <c r="BI68" s="36">
        <f t="shared" si="8"/>
        <v>1328300138.5599997</v>
      </c>
      <c r="BJ68" s="36">
        <f t="shared" si="8"/>
        <v>1196336776.9300001</v>
      </c>
      <c r="BK68" s="36">
        <f t="shared" si="8"/>
        <v>1161910893.28</v>
      </c>
      <c r="BL68" s="36">
        <f t="shared" si="8"/>
        <v>1088933336.0799999</v>
      </c>
      <c r="BM68" s="36">
        <f t="shared" si="8"/>
        <v>1015774319.86</v>
      </c>
      <c r="BN68" s="36">
        <f t="shared" si="8"/>
        <v>935648707.24999988</v>
      </c>
      <c r="BO68" s="36">
        <f t="shared" ref="BO68:CK68" si="9">SUM(BO52:BO64)-2*BO63</f>
        <v>855601030.65999997</v>
      </c>
      <c r="BP68" s="36">
        <f t="shared" si="9"/>
        <v>744821426.96000004</v>
      </c>
      <c r="BQ68" s="36">
        <f t="shared" si="9"/>
        <v>611201680.95000005</v>
      </c>
      <c r="BR68" s="36">
        <f t="shared" si="9"/>
        <v>593463444.28000009</v>
      </c>
      <c r="BS68" s="36">
        <f t="shared" si="9"/>
        <v>194684528.31999999</v>
      </c>
      <c r="BT68" s="36">
        <f t="shared" si="9"/>
        <v>198886333.54000002</v>
      </c>
      <c r="BU68" s="36">
        <f t="shared" si="9"/>
        <v>194339652.84999999</v>
      </c>
      <c r="BV68" s="36">
        <f t="shared" si="9"/>
        <v>220941379.79999998</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26" t="s">
        <v>48</v>
      </c>
      <c r="B69" s="33">
        <f>B50+B68</f>
        <v>17919929804.420006</v>
      </c>
      <c r="C69" s="33">
        <f t="shared" ref="C69:BN69" si="10">C50+C68</f>
        <v>24965095220.68</v>
      </c>
      <c r="D69" s="33">
        <f t="shared" si="10"/>
        <v>27997821955.169998</v>
      </c>
      <c r="E69" s="33">
        <f t="shared" si="10"/>
        <v>25620543530.799999</v>
      </c>
      <c r="F69" s="33">
        <f t="shared" si="10"/>
        <v>18333177293.660004</v>
      </c>
      <c r="G69" s="33">
        <f t="shared" si="10"/>
        <v>19038618531.790001</v>
      </c>
      <c r="H69" s="33">
        <f t="shared" si="10"/>
        <v>22375469750.970001</v>
      </c>
      <c r="I69" s="33">
        <f t="shared" si="10"/>
        <v>19819663109.770004</v>
      </c>
      <c r="J69" s="33">
        <f t="shared" si="10"/>
        <v>19236142330.050003</v>
      </c>
      <c r="K69" s="33">
        <f t="shared" si="10"/>
        <v>21462163431.490002</v>
      </c>
      <c r="L69" s="33">
        <f t="shared" si="10"/>
        <v>32248320744.110001</v>
      </c>
      <c r="M69" s="33">
        <f t="shared" si="10"/>
        <v>33465523930.550003</v>
      </c>
      <c r="N69" s="33">
        <f t="shared" si="10"/>
        <v>35294605221.290001</v>
      </c>
      <c r="O69" s="33">
        <f t="shared" si="10"/>
        <v>37578209319.600006</v>
      </c>
      <c r="P69" s="33">
        <f t="shared" si="10"/>
        <v>36261021443.699997</v>
      </c>
      <c r="Q69" s="33">
        <f t="shared" si="10"/>
        <v>34165256625.169998</v>
      </c>
      <c r="R69" s="33">
        <f t="shared" si="10"/>
        <v>31459788629.68</v>
      </c>
      <c r="S69" s="33">
        <f t="shared" si="10"/>
        <v>31513581175.470001</v>
      </c>
      <c r="T69" s="33">
        <f t="shared" si="10"/>
        <v>29600828359.630001</v>
      </c>
      <c r="U69" s="33">
        <f t="shared" si="10"/>
        <v>27005784131.07</v>
      </c>
      <c r="V69" s="33">
        <f t="shared" si="10"/>
        <v>21411529282.779999</v>
      </c>
      <c r="W69" s="33">
        <f t="shared" si="10"/>
        <v>20665520717.809998</v>
      </c>
      <c r="X69" s="33">
        <f t="shared" si="10"/>
        <v>20864084058.559998</v>
      </c>
      <c r="Y69" s="33">
        <f t="shared" si="10"/>
        <v>17266112795.889999</v>
      </c>
      <c r="Z69" s="33">
        <f t="shared" si="10"/>
        <v>13073423733.859999</v>
      </c>
      <c r="AA69" s="33">
        <f t="shared" si="10"/>
        <v>13177266167.59</v>
      </c>
      <c r="AB69" s="33">
        <f t="shared" si="10"/>
        <v>11388895016.580002</v>
      </c>
      <c r="AC69" s="33">
        <f t="shared" si="10"/>
        <v>9472857395.9499989</v>
      </c>
      <c r="AD69" s="33">
        <f t="shared" si="10"/>
        <v>6859506689.1999989</v>
      </c>
      <c r="AE69" s="33">
        <f t="shared" si="10"/>
        <v>4780928465.1400023</v>
      </c>
      <c r="AF69" s="33">
        <f t="shared" si="10"/>
        <v>6330739827.5599995</v>
      </c>
      <c r="AG69" s="33">
        <f t="shared" si="10"/>
        <v>4757328279.9800014</v>
      </c>
      <c r="AH69" s="33">
        <f t="shared" si="10"/>
        <v>5872851576.2800007</v>
      </c>
      <c r="AI69" s="33">
        <f t="shared" si="10"/>
        <v>6774650753.2599993</v>
      </c>
      <c r="AJ69" s="33">
        <f t="shared" si="10"/>
        <v>7541572650</v>
      </c>
      <c r="AK69" s="33">
        <f t="shared" si="10"/>
        <v>6001329308.4499989</v>
      </c>
      <c r="AL69" s="33">
        <f t="shared" si="10"/>
        <v>5029708301.5900011</v>
      </c>
      <c r="AM69" s="33">
        <f t="shared" si="10"/>
        <v>6287723893.2299995</v>
      </c>
      <c r="AN69" s="33">
        <f t="shared" si="10"/>
        <v>6397372476.7400007</v>
      </c>
      <c r="AO69" s="33">
        <f t="shared" si="10"/>
        <v>5059053107.4699993</v>
      </c>
      <c r="AP69" s="33">
        <f t="shared" si="10"/>
        <v>3360912854.7899995</v>
      </c>
      <c r="AQ69" s="33">
        <f t="shared" si="10"/>
        <v>4476893441.9700003</v>
      </c>
      <c r="AR69" s="33">
        <f t="shared" si="10"/>
        <v>4863768054.29</v>
      </c>
      <c r="AS69" s="33">
        <f t="shared" si="10"/>
        <v>3720424578.7800002</v>
      </c>
      <c r="AT69" s="33">
        <f t="shared" si="10"/>
        <v>3622372028.46</v>
      </c>
      <c r="AU69" s="33">
        <f t="shared" si="10"/>
        <v>2176691346.0199995</v>
      </c>
      <c r="AV69" s="33">
        <f t="shared" si="10"/>
        <v>2067789212.2799997</v>
      </c>
      <c r="AW69" s="33">
        <f t="shared" si="10"/>
        <v>1891810367.920001</v>
      </c>
      <c r="AX69" s="33">
        <f t="shared" si="10"/>
        <v>1486635400.0999994</v>
      </c>
      <c r="AY69" s="33">
        <f t="shared" si="10"/>
        <v>1377391992.3499999</v>
      </c>
      <c r="AZ69" s="33">
        <f t="shared" si="10"/>
        <v>1631145242.6799998</v>
      </c>
      <c r="BA69" s="33">
        <f t="shared" si="10"/>
        <v>1688319464.6699998</v>
      </c>
      <c r="BB69" s="33">
        <f t="shared" si="10"/>
        <v>1307063952.8499997</v>
      </c>
      <c r="BC69" s="33">
        <f t="shared" si="10"/>
        <v>1588346585.8</v>
      </c>
      <c r="BD69" s="33">
        <f t="shared" si="10"/>
        <v>1655608553.8800004</v>
      </c>
      <c r="BE69" s="33">
        <f t="shared" si="10"/>
        <v>1634730365.1000001</v>
      </c>
      <c r="BF69" s="33">
        <f t="shared" si="10"/>
        <v>1341054577.3899999</v>
      </c>
      <c r="BG69" s="33">
        <f t="shared" si="10"/>
        <v>1605676607.9200003</v>
      </c>
      <c r="BH69" s="33">
        <f t="shared" si="10"/>
        <v>1712813847.1399999</v>
      </c>
      <c r="BI69" s="33">
        <f t="shared" si="10"/>
        <v>1702963227.2399995</v>
      </c>
      <c r="BJ69" s="33">
        <f t="shared" si="10"/>
        <v>1141951027.0599999</v>
      </c>
      <c r="BK69" s="33">
        <f t="shared" si="10"/>
        <v>1428663361.3499999</v>
      </c>
      <c r="BL69" s="33">
        <f t="shared" si="10"/>
        <v>1657124345.98</v>
      </c>
      <c r="BM69" s="33">
        <f t="shared" si="10"/>
        <v>1481219769.5</v>
      </c>
      <c r="BN69" s="33">
        <f t="shared" si="10"/>
        <v>1156510605.9400001</v>
      </c>
      <c r="BO69" s="33">
        <f t="shared" ref="BO69:CL69" si="11">BO50+BO68</f>
        <v>1324772403.8</v>
      </c>
      <c r="BP69" s="33">
        <f t="shared" si="11"/>
        <v>1438216942.6100001</v>
      </c>
      <c r="BQ69" s="33">
        <f t="shared" si="11"/>
        <v>1049460358.12</v>
      </c>
      <c r="BR69" s="33">
        <f t="shared" si="11"/>
        <v>724202035.17000008</v>
      </c>
      <c r="BS69" s="33">
        <f t="shared" si="11"/>
        <v>501098351.51999992</v>
      </c>
      <c r="BT69" s="33">
        <f t="shared" si="11"/>
        <v>95396445.859999955</v>
      </c>
      <c r="BU69" s="33">
        <f t="shared" si="11"/>
        <v>258737224.83000001</v>
      </c>
      <c r="BV69" s="33">
        <f t="shared" si="11"/>
        <v>324658521.35000002</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27" t="s">
        <v>49</v>
      </c>
      <c r="B70" s="37">
        <f>B17+B19+B69</f>
        <v>130403686168.95001</v>
      </c>
      <c r="C70" s="37">
        <f t="shared" ref="C70:BN70" si="12">C17+C19+C69</f>
        <v>126170135854.10001</v>
      </c>
      <c r="D70" s="37">
        <f t="shared" si="12"/>
        <v>112111460912.81</v>
      </c>
      <c r="E70" s="37">
        <f t="shared" si="12"/>
        <v>113719127962.05</v>
      </c>
      <c r="F70" s="37">
        <f t="shared" si="12"/>
        <v>106505655822.89</v>
      </c>
      <c r="G70" s="37">
        <f t="shared" si="12"/>
        <v>100304234156.42999</v>
      </c>
      <c r="H70" s="37">
        <f t="shared" si="12"/>
        <v>96420957735.519989</v>
      </c>
      <c r="I70" s="37">
        <f t="shared" si="12"/>
        <v>93038921689.440018</v>
      </c>
      <c r="J70" s="37">
        <f t="shared" si="12"/>
        <v>86321842822.179993</v>
      </c>
      <c r="K70" s="37">
        <f t="shared" si="12"/>
        <v>83786221873.680008</v>
      </c>
      <c r="L70" s="37">
        <f t="shared" si="12"/>
        <v>80057188116.410004</v>
      </c>
      <c r="M70" s="37">
        <f t="shared" si="12"/>
        <v>77540333161.610001</v>
      </c>
      <c r="N70" s="37">
        <f t="shared" si="12"/>
        <v>72229202167.820007</v>
      </c>
      <c r="O70" s="37">
        <f t="shared" si="12"/>
        <v>68301112590.480003</v>
      </c>
      <c r="P70" s="37">
        <f t="shared" si="12"/>
        <v>66743865893.57</v>
      </c>
      <c r="Q70" s="37">
        <f t="shared" si="12"/>
        <v>62788380577.899994</v>
      </c>
      <c r="R70" s="37">
        <f t="shared" si="12"/>
        <v>59345919232.220001</v>
      </c>
      <c r="S70" s="37">
        <f t="shared" si="12"/>
        <v>54427056884.389999</v>
      </c>
      <c r="T70" s="37">
        <f t="shared" si="12"/>
        <v>50807882716.389999</v>
      </c>
      <c r="U70" s="37">
        <f t="shared" si="12"/>
        <v>50513113858.5</v>
      </c>
      <c r="V70" s="37">
        <f t="shared" si="12"/>
        <v>46929665261.690002</v>
      </c>
      <c r="W70" s="37">
        <f t="shared" si="12"/>
        <v>43046712748.440002</v>
      </c>
      <c r="X70" s="37">
        <f t="shared" si="12"/>
        <v>39430754998.509995</v>
      </c>
      <c r="Y70" s="37">
        <f t="shared" si="12"/>
        <v>39225149640.240005</v>
      </c>
      <c r="Z70" s="37">
        <f t="shared" si="12"/>
        <v>35454036397.25</v>
      </c>
      <c r="AA70" s="37">
        <f t="shared" si="12"/>
        <v>32187253924.760002</v>
      </c>
      <c r="AB70" s="37">
        <f t="shared" si="12"/>
        <v>32638540497.200001</v>
      </c>
      <c r="AC70" s="37">
        <f t="shared" si="12"/>
        <v>28532870402.029999</v>
      </c>
      <c r="AD70" s="37">
        <f t="shared" si="12"/>
        <v>25403379611.290001</v>
      </c>
      <c r="AE70" s="37">
        <f t="shared" si="12"/>
        <v>23309364007.230003</v>
      </c>
      <c r="AF70" s="37">
        <f t="shared" si="12"/>
        <v>23814033405.110001</v>
      </c>
      <c r="AG70" s="37">
        <f t="shared" si="12"/>
        <v>20859265220.550003</v>
      </c>
      <c r="AH70" s="37">
        <f t="shared" si="12"/>
        <v>18867973890.910004</v>
      </c>
      <c r="AI70" s="37">
        <f t="shared" si="12"/>
        <v>17942016871.77</v>
      </c>
      <c r="AJ70" s="37">
        <f t="shared" si="12"/>
        <v>17923877994.279999</v>
      </c>
      <c r="AK70" s="37">
        <f t="shared" si="12"/>
        <v>15995948192.019999</v>
      </c>
      <c r="AL70" s="37">
        <f t="shared" si="12"/>
        <v>14788773056.830002</v>
      </c>
      <c r="AM70" s="37">
        <f t="shared" si="12"/>
        <v>14215679731.029999</v>
      </c>
      <c r="AN70" s="37">
        <f t="shared" si="12"/>
        <v>14225618797.950001</v>
      </c>
      <c r="AO70" s="37">
        <f t="shared" si="12"/>
        <v>12780458863.77</v>
      </c>
      <c r="AP70" s="37">
        <f t="shared" si="12"/>
        <v>11503418295.949999</v>
      </c>
      <c r="AQ70" s="37">
        <f t="shared" si="12"/>
        <v>10922391711.51</v>
      </c>
      <c r="AR70" s="37">
        <f t="shared" si="12"/>
        <v>9972821285.0900002</v>
      </c>
      <c r="AS70" s="37">
        <f t="shared" si="12"/>
        <v>9327748223.0699997</v>
      </c>
      <c r="AT70" s="37">
        <f t="shared" si="12"/>
        <v>8410662728.4800005</v>
      </c>
      <c r="AU70" s="37">
        <f t="shared" si="12"/>
        <v>6994706282.3699999</v>
      </c>
      <c r="AV70" s="37">
        <f t="shared" si="12"/>
        <v>6942283668.4399996</v>
      </c>
      <c r="AW70" s="37">
        <f t="shared" si="12"/>
        <v>6611065299.210001</v>
      </c>
      <c r="AX70" s="37">
        <f t="shared" si="12"/>
        <v>6003989385.0299997</v>
      </c>
      <c r="AY70" s="37">
        <f t="shared" si="12"/>
        <v>5472067233.3999996</v>
      </c>
      <c r="AZ70" s="37">
        <f t="shared" si="12"/>
        <v>5060632616.039999</v>
      </c>
      <c r="BA70" s="37">
        <f t="shared" si="12"/>
        <v>5674270668.8800001</v>
      </c>
      <c r="BB70" s="37">
        <f t="shared" si="12"/>
        <v>5209296403.71</v>
      </c>
      <c r="BC70" s="37">
        <f t="shared" si="12"/>
        <v>4815192644.5100002</v>
      </c>
      <c r="BD70" s="37">
        <f t="shared" si="12"/>
        <v>4730662106.0300007</v>
      </c>
      <c r="BE70" s="37">
        <f t="shared" si="12"/>
        <v>4669283111.6100006</v>
      </c>
      <c r="BF70" s="37">
        <f t="shared" si="12"/>
        <v>4249197059.9699998</v>
      </c>
      <c r="BG70" s="37">
        <f t="shared" si="12"/>
        <v>4028965574.3800001</v>
      </c>
      <c r="BH70" s="37">
        <f t="shared" si="12"/>
        <v>3889604003.73</v>
      </c>
      <c r="BI70" s="37">
        <f t="shared" si="12"/>
        <v>3808412072.9599991</v>
      </c>
      <c r="BJ70" s="37">
        <f t="shared" si="12"/>
        <v>3485998413.9099998</v>
      </c>
      <c r="BK70" s="37">
        <f t="shared" si="12"/>
        <v>3301456325.0599999</v>
      </c>
      <c r="BL70" s="37">
        <f t="shared" si="12"/>
        <v>3197373661.6199999</v>
      </c>
      <c r="BM70" s="37">
        <f t="shared" si="12"/>
        <v>3170177508.0599999</v>
      </c>
      <c r="BN70" s="37">
        <f t="shared" si="12"/>
        <v>2940818296.5799999</v>
      </c>
      <c r="BO70" s="37">
        <f t="shared" ref="BO70:CL70" si="13">BO17+BO19+BO69</f>
        <v>3005997323.8400002</v>
      </c>
      <c r="BP70" s="37">
        <f t="shared" si="13"/>
        <v>2956017232.4400001</v>
      </c>
      <c r="BQ70" s="37">
        <f t="shared" si="13"/>
        <v>2927390204.21</v>
      </c>
      <c r="BR70" s="37">
        <f t="shared" si="13"/>
        <v>2680638605.27</v>
      </c>
      <c r="BS70" s="37">
        <f t="shared" si="13"/>
        <v>837537565.01999998</v>
      </c>
      <c r="BT70" s="37">
        <f t="shared" si="13"/>
        <v>556380029.31999993</v>
      </c>
      <c r="BU70" s="37">
        <f t="shared" si="13"/>
        <v>457127839.95000005</v>
      </c>
      <c r="BV70" s="37">
        <f t="shared" si="13"/>
        <v>449423890.09000003</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14307389.24</v>
      </c>
      <c r="F72" s="28">
        <f t="shared" ref="F72:BQ72" si="14">SUM(F73:F77)</f>
        <v>23414593.670000002</v>
      </c>
      <c r="G72" s="28">
        <f t="shared" si="14"/>
        <v>24740964.149999999</v>
      </c>
      <c r="H72" s="28">
        <f t="shared" si="14"/>
        <v>39370998.079999998</v>
      </c>
      <c r="I72" s="28">
        <f t="shared" si="14"/>
        <v>39606282.75</v>
      </c>
      <c r="J72" s="28">
        <f t="shared" si="14"/>
        <v>34481635.329999998</v>
      </c>
      <c r="K72" s="28">
        <f t="shared" si="14"/>
        <v>21599948.09</v>
      </c>
      <c r="L72" s="28">
        <f t="shared" si="14"/>
        <v>46904631.719999999</v>
      </c>
      <c r="M72" s="28">
        <f t="shared" si="14"/>
        <v>40428159.979999997</v>
      </c>
      <c r="N72" s="28">
        <f t="shared" si="14"/>
        <v>27409447.399999999</v>
      </c>
      <c r="O72" s="28">
        <f t="shared" si="14"/>
        <v>15831375.970000001</v>
      </c>
      <c r="P72" s="28">
        <f t="shared" si="14"/>
        <v>33124441.800000001</v>
      </c>
      <c r="Q72" s="28">
        <f t="shared" si="14"/>
        <v>23734467.609999999</v>
      </c>
      <c r="R72" s="28">
        <f t="shared" si="14"/>
        <v>77917681.909999996</v>
      </c>
      <c r="S72" s="28">
        <f t="shared" si="14"/>
        <v>7473820.4900000002</v>
      </c>
      <c r="T72" s="28">
        <f t="shared" si="14"/>
        <v>33684820.810000002</v>
      </c>
      <c r="U72" s="28">
        <f t="shared" si="14"/>
        <v>24308411.109999999</v>
      </c>
      <c r="V72" s="28">
        <f t="shared" si="14"/>
        <v>27383888.890000001</v>
      </c>
      <c r="W72" s="28">
        <f t="shared" si="14"/>
        <v>13514111.109999999</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109000000</v>
      </c>
      <c r="BT72" s="28">
        <f t="shared" si="15"/>
        <v>129000000</v>
      </c>
      <c r="BU72" s="28">
        <f t="shared" si="15"/>
        <v>174460000</v>
      </c>
      <c r="BV72" s="28">
        <f t="shared" si="15"/>
        <v>147000000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28" t="s">
        <v>52</v>
      </c>
      <c r="B73" s="188">
        <v>0</v>
      </c>
      <c r="C73" s="188">
        <v>0</v>
      </c>
      <c r="D73" s="188">
        <v>0</v>
      </c>
      <c r="E73" s="188">
        <v>0</v>
      </c>
      <c r="F73" s="188">
        <v>0</v>
      </c>
      <c r="G73" s="188">
        <v>0</v>
      </c>
      <c r="H73" s="188">
        <v>0</v>
      </c>
      <c r="I73" s="188">
        <v>0</v>
      </c>
      <c r="J73" s="188">
        <v>0</v>
      </c>
      <c r="K73" s="188">
        <v>0</v>
      </c>
      <c r="L73" s="188">
        <v>0</v>
      </c>
      <c r="M73" s="188">
        <v>0</v>
      </c>
      <c r="N73" s="188">
        <v>0</v>
      </c>
      <c r="O73" s="188">
        <v>0</v>
      </c>
      <c r="P73" s="188">
        <v>0</v>
      </c>
      <c r="Q73" s="188">
        <v>0</v>
      </c>
      <c r="R73" s="188">
        <v>62552484</v>
      </c>
      <c r="S73" s="188">
        <v>0</v>
      </c>
      <c r="T73" s="188">
        <v>0</v>
      </c>
      <c r="U73" s="188">
        <v>0</v>
      </c>
      <c r="V73" s="188">
        <v>0</v>
      </c>
      <c r="W73" s="188">
        <v>0</v>
      </c>
      <c r="X73" s="188">
        <v>0</v>
      </c>
      <c r="Y73" s="188">
        <v>0</v>
      </c>
      <c r="Z73" s="188">
        <v>0</v>
      </c>
      <c r="AA73" s="188">
        <v>0</v>
      </c>
      <c r="AB73" s="188">
        <v>0</v>
      </c>
      <c r="AC73" s="188">
        <v>0</v>
      </c>
      <c r="AD73" s="188">
        <v>0</v>
      </c>
      <c r="AE73" s="188">
        <v>0</v>
      </c>
      <c r="AF73" s="188">
        <v>0</v>
      </c>
      <c r="AG73" s="188">
        <v>0</v>
      </c>
      <c r="AH73" s="188">
        <v>0</v>
      </c>
      <c r="AI73" s="188">
        <v>0</v>
      </c>
      <c r="AJ73" s="188">
        <v>0</v>
      </c>
      <c r="AK73" s="188">
        <v>0</v>
      </c>
      <c r="AL73" s="188">
        <v>0</v>
      </c>
      <c r="AM73" s="188">
        <v>0</v>
      </c>
      <c r="AN73" s="188">
        <v>0</v>
      </c>
      <c r="AO73" s="188">
        <v>0</v>
      </c>
      <c r="AP73" s="188">
        <v>0</v>
      </c>
      <c r="AQ73" s="188">
        <v>0</v>
      </c>
      <c r="AR73" s="188">
        <v>0</v>
      </c>
      <c r="AS73" s="188">
        <v>0</v>
      </c>
      <c r="AT73" s="188">
        <v>0</v>
      </c>
      <c r="AU73" s="188">
        <v>0</v>
      </c>
      <c r="AV73" s="188">
        <v>0</v>
      </c>
      <c r="AW73" s="188">
        <v>0</v>
      </c>
      <c r="AX73" s="188">
        <v>0</v>
      </c>
      <c r="AY73" s="188">
        <v>0</v>
      </c>
      <c r="AZ73" s="188">
        <v>0</v>
      </c>
      <c r="BA73" s="188">
        <v>0</v>
      </c>
      <c r="BB73" s="188">
        <v>0</v>
      </c>
      <c r="BC73" s="188">
        <v>0</v>
      </c>
      <c r="BD73" s="188">
        <v>0</v>
      </c>
      <c r="BE73" s="188">
        <v>0</v>
      </c>
      <c r="BF73" s="188">
        <v>0</v>
      </c>
      <c r="BG73" s="188">
        <v>0</v>
      </c>
      <c r="BH73" s="188">
        <v>0</v>
      </c>
      <c r="BI73" s="188">
        <v>0</v>
      </c>
      <c r="BJ73" s="188">
        <v>0</v>
      </c>
      <c r="BK73" s="188">
        <v>0</v>
      </c>
      <c r="BL73" s="188">
        <v>0</v>
      </c>
      <c r="BM73" s="188">
        <v>0</v>
      </c>
      <c r="BN73" s="188">
        <v>0</v>
      </c>
      <c r="BO73" s="188">
        <v>0</v>
      </c>
      <c r="BP73" s="188">
        <v>0</v>
      </c>
      <c r="BQ73" s="188">
        <v>0</v>
      </c>
      <c r="BR73" s="188">
        <v>0</v>
      </c>
      <c r="BS73" s="188">
        <v>109000000</v>
      </c>
      <c r="BT73" s="188">
        <v>129000000</v>
      </c>
      <c r="BU73" s="188">
        <v>117100000</v>
      </c>
      <c r="BV73" s="188">
        <v>147000000</v>
      </c>
      <c r="BW73" s="188">
        <v>0</v>
      </c>
      <c r="BX73" s="188"/>
      <c r="BY73" s="188"/>
      <c r="BZ73" s="188"/>
      <c r="CA73" s="188"/>
      <c r="CB73" s="188"/>
      <c r="CC73" s="188"/>
      <c r="CD73" s="188"/>
      <c r="CE73" s="188"/>
      <c r="CF73" s="188"/>
      <c r="CG73" s="188"/>
      <c r="CH73" s="188"/>
      <c r="CI73" s="188"/>
      <c r="CJ73" s="188"/>
      <c r="CK73" s="188"/>
      <c r="CL73" s="188"/>
    </row>
    <row r="74" spans="1:90">
      <c r="A74" s="128" t="s">
        <v>77</v>
      </c>
      <c r="B74" s="188">
        <v>42770451.840000004</v>
      </c>
      <c r="C74" s="188">
        <v>33820916.549999997</v>
      </c>
      <c r="D74" s="188">
        <v>30777833.539999999</v>
      </c>
      <c r="E74" s="188">
        <v>14307389.24</v>
      </c>
      <c r="F74" s="188">
        <v>23414593.670000002</v>
      </c>
      <c r="G74" s="188">
        <v>24740964.149999999</v>
      </c>
      <c r="H74" s="188">
        <v>39370998.079999998</v>
      </c>
      <c r="I74" s="188">
        <v>39606282.75</v>
      </c>
      <c r="J74" s="188">
        <v>34481635.329999998</v>
      </c>
      <c r="K74" s="188">
        <v>21599948.09</v>
      </c>
      <c r="L74" s="188">
        <v>46904631.719999999</v>
      </c>
      <c r="M74" s="188">
        <v>40428159.979999997</v>
      </c>
      <c r="N74" s="188">
        <v>27409447.399999999</v>
      </c>
      <c r="O74" s="188">
        <v>15831375.970000001</v>
      </c>
      <c r="P74" s="188">
        <v>33124441.800000001</v>
      </c>
      <c r="Q74" s="188">
        <v>23734467.609999999</v>
      </c>
      <c r="R74" s="188">
        <v>15365197.91</v>
      </c>
      <c r="S74" s="188">
        <v>7473820.4900000002</v>
      </c>
      <c r="T74" s="188">
        <v>33684820.810000002</v>
      </c>
      <c r="U74" s="188">
        <v>24308411.109999999</v>
      </c>
      <c r="V74" s="188">
        <v>27383888.890000001</v>
      </c>
      <c r="W74" s="188">
        <v>13514111.109999999</v>
      </c>
      <c r="X74" s="188">
        <v>0</v>
      </c>
      <c r="Y74" s="188">
        <v>0</v>
      </c>
      <c r="Z74" s="188">
        <v>0</v>
      </c>
      <c r="AA74" s="188">
        <v>0</v>
      </c>
      <c r="AB74" s="188">
        <v>0</v>
      </c>
      <c r="AC74" s="188">
        <v>0</v>
      </c>
      <c r="AD74" s="188">
        <v>0</v>
      </c>
      <c r="AE74" s="188">
        <v>0</v>
      </c>
      <c r="AF74" s="188">
        <v>0</v>
      </c>
      <c r="AG74" s="188">
        <v>0</v>
      </c>
      <c r="AH74" s="188">
        <v>0</v>
      </c>
      <c r="AI74" s="188">
        <v>0</v>
      </c>
      <c r="AJ74" s="188">
        <v>0</v>
      </c>
      <c r="AK74" s="188">
        <v>0</v>
      </c>
      <c r="AL74" s="188">
        <v>0</v>
      </c>
      <c r="AM74" s="188">
        <v>0</v>
      </c>
      <c r="AN74" s="188">
        <v>0</v>
      </c>
      <c r="AO74" s="188">
        <v>0</v>
      </c>
      <c r="AP74" s="188">
        <v>0</v>
      </c>
      <c r="AQ74" s="188">
        <v>0</v>
      </c>
      <c r="AR74" s="188">
        <v>0</v>
      </c>
      <c r="AS74" s="188">
        <v>0</v>
      </c>
      <c r="AT74" s="188">
        <v>0</v>
      </c>
      <c r="AU74" s="188">
        <v>0</v>
      </c>
      <c r="AV74" s="188">
        <v>0</v>
      </c>
      <c r="AW74" s="188">
        <v>0</v>
      </c>
      <c r="AX74" s="188">
        <v>0</v>
      </c>
      <c r="AY74" s="188">
        <v>0</v>
      </c>
      <c r="AZ74" s="188">
        <v>0</v>
      </c>
      <c r="BA74" s="188">
        <v>0</v>
      </c>
      <c r="BB74" s="188">
        <v>0</v>
      </c>
      <c r="BC74" s="188">
        <v>0</v>
      </c>
      <c r="BD74" s="188">
        <v>0</v>
      </c>
      <c r="BE74" s="188">
        <v>0</v>
      </c>
      <c r="BF74" s="188">
        <v>0</v>
      </c>
      <c r="BG74" s="188">
        <v>0</v>
      </c>
      <c r="BH74" s="188">
        <v>0</v>
      </c>
      <c r="BI74" s="188">
        <v>0</v>
      </c>
      <c r="BJ74" s="188">
        <v>0</v>
      </c>
      <c r="BK74" s="188">
        <v>0</v>
      </c>
      <c r="BL74" s="188">
        <v>0</v>
      </c>
      <c r="BM74" s="188">
        <v>0</v>
      </c>
      <c r="BN74" s="188">
        <v>0</v>
      </c>
      <c r="BO74" s="188">
        <v>0</v>
      </c>
      <c r="BP74" s="188">
        <v>0</v>
      </c>
      <c r="BQ74" s="188">
        <v>0</v>
      </c>
      <c r="BR74" s="188">
        <v>0</v>
      </c>
      <c r="BS74" s="188">
        <v>0</v>
      </c>
      <c r="BT74" s="188">
        <v>0</v>
      </c>
      <c r="BU74" s="188">
        <v>0</v>
      </c>
      <c r="BV74" s="188">
        <v>0</v>
      </c>
      <c r="BW74" s="188">
        <v>0</v>
      </c>
      <c r="BX74" s="188"/>
      <c r="BY74" s="188"/>
      <c r="BZ74" s="188"/>
      <c r="CA74" s="188"/>
      <c r="CB74" s="188"/>
      <c r="CC74" s="188"/>
      <c r="CD74" s="188"/>
      <c r="CE74" s="188"/>
      <c r="CF74" s="188"/>
      <c r="CG74" s="188"/>
      <c r="CH74" s="188"/>
      <c r="CI74" s="188"/>
      <c r="CJ74" s="188"/>
      <c r="CK74" s="188"/>
      <c r="CL74" s="188"/>
    </row>
    <row r="75" spans="1:90">
      <c r="A75" s="128"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c r="BS75" s="188">
        <v>0</v>
      </c>
      <c r="BT75" s="188">
        <v>0</v>
      </c>
      <c r="BU75" s="188">
        <v>0</v>
      </c>
      <c r="BV75" s="188">
        <v>0</v>
      </c>
      <c r="BW75" s="188">
        <v>0</v>
      </c>
      <c r="BX75" s="188"/>
      <c r="BY75" s="188"/>
      <c r="BZ75" s="188"/>
      <c r="CA75" s="188"/>
      <c r="CB75" s="188"/>
      <c r="CC75" s="188"/>
      <c r="CD75" s="188"/>
      <c r="CE75" s="188"/>
      <c r="CF75" s="188"/>
      <c r="CG75" s="188"/>
      <c r="CH75" s="188"/>
      <c r="CI75" s="188"/>
      <c r="CJ75" s="188"/>
      <c r="CK75" s="188"/>
      <c r="CL75" s="188"/>
    </row>
    <row r="76" spans="1:90">
      <c r="A76" s="128" t="s">
        <v>54</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0</v>
      </c>
      <c r="BU76" s="188">
        <v>57360000</v>
      </c>
      <c r="BV76" s="188">
        <v>0</v>
      </c>
      <c r="BW76" s="188">
        <v>0</v>
      </c>
      <c r="BX76" s="188"/>
      <c r="BY76" s="188"/>
      <c r="BZ76" s="188"/>
      <c r="CA76" s="188"/>
      <c r="CB76" s="188"/>
      <c r="CC76" s="188"/>
      <c r="CD76" s="188"/>
      <c r="CE76" s="188"/>
      <c r="CF76" s="188"/>
      <c r="CG76" s="188"/>
      <c r="CH76" s="188"/>
      <c r="CI76" s="188"/>
      <c r="CJ76" s="188"/>
      <c r="CK76" s="188"/>
      <c r="CL76" s="188"/>
    </row>
    <row r="77" spans="1:90">
      <c r="A77" s="128"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v>0</v>
      </c>
      <c r="BU77" s="188">
        <v>0</v>
      </c>
      <c r="BV77" s="188">
        <v>0</v>
      </c>
      <c r="BW77" s="188">
        <v>0</v>
      </c>
      <c r="BX77" s="188"/>
      <c r="BY77" s="188"/>
      <c r="BZ77" s="188"/>
      <c r="CA77" s="188"/>
      <c r="CB77" s="188"/>
      <c r="CC77" s="188"/>
      <c r="CD77" s="188"/>
      <c r="CE77" s="188"/>
      <c r="CF77" s="188"/>
      <c r="CG77" s="188"/>
      <c r="CH77" s="188"/>
      <c r="CI77" s="188"/>
      <c r="CJ77" s="188"/>
      <c r="CK77" s="188"/>
      <c r="CL77" s="188"/>
    </row>
    <row r="78" spans="1:90" hidden="1">
      <c r="A78" s="128"/>
      <c r="B78" s="26"/>
      <c r="C78" s="26"/>
      <c r="D78" s="26"/>
      <c r="E78" s="26"/>
      <c r="F78" s="26"/>
      <c r="G78" s="26"/>
      <c r="H78" s="26"/>
      <c r="I78" s="26"/>
      <c r="J78" s="26"/>
      <c r="K78" s="26"/>
      <c r="L78" s="23"/>
    </row>
    <row r="79" spans="1:90" hidden="1">
      <c r="A79" s="128"/>
      <c r="B79" s="26"/>
      <c r="C79" s="26"/>
      <c r="D79" s="26"/>
      <c r="E79" s="26"/>
      <c r="F79" s="26"/>
      <c r="G79" s="26"/>
      <c r="H79" s="26"/>
      <c r="I79" s="26"/>
      <c r="J79" s="26"/>
      <c r="K79" s="26"/>
      <c r="L79" s="23"/>
    </row>
    <row r="80" spans="1:90" hidden="1">
      <c r="A80" s="128"/>
      <c r="B80" s="26"/>
      <c r="C80" s="26"/>
      <c r="D80" s="26"/>
      <c r="E80" s="26"/>
      <c r="F80" s="26"/>
      <c r="G80" s="26"/>
      <c r="H80" s="26"/>
      <c r="I80" s="26"/>
      <c r="J80" s="26"/>
      <c r="K80" s="26"/>
      <c r="L80" s="23"/>
    </row>
    <row r="81" spans="1:90" s="2" customFormat="1">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300000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60360000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28" t="s">
        <v>57</v>
      </c>
      <c r="B82" s="188">
        <v>0</v>
      </c>
      <c r="C82" s="188">
        <v>0</v>
      </c>
      <c r="D82" s="188">
        <v>0</v>
      </c>
      <c r="E82" s="188">
        <v>0</v>
      </c>
      <c r="F82" s="188">
        <v>0</v>
      </c>
      <c r="G82" s="188">
        <v>0</v>
      </c>
      <c r="H82" s="188">
        <v>0</v>
      </c>
      <c r="I82" s="188">
        <v>0</v>
      </c>
      <c r="J82" s="188">
        <v>0</v>
      </c>
      <c r="K82" s="188">
        <v>0</v>
      </c>
      <c r="L82" s="188">
        <v>0</v>
      </c>
      <c r="M82" s="188">
        <v>0</v>
      </c>
      <c r="N82" s="188">
        <v>0</v>
      </c>
      <c r="O82" s="188">
        <v>0</v>
      </c>
      <c r="P82" s="188">
        <v>0</v>
      </c>
      <c r="Q82" s="188">
        <v>0</v>
      </c>
      <c r="R82" s="188">
        <v>0</v>
      </c>
      <c r="S82" s="188">
        <v>0</v>
      </c>
      <c r="T82" s="188">
        <v>0</v>
      </c>
      <c r="U82" s="188">
        <v>0</v>
      </c>
      <c r="V82" s="188">
        <v>0</v>
      </c>
      <c r="W82" s="188">
        <v>0</v>
      </c>
      <c r="X82" s="188">
        <v>0</v>
      </c>
      <c r="Y82" s="188">
        <v>0</v>
      </c>
      <c r="Z82" s="188">
        <v>0</v>
      </c>
      <c r="AA82" s="188">
        <v>0</v>
      </c>
      <c r="AB82" s="188">
        <v>0</v>
      </c>
      <c r="AC82" s="188">
        <v>0</v>
      </c>
      <c r="AD82" s="188">
        <v>0</v>
      </c>
      <c r="AE82" s="188">
        <v>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0</v>
      </c>
      <c r="AX82" s="188">
        <v>0</v>
      </c>
      <c r="AY82" s="188">
        <v>0</v>
      </c>
      <c r="AZ82" s="188">
        <v>0</v>
      </c>
      <c r="BA82" s="188">
        <v>0</v>
      </c>
      <c r="BB82" s="188">
        <v>0</v>
      </c>
      <c r="BC82" s="188">
        <v>0</v>
      </c>
      <c r="BD82" s="188">
        <v>0</v>
      </c>
      <c r="BE82" s="188">
        <v>0</v>
      </c>
      <c r="BF82" s="188">
        <v>300000</v>
      </c>
      <c r="BG82" s="188">
        <v>0</v>
      </c>
      <c r="BH82" s="188">
        <v>0</v>
      </c>
      <c r="BI82" s="188">
        <v>0</v>
      </c>
      <c r="BJ82" s="188">
        <v>0</v>
      </c>
      <c r="BK82" s="188">
        <v>0</v>
      </c>
      <c r="BL82" s="188">
        <v>0</v>
      </c>
      <c r="BM82" s="188">
        <v>0</v>
      </c>
      <c r="BN82" s="188">
        <v>0</v>
      </c>
      <c r="BO82" s="188">
        <v>0</v>
      </c>
      <c r="BP82" s="188">
        <v>0</v>
      </c>
      <c r="BQ82" s="188">
        <v>0</v>
      </c>
      <c r="BR82" s="188">
        <v>0</v>
      </c>
      <c r="BS82" s="188">
        <v>0</v>
      </c>
      <c r="BT82" s="188">
        <v>0</v>
      </c>
      <c r="BU82" s="188">
        <v>0</v>
      </c>
      <c r="BV82" s="188">
        <v>60360000</v>
      </c>
      <c r="BW82" s="188">
        <v>0</v>
      </c>
      <c r="BX82" s="188"/>
      <c r="BY82" s="188"/>
      <c r="BZ82" s="188"/>
      <c r="CA82" s="188"/>
      <c r="CB82" s="188"/>
      <c r="CC82" s="188"/>
      <c r="CD82" s="188"/>
      <c r="CE82" s="188"/>
      <c r="CF82" s="188"/>
      <c r="CG82" s="188"/>
      <c r="CH82" s="188"/>
      <c r="CI82" s="188"/>
      <c r="CJ82" s="188"/>
      <c r="CK82" s="188"/>
      <c r="CL82" s="188"/>
    </row>
    <row r="83" spans="1:90">
      <c r="A83" s="128" t="s">
        <v>58</v>
      </c>
      <c r="B83" s="188">
        <v>0</v>
      </c>
      <c r="C83" s="188">
        <v>0</v>
      </c>
      <c r="D83" s="188">
        <v>0</v>
      </c>
      <c r="E83" s="188">
        <v>0</v>
      </c>
      <c r="F83" s="188">
        <v>0</v>
      </c>
      <c r="G83" s="188">
        <v>0</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v>0</v>
      </c>
      <c r="BI83" s="188">
        <v>0</v>
      </c>
      <c r="BJ83" s="188">
        <v>0</v>
      </c>
      <c r="BK83" s="188">
        <v>0</v>
      </c>
      <c r="BL83" s="188">
        <v>0</v>
      </c>
      <c r="BM83" s="188">
        <v>0</v>
      </c>
      <c r="BN83" s="188">
        <v>0</v>
      </c>
      <c r="BO83" s="188">
        <v>0</v>
      </c>
      <c r="BP83" s="188">
        <v>0</v>
      </c>
      <c r="BQ83" s="188">
        <v>0</v>
      </c>
      <c r="BR83" s="188">
        <v>0</v>
      </c>
      <c r="BS83" s="188">
        <v>0</v>
      </c>
      <c r="BT83" s="188">
        <v>0</v>
      </c>
      <c r="BU83" s="188">
        <v>0</v>
      </c>
      <c r="BV83" s="188">
        <v>0</v>
      </c>
      <c r="BW83" s="188">
        <v>0</v>
      </c>
      <c r="BX83" s="188"/>
      <c r="BY83" s="188"/>
      <c r="BZ83" s="188"/>
      <c r="CA83" s="188"/>
      <c r="CB83" s="188"/>
      <c r="CC83" s="188"/>
      <c r="CD83" s="188"/>
      <c r="CE83" s="188"/>
      <c r="CF83" s="188"/>
      <c r="CG83" s="188"/>
      <c r="CH83" s="188"/>
      <c r="CI83" s="188"/>
      <c r="CJ83" s="188"/>
      <c r="CK83" s="188"/>
      <c r="CL83" s="188"/>
    </row>
    <row r="84" spans="1:90">
      <c r="A84" s="128" t="s">
        <v>59</v>
      </c>
      <c r="B84" s="188">
        <v>0</v>
      </c>
      <c r="C84" s="188">
        <v>15570000</v>
      </c>
      <c r="D84" s="188">
        <v>0</v>
      </c>
      <c r="E84" s="188">
        <v>0</v>
      </c>
      <c r="F84" s="188">
        <v>0</v>
      </c>
      <c r="G84" s="188">
        <v>0</v>
      </c>
      <c r="H84" s="188">
        <v>0</v>
      </c>
      <c r="I84" s="188">
        <v>0</v>
      </c>
      <c r="J84" s="188">
        <v>0</v>
      </c>
      <c r="K84" s="188">
        <v>0</v>
      </c>
      <c r="L84" s="188">
        <v>0</v>
      </c>
      <c r="M84" s="188">
        <v>0</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0</v>
      </c>
      <c r="AY84" s="188">
        <v>0</v>
      </c>
      <c r="AZ84" s="188">
        <v>0</v>
      </c>
      <c r="BA84" s="188">
        <v>0</v>
      </c>
      <c r="BB84" s="188">
        <v>0</v>
      </c>
      <c r="BC84" s="188">
        <v>0</v>
      </c>
      <c r="BD84" s="188">
        <v>0</v>
      </c>
      <c r="BE84" s="188">
        <v>0</v>
      </c>
      <c r="BF84" s="188">
        <v>0</v>
      </c>
      <c r="BG84" s="188">
        <v>0</v>
      </c>
      <c r="BH84" s="188">
        <v>0</v>
      </c>
      <c r="BI84" s="188">
        <v>0</v>
      </c>
      <c r="BJ84" s="188">
        <v>0</v>
      </c>
      <c r="BK84" s="188">
        <v>0</v>
      </c>
      <c r="BL84" s="188">
        <v>0</v>
      </c>
      <c r="BM84" s="188">
        <v>0</v>
      </c>
      <c r="BN84" s="188">
        <v>0</v>
      </c>
      <c r="BO84" s="188">
        <v>0</v>
      </c>
      <c r="BP84" s="188">
        <v>0</v>
      </c>
      <c r="BQ84" s="188">
        <v>0</v>
      </c>
      <c r="BR84" s="188">
        <v>0</v>
      </c>
      <c r="BS84" s="188">
        <v>0</v>
      </c>
      <c r="BT84" s="188">
        <v>0</v>
      </c>
      <c r="BU84" s="188">
        <v>0</v>
      </c>
      <c r="BV84" s="188">
        <v>0</v>
      </c>
      <c r="BW84" s="188">
        <v>0</v>
      </c>
      <c r="BX84" s="188"/>
      <c r="BY84" s="188"/>
      <c r="BZ84" s="188"/>
      <c r="CA84" s="188"/>
      <c r="CB84" s="188"/>
      <c r="CC84" s="188"/>
      <c r="CD84" s="188"/>
      <c r="CE84" s="188"/>
      <c r="CF84" s="188"/>
      <c r="CG84" s="188"/>
      <c r="CH84" s="188"/>
      <c r="CI84" s="188"/>
      <c r="CJ84" s="188"/>
      <c r="CK84" s="188"/>
      <c r="CL84" s="188"/>
    </row>
    <row r="85" spans="1:90">
      <c r="A85" s="128" t="s">
        <v>83</v>
      </c>
      <c r="B85" s="188">
        <v>0</v>
      </c>
      <c r="C85" s="188">
        <v>0</v>
      </c>
      <c r="D85" s="188">
        <v>0</v>
      </c>
      <c r="E85" s="188">
        <v>0</v>
      </c>
      <c r="F85" s="188">
        <v>0</v>
      </c>
      <c r="G85" s="188">
        <v>0</v>
      </c>
      <c r="H85" s="188">
        <v>0</v>
      </c>
      <c r="I85" s="188">
        <v>0</v>
      </c>
      <c r="J85" s="188">
        <v>0</v>
      </c>
      <c r="K85" s="188">
        <v>0</v>
      </c>
      <c r="L85" s="188">
        <v>0</v>
      </c>
      <c r="M85" s="188">
        <v>0</v>
      </c>
      <c r="N85" s="188">
        <v>0</v>
      </c>
      <c r="O85" s="188">
        <v>0</v>
      </c>
      <c r="P85" s="188">
        <v>0</v>
      </c>
      <c r="Q85" s="188">
        <v>0</v>
      </c>
      <c r="R85" s="188">
        <v>0</v>
      </c>
      <c r="S85" s="188">
        <v>0</v>
      </c>
      <c r="T85" s="188">
        <v>0</v>
      </c>
      <c r="U85" s="188">
        <v>0</v>
      </c>
      <c r="V85" s="188">
        <v>0</v>
      </c>
      <c r="W85" s="188">
        <v>0</v>
      </c>
      <c r="X85" s="188">
        <v>0</v>
      </c>
      <c r="Y85" s="188">
        <v>0</v>
      </c>
      <c r="Z85" s="188">
        <v>0</v>
      </c>
      <c r="AA85" s="188">
        <v>0</v>
      </c>
      <c r="AB85" s="188">
        <v>0</v>
      </c>
      <c r="AC85" s="188">
        <v>0</v>
      </c>
      <c r="AD85" s="188">
        <v>0</v>
      </c>
      <c r="AE85" s="188">
        <v>0</v>
      </c>
      <c r="AF85" s="188">
        <v>0</v>
      </c>
      <c r="AG85" s="188">
        <v>0</v>
      </c>
      <c r="AH85" s="188">
        <v>0</v>
      </c>
      <c r="AI85" s="188">
        <v>0</v>
      </c>
      <c r="AJ85" s="188">
        <v>0</v>
      </c>
      <c r="AK85" s="188">
        <v>0</v>
      </c>
      <c r="AL85" s="188">
        <v>0</v>
      </c>
      <c r="AM85" s="188">
        <v>0</v>
      </c>
      <c r="AN85" s="188">
        <v>0</v>
      </c>
      <c r="AO85" s="188">
        <v>0</v>
      </c>
      <c r="AP85" s="188">
        <v>0</v>
      </c>
      <c r="AQ85" s="188">
        <v>0</v>
      </c>
      <c r="AR85" s="188">
        <v>0</v>
      </c>
      <c r="AS85" s="188">
        <v>0</v>
      </c>
      <c r="AT85" s="188">
        <v>0</v>
      </c>
      <c r="AU85" s="188">
        <v>0</v>
      </c>
      <c r="AV85" s="188">
        <v>0</v>
      </c>
      <c r="AW85" s="188">
        <v>0</v>
      </c>
      <c r="AX85" s="188">
        <v>0</v>
      </c>
      <c r="AY85" s="188">
        <v>0</v>
      </c>
      <c r="AZ85" s="188">
        <v>0</v>
      </c>
      <c r="BA85" s="188">
        <v>0</v>
      </c>
      <c r="BB85" s="188">
        <v>0</v>
      </c>
      <c r="BC85" s="188">
        <v>0</v>
      </c>
      <c r="BD85" s="188">
        <v>0</v>
      </c>
      <c r="BE85" s="188">
        <v>0</v>
      </c>
      <c r="BF85" s="188">
        <v>0</v>
      </c>
      <c r="BG85" s="188">
        <v>0</v>
      </c>
      <c r="BH85" s="188">
        <v>0</v>
      </c>
      <c r="BI85" s="188">
        <v>0</v>
      </c>
      <c r="BJ85" s="188">
        <v>0</v>
      </c>
      <c r="BK85" s="188">
        <v>0</v>
      </c>
      <c r="BL85" s="188">
        <v>0</v>
      </c>
      <c r="BM85" s="188">
        <v>0</v>
      </c>
      <c r="BN85" s="188">
        <v>0</v>
      </c>
      <c r="BO85" s="188">
        <v>0</v>
      </c>
      <c r="BP85" s="188">
        <v>0</v>
      </c>
      <c r="BQ85" s="188">
        <v>0</v>
      </c>
      <c r="BR85" s="188">
        <v>0</v>
      </c>
      <c r="BS85" s="188">
        <v>0</v>
      </c>
      <c r="BT85" s="188">
        <v>0</v>
      </c>
      <c r="BU85" s="188">
        <v>0</v>
      </c>
      <c r="BV85" s="188">
        <v>0</v>
      </c>
      <c r="BW85" s="188">
        <v>0</v>
      </c>
      <c r="BX85" s="188"/>
      <c r="BY85" s="188"/>
      <c r="BZ85" s="188"/>
      <c r="CA85" s="188"/>
      <c r="CB85" s="188"/>
      <c r="CC85" s="188"/>
      <c r="CD85" s="188"/>
      <c r="CE85" s="188"/>
      <c r="CF85" s="188"/>
      <c r="CG85" s="188"/>
      <c r="CH85" s="188"/>
      <c r="CI85" s="188"/>
      <c r="CJ85" s="188"/>
      <c r="CK85" s="188"/>
      <c r="CL85" s="188"/>
    </row>
    <row r="86" spans="1:90" hidden="1">
      <c r="A86" s="128"/>
      <c r="B86" s="26"/>
      <c r="C86" s="26"/>
      <c r="D86" s="26"/>
      <c r="E86" s="26"/>
      <c r="F86" s="26"/>
      <c r="G86" s="26"/>
      <c r="H86" s="26"/>
      <c r="I86" s="26"/>
      <c r="J86" s="26"/>
      <c r="K86" s="26"/>
      <c r="L86" s="23"/>
    </row>
    <row r="87" spans="1:90" hidden="1">
      <c r="A87" s="128"/>
      <c r="B87" s="26"/>
      <c r="C87" s="26"/>
      <c r="D87" s="26"/>
      <c r="E87" s="26"/>
      <c r="F87" s="26"/>
      <c r="G87" s="26"/>
      <c r="H87" s="26"/>
      <c r="I87" s="26"/>
      <c r="J87" s="26"/>
      <c r="K87" s="26"/>
      <c r="L87" s="23"/>
    </row>
    <row r="88" spans="1:90" hidden="1">
      <c r="A88" s="128"/>
      <c r="B88" s="26"/>
      <c r="C88" s="26"/>
      <c r="D88" s="26"/>
      <c r="E88" s="26"/>
      <c r="F88" s="26"/>
      <c r="G88" s="26"/>
      <c r="H88" s="26"/>
      <c r="I88" s="26"/>
      <c r="J88" s="26"/>
      <c r="K88" s="26"/>
      <c r="L88" s="23"/>
    </row>
    <row r="89" spans="1:90" s="5" customFormat="1">
      <c r="A89" s="129" t="s">
        <v>60</v>
      </c>
      <c r="B89" s="33">
        <f>SUM(B73:B85)</f>
        <v>42770451.840000004</v>
      </c>
      <c r="C89" s="33">
        <f>SUM(C73:C85)</f>
        <v>49390916.549999997</v>
      </c>
      <c r="D89" s="33">
        <f>SUM(D73:D85)</f>
        <v>30777833.539999999</v>
      </c>
      <c r="E89" s="33">
        <f>E72+E81</f>
        <v>14307389.24</v>
      </c>
      <c r="F89" s="33">
        <f t="shared" ref="F89:BQ89" si="18">F72+F81</f>
        <v>23414593.670000002</v>
      </c>
      <c r="G89" s="33">
        <f t="shared" si="18"/>
        <v>24740964.149999999</v>
      </c>
      <c r="H89" s="33">
        <f t="shared" si="18"/>
        <v>39370998.079999998</v>
      </c>
      <c r="I89" s="33">
        <f t="shared" si="18"/>
        <v>39606282.75</v>
      </c>
      <c r="J89" s="33">
        <f t="shared" si="18"/>
        <v>34481635.329999998</v>
      </c>
      <c r="K89" s="33">
        <f t="shared" si="18"/>
        <v>21599948.09</v>
      </c>
      <c r="L89" s="33">
        <f t="shared" si="18"/>
        <v>46904631.719999999</v>
      </c>
      <c r="M89" s="33">
        <f t="shared" si="18"/>
        <v>40428159.979999997</v>
      </c>
      <c r="N89" s="33">
        <f t="shared" si="18"/>
        <v>27409447.399999999</v>
      </c>
      <c r="O89" s="33">
        <f t="shared" si="18"/>
        <v>15831375.970000001</v>
      </c>
      <c r="P89" s="33">
        <f t="shared" si="18"/>
        <v>33124441.800000001</v>
      </c>
      <c r="Q89" s="33">
        <f t="shared" si="18"/>
        <v>23734467.609999999</v>
      </c>
      <c r="R89" s="33">
        <f t="shared" si="18"/>
        <v>77917681.909999996</v>
      </c>
      <c r="S89" s="33">
        <f t="shared" si="18"/>
        <v>7473820.4900000002</v>
      </c>
      <c r="T89" s="33">
        <f t="shared" si="18"/>
        <v>33684820.810000002</v>
      </c>
      <c r="U89" s="33">
        <f t="shared" si="18"/>
        <v>24308411.109999999</v>
      </c>
      <c r="V89" s="33">
        <f t="shared" si="18"/>
        <v>27383888.890000001</v>
      </c>
      <c r="W89" s="33">
        <f t="shared" si="18"/>
        <v>13514111.109999999</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300000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109000000</v>
      </c>
      <c r="BT89" s="33">
        <f t="shared" si="19"/>
        <v>129000000</v>
      </c>
      <c r="BU89" s="33">
        <f t="shared" si="19"/>
        <v>174460000</v>
      </c>
      <c r="BV89" s="33">
        <f t="shared" si="19"/>
        <v>207360000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28" t="s">
        <v>62</v>
      </c>
      <c r="B91" s="188">
        <v>1256197800</v>
      </c>
      <c r="C91" s="188">
        <v>1256197800</v>
      </c>
      <c r="D91" s="188">
        <v>1256197800</v>
      </c>
      <c r="E91" s="188">
        <v>1256197800</v>
      </c>
      <c r="F91" s="188">
        <v>1256197800</v>
      </c>
      <c r="G91" s="188">
        <v>1256197800</v>
      </c>
      <c r="H91" s="188">
        <v>1256197800</v>
      </c>
      <c r="I91" s="188">
        <v>1256197800</v>
      </c>
      <c r="J91" s="188">
        <v>1256197800</v>
      </c>
      <c r="K91" s="188">
        <v>1256197800</v>
      </c>
      <c r="L91" s="188">
        <v>1256197800</v>
      </c>
      <c r="M91" s="188">
        <v>1256197800</v>
      </c>
      <c r="N91" s="188">
        <v>1256197800</v>
      </c>
      <c r="O91" s="188">
        <v>1256197800</v>
      </c>
      <c r="P91" s="188">
        <v>1141998000</v>
      </c>
      <c r="Q91" s="188">
        <v>1141998000</v>
      </c>
      <c r="R91" s="188">
        <v>1141998000</v>
      </c>
      <c r="S91" s="188">
        <v>1141998000</v>
      </c>
      <c r="T91" s="188">
        <v>1141998000</v>
      </c>
      <c r="U91" s="188">
        <v>1038180000</v>
      </c>
      <c r="V91" s="188">
        <v>1038180000</v>
      </c>
      <c r="W91" s="188">
        <v>1038180000</v>
      </c>
      <c r="X91" s="188">
        <v>1038180000</v>
      </c>
      <c r="Y91" s="188">
        <v>1038180000</v>
      </c>
      <c r="Z91" s="188">
        <v>1038180000</v>
      </c>
      <c r="AA91" s="188">
        <v>1038180000</v>
      </c>
      <c r="AB91" s="188">
        <v>1038180000</v>
      </c>
      <c r="AC91" s="188">
        <v>1038180000</v>
      </c>
      <c r="AD91" s="188">
        <v>1038180000</v>
      </c>
      <c r="AE91" s="188">
        <v>1038180000</v>
      </c>
      <c r="AF91" s="188">
        <v>943800000</v>
      </c>
      <c r="AG91" s="188">
        <v>943800000</v>
      </c>
      <c r="AH91" s="188">
        <v>943800000</v>
      </c>
      <c r="AI91" s="188">
        <v>943800000</v>
      </c>
      <c r="AJ91" s="188">
        <v>943800000</v>
      </c>
      <c r="AK91" s="188">
        <v>943800000</v>
      </c>
      <c r="AL91" s="188">
        <v>943800000</v>
      </c>
      <c r="AM91" s="188">
        <v>943800000</v>
      </c>
      <c r="AN91" s="188">
        <v>943800000</v>
      </c>
      <c r="AO91" s="188">
        <v>943800000</v>
      </c>
      <c r="AP91" s="188">
        <v>943800000</v>
      </c>
      <c r="AQ91" s="188">
        <v>943800000</v>
      </c>
      <c r="AR91" s="188">
        <v>943800000</v>
      </c>
      <c r="AS91" s="188">
        <v>943800000</v>
      </c>
      <c r="AT91" s="188">
        <v>943800000</v>
      </c>
      <c r="AU91" s="188">
        <v>943800000</v>
      </c>
      <c r="AV91" s="188">
        <v>943800000</v>
      </c>
      <c r="AW91" s="188">
        <v>943800000</v>
      </c>
      <c r="AX91" s="188">
        <v>943800000</v>
      </c>
      <c r="AY91" s="188">
        <v>943800000</v>
      </c>
      <c r="AZ91" s="188">
        <v>943800000</v>
      </c>
      <c r="BA91" s="188">
        <v>471900000</v>
      </c>
      <c r="BB91" s="188">
        <v>471900000</v>
      </c>
      <c r="BC91" s="188">
        <v>471900000</v>
      </c>
      <c r="BD91" s="188">
        <v>393250000</v>
      </c>
      <c r="BE91" s="188">
        <v>393250000</v>
      </c>
      <c r="BF91" s="188">
        <v>393250000</v>
      </c>
      <c r="BG91" s="188">
        <v>393250000</v>
      </c>
      <c r="BH91" s="188">
        <v>275000000</v>
      </c>
      <c r="BI91" s="188">
        <v>275000000</v>
      </c>
      <c r="BJ91" s="188">
        <v>275000000</v>
      </c>
      <c r="BK91" s="188">
        <v>275000000</v>
      </c>
      <c r="BL91" s="188">
        <v>275000000</v>
      </c>
      <c r="BM91" s="188">
        <v>275000000</v>
      </c>
      <c r="BN91" s="188">
        <v>275000000</v>
      </c>
      <c r="BO91" s="188">
        <v>250000000</v>
      </c>
      <c r="BP91" s="188">
        <v>250000000</v>
      </c>
      <c r="BQ91" s="188">
        <v>250000000</v>
      </c>
      <c r="BR91" s="188">
        <v>250000000</v>
      </c>
      <c r="BS91" s="188">
        <v>185000000</v>
      </c>
      <c r="BT91" s="188">
        <v>185000000</v>
      </c>
      <c r="BU91" s="188">
        <v>185000000</v>
      </c>
      <c r="BV91" s="188">
        <v>0</v>
      </c>
      <c r="BW91" s="188">
        <v>0</v>
      </c>
      <c r="BX91" s="188"/>
      <c r="BY91" s="188"/>
      <c r="BZ91" s="188"/>
      <c r="CA91" s="188"/>
      <c r="CB91" s="188"/>
      <c r="CC91" s="188"/>
      <c r="CD91" s="188"/>
      <c r="CE91" s="188"/>
      <c r="CF91" s="188"/>
      <c r="CG91" s="188"/>
      <c r="CH91" s="188"/>
      <c r="CI91" s="188"/>
      <c r="CJ91" s="188"/>
      <c r="CK91" s="188"/>
      <c r="CL91" s="188"/>
    </row>
    <row r="92" spans="1:90">
      <c r="A92" s="128" t="s">
        <v>63</v>
      </c>
      <c r="B92" s="188">
        <v>1374964415.72</v>
      </c>
      <c r="C92" s="188">
        <v>1374964415.72</v>
      </c>
      <c r="D92" s="188">
        <v>1374964415.72</v>
      </c>
      <c r="E92" s="188">
        <v>1374964415.72</v>
      </c>
      <c r="F92" s="188">
        <v>1374964415.72</v>
      </c>
      <c r="G92" s="188">
        <v>1374964415.72</v>
      </c>
      <c r="H92" s="188">
        <v>1374964415.72</v>
      </c>
      <c r="I92" s="188">
        <v>1374964415.72</v>
      </c>
      <c r="J92" s="188">
        <v>1374964415.72</v>
      </c>
      <c r="K92" s="188">
        <v>1374964415.72</v>
      </c>
      <c r="L92" s="188">
        <v>1374964415.72</v>
      </c>
      <c r="M92" s="188">
        <v>1374964415.72</v>
      </c>
      <c r="N92" s="188">
        <v>1374964415.72</v>
      </c>
      <c r="O92" s="188">
        <v>1374964415.72</v>
      </c>
      <c r="P92" s="188">
        <v>1374964415.72</v>
      </c>
      <c r="Q92" s="188">
        <v>1374964415.72</v>
      </c>
      <c r="R92" s="188">
        <v>1374964415.72</v>
      </c>
      <c r="S92" s="188">
        <v>1374964415.72</v>
      </c>
      <c r="T92" s="188">
        <v>1374964415.72</v>
      </c>
      <c r="U92" s="188">
        <v>1374964415.72</v>
      </c>
      <c r="V92" s="188">
        <v>1374964415.72</v>
      </c>
      <c r="W92" s="188">
        <v>1374964415.72</v>
      </c>
      <c r="X92" s="188">
        <v>1374964415.72</v>
      </c>
      <c r="Y92" s="188">
        <v>1374964415.72</v>
      </c>
      <c r="Z92" s="188">
        <v>1374964415.72</v>
      </c>
      <c r="AA92" s="188">
        <v>1374964415.72</v>
      </c>
      <c r="AB92" s="188">
        <v>1374964415.72</v>
      </c>
      <c r="AC92" s="188">
        <v>1374964415.72</v>
      </c>
      <c r="AD92" s="188">
        <v>1374964415.72</v>
      </c>
      <c r="AE92" s="188">
        <v>1374964415.72</v>
      </c>
      <c r="AF92" s="188">
        <v>1374964415.72</v>
      </c>
      <c r="AG92" s="188">
        <v>1374964415.72</v>
      </c>
      <c r="AH92" s="188">
        <v>1374964415.72</v>
      </c>
      <c r="AI92" s="188">
        <v>1374964415.72</v>
      </c>
      <c r="AJ92" s="188">
        <v>1374964415.72</v>
      </c>
      <c r="AK92" s="188">
        <v>1374964415.72</v>
      </c>
      <c r="AL92" s="188">
        <v>1374964415.72</v>
      </c>
      <c r="AM92" s="188">
        <v>1374964415.72</v>
      </c>
      <c r="AN92" s="188">
        <v>1374964415.72</v>
      </c>
      <c r="AO92" s="188">
        <v>1374964415.72</v>
      </c>
      <c r="AP92" s="188">
        <v>1374964415.72</v>
      </c>
      <c r="AQ92" s="188">
        <v>1375111415.72</v>
      </c>
      <c r="AR92" s="188">
        <v>1375001165.72</v>
      </c>
      <c r="AS92" s="188">
        <v>1375001165.72</v>
      </c>
      <c r="AT92" s="188">
        <v>1374964415.72</v>
      </c>
      <c r="AU92" s="188">
        <v>1374898755.72</v>
      </c>
      <c r="AV92" s="188">
        <v>1374878083.6099999</v>
      </c>
      <c r="AW92" s="188">
        <v>1374779593.6099999</v>
      </c>
      <c r="AX92" s="188">
        <v>1374449260.6099999</v>
      </c>
      <c r="AY92" s="188">
        <v>1374750770.6099999</v>
      </c>
      <c r="AZ92" s="188">
        <v>1374285110.6099999</v>
      </c>
      <c r="BA92" s="188">
        <v>1846185110.6099999</v>
      </c>
      <c r="BB92" s="188">
        <v>1846119450.6099999</v>
      </c>
      <c r="BC92" s="188">
        <v>1845673790.6099999</v>
      </c>
      <c r="BD92" s="188">
        <v>1924023790.6099999</v>
      </c>
      <c r="BE92" s="188">
        <v>1923937320.54</v>
      </c>
      <c r="BF92" s="188">
        <v>1923937320.54</v>
      </c>
      <c r="BG92" s="188">
        <v>1923800640.54</v>
      </c>
      <c r="BH92" s="188">
        <v>2014484980.54</v>
      </c>
      <c r="BI92" s="188">
        <v>2014484980.54</v>
      </c>
      <c r="BJ92" s="188">
        <v>2014484980.54</v>
      </c>
      <c r="BK92" s="188">
        <v>2014419320.54</v>
      </c>
      <c r="BL92" s="188">
        <v>2014386490.54</v>
      </c>
      <c r="BM92" s="188">
        <v>2014320830.54</v>
      </c>
      <c r="BN92" s="188">
        <v>2014320830.54</v>
      </c>
      <c r="BO92" s="188">
        <v>2039255170.54</v>
      </c>
      <c r="BP92" s="188">
        <v>2039255170.54</v>
      </c>
      <c r="BQ92" s="188">
        <v>2039221850.54</v>
      </c>
      <c r="BR92" s="188">
        <v>2039189510.54</v>
      </c>
      <c r="BS92" s="188">
        <v>89470324.019999996</v>
      </c>
      <c r="BT92" s="188">
        <v>88432681.620000005</v>
      </c>
      <c r="BU92" s="188">
        <v>88432681.620000005</v>
      </c>
      <c r="BV92" s="188">
        <v>0</v>
      </c>
      <c r="BW92" s="188">
        <v>0</v>
      </c>
      <c r="BX92" s="188"/>
      <c r="BY92" s="188"/>
      <c r="BZ92" s="188"/>
      <c r="CA92" s="188"/>
      <c r="CB92" s="188"/>
      <c r="CC92" s="188"/>
      <c r="CD92" s="188"/>
      <c r="CE92" s="188"/>
      <c r="CF92" s="188"/>
      <c r="CG92" s="188"/>
      <c r="CH92" s="188"/>
      <c r="CI92" s="188"/>
      <c r="CJ92" s="188"/>
      <c r="CK92" s="188"/>
      <c r="CL92" s="188"/>
    </row>
    <row r="93" spans="1:90">
      <c r="A93" s="128" t="s">
        <v>64</v>
      </c>
      <c r="B93" s="188">
        <v>0</v>
      </c>
      <c r="C93" s="188">
        <v>0</v>
      </c>
      <c r="D93" s="188">
        <v>0</v>
      </c>
      <c r="E93" s="188">
        <v>0</v>
      </c>
      <c r="F93" s="188">
        <v>0</v>
      </c>
      <c r="G93" s="188">
        <v>0</v>
      </c>
      <c r="H93" s="188">
        <v>0</v>
      </c>
      <c r="I93" s="188">
        <v>0</v>
      </c>
      <c r="J93" s="188">
        <v>0</v>
      </c>
      <c r="K93" s="188">
        <v>0</v>
      </c>
      <c r="L93" s="188">
        <v>0</v>
      </c>
      <c r="M93" s="188">
        <v>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c r="A94" s="128" t="s">
        <v>65</v>
      </c>
      <c r="B94" s="188">
        <v>-7065725.7000000002</v>
      </c>
      <c r="C94" s="188">
        <v>-5928801.1399999997</v>
      </c>
      <c r="D94" s="188">
        <v>-8513766.4199999999</v>
      </c>
      <c r="E94" s="188">
        <v>-7883649.3899999997</v>
      </c>
      <c r="F94" s="188">
        <v>-7401576.4000000004</v>
      </c>
      <c r="G94" s="188">
        <v>-7229608.1600000001</v>
      </c>
      <c r="H94" s="188">
        <v>-7793841.0499999998</v>
      </c>
      <c r="I94" s="188">
        <v>-10729839.77</v>
      </c>
      <c r="J94" s="188">
        <v>-11240841.560000001</v>
      </c>
      <c r="K94" s="188">
        <v>-9828907.2300000004</v>
      </c>
      <c r="L94" s="188">
        <v>-10741866.18</v>
      </c>
      <c r="M94" s="188">
        <v>-9516873.0800000001</v>
      </c>
      <c r="N94" s="188">
        <v>-13034075.470000001</v>
      </c>
      <c r="O94" s="188">
        <v>-12472326.27</v>
      </c>
      <c r="P94" s="188">
        <v>-14908204.18</v>
      </c>
      <c r="Q94" s="188">
        <v>-10342175.050000001</v>
      </c>
      <c r="R94" s="188">
        <v>-619043.99</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c r="A95" s="128"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c r="A96" s="128" t="s">
        <v>67</v>
      </c>
      <c r="B96" s="188">
        <v>13444221244.84</v>
      </c>
      <c r="C96" s="188">
        <v>13297348655.709999</v>
      </c>
      <c r="D96" s="188">
        <v>13297348655.709999</v>
      </c>
      <c r="E96" s="188">
        <v>8215595509.6899996</v>
      </c>
      <c r="F96" s="188">
        <v>8215595509.6899996</v>
      </c>
      <c r="G96" s="188">
        <v>8032437263.1199999</v>
      </c>
      <c r="H96" s="188">
        <v>8032437263.1199999</v>
      </c>
      <c r="I96" s="188">
        <v>7135649963.1199999</v>
      </c>
      <c r="J96" s="188">
        <v>7135649963.1199999</v>
      </c>
      <c r="K96" s="188">
        <v>7083825670.9399996</v>
      </c>
      <c r="L96" s="188">
        <v>7083825670.9399996</v>
      </c>
      <c r="M96" s="188">
        <v>6210524497.54</v>
      </c>
      <c r="N96" s="188">
        <v>6210524497.54</v>
      </c>
      <c r="O96" s="188">
        <v>5249407234.6199999</v>
      </c>
      <c r="P96" s="188">
        <v>5249407234.6199999</v>
      </c>
      <c r="Q96" s="188">
        <v>5249407234.6199999</v>
      </c>
      <c r="R96" s="188">
        <v>5249407234.6199999</v>
      </c>
      <c r="S96" s="188">
        <v>5276552448.5200005</v>
      </c>
      <c r="T96" s="188">
        <v>5276552448.5200005</v>
      </c>
      <c r="U96" s="188">
        <v>4220803927.1799998</v>
      </c>
      <c r="V96" s="188">
        <v>4220803927.1799998</v>
      </c>
      <c r="W96" s="188">
        <v>4221669105.9299998</v>
      </c>
      <c r="X96" s="188">
        <v>4221669105.9299998</v>
      </c>
      <c r="Y96" s="188">
        <v>3036434460.46</v>
      </c>
      <c r="Z96" s="188">
        <v>3036434460.46</v>
      </c>
      <c r="AA96" s="188">
        <v>3038678758.3000002</v>
      </c>
      <c r="AB96" s="188">
        <v>3038678758.3000002</v>
      </c>
      <c r="AC96" s="188">
        <v>2640916373.3499999</v>
      </c>
      <c r="AD96" s="188">
        <v>2640916373.3499999</v>
      </c>
      <c r="AE96" s="188">
        <v>2206854637.2199998</v>
      </c>
      <c r="AF96" s="188">
        <v>2206854637.2199998</v>
      </c>
      <c r="AG96" s="188">
        <v>2176754189.4699998</v>
      </c>
      <c r="AH96" s="188">
        <v>2176754189.4699998</v>
      </c>
      <c r="AI96" s="188">
        <v>1702957797.0999999</v>
      </c>
      <c r="AJ96" s="188">
        <v>1702957797.0999999</v>
      </c>
      <c r="AK96" s="188">
        <v>1585666147.4000001</v>
      </c>
      <c r="AL96" s="188">
        <v>1585666147.4000001</v>
      </c>
      <c r="AM96" s="188">
        <v>1344191389.0599999</v>
      </c>
      <c r="AN96" s="188">
        <v>1344191389.0599999</v>
      </c>
      <c r="AO96" s="188">
        <v>1001133829.72</v>
      </c>
      <c r="AP96" s="188">
        <v>1001133829.72</v>
      </c>
      <c r="AQ96" s="188">
        <v>996505519.39999998</v>
      </c>
      <c r="AR96" s="188">
        <v>996505519.39999998</v>
      </c>
      <c r="AS96" s="188">
        <v>838320965.63</v>
      </c>
      <c r="AT96" s="188">
        <v>838320965.63</v>
      </c>
      <c r="AU96" s="188">
        <v>1264879718.52</v>
      </c>
      <c r="AV96" s="188">
        <v>1264879718.52</v>
      </c>
      <c r="AW96" s="188">
        <v>1254272843.9200001</v>
      </c>
      <c r="AX96" s="188">
        <v>1253305422.0599999</v>
      </c>
      <c r="AY96" s="188">
        <v>967252340.82000005</v>
      </c>
      <c r="AZ96" s="188">
        <v>967252340.82000005</v>
      </c>
      <c r="BA96" s="188">
        <v>967252340.82000005</v>
      </c>
      <c r="BB96" s="188">
        <v>967252340.82000005</v>
      </c>
      <c r="BC96" s="188">
        <v>648560928.29999995</v>
      </c>
      <c r="BD96" s="188">
        <v>648560928.29999995</v>
      </c>
      <c r="BE96" s="188">
        <v>648560928.29999995</v>
      </c>
      <c r="BF96" s="188">
        <v>648560928.29999995</v>
      </c>
      <c r="BG96" s="188">
        <v>424392525.00999999</v>
      </c>
      <c r="BH96" s="188">
        <v>424392525.00999999</v>
      </c>
      <c r="BI96" s="188">
        <v>424392525.00999999</v>
      </c>
      <c r="BJ96" s="188">
        <v>424392228.41000003</v>
      </c>
      <c r="BK96" s="188">
        <v>341468411.01999998</v>
      </c>
      <c r="BL96" s="188">
        <v>341440996.33999997</v>
      </c>
      <c r="BM96" s="188">
        <v>275280085.31999999</v>
      </c>
      <c r="BN96" s="188">
        <v>275280085.31999999</v>
      </c>
      <c r="BO96" s="188">
        <v>227558468.19</v>
      </c>
      <c r="BP96" s="188">
        <v>227558468.19</v>
      </c>
      <c r="BQ96" s="188">
        <v>163612517.12</v>
      </c>
      <c r="BR96" s="188">
        <v>163612517.12</v>
      </c>
      <c r="BS96" s="188">
        <v>114734706.56</v>
      </c>
      <c r="BT96" s="188">
        <v>63435431.119999997</v>
      </c>
      <c r="BU96" s="188">
        <v>6166053.1900000004</v>
      </c>
      <c r="BV96" s="188">
        <v>0</v>
      </c>
      <c r="BW96" s="188">
        <v>0</v>
      </c>
      <c r="BX96" s="188">
        <v>144007744.87</v>
      </c>
      <c r="BY96" s="188">
        <v>96446307.129999995</v>
      </c>
      <c r="BZ96" s="188">
        <v>51390553.909999996</v>
      </c>
      <c r="CA96" s="188">
        <v>13452642.869999999</v>
      </c>
      <c r="CB96" s="188">
        <v>0</v>
      </c>
      <c r="CC96" s="188">
        <v>0</v>
      </c>
      <c r="CD96" s="188">
        <v>0</v>
      </c>
      <c r="CE96" s="188">
        <v>34778000</v>
      </c>
      <c r="CF96" s="188">
        <v>10546287.800000001</v>
      </c>
      <c r="CG96" s="188">
        <v>1136843.69</v>
      </c>
      <c r="CH96" s="188">
        <v>0</v>
      </c>
      <c r="CI96" s="188">
        <v>0</v>
      </c>
      <c r="CJ96" s="188">
        <v>0</v>
      </c>
      <c r="CK96" s="188">
        <v>0</v>
      </c>
      <c r="CL96" s="188">
        <v>0</v>
      </c>
    </row>
    <row r="97" spans="1:90">
      <c r="A97" s="128" t="s">
        <v>68</v>
      </c>
      <c r="B97" s="188">
        <v>788302643.63</v>
      </c>
      <c r="C97" s="188">
        <v>600859229.62</v>
      </c>
      <c r="D97" s="188">
        <v>600859229.62</v>
      </c>
      <c r="E97" s="188">
        <v>600859229.62</v>
      </c>
      <c r="F97" s="188">
        <v>600859229.62</v>
      </c>
      <c r="G97" s="188">
        <v>420758409.36000001</v>
      </c>
      <c r="H97" s="188">
        <v>420758409.36000001</v>
      </c>
      <c r="I97" s="188">
        <v>420758409.36000001</v>
      </c>
      <c r="J97" s="188">
        <v>420758409.36000001</v>
      </c>
      <c r="K97" s="188">
        <v>218361303.43000001</v>
      </c>
      <c r="L97" s="188">
        <v>218361303.43000001</v>
      </c>
      <c r="M97" s="188">
        <v>218361303.43000001</v>
      </c>
      <c r="N97" s="188">
        <v>218361303.43000001</v>
      </c>
      <c r="O97" s="188">
        <v>134294502.37</v>
      </c>
      <c r="P97" s="188">
        <v>134294502.37</v>
      </c>
      <c r="Q97" s="188">
        <v>98594502.370000005</v>
      </c>
      <c r="R97" s="188">
        <v>98594502.370000005</v>
      </c>
      <c r="S97" s="188">
        <v>28596286.27</v>
      </c>
      <c r="T97" s="188">
        <v>28596286.27</v>
      </c>
      <c r="U97" s="188">
        <v>13296286.27</v>
      </c>
      <c r="V97" s="188">
        <v>13296286.27</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c r="A98" s="128" t="s">
        <v>69</v>
      </c>
      <c r="B98" s="188">
        <v>95981943953.559998</v>
      </c>
      <c r="C98" s="188">
        <v>85846187413.809998</v>
      </c>
      <c r="D98" s="188">
        <v>76876820476.139999</v>
      </c>
      <c r="E98" s="188">
        <v>88518214128.529999</v>
      </c>
      <c r="F98" s="188">
        <v>80011307450.330002</v>
      </c>
      <c r="G98" s="188">
        <v>73279053245.520004</v>
      </c>
      <c r="H98" s="188">
        <v>64546067191.129997</v>
      </c>
      <c r="I98" s="188">
        <v>68840927360.740005</v>
      </c>
      <c r="J98" s="188">
        <v>62717808036.610001</v>
      </c>
      <c r="K98" s="188">
        <v>58719244464.699997</v>
      </c>
      <c r="L98" s="188">
        <v>55056303838.580002</v>
      </c>
      <c r="M98" s="188">
        <v>59768236093.089996</v>
      </c>
      <c r="N98" s="188">
        <v>54878964497.769997</v>
      </c>
      <c r="O98" s="188">
        <v>51845696029.080002</v>
      </c>
      <c r="P98" s="188">
        <v>53418589613.540001</v>
      </c>
      <c r="Q98" s="188">
        <v>49930959058.260002</v>
      </c>
      <c r="R98" s="188">
        <v>45566057337.370003</v>
      </c>
      <c r="S98" s="188">
        <v>40918438890.050003</v>
      </c>
      <c r="T98" s="188">
        <v>37454963518.709999</v>
      </c>
      <c r="U98" s="188">
        <v>39640361782.25</v>
      </c>
      <c r="V98" s="188">
        <v>35974971858.639999</v>
      </c>
      <c r="W98" s="188">
        <v>31915957705.959999</v>
      </c>
      <c r="X98" s="188">
        <v>28098707911.970001</v>
      </c>
      <c r="Y98" s="188">
        <v>32293173381.169998</v>
      </c>
      <c r="Z98" s="188">
        <v>28700075247.5</v>
      </c>
      <c r="AA98" s="188">
        <v>25807560553.650002</v>
      </c>
      <c r="AB98" s="188">
        <v>22385472933.189999</v>
      </c>
      <c r="AC98" s="188">
        <v>22906334977.689999</v>
      </c>
      <c r="AD98" s="188">
        <v>19937119181.959999</v>
      </c>
      <c r="AE98" s="188">
        <v>18177119652.080002</v>
      </c>
      <c r="AF98" s="188">
        <v>16609592149.389999</v>
      </c>
      <c r="AG98" s="188">
        <v>15787250430.540001</v>
      </c>
      <c r="AH98" s="188">
        <v>13903255455.610001</v>
      </c>
      <c r="AI98" s="188">
        <v>13500031622.98</v>
      </c>
      <c r="AJ98" s="188">
        <v>12425614934.950001</v>
      </c>
      <c r="AK98" s="188">
        <v>11827214855.1</v>
      </c>
      <c r="AL98" s="188">
        <v>10561552279.690001</v>
      </c>
      <c r="AM98" s="188">
        <v>10277532334.969999</v>
      </c>
      <c r="AN98" s="188">
        <v>9280857397.3999996</v>
      </c>
      <c r="AO98" s="188">
        <v>9141680742.6900005</v>
      </c>
      <c r="AP98" s="188">
        <v>7924671271.0299997</v>
      </c>
      <c r="AQ98" s="188">
        <v>7274577877.2399998</v>
      </c>
      <c r="AR98" s="188">
        <v>6369380098.8400002</v>
      </c>
      <c r="AS98" s="188">
        <v>5950374457.8599997</v>
      </c>
      <c r="AT98" s="188">
        <v>5077020374.5799999</v>
      </c>
      <c r="AU98" s="188">
        <v>3291064389.6399999</v>
      </c>
      <c r="AV98" s="188">
        <v>2550293482.9499998</v>
      </c>
      <c r="AW98" s="188">
        <v>2247683074.8000002</v>
      </c>
      <c r="AX98" s="188">
        <v>1664790770.9100001</v>
      </c>
      <c r="AY98" s="188">
        <v>2058380373.47</v>
      </c>
      <c r="AZ98" s="188">
        <v>1712637291.5699999</v>
      </c>
      <c r="BA98" s="188">
        <v>2114646547.6199999</v>
      </c>
      <c r="BB98" s="188">
        <v>1665055777.74</v>
      </c>
      <c r="BC98" s="188">
        <v>1708963307.54</v>
      </c>
      <c r="BD98" s="188">
        <v>1487562486.74</v>
      </c>
      <c r="BE98" s="188">
        <v>1375914951.6300001</v>
      </c>
      <c r="BF98" s="188">
        <v>1006775560.89</v>
      </c>
      <c r="BG98" s="188">
        <v>1122584115.97</v>
      </c>
      <c r="BH98" s="188">
        <v>983599159.49000001</v>
      </c>
      <c r="BI98" s="188">
        <v>899399260.28999996</v>
      </c>
      <c r="BJ98" s="188">
        <v>634515263.59000003</v>
      </c>
      <c r="BK98" s="188">
        <v>575940966.96000004</v>
      </c>
      <c r="BL98" s="188">
        <v>474604497.82999998</v>
      </c>
      <c r="BM98" s="188">
        <v>505853609.79000002</v>
      </c>
      <c r="BN98" s="188">
        <v>288244590.30000001</v>
      </c>
      <c r="BO98" s="188">
        <v>323418256.06999999</v>
      </c>
      <c r="BP98" s="188">
        <v>252443665.06</v>
      </c>
      <c r="BQ98" s="188">
        <v>284561899.63</v>
      </c>
      <c r="BR98" s="188">
        <v>78113637.140000001</v>
      </c>
      <c r="BS98" s="188">
        <v>172340372.66</v>
      </c>
      <c r="BT98" s="188">
        <v>105552620.23</v>
      </c>
      <c r="BU98" s="188">
        <v>5763120.4199999999</v>
      </c>
      <c r="BV98" s="188">
        <v>0</v>
      </c>
      <c r="BW98" s="188">
        <v>0</v>
      </c>
      <c r="BX98" s="188">
        <v>423675870.94999999</v>
      </c>
      <c r="BY98" s="188">
        <v>146529073.66</v>
      </c>
      <c r="BZ98" s="188">
        <v>291213138.67000002</v>
      </c>
      <c r="CA98" s="188">
        <v>76231642.829999998</v>
      </c>
      <c r="CB98" s="188">
        <v>0</v>
      </c>
      <c r="CC98" s="188">
        <v>0</v>
      </c>
      <c r="CD98" s="188">
        <v>0</v>
      </c>
      <c r="CE98" s="188">
        <v>129889000</v>
      </c>
      <c r="CF98" s="188">
        <v>81321459.170000002</v>
      </c>
      <c r="CG98" s="188">
        <v>12975517.09</v>
      </c>
      <c r="CH98" s="188">
        <v>0</v>
      </c>
      <c r="CI98" s="188">
        <v>0</v>
      </c>
      <c r="CJ98" s="188">
        <v>0</v>
      </c>
      <c r="CK98" s="188">
        <v>0</v>
      </c>
      <c r="CL98" s="188">
        <v>0</v>
      </c>
    </row>
    <row r="99" spans="1:90">
      <c r="A99" s="128" t="s">
        <v>70</v>
      </c>
      <c r="B99" s="188">
        <v>0</v>
      </c>
      <c r="C99" s="188">
        <v>0</v>
      </c>
      <c r="D99" s="188">
        <v>2580473549.23</v>
      </c>
      <c r="E99" s="188">
        <v>0</v>
      </c>
      <c r="F99" s="188">
        <v>0</v>
      </c>
      <c r="G99" s="188">
        <v>0</v>
      </c>
      <c r="H99" s="188">
        <v>8529177880.8000002</v>
      </c>
      <c r="I99" s="188">
        <v>0</v>
      </c>
      <c r="J99" s="188">
        <v>0</v>
      </c>
      <c r="K99" s="188">
        <v>0</v>
      </c>
      <c r="L99" s="188">
        <v>4977430129.3599997</v>
      </c>
      <c r="M99" s="188">
        <v>0</v>
      </c>
      <c r="N99" s="188">
        <v>0</v>
      </c>
      <c r="O99" s="188">
        <v>0</v>
      </c>
      <c r="P99" s="188">
        <v>0</v>
      </c>
      <c r="Q99" s="188">
        <v>0</v>
      </c>
      <c r="R99" s="188">
        <v>0</v>
      </c>
      <c r="S99" s="188">
        <v>0</v>
      </c>
      <c r="T99" s="188">
        <v>0</v>
      </c>
      <c r="U99" s="188">
        <v>564392547.62</v>
      </c>
      <c r="V99" s="188">
        <v>0</v>
      </c>
      <c r="W99" s="188">
        <v>0</v>
      </c>
      <c r="X99" s="188">
        <v>429516584.81999999</v>
      </c>
      <c r="Y99" s="188">
        <v>629516584.82000005</v>
      </c>
      <c r="Z99" s="188">
        <v>0</v>
      </c>
      <c r="AA99" s="188">
        <v>195688455.97999999</v>
      </c>
      <c r="AB99" s="188">
        <v>4233765263.5700002</v>
      </c>
      <c r="AC99" s="188">
        <v>2250000</v>
      </c>
      <c r="AD99" s="188">
        <v>0</v>
      </c>
      <c r="AE99" s="188">
        <v>225593890.94999999</v>
      </c>
      <c r="AF99" s="188">
        <v>2269077517.96</v>
      </c>
      <c r="AG99" s="188">
        <v>318584196.29000002</v>
      </c>
      <c r="AH99" s="188">
        <v>318584196.29000002</v>
      </c>
      <c r="AI99" s="188">
        <v>220246678.33000001</v>
      </c>
      <c r="AJ99" s="188">
        <v>1186664698.0599999</v>
      </c>
      <c r="AK99" s="188">
        <v>0</v>
      </c>
      <c r="AL99" s="188">
        <v>137207662.62</v>
      </c>
      <c r="AM99" s="188">
        <v>0</v>
      </c>
      <c r="AN99" s="188">
        <v>1058642428.87</v>
      </c>
      <c r="AO99" s="188">
        <v>172451384.72999999</v>
      </c>
      <c r="AP99" s="188">
        <v>0</v>
      </c>
      <c r="AQ99" s="188">
        <v>115386977.67</v>
      </c>
      <c r="AR99" s="188">
        <v>118186308.62</v>
      </c>
      <c r="AS99" s="188">
        <v>41806958.039999999</v>
      </c>
      <c r="AT99" s="188">
        <v>41806958.039999999</v>
      </c>
      <c r="AU99" s="188">
        <v>41806958.039999999</v>
      </c>
      <c r="AV99" s="188">
        <v>722871772.95000005</v>
      </c>
      <c r="AW99" s="188">
        <v>722688505.62</v>
      </c>
      <c r="AX99" s="188">
        <v>0</v>
      </c>
      <c r="AY99" s="188">
        <v>545065.19999999995</v>
      </c>
      <c r="AZ99" s="188">
        <v>0</v>
      </c>
      <c r="BA99" s="188">
        <v>42665714.490000002</v>
      </c>
      <c r="BB99" s="188">
        <v>37181810</v>
      </c>
      <c r="BC99" s="188">
        <v>0</v>
      </c>
      <c r="BD99" s="188">
        <v>0</v>
      </c>
      <c r="BE99" s="188">
        <v>0</v>
      </c>
      <c r="BF99" s="188">
        <v>17440859.68</v>
      </c>
      <c r="BG99" s="188">
        <v>17652617.600000001</v>
      </c>
      <c r="BH99" s="188">
        <v>17864375.52</v>
      </c>
      <c r="BI99" s="188">
        <v>27982641.129999999</v>
      </c>
      <c r="BJ99" s="188">
        <v>1212795.3600000001</v>
      </c>
      <c r="BK99" s="188">
        <v>1212795.3600000001</v>
      </c>
      <c r="BL99" s="188">
        <v>55577521.600000001</v>
      </c>
      <c r="BM99" s="188">
        <v>55577521.600000001</v>
      </c>
      <c r="BN99" s="188">
        <v>55577521.600000001</v>
      </c>
      <c r="BO99" s="188">
        <v>97601152.799999997</v>
      </c>
      <c r="BP99" s="188">
        <v>155488801.46000001</v>
      </c>
      <c r="BQ99" s="188">
        <v>155488801.46000001</v>
      </c>
      <c r="BR99" s="188">
        <v>165107825.69999999</v>
      </c>
      <c r="BS99" s="188">
        <v>106865617.66</v>
      </c>
      <c r="BT99" s="188">
        <v>5617043.5599999996</v>
      </c>
      <c r="BU99" s="188">
        <v>0</v>
      </c>
      <c r="BV99" s="188">
        <v>0</v>
      </c>
      <c r="BW99" s="188">
        <v>0</v>
      </c>
      <c r="BX99" s="188">
        <v>0</v>
      </c>
      <c r="BY99" s="188">
        <v>400000000</v>
      </c>
      <c r="BZ99" s="188">
        <v>0</v>
      </c>
      <c r="CA99" s="188">
        <v>0</v>
      </c>
      <c r="CB99" s="188">
        <v>0</v>
      </c>
      <c r="CC99" s="188">
        <v>0</v>
      </c>
      <c r="CD99" s="188">
        <v>0</v>
      </c>
      <c r="CE99" s="188">
        <v>0</v>
      </c>
      <c r="CF99" s="188">
        <v>0</v>
      </c>
      <c r="CG99" s="188">
        <v>0</v>
      </c>
      <c r="CH99" s="188">
        <v>0</v>
      </c>
      <c r="CI99" s="188">
        <v>0</v>
      </c>
      <c r="CJ99" s="188">
        <v>0</v>
      </c>
      <c r="CK99" s="188">
        <v>0</v>
      </c>
      <c r="CL99" s="188">
        <v>0</v>
      </c>
    </row>
    <row r="100" spans="1:90">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28"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-14802026.52</v>
      </c>
      <c r="BF101" s="188">
        <v>0</v>
      </c>
      <c r="BG101" s="188">
        <v>0</v>
      </c>
      <c r="BH101" s="188">
        <v>0</v>
      </c>
      <c r="BI101" s="188">
        <v>0</v>
      </c>
      <c r="BJ101" s="188">
        <v>0</v>
      </c>
      <c r="BK101" s="188">
        <v>0</v>
      </c>
      <c r="BL101" s="188">
        <v>0</v>
      </c>
      <c r="BM101" s="188">
        <v>0</v>
      </c>
      <c r="BN101" s="188">
        <v>0</v>
      </c>
      <c r="BO101" s="188">
        <v>0</v>
      </c>
      <c r="BP101" s="188">
        <v>0</v>
      </c>
      <c r="BQ101" s="188">
        <v>0</v>
      </c>
      <c r="BR101" s="188">
        <v>0</v>
      </c>
      <c r="BS101" s="188">
        <v>0</v>
      </c>
      <c r="BT101" s="188"/>
      <c r="BU101" s="188"/>
      <c r="BV101" s="188"/>
      <c r="BW101" s="188"/>
      <c r="BX101" s="188"/>
      <c r="BY101" s="188"/>
      <c r="BZ101" s="188"/>
      <c r="CA101" s="188"/>
      <c r="CB101" s="188"/>
      <c r="CC101" s="188"/>
      <c r="CD101" s="188"/>
      <c r="CE101" s="188"/>
      <c r="CF101" s="188"/>
      <c r="CG101" s="188"/>
      <c r="CH101" s="188"/>
      <c r="CI101" s="188"/>
      <c r="CJ101" s="188"/>
      <c r="CK101" s="188"/>
      <c r="CL101" s="188"/>
    </row>
    <row r="102" spans="1:90">
      <c r="A102" s="128" t="s">
        <v>72</v>
      </c>
      <c r="B102" s="188">
        <v>112838564332.05</v>
      </c>
      <c r="C102" s="188">
        <v>102369628713.72</v>
      </c>
      <c r="D102" s="188">
        <v>93397676810.770004</v>
      </c>
      <c r="E102" s="188">
        <v>99957947434.169998</v>
      </c>
      <c r="F102" s="188">
        <v>91451522828.960007</v>
      </c>
      <c r="G102" s="188">
        <v>84356181525.559998</v>
      </c>
      <c r="H102" s="188">
        <v>75622631238.279999</v>
      </c>
      <c r="I102" s="188">
        <v>79017768109.169998</v>
      </c>
      <c r="J102" s="188">
        <v>72894137783.25</v>
      </c>
      <c r="K102" s="188">
        <v>68642764747.559998</v>
      </c>
      <c r="L102" s="188">
        <v>64978911162.489998</v>
      </c>
      <c r="M102" s="188">
        <v>68818767236.699997</v>
      </c>
      <c r="N102" s="188">
        <v>63925978438.989998</v>
      </c>
      <c r="O102" s="188">
        <v>59848087655.519997</v>
      </c>
      <c r="P102" s="188">
        <v>61304345562.07</v>
      </c>
      <c r="Q102" s="188">
        <v>57785581035.919998</v>
      </c>
      <c r="R102" s="188">
        <v>53430402446.089996</v>
      </c>
      <c r="S102" s="188">
        <v>48740550040.559998</v>
      </c>
      <c r="T102" s="188">
        <v>45277074669.220001</v>
      </c>
      <c r="U102" s="188">
        <v>46287606411.419998</v>
      </c>
      <c r="V102" s="188">
        <v>42622216487.809998</v>
      </c>
      <c r="W102" s="188">
        <v>38550771227.610001</v>
      </c>
      <c r="X102" s="188">
        <v>34733521433.620003</v>
      </c>
      <c r="Y102" s="188">
        <v>37742752257.349998</v>
      </c>
      <c r="Z102" s="188">
        <v>34149654123.68</v>
      </c>
      <c r="AA102" s="188">
        <v>31259383727.669998</v>
      </c>
      <c r="AB102" s="188">
        <v>27837296107.209999</v>
      </c>
      <c r="AC102" s="188">
        <v>27960395766.759998</v>
      </c>
      <c r="AD102" s="188">
        <v>24991179971.029999</v>
      </c>
      <c r="AE102" s="188">
        <v>22797118705.02</v>
      </c>
      <c r="AF102" s="188">
        <v>21135211202.330002</v>
      </c>
      <c r="AG102" s="188">
        <v>20282769035.73</v>
      </c>
      <c r="AH102" s="188">
        <v>18398774060.799999</v>
      </c>
      <c r="AI102" s="188">
        <v>17521753835.799999</v>
      </c>
      <c r="AJ102" s="188">
        <v>16447337147.77</v>
      </c>
      <c r="AK102" s="188">
        <v>15731645418.219999</v>
      </c>
      <c r="AL102" s="188">
        <v>14465982842.809999</v>
      </c>
      <c r="AM102" s="188">
        <v>13940488139.75</v>
      </c>
      <c r="AN102" s="188">
        <v>12943813202.18</v>
      </c>
      <c r="AO102" s="188">
        <v>12461578988.129999</v>
      </c>
      <c r="AP102" s="188">
        <v>11244569516.469999</v>
      </c>
      <c r="AQ102" s="188">
        <v>10589994812.360001</v>
      </c>
      <c r="AR102" s="188">
        <v>9684686783.9599991</v>
      </c>
      <c r="AS102" s="188">
        <v>9107496589.2099991</v>
      </c>
      <c r="AT102" s="188">
        <v>8234105755.9300003</v>
      </c>
      <c r="AU102" s="188">
        <v>6874642863.8800001</v>
      </c>
      <c r="AV102" s="188">
        <v>6133851285.0799999</v>
      </c>
      <c r="AW102" s="188">
        <v>5820535512.3299999</v>
      </c>
      <c r="AX102" s="188">
        <v>5897005453.5799999</v>
      </c>
      <c r="AY102" s="188">
        <v>5344183484.8999996</v>
      </c>
      <c r="AZ102" s="188">
        <v>5001822019.8000002</v>
      </c>
      <c r="BA102" s="188">
        <v>5541553999.0500002</v>
      </c>
      <c r="BB102" s="188">
        <v>5091897569.1700001</v>
      </c>
      <c r="BC102" s="188">
        <v>4713459586.4499998</v>
      </c>
      <c r="BD102" s="188">
        <v>4650022205.6499996</v>
      </c>
      <c r="BE102" s="188">
        <v>4538288200.4700003</v>
      </c>
      <c r="BF102" s="188">
        <v>4169148809.73</v>
      </c>
      <c r="BG102" s="188">
        <v>3864027281.52</v>
      </c>
      <c r="BH102" s="188">
        <v>3788226665.04</v>
      </c>
      <c r="BI102" s="188">
        <v>3704026765.8400002</v>
      </c>
      <c r="BJ102" s="188">
        <v>3439142472.54</v>
      </c>
      <c r="BK102" s="188">
        <v>3206828698.52</v>
      </c>
      <c r="BL102" s="188">
        <v>3105431984.71</v>
      </c>
      <c r="BM102" s="188">
        <v>3070454525.6500001</v>
      </c>
      <c r="BN102" s="188">
        <v>2852230484.27</v>
      </c>
      <c r="BO102" s="188">
        <v>2840231894.8000002</v>
      </c>
      <c r="BP102" s="188">
        <v>2769257303.79</v>
      </c>
      <c r="BQ102" s="188">
        <v>2737396267.29</v>
      </c>
      <c r="BR102" s="188">
        <v>2530915664.8000002</v>
      </c>
      <c r="BS102" s="188">
        <v>561545403.24000001</v>
      </c>
      <c r="BT102" s="188">
        <v>442420732.97000003</v>
      </c>
      <c r="BU102" s="188">
        <v>285361855.23000002</v>
      </c>
      <c r="BV102" s="188">
        <v>234091527.97999999</v>
      </c>
      <c r="BW102" s="188">
        <v>0</v>
      </c>
      <c r="BX102" s="188">
        <v>2089698452.7</v>
      </c>
      <c r="BY102" s="188">
        <v>1764990217.6700001</v>
      </c>
      <c r="BZ102" s="188">
        <v>1864618529.46</v>
      </c>
      <c r="CA102" s="188">
        <v>392384778.43000001</v>
      </c>
      <c r="CB102" s="188">
        <v>264958379.21000001</v>
      </c>
      <c r="CC102" s="188">
        <v>225967479.94999999</v>
      </c>
      <c r="CD102" s="188">
        <v>0</v>
      </c>
      <c r="CE102" s="188">
        <v>1079642000</v>
      </c>
      <c r="CF102" s="188">
        <v>1003922431.86</v>
      </c>
      <c r="CG102" s="188">
        <v>492362941.67000002</v>
      </c>
      <c r="CH102" s="188">
        <v>203800000</v>
      </c>
      <c r="CI102" s="188">
        <v>162870000</v>
      </c>
      <c r="CJ102" s="188">
        <v>92660000</v>
      </c>
      <c r="CK102" s="188">
        <v>75420000</v>
      </c>
      <c r="CL102" s="188">
        <v>0</v>
      </c>
    </row>
    <row r="103" spans="1:90">
      <c r="A103" s="128" t="s">
        <v>73</v>
      </c>
      <c r="B103" s="188">
        <v>4569923590.4799995</v>
      </c>
      <c r="C103" s="188">
        <v>3787433335.21</v>
      </c>
      <c r="D103" s="188">
        <v>3106797759.8099999</v>
      </c>
      <c r="E103" s="188">
        <v>5191733721.21</v>
      </c>
      <c r="F103" s="188">
        <v>4568104646.1199999</v>
      </c>
      <c r="G103" s="188">
        <v>4024663748.5700002</v>
      </c>
      <c r="H103" s="188">
        <v>3440619432.1799998</v>
      </c>
      <c r="I103" s="188">
        <v>3436119206.4099998</v>
      </c>
      <c r="J103" s="188">
        <v>3004405071.4699998</v>
      </c>
      <c r="K103" s="188">
        <v>2640738713.5100002</v>
      </c>
      <c r="L103" s="188">
        <v>2374250520.8899999</v>
      </c>
      <c r="M103" s="188">
        <v>2122491752.9200001</v>
      </c>
      <c r="N103" s="188">
        <v>2308191982.3000002</v>
      </c>
      <c r="O103" s="188">
        <v>2070754902.5599999</v>
      </c>
      <c r="P103" s="188">
        <v>2357436627.4699998</v>
      </c>
      <c r="Q103" s="188">
        <v>2144567091.04</v>
      </c>
      <c r="R103" s="188">
        <v>1881148395.03</v>
      </c>
      <c r="S103" s="188">
        <v>1600778530.95</v>
      </c>
      <c r="T103" s="188">
        <v>1347102212</v>
      </c>
      <c r="U103" s="188">
        <v>1165965233.21</v>
      </c>
      <c r="V103" s="188">
        <v>1506875785.45</v>
      </c>
      <c r="W103" s="188">
        <v>1269596474.5799999</v>
      </c>
      <c r="X103" s="188">
        <v>1045585749.9</v>
      </c>
      <c r="Y103" s="188">
        <v>852880798.07000005</v>
      </c>
      <c r="Z103" s="188">
        <v>1304382273.5699999</v>
      </c>
      <c r="AA103" s="188">
        <v>732181741.11000001</v>
      </c>
      <c r="AB103" s="188">
        <v>567479126.41999996</v>
      </c>
      <c r="AC103" s="188">
        <v>570224635.26999998</v>
      </c>
      <c r="AD103" s="188">
        <v>412199640.25999999</v>
      </c>
      <c r="AE103" s="188">
        <v>286651411.25999999</v>
      </c>
      <c r="AF103" s="188">
        <v>409744684.81999999</v>
      </c>
      <c r="AG103" s="188">
        <v>257911988.53</v>
      </c>
      <c r="AH103" s="188">
        <v>150615633.81999999</v>
      </c>
      <c r="AI103" s="188">
        <v>200016357.63999999</v>
      </c>
      <c r="AJ103" s="188">
        <v>289876148.44999999</v>
      </c>
      <c r="AK103" s="188">
        <v>264302773.80000001</v>
      </c>
      <c r="AL103" s="188">
        <v>185582551.40000001</v>
      </c>
      <c r="AM103" s="188">
        <v>275191591.27999997</v>
      </c>
      <c r="AN103" s="188">
        <v>223163166.90000001</v>
      </c>
      <c r="AO103" s="188">
        <v>146428490.91</v>
      </c>
      <c r="AP103" s="188">
        <v>258848779.47999999</v>
      </c>
      <c r="AQ103" s="188">
        <v>217009921.47999999</v>
      </c>
      <c r="AR103" s="188">
        <v>169948192.50999999</v>
      </c>
      <c r="AS103" s="188">
        <v>178444675.81999999</v>
      </c>
      <c r="AT103" s="188">
        <v>134750014.50999999</v>
      </c>
      <c r="AU103" s="188">
        <v>78256460.450000003</v>
      </c>
      <c r="AV103" s="188">
        <v>85560610.409999996</v>
      </c>
      <c r="AW103" s="188">
        <v>67841281.260000005</v>
      </c>
      <c r="AX103" s="188">
        <v>98023195.849999994</v>
      </c>
      <c r="AY103" s="188">
        <v>70860943.209999993</v>
      </c>
      <c r="AZ103" s="188">
        <v>56652336.340000004</v>
      </c>
      <c r="BA103" s="188">
        <v>46741572.689999998</v>
      </c>
      <c r="BB103" s="188">
        <v>70497512.349999994</v>
      </c>
      <c r="BC103" s="188">
        <v>52043760.579999998</v>
      </c>
      <c r="BD103" s="188">
        <v>41815125.100000001</v>
      </c>
      <c r="BE103" s="188">
        <v>62360963.520000003</v>
      </c>
      <c r="BF103" s="188">
        <v>47558937</v>
      </c>
      <c r="BG103" s="188">
        <v>36447084.609999999</v>
      </c>
      <c r="BH103" s="188">
        <v>28918630.640000001</v>
      </c>
      <c r="BI103" s="188">
        <v>23767728.199999999</v>
      </c>
      <c r="BJ103" s="188">
        <v>31381618.390000001</v>
      </c>
      <c r="BK103" s="188">
        <v>24687926.82</v>
      </c>
      <c r="BL103" s="188">
        <v>19341187.829999998</v>
      </c>
      <c r="BM103" s="188">
        <v>30018150.66</v>
      </c>
      <c r="BN103" s="188">
        <v>22503488.420000002</v>
      </c>
      <c r="BO103" s="188">
        <v>17572455.670000002</v>
      </c>
      <c r="BP103" s="188">
        <v>14795436.99</v>
      </c>
      <c r="BQ103" s="188">
        <v>14066109.310000001</v>
      </c>
      <c r="BR103" s="188">
        <v>6716039.0099999998</v>
      </c>
      <c r="BS103" s="188">
        <v>0</v>
      </c>
      <c r="BT103" s="188">
        <v>1358890.07</v>
      </c>
      <c r="BU103" s="188">
        <v>0</v>
      </c>
      <c r="BV103" s="188">
        <v>0</v>
      </c>
      <c r="BW103" s="188">
        <v>0</v>
      </c>
      <c r="BX103" s="188">
        <v>0</v>
      </c>
      <c r="BY103" s="188">
        <v>0</v>
      </c>
      <c r="BZ103" s="188">
        <v>0</v>
      </c>
      <c r="CA103" s="188">
        <v>0</v>
      </c>
      <c r="CB103" s="188">
        <v>0</v>
      </c>
      <c r="CC103" s="188">
        <v>0</v>
      </c>
      <c r="CD103" s="188">
        <v>0</v>
      </c>
      <c r="CE103" s="188">
        <v>96000</v>
      </c>
      <c r="CF103" s="188">
        <v>305920.90000000002</v>
      </c>
      <c r="CG103" s="188">
        <v>326958.7</v>
      </c>
      <c r="CH103" s="188">
        <v>0</v>
      </c>
      <c r="CI103" s="188">
        <v>0</v>
      </c>
      <c r="CJ103" s="188">
        <v>0</v>
      </c>
      <c r="CK103" s="188">
        <v>0</v>
      </c>
      <c r="CL103" s="188">
        <v>0</v>
      </c>
    </row>
    <row r="104" spans="1:90" hidden="1">
      <c r="A104" s="128"/>
      <c r="B104" s="26"/>
      <c r="C104" s="26"/>
      <c r="D104" s="26"/>
      <c r="E104" s="26"/>
      <c r="F104" s="26"/>
      <c r="G104" s="26"/>
      <c r="H104" s="26"/>
      <c r="I104" s="26"/>
      <c r="J104" s="26"/>
      <c r="K104" s="26"/>
      <c r="L104" s="23"/>
    </row>
    <row r="105" spans="1:90" hidden="1">
      <c r="A105" s="128"/>
      <c r="B105" s="26"/>
      <c r="C105" s="26"/>
      <c r="D105" s="26"/>
      <c r="E105" s="26"/>
      <c r="F105" s="26"/>
      <c r="G105" s="26"/>
      <c r="H105" s="26"/>
      <c r="I105" s="26"/>
      <c r="J105" s="26"/>
      <c r="K105" s="26"/>
      <c r="L105" s="23"/>
    </row>
    <row r="106" spans="1:90" hidden="1">
      <c r="A106" s="128"/>
      <c r="B106" s="26"/>
      <c r="C106" s="26"/>
      <c r="D106" s="26"/>
      <c r="E106" s="26"/>
      <c r="F106" s="26"/>
      <c r="G106" s="26"/>
      <c r="H106" s="26"/>
      <c r="I106" s="26"/>
      <c r="J106" s="26"/>
      <c r="K106" s="26"/>
      <c r="L106" s="23"/>
    </row>
    <row r="107" spans="1:90" s="5" customFormat="1">
      <c r="A107" s="129" t="s">
        <v>74</v>
      </c>
      <c r="B107" s="33">
        <f>B102+B103</f>
        <v>117408487922.53</v>
      </c>
      <c r="C107" s="33">
        <f>C102+C103</f>
        <v>106157062048.93001</v>
      </c>
      <c r="D107" s="33">
        <f>D102+D103</f>
        <v>96504474570.580002</v>
      </c>
      <c r="E107" s="33">
        <f>E102+E103</f>
        <v>105149681155.38</v>
      </c>
      <c r="F107" s="33">
        <f t="shared" ref="F107:BQ107" si="20">F102+F103</f>
        <v>96019627475.080002</v>
      </c>
      <c r="G107" s="33">
        <f t="shared" si="20"/>
        <v>88380845274.130005</v>
      </c>
      <c r="H107" s="33">
        <f t="shared" si="20"/>
        <v>79063250670.459991</v>
      </c>
      <c r="I107" s="33">
        <f t="shared" si="20"/>
        <v>82453887315.580002</v>
      </c>
      <c r="J107" s="33">
        <f t="shared" si="20"/>
        <v>75898542854.720001</v>
      </c>
      <c r="K107" s="33">
        <f t="shared" si="20"/>
        <v>71283503461.069992</v>
      </c>
      <c r="L107" s="33">
        <f t="shared" si="20"/>
        <v>67353161683.379997</v>
      </c>
      <c r="M107" s="33">
        <f t="shared" si="20"/>
        <v>70941258989.619995</v>
      </c>
      <c r="N107" s="33">
        <f t="shared" si="20"/>
        <v>66234170421.290001</v>
      </c>
      <c r="O107" s="33">
        <f t="shared" si="20"/>
        <v>61918842558.079994</v>
      </c>
      <c r="P107" s="33">
        <f t="shared" si="20"/>
        <v>63661782189.540001</v>
      </c>
      <c r="Q107" s="33">
        <f t="shared" si="20"/>
        <v>59930148126.959999</v>
      </c>
      <c r="R107" s="33">
        <f t="shared" si="20"/>
        <v>55311550841.119995</v>
      </c>
      <c r="S107" s="33">
        <f t="shared" si="20"/>
        <v>50341328571.509995</v>
      </c>
      <c r="T107" s="33">
        <f t="shared" si="20"/>
        <v>46624176881.220001</v>
      </c>
      <c r="U107" s="33">
        <f t="shared" si="20"/>
        <v>47453571644.629997</v>
      </c>
      <c r="V107" s="33">
        <f t="shared" si="20"/>
        <v>44129092273.259995</v>
      </c>
      <c r="W107" s="33">
        <f t="shared" si="20"/>
        <v>39820367702.190002</v>
      </c>
      <c r="X107" s="33">
        <f t="shared" si="20"/>
        <v>35779107183.520004</v>
      </c>
      <c r="Y107" s="33">
        <f t="shared" si="20"/>
        <v>38595633055.419998</v>
      </c>
      <c r="Z107" s="33">
        <f t="shared" si="20"/>
        <v>35454036397.25</v>
      </c>
      <c r="AA107" s="33">
        <f t="shared" si="20"/>
        <v>31991565468.779999</v>
      </c>
      <c r="AB107" s="33">
        <f t="shared" si="20"/>
        <v>28404775233.629997</v>
      </c>
      <c r="AC107" s="33">
        <f t="shared" si="20"/>
        <v>28530620402.029999</v>
      </c>
      <c r="AD107" s="33">
        <f t="shared" si="20"/>
        <v>25403379611.289997</v>
      </c>
      <c r="AE107" s="33">
        <f t="shared" si="20"/>
        <v>23083770116.279999</v>
      </c>
      <c r="AF107" s="33">
        <f t="shared" si="20"/>
        <v>21544955887.150002</v>
      </c>
      <c r="AG107" s="33">
        <f t="shared" si="20"/>
        <v>20540681024.259998</v>
      </c>
      <c r="AH107" s="33">
        <f t="shared" si="20"/>
        <v>18549389694.619999</v>
      </c>
      <c r="AI107" s="33">
        <f t="shared" si="20"/>
        <v>17721770193.439999</v>
      </c>
      <c r="AJ107" s="33">
        <f t="shared" si="20"/>
        <v>16737213296.220001</v>
      </c>
      <c r="AK107" s="33">
        <f t="shared" si="20"/>
        <v>15995948192.019999</v>
      </c>
      <c r="AL107" s="33">
        <f t="shared" si="20"/>
        <v>14651565394.209999</v>
      </c>
      <c r="AM107" s="33">
        <f t="shared" si="20"/>
        <v>14215679731.030001</v>
      </c>
      <c r="AN107" s="33">
        <f t="shared" si="20"/>
        <v>13166976369.08</v>
      </c>
      <c r="AO107" s="33">
        <f t="shared" si="20"/>
        <v>12608007479.039999</v>
      </c>
      <c r="AP107" s="33">
        <f t="shared" si="20"/>
        <v>11503418295.949999</v>
      </c>
      <c r="AQ107" s="33">
        <f t="shared" si="20"/>
        <v>10807004733.84</v>
      </c>
      <c r="AR107" s="33">
        <f t="shared" si="20"/>
        <v>9854634976.4699993</v>
      </c>
      <c r="AS107" s="33">
        <f t="shared" si="20"/>
        <v>9285941265.0299988</v>
      </c>
      <c r="AT107" s="33">
        <f t="shared" si="20"/>
        <v>8368855770.4400005</v>
      </c>
      <c r="AU107" s="33">
        <f t="shared" si="20"/>
        <v>6952899324.3299999</v>
      </c>
      <c r="AV107" s="33">
        <f t="shared" si="20"/>
        <v>6219411895.4899998</v>
      </c>
      <c r="AW107" s="33">
        <f t="shared" si="20"/>
        <v>5888376793.5900002</v>
      </c>
      <c r="AX107" s="33">
        <f t="shared" si="20"/>
        <v>5995028649.4300003</v>
      </c>
      <c r="AY107" s="33">
        <f t="shared" si="20"/>
        <v>5415044428.1099997</v>
      </c>
      <c r="AZ107" s="33">
        <f t="shared" si="20"/>
        <v>5058474356.1400003</v>
      </c>
      <c r="BA107" s="33">
        <f t="shared" si="20"/>
        <v>5588295571.7399998</v>
      </c>
      <c r="BB107" s="33">
        <f t="shared" si="20"/>
        <v>5162395081.5200005</v>
      </c>
      <c r="BC107" s="33">
        <f t="shared" si="20"/>
        <v>4765503347.0299997</v>
      </c>
      <c r="BD107" s="33">
        <f t="shared" si="20"/>
        <v>4691837330.75</v>
      </c>
      <c r="BE107" s="33">
        <f t="shared" si="20"/>
        <v>4600649163.9900007</v>
      </c>
      <c r="BF107" s="33">
        <f t="shared" si="20"/>
        <v>4216707746.73</v>
      </c>
      <c r="BG107" s="33">
        <f t="shared" si="20"/>
        <v>3900474366.1300001</v>
      </c>
      <c r="BH107" s="33">
        <f t="shared" si="20"/>
        <v>3817145295.6799998</v>
      </c>
      <c r="BI107" s="33">
        <f t="shared" si="20"/>
        <v>3727794494.04</v>
      </c>
      <c r="BJ107" s="33">
        <f t="shared" si="20"/>
        <v>3470524090.9299998</v>
      </c>
      <c r="BK107" s="33">
        <f t="shared" si="20"/>
        <v>3231516625.3400002</v>
      </c>
      <c r="BL107" s="33">
        <f t="shared" si="20"/>
        <v>3124773172.54</v>
      </c>
      <c r="BM107" s="33">
        <f t="shared" si="20"/>
        <v>3100472676.3099999</v>
      </c>
      <c r="BN107" s="33">
        <f t="shared" si="20"/>
        <v>2874733972.6900001</v>
      </c>
      <c r="BO107" s="33">
        <f t="shared" si="20"/>
        <v>2857804350.4700003</v>
      </c>
      <c r="BP107" s="33">
        <f t="shared" si="20"/>
        <v>2784052740.7799997</v>
      </c>
      <c r="BQ107" s="33">
        <f t="shared" si="20"/>
        <v>2751462376.5999999</v>
      </c>
      <c r="BR107" s="33">
        <f t="shared" ref="BR107:CK107" si="21">BR102+BR103</f>
        <v>2537631703.8100004</v>
      </c>
      <c r="BS107" s="33">
        <f t="shared" si="21"/>
        <v>561545403.24000001</v>
      </c>
      <c r="BT107" s="33">
        <f t="shared" si="21"/>
        <v>443779623.04000002</v>
      </c>
      <c r="BU107" s="33">
        <f t="shared" si="21"/>
        <v>285361855.23000002</v>
      </c>
      <c r="BV107" s="33">
        <f t="shared" si="21"/>
        <v>234091527.97999999</v>
      </c>
      <c r="BW107" s="33">
        <f t="shared" si="21"/>
        <v>0</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30" t="s">
        <v>75</v>
      </c>
      <c r="B108" s="38">
        <f>SUM(B89+B107)</f>
        <v>117451258374.37</v>
      </c>
      <c r="C108" s="38">
        <f t="shared" ref="C108:BN108" si="22">SUM(C89+C107)</f>
        <v>106206452965.48001</v>
      </c>
      <c r="D108" s="38">
        <f t="shared" si="22"/>
        <v>96535252404.119995</v>
      </c>
      <c r="E108" s="38">
        <f>SUM(E107+E89)</f>
        <v>105163988544.62001</v>
      </c>
      <c r="F108" s="38">
        <f t="shared" si="22"/>
        <v>96043042068.75</v>
      </c>
      <c r="G108" s="38">
        <f t="shared" si="22"/>
        <v>88405586238.279999</v>
      </c>
      <c r="H108" s="38">
        <f t="shared" si="22"/>
        <v>79102621668.539993</v>
      </c>
      <c r="I108" s="38">
        <f t="shared" si="22"/>
        <v>82493493598.330002</v>
      </c>
      <c r="J108" s="38">
        <f t="shared" si="22"/>
        <v>75933024490.050003</v>
      </c>
      <c r="K108" s="38">
        <f t="shared" si="22"/>
        <v>71305103409.159988</v>
      </c>
      <c r="L108" s="38">
        <f t="shared" si="22"/>
        <v>67400066315.099998</v>
      </c>
      <c r="M108" s="38">
        <f t="shared" si="22"/>
        <v>70981687149.599991</v>
      </c>
      <c r="N108" s="38">
        <f t="shared" si="22"/>
        <v>66261579868.690002</v>
      </c>
      <c r="O108" s="38">
        <f t="shared" si="22"/>
        <v>61934673934.049995</v>
      </c>
      <c r="P108" s="38">
        <f t="shared" si="22"/>
        <v>63694906631.340004</v>
      </c>
      <c r="Q108" s="38">
        <f t="shared" si="22"/>
        <v>59953882594.57</v>
      </c>
      <c r="R108" s="38">
        <f t="shared" si="22"/>
        <v>55389468523.029999</v>
      </c>
      <c r="S108" s="38">
        <f t="shared" si="22"/>
        <v>50348802391.999992</v>
      </c>
      <c r="T108" s="38">
        <f t="shared" si="22"/>
        <v>46657861702.029999</v>
      </c>
      <c r="U108" s="38">
        <f t="shared" si="22"/>
        <v>47477880055.739998</v>
      </c>
      <c r="V108" s="38">
        <f t="shared" si="22"/>
        <v>44156476162.149994</v>
      </c>
      <c r="W108" s="38">
        <f t="shared" si="22"/>
        <v>39833881813.300003</v>
      </c>
      <c r="X108" s="38">
        <f t="shared" si="22"/>
        <v>35779107183.520004</v>
      </c>
      <c r="Y108" s="38">
        <f t="shared" si="22"/>
        <v>38595633055.419998</v>
      </c>
      <c r="Z108" s="38">
        <f t="shared" si="22"/>
        <v>35454036397.25</v>
      </c>
      <c r="AA108" s="38">
        <f t="shared" si="22"/>
        <v>31991565468.779999</v>
      </c>
      <c r="AB108" s="38">
        <f t="shared" si="22"/>
        <v>28404775233.629997</v>
      </c>
      <c r="AC108" s="38">
        <f t="shared" si="22"/>
        <v>28530620402.029999</v>
      </c>
      <c r="AD108" s="38">
        <f t="shared" si="22"/>
        <v>25403379611.289997</v>
      </c>
      <c r="AE108" s="38">
        <f t="shared" si="22"/>
        <v>23083770116.279999</v>
      </c>
      <c r="AF108" s="38">
        <f t="shared" si="22"/>
        <v>21544955887.150002</v>
      </c>
      <c r="AG108" s="38">
        <f t="shared" si="22"/>
        <v>20540681024.259998</v>
      </c>
      <c r="AH108" s="38">
        <f t="shared" si="22"/>
        <v>18549389694.619999</v>
      </c>
      <c r="AI108" s="38">
        <f t="shared" si="22"/>
        <v>17721770193.439999</v>
      </c>
      <c r="AJ108" s="38">
        <f t="shared" si="22"/>
        <v>16737213296.220001</v>
      </c>
      <c r="AK108" s="38">
        <f t="shared" si="22"/>
        <v>15995948192.019999</v>
      </c>
      <c r="AL108" s="38">
        <f t="shared" si="22"/>
        <v>14651565394.209999</v>
      </c>
      <c r="AM108" s="38">
        <f t="shared" si="22"/>
        <v>14215679731.030001</v>
      </c>
      <c r="AN108" s="38">
        <f t="shared" si="22"/>
        <v>13166976369.08</v>
      </c>
      <c r="AO108" s="38">
        <f t="shared" si="22"/>
        <v>12608007479.039999</v>
      </c>
      <c r="AP108" s="38">
        <f t="shared" si="22"/>
        <v>11503418295.949999</v>
      </c>
      <c r="AQ108" s="38">
        <f t="shared" si="22"/>
        <v>10807004733.84</v>
      </c>
      <c r="AR108" s="38">
        <f t="shared" si="22"/>
        <v>9854634976.4699993</v>
      </c>
      <c r="AS108" s="38">
        <f t="shared" si="22"/>
        <v>9285941265.0299988</v>
      </c>
      <c r="AT108" s="38">
        <f t="shared" si="22"/>
        <v>8368855770.4400005</v>
      </c>
      <c r="AU108" s="38">
        <f t="shared" si="22"/>
        <v>6952899324.3299999</v>
      </c>
      <c r="AV108" s="38">
        <f t="shared" si="22"/>
        <v>6219411895.4899998</v>
      </c>
      <c r="AW108" s="38">
        <f t="shared" si="22"/>
        <v>5888376793.5900002</v>
      </c>
      <c r="AX108" s="38">
        <f t="shared" si="22"/>
        <v>5995028649.4300003</v>
      </c>
      <c r="AY108" s="38">
        <f t="shared" si="22"/>
        <v>5415044428.1099997</v>
      </c>
      <c r="AZ108" s="38">
        <f t="shared" si="22"/>
        <v>5058474356.1400003</v>
      </c>
      <c r="BA108" s="38">
        <f t="shared" si="22"/>
        <v>5588295571.7399998</v>
      </c>
      <c r="BB108" s="38">
        <f t="shared" si="22"/>
        <v>5162395081.5200005</v>
      </c>
      <c r="BC108" s="38">
        <f t="shared" si="22"/>
        <v>4765503347.0299997</v>
      </c>
      <c r="BD108" s="38">
        <f t="shared" si="22"/>
        <v>4691837330.75</v>
      </c>
      <c r="BE108" s="38">
        <f t="shared" si="22"/>
        <v>4600649163.9900007</v>
      </c>
      <c r="BF108" s="38">
        <f t="shared" si="22"/>
        <v>4217007746.73</v>
      </c>
      <c r="BG108" s="38">
        <f t="shared" si="22"/>
        <v>3900474366.1300001</v>
      </c>
      <c r="BH108" s="38">
        <f t="shared" si="22"/>
        <v>3817145295.6799998</v>
      </c>
      <c r="BI108" s="38">
        <f t="shared" si="22"/>
        <v>3727794494.04</v>
      </c>
      <c r="BJ108" s="38">
        <f t="shared" si="22"/>
        <v>3470524090.9299998</v>
      </c>
      <c r="BK108" s="38">
        <f t="shared" si="22"/>
        <v>3231516625.3400002</v>
      </c>
      <c r="BL108" s="38">
        <f t="shared" si="22"/>
        <v>3124773172.54</v>
      </c>
      <c r="BM108" s="38">
        <f t="shared" si="22"/>
        <v>3100472676.3099999</v>
      </c>
      <c r="BN108" s="38">
        <f t="shared" si="22"/>
        <v>2874733972.6900001</v>
      </c>
      <c r="BO108" s="38">
        <f t="shared" ref="BO108:CK108" si="23">SUM(BO89+BO107)</f>
        <v>2857804350.4700003</v>
      </c>
      <c r="BP108" s="38">
        <f t="shared" si="23"/>
        <v>2784052740.7799997</v>
      </c>
      <c r="BQ108" s="38">
        <f t="shared" si="23"/>
        <v>2751462376.5999999</v>
      </c>
      <c r="BR108" s="38">
        <f t="shared" si="23"/>
        <v>2537631703.8100004</v>
      </c>
      <c r="BS108" s="38">
        <f t="shared" si="23"/>
        <v>670545403.24000001</v>
      </c>
      <c r="BT108" s="38">
        <f t="shared" si="23"/>
        <v>572779623.03999996</v>
      </c>
      <c r="BU108" s="38">
        <f t="shared" si="23"/>
        <v>459821855.23000002</v>
      </c>
      <c r="BV108" s="38">
        <f t="shared" si="23"/>
        <v>441451527.98000002</v>
      </c>
      <c r="BW108" s="38">
        <f t="shared" si="23"/>
        <v>0</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workbookViewId="0">
      <selection activeCell="AG55" sqref="AG55"/>
    </sheetView>
  </sheetViews>
  <sheetFormatPr defaultRowHeight="13.5"/>
  <cols>
    <col min="1" max="1" width="56" style="17" bestFit="1" customWidth="1"/>
    <col min="2" max="2" width="23.25" bestFit="1" customWidth="1"/>
    <col min="3" max="5" width="23.25" hidden="1" customWidth="1"/>
    <col min="6" max="6" width="23.25" bestFit="1" customWidth="1"/>
    <col min="7" max="8" width="23.25" hidden="1" customWidth="1"/>
    <col min="9" max="9" width="22" hidden="1" customWidth="1"/>
    <col min="10" max="10" width="23.25" bestFit="1" customWidth="1"/>
    <col min="11" max="12" width="23.25" hidden="1" customWidth="1"/>
    <col min="13" max="13" width="22" hidden="1" customWidth="1"/>
    <col min="14" max="14" width="23.25" bestFit="1" customWidth="1"/>
    <col min="15" max="16" width="23.25" hidden="1" customWidth="1"/>
    <col min="17" max="17" width="22" hidden="1" customWidth="1"/>
    <col min="18" max="18" width="23.25" bestFit="1" customWidth="1"/>
    <col min="19" max="19" width="23.25" hidden="1" customWidth="1"/>
    <col min="20" max="21" width="22" hidden="1" customWidth="1"/>
    <col min="22" max="22" width="23.25" bestFit="1" customWidth="1"/>
    <col min="23" max="24" width="23.25" hidden="1" customWidth="1"/>
    <col min="25" max="25" width="22" hidden="1" customWidth="1"/>
    <col min="26" max="26" width="23.25" bestFit="1" customWidth="1"/>
    <col min="27" max="27" width="23.25" hidden="1" customWidth="1"/>
    <col min="28" max="29" width="22" hidden="1" customWidth="1"/>
    <col min="30" max="30" width="23.25" bestFit="1" customWidth="1"/>
    <col min="31" max="33" width="22" hidden="1" customWidth="1"/>
    <col min="34" max="34" width="22" bestFit="1" customWidth="1"/>
    <col min="35" max="37" width="22" hidden="1" customWidth="1"/>
    <col min="38" max="38" width="22" bestFit="1" customWidth="1"/>
    <col min="39" max="41" width="22" hidden="1" customWidth="1"/>
    <col min="42" max="42" width="22" bestFit="1" customWidth="1"/>
    <col min="43" max="45" width="22" hidden="1" customWidth="1"/>
    <col min="46" max="46" width="22" bestFit="1" customWidth="1"/>
    <col min="47" max="48" width="22" hidden="1" customWidth="1"/>
    <col min="49" max="49" width="19.5" hidden="1" customWidth="1"/>
    <col min="50" max="50" width="22" bestFit="1" customWidth="1"/>
    <col min="51" max="51" width="22" hidden="1" customWidth="1"/>
    <col min="52" max="53" width="19.5" hidden="1" customWidth="1"/>
    <col min="54" max="54" width="22" bestFit="1" customWidth="1"/>
    <col min="55" max="55" width="22" hidden="1" customWidth="1"/>
    <col min="56" max="57" width="19.5" hidden="1" customWidth="1"/>
    <col min="58" max="58" width="22" bestFit="1" customWidth="1"/>
    <col min="59" max="61" width="19.5" hidden="1" customWidth="1"/>
    <col min="62" max="62" width="19.5" bestFit="1" customWidth="1"/>
    <col min="63" max="65" width="19.5" hidden="1" customWidth="1"/>
    <col min="66" max="66" width="19.5" bestFit="1" customWidth="1"/>
    <col min="67" max="69" width="19.5" hidden="1" customWidth="1"/>
    <col min="70" max="70" width="19.5" bestFit="1" customWidth="1"/>
    <col min="71" max="71" width="19.5" hidden="1" customWidth="1"/>
    <col min="72" max="74" width="19.5" bestFit="1" customWidth="1"/>
    <col min="75" max="75" width="9.625" hidden="1" customWidth="1"/>
    <col min="76" max="81" width="20.75" bestFit="1" customWidth="1"/>
    <col min="82" max="82" width="9.625" bestFit="1" customWidth="1"/>
    <col min="83"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17">
        <v>600519</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37529</v>
      </c>
      <c r="BP1" s="1">
        <v>37437</v>
      </c>
      <c r="BQ1" s="1">
        <v>37346</v>
      </c>
      <c r="BR1" s="1">
        <v>37256</v>
      </c>
      <c r="BS1" s="1">
        <v>37072</v>
      </c>
      <c r="BT1" s="1">
        <v>36891</v>
      </c>
      <c r="BU1" s="1">
        <v>36525</v>
      </c>
      <c r="BV1" s="1">
        <v>36160</v>
      </c>
      <c r="BW1" s="1">
        <v>25569</v>
      </c>
      <c r="BX1" s="1"/>
      <c r="BY1" s="1"/>
      <c r="BZ1" s="1"/>
      <c r="CA1" s="1"/>
      <c r="CB1" s="1"/>
      <c r="CC1" s="1"/>
      <c r="CD1" s="1"/>
      <c r="CE1" s="1"/>
      <c r="CF1" s="1"/>
      <c r="CG1" s="1"/>
      <c r="CH1" s="1"/>
      <c r="CI1" s="1"/>
      <c r="CJ1" s="1"/>
      <c r="CK1" s="1"/>
    </row>
    <row r="2" spans="1:89">
      <c r="A2" s="17" t="s">
        <v>84</v>
      </c>
    </row>
    <row r="3" spans="1:89" s="6" customFormat="1">
      <c r="A3" s="18" t="s">
        <v>85</v>
      </c>
    </row>
    <row r="4" spans="1:89">
      <c r="A4" s="17" t="s">
        <v>384</v>
      </c>
      <c r="B4" s="188">
        <v>73638872388.029999</v>
      </c>
      <c r="C4" s="188">
        <v>52241669986.010002</v>
      </c>
      <c r="D4" s="188">
        <v>33396709893.110001</v>
      </c>
      <c r="E4" s="188">
        <v>17466166384.959999</v>
      </c>
      <c r="F4" s="188">
        <v>58217861314.169998</v>
      </c>
      <c r="G4" s="188">
        <v>42450467500.010002</v>
      </c>
      <c r="H4" s="188">
        <v>24190030218.959999</v>
      </c>
      <c r="I4" s="188">
        <v>13308639084.870001</v>
      </c>
      <c r="J4" s="188">
        <v>38862189993.839996</v>
      </c>
      <c r="K4" s="188">
        <v>26631884032.43</v>
      </c>
      <c r="L4" s="188">
        <v>18173234673.439999</v>
      </c>
      <c r="M4" s="188">
        <v>9988753730.9699993</v>
      </c>
      <c r="N4" s="188">
        <v>32659583725.279999</v>
      </c>
      <c r="O4" s="188">
        <v>23148688960.889999</v>
      </c>
      <c r="P4" s="188">
        <v>15778647465.950001</v>
      </c>
      <c r="Q4" s="188">
        <v>8544273436</v>
      </c>
      <c r="R4" s="188">
        <v>31573928530.939999</v>
      </c>
      <c r="S4" s="188">
        <v>21718189167.610001</v>
      </c>
      <c r="T4" s="188">
        <v>14321628403.09</v>
      </c>
      <c r="U4" s="188">
        <v>7449825750.6400003</v>
      </c>
      <c r="V4" s="188">
        <v>30921801316.599998</v>
      </c>
      <c r="W4" s="188">
        <v>21935713045.240002</v>
      </c>
      <c r="X4" s="188">
        <v>14127867191.110001</v>
      </c>
      <c r="Y4" s="188">
        <v>7165785851.6099997</v>
      </c>
      <c r="Z4" s="188">
        <v>26455335152.990002</v>
      </c>
      <c r="AA4" s="188">
        <v>19931438600.48</v>
      </c>
      <c r="AB4" s="188">
        <v>13264437836.41</v>
      </c>
      <c r="AC4" s="188">
        <v>6015967741.6199999</v>
      </c>
      <c r="AD4" s="188">
        <v>18402355207.299999</v>
      </c>
      <c r="AE4" s="188">
        <v>13642075480.07</v>
      </c>
      <c r="AF4" s="188">
        <v>9825823427.0799999</v>
      </c>
      <c r="AG4" s="188">
        <v>4220589097.9400001</v>
      </c>
      <c r="AH4" s="188">
        <v>11633283740.18</v>
      </c>
      <c r="AI4" s="188">
        <v>9327577784.1200008</v>
      </c>
      <c r="AJ4" s="188">
        <v>6587266362.7799997</v>
      </c>
      <c r="AK4" s="188">
        <v>3039906100.4099998</v>
      </c>
      <c r="AL4" s="188">
        <v>9669999065.3899994</v>
      </c>
      <c r="AM4" s="188">
        <v>7807202385.7799997</v>
      </c>
      <c r="AN4" s="188">
        <v>5546006031.29</v>
      </c>
      <c r="AO4" s="188">
        <v>2512537167.1999998</v>
      </c>
      <c r="AP4" s="188">
        <v>8241685564.1099997</v>
      </c>
      <c r="AQ4" s="188">
        <v>6486517281.0100002</v>
      </c>
      <c r="AR4" s="188">
        <v>4619717309.6000004</v>
      </c>
      <c r="AS4" s="188">
        <v>1993496395.46</v>
      </c>
      <c r="AT4" s="188">
        <v>7237430747.1199999</v>
      </c>
      <c r="AU4" s="188">
        <v>4458382249.2600002</v>
      </c>
      <c r="AV4" s="188">
        <v>2629088876.4200001</v>
      </c>
      <c r="AW4" s="188">
        <v>1587538095.6800001</v>
      </c>
      <c r="AX4" s="188">
        <v>4896186901.21</v>
      </c>
      <c r="AY4" s="188">
        <v>3249453246.71</v>
      </c>
      <c r="AZ4" s="188">
        <v>2029461983.6600001</v>
      </c>
      <c r="BA4" s="188">
        <v>1354498050.1700001</v>
      </c>
      <c r="BB4" s="188">
        <v>3930515237.6100001</v>
      </c>
      <c r="BC4" s="188">
        <v>2580318873.25</v>
      </c>
      <c r="BD4" s="188">
        <v>1686144341.9100001</v>
      </c>
      <c r="BE4" s="188">
        <v>1144017320.6199999</v>
      </c>
      <c r="BF4" s="188">
        <v>3009793519.9200001</v>
      </c>
      <c r="BG4" s="188">
        <v>2070438172.6500001</v>
      </c>
      <c r="BH4" s="188">
        <v>1314109209.0599999</v>
      </c>
      <c r="BI4" s="188">
        <v>853431905.86000001</v>
      </c>
      <c r="BJ4" s="188">
        <v>2401017934.9299998</v>
      </c>
      <c r="BK4" s="188">
        <v>1552744360.0999999</v>
      </c>
      <c r="BL4" s="188">
        <v>1009047565.48</v>
      </c>
      <c r="BM4" s="188">
        <v>733889255.88999999</v>
      </c>
      <c r="BN4" s="188">
        <v>1834898294.9000001</v>
      </c>
      <c r="BO4" s="188">
        <v>1363886224.3199999</v>
      </c>
      <c r="BP4" s="188">
        <v>955654212.62</v>
      </c>
      <c r="BQ4" s="188">
        <v>718014858.52999997</v>
      </c>
      <c r="BR4" s="188">
        <v>1618046660.3099999</v>
      </c>
      <c r="BS4" s="188">
        <v>873863478.94000006</v>
      </c>
      <c r="BT4" s="188">
        <v>1114000813.26</v>
      </c>
      <c r="BU4" s="188">
        <v>890858185.63999999</v>
      </c>
      <c r="BV4" s="188">
        <v>628184433.19000006</v>
      </c>
      <c r="BW4" s="188">
        <v>0</v>
      </c>
      <c r="BX4" s="188"/>
      <c r="BY4" s="188"/>
      <c r="BZ4" s="188"/>
      <c r="CA4" s="188"/>
      <c r="CB4" s="188"/>
      <c r="CC4" s="188"/>
      <c r="CD4" s="188"/>
      <c r="CE4" s="188"/>
      <c r="CF4" s="188"/>
      <c r="CG4" s="188"/>
      <c r="CH4" s="188"/>
      <c r="CI4" s="188"/>
      <c r="CJ4" s="188"/>
      <c r="CK4" s="188"/>
    </row>
    <row r="5" spans="1:89">
      <c r="A5" s="19" t="s">
        <v>385</v>
      </c>
      <c r="B5" s="188">
        <v>6522921833.7700005</v>
      </c>
      <c r="C5" s="188">
        <v>4637055449.21</v>
      </c>
      <c r="D5" s="188">
        <v>3025025121.3800001</v>
      </c>
      <c r="E5" s="188">
        <v>1518592897.51</v>
      </c>
      <c r="F5" s="188">
        <v>5940436371.9700003</v>
      </c>
      <c r="G5" s="188">
        <v>4273438303.5</v>
      </c>
      <c r="H5" s="188">
        <v>2511228414.9099998</v>
      </c>
      <c r="I5" s="188">
        <v>1176997676.0699999</v>
      </c>
      <c r="J5" s="188">
        <v>3410104085.9699998</v>
      </c>
      <c r="K5" s="188">
        <v>2225398682.8200002</v>
      </c>
      <c r="L5" s="188">
        <v>1475407709.24</v>
      </c>
      <c r="M5" s="188">
        <v>765002011.76999998</v>
      </c>
      <c r="N5" s="188">
        <v>2538337449.0599999</v>
      </c>
      <c r="O5" s="188">
        <v>1747047687.23</v>
      </c>
      <c r="P5" s="188">
        <v>1165878006.3299999</v>
      </c>
      <c r="Q5" s="188">
        <v>579796944.51999998</v>
      </c>
      <c r="R5" s="188">
        <v>2338550532.3299999</v>
      </c>
      <c r="S5" s="188">
        <v>1593307325.6800001</v>
      </c>
      <c r="T5" s="188">
        <v>987543281.35000002</v>
      </c>
      <c r="U5" s="188">
        <v>506935182.39999998</v>
      </c>
      <c r="V5" s="188">
        <v>2193920307.9899998</v>
      </c>
      <c r="W5" s="188">
        <v>1440864963.8099999</v>
      </c>
      <c r="X5" s="188">
        <v>932566677.01999998</v>
      </c>
      <c r="Y5" s="188">
        <v>481121235.63999999</v>
      </c>
      <c r="Z5" s="188">
        <v>2044306468.76</v>
      </c>
      <c r="AA5" s="188">
        <v>1628876041.8800001</v>
      </c>
      <c r="AB5" s="188">
        <v>1059645343.97</v>
      </c>
      <c r="AC5" s="188">
        <v>482055429.18000001</v>
      </c>
      <c r="AD5" s="188">
        <v>1551233976.0599999</v>
      </c>
      <c r="AE5" s="188">
        <v>1155847115.6800001</v>
      </c>
      <c r="AF5" s="188">
        <v>845072449.14999998</v>
      </c>
      <c r="AG5" s="188">
        <v>392063100.98000002</v>
      </c>
      <c r="AH5" s="188">
        <v>1052931591.61</v>
      </c>
      <c r="AI5" s="188">
        <v>821295137.52999997</v>
      </c>
      <c r="AJ5" s="188">
        <v>569190230.52999997</v>
      </c>
      <c r="AK5" s="188">
        <v>295386812.48000002</v>
      </c>
      <c r="AL5" s="188">
        <v>950672855.26999998</v>
      </c>
      <c r="AM5" s="188">
        <v>743207551.34000003</v>
      </c>
      <c r="AN5" s="188">
        <v>531620176.31999999</v>
      </c>
      <c r="AO5" s="188">
        <v>251448334.91999999</v>
      </c>
      <c r="AP5" s="188">
        <v>799713319.24000001</v>
      </c>
      <c r="AQ5" s="188">
        <v>614940094.35000002</v>
      </c>
      <c r="AR5" s="188">
        <v>442054720.19</v>
      </c>
      <c r="AS5" s="188">
        <v>200810712.08000001</v>
      </c>
      <c r="AT5" s="188">
        <v>871643568.33000004</v>
      </c>
      <c r="AU5" s="188">
        <v>662636478.87</v>
      </c>
      <c r="AV5" s="188">
        <v>389216762.31</v>
      </c>
      <c r="AW5" s="188">
        <v>237704974.13</v>
      </c>
      <c r="AX5" s="188">
        <v>791179840.49000001</v>
      </c>
      <c r="AY5" s="188">
        <v>536197408.26999998</v>
      </c>
      <c r="AZ5" s="188">
        <v>342467207.13999999</v>
      </c>
      <c r="BA5" s="188">
        <v>227552584.91999999</v>
      </c>
      <c r="BB5" s="188">
        <v>687106816.67999995</v>
      </c>
      <c r="BC5" s="188">
        <v>450496529.88</v>
      </c>
      <c r="BD5" s="188">
        <v>294128874.10000002</v>
      </c>
      <c r="BE5" s="188">
        <v>196715027.49000001</v>
      </c>
      <c r="BF5" s="188">
        <v>535056248.94999999</v>
      </c>
      <c r="BG5" s="188">
        <v>367934435.61000001</v>
      </c>
      <c r="BH5" s="188">
        <v>229941422.72</v>
      </c>
      <c r="BI5" s="188">
        <v>151243768.25</v>
      </c>
      <c r="BJ5" s="188">
        <v>477388129.86000001</v>
      </c>
      <c r="BK5" s="188">
        <v>302733307.68000001</v>
      </c>
      <c r="BL5" s="188">
        <v>196938828.78999999</v>
      </c>
      <c r="BM5" s="188">
        <v>136080903.15000001</v>
      </c>
      <c r="BN5" s="188">
        <v>340556444.79000002</v>
      </c>
      <c r="BO5" s="188">
        <v>230795750.63</v>
      </c>
      <c r="BP5" s="188">
        <v>158368542.33000001</v>
      </c>
      <c r="BQ5" s="188">
        <v>115551849.97</v>
      </c>
      <c r="BR5" s="188">
        <v>287538468.11000001</v>
      </c>
      <c r="BS5" s="188">
        <v>146483164.84999999</v>
      </c>
      <c r="BT5" s="188">
        <v>196863443.99000001</v>
      </c>
      <c r="BU5" s="188">
        <v>129133236.27</v>
      </c>
      <c r="BV5" s="188">
        <v>76725369.980000004</v>
      </c>
      <c r="BW5" s="188">
        <v>0</v>
      </c>
      <c r="BX5" s="188"/>
      <c r="BY5" s="188"/>
      <c r="BZ5" s="188"/>
      <c r="CA5" s="188"/>
      <c r="CB5" s="188"/>
      <c r="CC5" s="188"/>
      <c r="CD5" s="188"/>
      <c r="CE5" s="188"/>
      <c r="CF5" s="188"/>
      <c r="CG5" s="188"/>
      <c r="CH5" s="188"/>
      <c r="CI5" s="188"/>
      <c r="CJ5" s="188"/>
      <c r="CK5" s="188"/>
    </row>
    <row r="6" spans="1:89" s="3" customFormat="1">
      <c r="A6" s="20" t="s">
        <v>386</v>
      </c>
      <c r="B6" s="27">
        <f>B4-B5</f>
        <v>67115950554.259995</v>
      </c>
      <c r="C6" s="27">
        <f t="shared" ref="C6:BN6" si="0">C4-C5</f>
        <v>47604614536.800003</v>
      </c>
      <c r="D6" s="27">
        <f t="shared" si="0"/>
        <v>30371684771.73</v>
      </c>
      <c r="E6" s="27">
        <f t="shared" si="0"/>
        <v>15947573487.449999</v>
      </c>
      <c r="F6" s="27">
        <f t="shared" si="0"/>
        <v>52277424942.199997</v>
      </c>
      <c r="G6" s="27">
        <f t="shared" si="0"/>
        <v>38177029196.510002</v>
      </c>
      <c r="H6" s="27">
        <f t="shared" si="0"/>
        <v>21678801804.049999</v>
      </c>
      <c r="I6" s="27">
        <f t="shared" si="0"/>
        <v>12131641408.800001</v>
      </c>
      <c r="J6" s="27">
        <f t="shared" si="0"/>
        <v>35452085907.869995</v>
      </c>
      <c r="K6" s="27">
        <f t="shared" si="0"/>
        <v>24406485349.610001</v>
      </c>
      <c r="L6" s="27">
        <f t="shared" si="0"/>
        <v>16697826964.199999</v>
      </c>
      <c r="M6" s="27">
        <f t="shared" si="0"/>
        <v>9223751719.1999989</v>
      </c>
      <c r="N6" s="27">
        <f t="shared" si="0"/>
        <v>30121246276.219997</v>
      </c>
      <c r="O6" s="27">
        <f t="shared" si="0"/>
        <v>21401641273.66</v>
      </c>
      <c r="P6" s="27">
        <f t="shared" si="0"/>
        <v>14612769459.620001</v>
      </c>
      <c r="Q6" s="27">
        <f t="shared" si="0"/>
        <v>7964476491.4799995</v>
      </c>
      <c r="R6" s="27">
        <f t="shared" si="0"/>
        <v>29235377998.610001</v>
      </c>
      <c r="S6" s="27">
        <f t="shared" si="0"/>
        <v>20124881841.93</v>
      </c>
      <c r="T6" s="27">
        <f t="shared" si="0"/>
        <v>13334085121.74</v>
      </c>
      <c r="U6" s="27">
        <f t="shared" si="0"/>
        <v>6942890568.2400007</v>
      </c>
      <c r="V6" s="27">
        <f t="shared" si="0"/>
        <v>28727881008.610001</v>
      </c>
      <c r="W6" s="27">
        <f t="shared" si="0"/>
        <v>20494848081.43</v>
      </c>
      <c r="X6" s="27">
        <f t="shared" si="0"/>
        <v>13195300514.09</v>
      </c>
      <c r="Y6" s="27">
        <f t="shared" si="0"/>
        <v>6684664615.9699993</v>
      </c>
      <c r="Z6" s="27">
        <f t="shared" si="0"/>
        <v>24411028684.230003</v>
      </c>
      <c r="AA6" s="27">
        <f t="shared" si="0"/>
        <v>18302562558.599998</v>
      </c>
      <c r="AB6" s="27">
        <f t="shared" si="0"/>
        <v>12204792492.440001</v>
      </c>
      <c r="AC6" s="27">
        <f t="shared" si="0"/>
        <v>5533912312.4399996</v>
      </c>
      <c r="AD6" s="27">
        <f t="shared" si="0"/>
        <v>16851121231.24</v>
      </c>
      <c r="AE6" s="27">
        <f t="shared" si="0"/>
        <v>12486228364.389999</v>
      </c>
      <c r="AF6" s="27">
        <f t="shared" si="0"/>
        <v>8980750977.9300003</v>
      </c>
      <c r="AG6" s="27">
        <f t="shared" si="0"/>
        <v>3828525996.96</v>
      </c>
      <c r="AH6" s="27">
        <f t="shared" si="0"/>
        <v>10580352148.57</v>
      </c>
      <c r="AI6" s="27">
        <f t="shared" si="0"/>
        <v>8506282646.5900011</v>
      </c>
      <c r="AJ6" s="27">
        <f t="shared" si="0"/>
        <v>6018076132.25</v>
      </c>
      <c r="AK6" s="27">
        <f t="shared" si="0"/>
        <v>2744519287.9299998</v>
      </c>
      <c r="AL6" s="27">
        <f t="shared" si="0"/>
        <v>8719326210.1199989</v>
      </c>
      <c r="AM6" s="27">
        <f t="shared" si="0"/>
        <v>7063994834.4399996</v>
      </c>
      <c r="AN6" s="27">
        <f t="shared" si="0"/>
        <v>5014385854.9700003</v>
      </c>
      <c r="AO6" s="27">
        <f t="shared" si="0"/>
        <v>2261088832.2799997</v>
      </c>
      <c r="AP6" s="27">
        <f t="shared" si="0"/>
        <v>7441972244.8699999</v>
      </c>
      <c r="AQ6" s="27">
        <f t="shared" si="0"/>
        <v>5871577186.6599998</v>
      </c>
      <c r="AR6" s="27">
        <f t="shared" si="0"/>
        <v>4177662589.4100003</v>
      </c>
      <c r="AS6" s="27">
        <f t="shared" si="0"/>
        <v>1792685683.3800001</v>
      </c>
      <c r="AT6" s="27">
        <f t="shared" si="0"/>
        <v>6365787178.79</v>
      </c>
      <c r="AU6" s="27">
        <f t="shared" si="0"/>
        <v>3795745770.3900003</v>
      </c>
      <c r="AV6" s="27">
        <f t="shared" si="0"/>
        <v>2239872114.1100001</v>
      </c>
      <c r="AW6" s="27">
        <f t="shared" si="0"/>
        <v>1349833121.5500002</v>
      </c>
      <c r="AX6" s="27">
        <f t="shared" si="0"/>
        <v>4105007060.7200003</v>
      </c>
      <c r="AY6" s="27">
        <f t="shared" si="0"/>
        <v>2713255838.4400001</v>
      </c>
      <c r="AZ6" s="27">
        <f t="shared" si="0"/>
        <v>1686994776.52</v>
      </c>
      <c r="BA6" s="27">
        <f t="shared" si="0"/>
        <v>1126945465.25</v>
      </c>
      <c r="BB6" s="27">
        <f t="shared" si="0"/>
        <v>3243408420.9300003</v>
      </c>
      <c r="BC6" s="27">
        <f t="shared" si="0"/>
        <v>2129822343.3699999</v>
      </c>
      <c r="BD6" s="27">
        <f t="shared" si="0"/>
        <v>1392015467.8099999</v>
      </c>
      <c r="BE6" s="27">
        <f t="shared" si="0"/>
        <v>947302293.12999988</v>
      </c>
      <c r="BF6" s="27">
        <f t="shared" si="0"/>
        <v>2474737270.9700003</v>
      </c>
      <c r="BG6" s="27">
        <f t="shared" si="0"/>
        <v>1702503737.04</v>
      </c>
      <c r="BH6" s="27">
        <f t="shared" si="0"/>
        <v>1084167786.3399999</v>
      </c>
      <c r="BI6" s="27">
        <f t="shared" si="0"/>
        <v>702188137.61000001</v>
      </c>
      <c r="BJ6" s="27">
        <f t="shared" si="0"/>
        <v>1923629805.0699997</v>
      </c>
      <c r="BK6" s="27">
        <f t="shared" si="0"/>
        <v>1250011052.4199998</v>
      </c>
      <c r="BL6" s="27">
        <f t="shared" si="0"/>
        <v>812108736.69000006</v>
      </c>
      <c r="BM6" s="27">
        <f t="shared" si="0"/>
        <v>597808352.74000001</v>
      </c>
      <c r="BN6" s="27">
        <f t="shared" si="0"/>
        <v>1494341850.1100001</v>
      </c>
      <c r="BO6" s="27">
        <f t="shared" ref="BO6:CK6" si="1">BO4-BO5</f>
        <v>1133090473.6900001</v>
      </c>
      <c r="BP6" s="27">
        <f t="shared" si="1"/>
        <v>797285670.28999996</v>
      </c>
      <c r="BQ6" s="27">
        <f t="shared" si="1"/>
        <v>602463008.55999994</v>
      </c>
      <c r="BR6" s="27">
        <f t="shared" si="1"/>
        <v>1330508192.1999998</v>
      </c>
      <c r="BS6" s="27">
        <f t="shared" si="1"/>
        <v>727380314.09000003</v>
      </c>
      <c r="BT6" s="27">
        <f t="shared" si="1"/>
        <v>917137369.26999998</v>
      </c>
      <c r="BU6" s="27">
        <f t="shared" si="1"/>
        <v>761724949.37</v>
      </c>
      <c r="BV6" s="27">
        <f t="shared" si="1"/>
        <v>551459063.21000004</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387</v>
      </c>
      <c r="B7" s="57">
        <f>B6/B4*100</f>
        <v>91.1420128768426</v>
      </c>
      <c r="C7" s="57">
        <f t="shared" ref="C7:D7" si="2">C6/C4*100</f>
        <v>91.123837636791137</v>
      </c>
      <c r="D7" s="57">
        <f t="shared" si="2"/>
        <v>90.94214630404629</v>
      </c>
      <c r="E7" s="57">
        <f>E6/E4</f>
        <v>0.91305516825846511</v>
      </c>
      <c r="F7" s="57">
        <f t="shared" ref="F7:BQ7" si="3">F6/F4</f>
        <v>0.89796196153766783</v>
      </c>
      <c r="G7" s="57">
        <f t="shared" si="3"/>
        <v>0.8993311839616609</v>
      </c>
      <c r="H7" s="57">
        <f t="shared" si="3"/>
        <v>0.89618746267866523</v>
      </c>
      <c r="I7" s="57">
        <f t="shared" si="3"/>
        <v>0.9115613799003629</v>
      </c>
      <c r="J7" s="57">
        <f t="shared" si="3"/>
        <v>0.91225136600612233</v>
      </c>
      <c r="K7" s="57">
        <f t="shared" si="3"/>
        <v>0.91643855612655489</v>
      </c>
      <c r="L7" s="57">
        <f t="shared" si="3"/>
        <v>0.91881424877012707</v>
      </c>
      <c r="M7" s="57">
        <f t="shared" si="3"/>
        <v>0.92341366777337575</v>
      </c>
      <c r="N7" s="57">
        <f t="shared" si="3"/>
        <v>0.92227894052748705</v>
      </c>
      <c r="O7" s="57">
        <f t="shared" si="3"/>
        <v>0.9245293031418903</v>
      </c>
      <c r="P7" s="57">
        <f t="shared" si="3"/>
        <v>0.92611039641731396</v>
      </c>
      <c r="Q7" s="57">
        <f t="shared" si="3"/>
        <v>0.93214204240267939</v>
      </c>
      <c r="R7" s="57">
        <f t="shared" si="3"/>
        <v>0.9259341285314433</v>
      </c>
      <c r="S7" s="57">
        <f t="shared" si="3"/>
        <v>0.92663719275195278</v>
      </c>
      <c r="T7" s="57">
        <f t="shared" si="3"/>
        <v>0.93104532155457054</v>
      </c>
      <c r="U7" s="57">
        <f t="shared" si="3"/>
        <v>0.93195341752034266</v>
      </c>
      <c r="V7" s="57">
        <f t="shared" si="3"/>
        <v>0.92904940156858784</v>
      </c>
      <c r="W7" s="57">
        <f t="shared" si="3"/>
        <v>0.93431419526511972</v>
      </c>
      <c r="X7" s="57">
        <f t="shared" si="3"/>
        <v>0.93399097935979891</v>
      </c>
      <c r="Y7" s="57">
        <f t="shared" si="3"/>
        <v>0.93285855234818349</v>
      </c>
      <c r="Z7" s="57">
        <f t="shared" si="3"/>
        <v>0.92272611717304409</v>
      </c>
      <c r="AA7" s="57">
        <f t="shared" si="3"/>
        <v>0.91827604246084005</v>
      </c>
      <c r="AB7" s="57">
        <f t="shared" si="3"/>
        <v>0.92011381431775852</v>
      </c>
      <c r="AC7" s="57">
        <f t="shared" si="3"/>
        <v>0.91987067586067361</v>
      </c>
      <c r="AD7" s="57">
        <f t="shared" si="3"/>
        <v>0.91570459549413308</v>
      </c>
      <c r="AE7" s="57">
        <f t="shared" si="3"/>
        <v>0.91527336750418942</v>
      </c>
      <c r="AF7" s="57">
        <f t="shared" si="3"/>
        <v>0.91399474502859701</v>
      </c>
      <c r="AG7" s="57">
        <f t="shared" si="3"/>
        <v>0.90710701945106209</v>
      </c>
      <c r="AH7" s="57">
        <f t="shared" si="3"/>
        <v>0.90948973521781318</v>
      </c>
      <c r="AI7" s="57">
        <f t="shared" si="3"/>
        <v>0.9119497948408174</v>
      </c>
      <c r="AJ7" s="57">
        <f t="shared" si="3"/>
        <v>0.91359234632652897</v>
      </c>
      <c r="AK7" s="57">
        <f t="shared" si="3"/>
        <v>0.90283028398799536</v>
      </c>
      <c r="AL7" s="57">
        <f t="shared" si="3"/>
        <v>0.90168842325201826</v>
      </c>
      <c r="AM7" s="57">
        <f t="shared" si="3"/>
        <v>0.90480488213118759</v>
      </c>
      <c r="AN7" s="57">
        <f t="shared" si="3"/>
        <v>0.90414359931802224</v>
      </c>
      <c r="AO7" s="57">
        <f t="shared" si="3"/>
        <v>0.89992254116574244</v>
      </c>
      <c r="AP7" s="57">
        <f t="shared" si="3"/>
        <v>0.90296726160938423</v>
      </c>
      <c r="AQ7" s="57">
        <f t="shared" si="3"/>
        <v>0.90519718552969775</v>
      </c>
      <c r="AR7" s="57">
        <f t="shared" si="3"/>
        <v>0.90431130509406099</v>
      </c>
      <c r="AS7" s="57">
        <f t="shared" si="3"/>
        <v>0.89926708042345727</v>
      </c>
      <c r="AT7" s="57">
        <f t="shared" si="3"/>
        <v>0.87956450309706191</v>
      </c>
      <c r="AU7" s="57">
        <f t="shared" si="3"/>
        <v>0.85137288778233766</v>
      </c>
      <c r="AV7" s="57">
        <f t="shared" si="3"/>
        <v>0.85195754856336703</v>
      </c>
      <c r="AW7" s="57">
        <f t="shared" si="3"/>
        <v>0.85026817638150454</v>
      </c>
      <c r="AX7" s="57">
        <f t="shared" si="3"/>
        <v>0.83840897897617539</v>
      </c>
      <c r="AY7" s="57">
        <f t="shared" si="3"/>
        <v>0.83498842187900746</v>
      </c>
      <c r="AZ7" s="57">
        <f t="shared" si="3"/>
        <v>0.83125221861885623</v>
      </c>
      <c r="BA7" s="57">
        <f t="shared" si="3"/>
        <v>0.83200227944850824</v>
      </c>
      <c r="BB7" s="57">
        <f t="shared" si="3"/>
        <v>0.82518657856729138</v>
      </c>
      <c r="BC7" s="57">
        <f t="shared" si="3"/>
        <v>0.82541052016854632</v>
      </c>
      <c r="BD7" s="57">
        <f t="shared" si="3"/>
        <v>0.82556127207542496</v>
      </c>
      <c r="BE7" s="57">
        <f t="shared" si="3"/>
        <v>0.82804890805028164</v>
      </c>
      <c r="BF7" s="57">
        <f t="shared" si="3"/>
        <v>0.82222825406168676</v>
      </c>
      <c r="BG7" s="57">
        <f t="shared" si="3"/>
        <v>0.822291512748206</v>
      </c>
      <c r="BH7" s="57">
        <f t="shared" si="3"/>
        <v>0.82502107044476136</v>
      </c>
      <c r="BI7" s="57">
        <f t="shared" si="3"/>
        <v>0.82278168039945465</v>
      </c>
      <c r="BJ7" s="57">
        <f t="shared" si="3"/>
        <v>0.80117260978564153</v>
      </c>
      <c r="BK7" s="57">
        <f t="shared" si="3"/>
        <v>0.80503338768494803</v>
      </c>
      <c r="BL7" s="57">
        <f t="shared" si="3"/>
        <v>0.80482701160245407</v>
      </c>
      <c r="BM7" s="57">
        <f t="shared" si="3"/>
        <v>0.81457569782109385</v>
      </c>
      <c r="BN7" s="57">
        <f t="shared" si="3"/>
        <v>0.81440036990793552</v>
      </c>
      <c r="BO7" s="57">
        <f t="shared" si="3"/>
        <v>0.83078078910499376</v>
      </c>
      <c r="BP7" s="57">
        <f t="shared" si="3"/>
        <v>0.83428258857791204</v>
      </c>
      <c r="BQ7" s="57">
        <f t="shared" si="3"/>
        <v>0.8390676061961021</v>
      </c>
      <c r="BR7" s="57">
        <f t="shared" ref="BR7:CK7" si="4">BR6/BR4</f>
        <v>0.82229284534049785</v>
      </c>
      <c r="BS7" s="57">
        <f t="shared" si="4"/>
        <v>0.83237294110553206</v>
      </c>
      <c r="BT7" s="57">
        <f t="shared" si="4"/>
        <v>0.82328249526685626</v>
      </c>
      <c r="BU7" s="57">
        <f t="shared" si="4"/>
        <v>0.85504624826764142</v>
      </c>
      <c r="BV7" s="57">
        <f t="shared" si="4"/>
        <v>0.87786171397088131</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388</v>
      </c>
      <c r="B8" s="188">
        <v>11288926846.969999</v>
      </c>
      <c r="C8" s="188">
        <v>7855685465.0699997</v>
      </c>
      <c r="D8" s="188">
        <v>4639999858.6700001</v>
      </c>
      <c r="E8" s="188">
        <v>2525570612.4699998</v>
      </c>
      <c r="F8" s="188">
        <v>8404214470.6899996</v>
      </c>
      <c r="G8" s="188">
        <v>6423976199.8900003</v>
      </c>
      <c r="H8" s="188">
        <v>3419416545.5</v>
      </c>
      <c r="I8" s="188">
        <v>1973301671.9300001</v>
      </c>
      <c r="J8" s="188">
        <v>6508926343.2600002</v>
      </c>
      <c r="K8" s="188">
        <v>3623883800.0500002</v>
      </c>
      <c r="L8" s="188">
        <v>2205658604.8699999</v>
      </c>
      <c r="M8" s="188">
        <v>1180622899.52</v>
      </c>
      <c r="N8" s="188">
        <v>3449170637.4000001</v>
      </c>
      <c r="O8" s="188">
        <v>2171605445.23</v>
      </c>
      <c r="P8" s="188">
        <v>1443140055.8199999</v>
      </c>
      <c r="Q8" s="188">
        <v>806537815.96000004</v>
      </c>
      <c r="R8" s="188">
        <v>2788994436.0500002</v>
      </c>
      <c r="S8" s="188">
        <v>2004308881.3199999</v>
      </c>
      <c r="T8" s="188">
        <v>1265321917.52</v>
      </c>
      <c r="U8" s="188">
        <v>704741188.09000003</v>
      </c>
      <c r="V8" s="188">
        <v>2790747889.4899998</v>
      </c>
      <c r="W8" s="188">
        <v>1972678618.54</v>
      </c>
      <c r="X8" s="188">
        <v>1099186549.1099999</v>
      </c>
      <c r="Y8" s="188">
        <v>586532904</v>
      </c>
      <c r="Z8" s="188">
        <v>2572644755.4200001</v>
      </c>
      <c r="AA8" s="188">
        <v>1784696541.1800001</v>
      </c>
      <c r="AB8" s="188">
        <v>1356209475.46</v>
      </c>
      <c r="AC8" s="188">
        <v>808353307.79999995</v>
      </c>
      <c r="AD8" s="188">
        <v>2477391798.0100002</v>
      </c>
      <c r="AE8" s="188">
        <v>1931440577.01</v>
      </c>
      <c r="AF8" s="188">
        <v>1277257264.3</v>
      </c>
      <c r="AG8" s="188">
        <v>708575156.14999998</v>
      </c>
      <c r="AH8" s="188">
        <v>1577013104.9000001</v>
      </c>
      <c r="AI8" s="188">
        <v>1409893974.9300001</v>
      </c>
      <c r="AJ8" s="188">
        <v>858980338.08000004</v>
      </c>
      <c r="AK8" s="188">
        <v>540768518.44000006</v>
      </c>
      <c r="AL8" s="188">
        <v>940508549.65999997</v>
      </c>
      <c r="AM8" s="188">
        <v>676193009.49000001</v>
      </c>
      <c r="AN8" s="188">
        <v>418028504.85000002</v>
      </c>
      <c r="AO8" s="188">
        <v>234708691.38999999</v>
      </c>
      <c r="AP8" s="188">
        <v>681761604.71000004</v>
      </c>
      <c r="AQ8" s="188">
        <v>533718466.75999999</v>
      </c>
      <c r="AR8" s="188">
        <v>370471947.33999997</v>
      </c>
      <c r="AS8" s="188">
        <v>198645627.71000001</v>
      </c>
      <c r="AT8" s="188">
        <v>604078928.40999997</v>
      </c>
      <c r="AU8" s="188">
        <v>412234460.64999998</v>
      </c>
      <c r="AV8" s="188">
        <v>291887086.48000002</v>
      </c>
      <c r="AW8" s="188">
        <v>191506723.52000001</v>
      </c>
      <c r="AX8" s="188">
        <v>574699589.65999997</v>
      </c>
      <c r="AY8" s="188">
        <v>422145286.06</v>
      </c>
      <c r="AZ8" s="188">
        <v>297988718.55000001</v>
      </c>
      <c r="BA8" s="188">
        <v>178317665.44</v>
      </c>
      <c r="BB8" s="188">
        <v>530245028.45999998</v>
      </c>
      <c r="BC8" s="188">
        <v>406925341.75999999</v>
      </c>
      <c r="BD8" s="188">
        <v>265598185.91999999</v>
      </c>
      <c r="BE8" s="188">
        <v>165915935.69999999</v>
      </c>
      <c r="BF8" s="188">
        <v>324855608.17000002</v>
      </c>
      <c r="BG8" s="188">
        <v>320394935.06999999</v>
      </c>
      <c r="BH8" s="188">
        <v>198084137.61000001</v>
      </c>
      <c r="BI8" s="188">
        <v>119817149.3</v>
      </c>
      <c r="BJ8" s="188">
        <v>308189009.56</v>
      </c>
      <c r="BK8" s="188">
        <v>268206392.63</v>
      </c>
      <c r="BL8" s="188">
        <v>161846133.84999999</v>
      </c>
      <c r="BM8" s="188">
        <v>121107780.34</v>
      </c>
      <c r="BN8" s="188">
        <v>320026615.94999999</v>
      </c>
      <c r="BO8" s="188">
        <v>228116802.27000001</v>
      </c>
      <c r="BP8" s="188">
        <v>160878207.99000001</v>
      </c>
      <c r="BQ8" s="188">
        <v>124848157.48</v>
      </c>
      <c r="BR8" s="188">
        <v>317884849.44</v>
      </c>
      <c r="BS8" s="188">
        <v>161749763</v>
      </c>
      <c r="BT8" s="188">
        <v>199224062.88</v>
      </c>
      <c r="BU8" s="188">
        <v>172867651.11000001</v>
      </c>
      <c r="BV8" s="188">
        <v>119074532.43000001</v>
      </c>
      <c r="BW8" s="188">
        <v>0</v>
      </c>
      <c r="BX8" s="188"/>
      <c r="BY8" s="188"/>
      <c r="BZ8" s="188"/>
      <c r="CA8" s="188"/>
      <c r="CB8" s="188"/>
      <c r="CC8" s="188"/>
      <c r="CD8" s="188"/>
      <c r="CE8" s="188"/>
      <c r="CF8" s="188"/>
      <c r="CG8" s="188"/>
      <c r="CH8" s="188"/>
      <c r="CI8" s="188"/>
      <c r="CJ8" s="188"/>
      <c r="CK8" s="188"/>
    </row>
    <row r="9" spans="1:89">
      <c r="A9" s="17" t="s">
        <v>389</v>
      </c>
      <c r="B9" s="188">
        <v>2572076872.1599998</v>
      </c>
      <c r="C9" s="188">
        <v>2845576568.3000002</v>
      </c>
      <c r="D9" s="188">
        <v>2199587993.3600001</v>
      </c>
      <c r="E9" s="188">
        <v>945090499.20000005</v>
      </c>
      <c r="F9" s="188">
        <v>2986068544.9899998</v>
      </c>
      <c r="G9" s="188">
        <v>1977910933.9000001</v>
      </c>
      <c r="H9" s="188">
        <v>1378870495.3199999</v>
      </c>
      <c r="I9" s="188">
        <v>852434090.09000003</v>
      </c>
      <c r="J9" s="188">
        <v>1681052022.9000001</v>
      </c>
      <c r="K9" s="188">
        <v>655110282.33000004</v>
      </c>
      <c r="L9" s="188">
        <v>387421652.44999999</v>
      </c>
      <c r="M9" s="188">
        <v>170385412.55000001</v>
      </c>
      <c r="N9" s="188">
        <v>1484961519.21</v>
      </c>
      <c r="O9" s="188">
        <v>935401479.02999997</v>
      </c>
      <c r="P9" s="188">
        <v>592014002.75</v>
      </c>
      <c r="Q9" s="188">
        <v>242599825.81999999</v>
      </c>
      <c r="R9" s="188">
        <v>1674733451.0599999</v>
      </c>
      <c r="S9" s="188">
        <v>976711335.94000006</v>
      </c>
      <c r="T9" s="188">
        <v>646806094.26999998</v>
      </c>
      <c r="U9" s="188">
        <v>329145907.60000002</v>
      </c>
      <c r="V9" s="188">
        <v>1858132722.71</v>
      </c>
      <c r="W9" s="188">
        <v>1165549963.0799999</v>
      </c>
      <c r="X9" s="188">
        <v>799796571.35000002</v>
      </c>
      <c r="Y9" s="188">
        <v>284030284.32999998</v>
      </c>
      <c r="Z9" s="188">
        <v>1224553444.02</v>
      </c>
      <c r="AA9" s="188">
        <v>842051124.48000002</v>
      </c>
      <c r="AB9" s="188">
        <v>406579445.95999998</v>
      </c>
      <c r="AC9" s="188">
        <v>190131949.47</v>
      </c>
      <c r="AD9" s="188">
        <v>720327727.88999999</v>
      </c>
      <c r="AE9" s="188">
        <v>493777287.81999999</v>
      </c>
      <c r="AF9" s="188">
        <v>324597983.18000001</v>
      </c>
      <c r="AG9" s="188">
        <v>167210185.33000001</v>
      </c>
      <c r="AH9" s="188">
        <v>676531662.09000003</v>
      </c>
      <c r="AI9" s="188">
        <v>482572956.68000001</v>
      </c>
      <c r="AJ9" s="188">
        <v>314756689.20999998</v>
      </c>
      <c r="AK9" s="188">
        <v>144719684.59</v>
      </c>
      <c r="AL9" s="188">
        <v>621284334.75</v>
      </c>
      <c r="AM9" s="188">
        <v>439653539.35000002</v>
      </c>
      <c r="AN9" s="188">
        <v>315584024.69999999</v>
      </c>
      <c r="AO9" s="188">
        <v>180649086.71000001</v>
      </c>
      <c r="AP9" s="188">
        <v>532024659.80000001</v>
      </c>
      <c r="AQ9" s="188">
        <v>455051645.88999999</v>
      </c>
      <c r="AR9" s="188">
        <v>341612858.30000001</v>
      </c>
      <c r="AS9" s="188">
        <v>243703730.18000001</v>
      </c>
      <c r="AT9" s="188">
        <v>560385186.98000002</v>
      </c>
      <c r="AU9" s="188">
        <v>439695589.05000001</v>
      </c>
      <c r="AV9" s="188">
        <v>343733134.56999999</v>
      </c>
      <c r="AW9" s="188">
        <v>212477800.28999999</v>
      </c>
      <c r="AX9" s="188">
        <v>579353831.58000004</v>
      </c>
      <c r="AY9" s="188">
        <v>483225031.23000002</v>
      </c>
      <c r="AZ9" s="188">
        <v>269828737.06999999</v>
      </c>
      <c r="BA9" s="188">
        <v>197589630.34999999</v>
      </c>
      <c r="BB9" s="188">
        <v>475939394.32999998</v>
      </c>
      <c r="BC9" s="188">
        <v>371220561.92000002</v>
      </c>
      <c r="BD9" s="188">
        <v>236478908.59</v>
      </c>
      <c r="BE9" s="188">
        <v>153658444.72</v>
      </c>
      <c r="BF9" s="188">
        <v>376522300.75</v>
      </c>
      <c r="BG9" s="188">
        <v>338181343.52999997</v>
      </c>
      <c r="BH9" s="188">
        <v>199936560.31</v>
      </c>
      <c r="BI9" s="188">
        <v>139760649.13999999</v>
      </c>
      <c r="BJ9" s="188">
        <v>365256375.5</v>
      </c>
      <c r="BK9" s="188">
        <v>247758788.18000001</v>
      </c>
      <c r="BL9" s="188">
        <v>148471350.83000001</v>
      </c>
      <c r="BM9" s="188">
        <v>99955921.620000005</v>
      </c>
      <c r="BN9" s="188">
        <v>308176458.60000002</v>
      </c>
      <c r="BO9" s="188">
        <v>240365513.08000001</v>
      </c>
      <c r="BP9" s="188">
        <v>167320806.24000001</v>
      </c>
      <c r="BQ9" s="188">
        <v>103935965.36</v>
      </c>
      <c r="BR9" s="188">
        <v>228319500.78</v>
      </c>
      <c r="BS9" s="188">
        <v>117289100</v>
      </c>
      <c r="BT9" s="188">
        <v>134826000.83000001</v>
      </c>
      <c r="BU9" s="188">
        <v>101900556.98</v>
      </c>
      <c r="BV9" s="188">
        <v>56426807.149999999</v>
      </c>
      <c r="BW9" s="188">
        <v>0</v>
      </c>
      <c r="BX9" s="188"/>
      <c r="BY9" s="188"/>
      <c r="BZ9" s="188"/>
      <c r="CA9" s="188"/>
      <c r="CB9" s="188"/>
      <c r="CC9" s="188"/>
      <c r="CD9" s="188"/>
      <c r="CE9" s="188"/>
      <c r="CF9" s="188"/>
      <c r="CG9" s="188"/>
      <c r="CH9" s="188"/>
      <c r="CI9" s="188"/>
      <c r="CJ9" s="188"/>
      <c r="CK9" s="188"/>
    </row>
    <row r="10" spans="1:89">
      <c r="A10" s="17" t="s">
        <v>390</v>
      </c>
      <c r="B10" s="188">
        <v>5325940762.2399998</v>
      </c>
      <c r="C10" s="188">
        <v>3684290694.1900001</v>
      </c>
      <c r="D10" s="188">
        <v>2460415497.4000001</v>
      </c>
      <c r="E10" s="188">
        <v>1204204773.6500001</v>
      </c>
      <c r="F10" s="188">
        <v>4720542820.1400003</v>
      </c>
      <c r="G10" s="188">
        <v>3115038946.7600002</v>
      </c>
      <c r="H10" s="188">
        <v>2032246237.8800001</v>
      </c>
      <c r="I10" s="188">
        <v>1122230514.3299999</v>
      </c>
      <c r="J10" s="188">
        <v>4187189840.4200001</v>
      </c>
      <c r="K10" s="188">
        <v>2786104248.79</v>
      </c>
      <c r="L10" s="188">
        <v>1859591870.3199999</v>
      </c>
      <c r="M10" s="188">
        <v>905013030.88</v>
      </c>
      <c r="N10" s="188">
        <v>3812852076.1900001</v>
      </c>
      <c r="O10" s="188">
        <v>2592580782.23</v>
      </c>
      <c r="P10" s="188">
        <v>1827131652.26</v>
      </c>
      <c r="Q10" s="188">
        <v>919920409</v>
      </c>
      <c r="R10" s="188">
        <v>3378499544.5900002</v>
      </c>
      <c r="S10" s="188">
        <v>2336957697.6399999</v>
      </c>
      <c r="T10" s="188">
        <v>1492808431.3399999</v>
      </c>
      <c r="U10" s="188">
        <v>730947216.88</v>
      </c>
      <c r="V10" s="188">
        <v>2834740716</v>
      </c>
      <c r="W10" s="188">
        <v>1743433452.3800001</v>
      </c>
      <c r="X10" s="188">
        <v>1151877819.8900001</v>
      </c>
      <c r="Y10" s="188">
        <v>558440922.01999998</v>
      </c>
      <c r="Z10" s="188">
        <v>2204190581.1300001</v>
      </c>
      <c r="AA10" s="188">
        <v>1288134049.01</v>
      </c>
      <c r="AB10" s="188">
        <v>831662727.75</v>
      </c>
      <c r="AC10" s="188">
        <v>459827167.05000001</v>
      </c>
      <c r="AD10" s="188">
        <v>1673872427.75</v>
      </c>
      <c r="AE10" s="188">
        <v>1001317983.5599999</v>
      </c>
      <c r="AF10" s="188">
        <v>642955797.35000002</v>
      </c>
      <c r="AG10" s="188">
        <v>354029240.72000003</v>
      </c>
      <c r="AH10" s="188">
        <v>1346014202.04</v>
      </c>
      <c r="AI10" s="188">
        <v>851216571.00999999</v>
      </c>
      <c r="AJ10" s="188">
        <v>560864374.54999995</v>
      </c>
      <c r="AK10" s="188">
        <v>309690750.82999998</v>
      </c>
      <c r="AL10" s="188">
        <v>1217158463.04</v>
      </c>
      <c r="AM10" s="188">
        <v>733148103.42999995</v>
      </c>
      <c r="AN10" s="188">
        <v>463903828.94999999</v>
      </c>
      <c r="AO10" s="188">
        <v>222527985.93000001</v>
      </c>
      <c r="AP10" s="188">
        <v>941174062.44000006</v>
      </c>
      <c r="AQ10" s="188">
        <v>536075599.36000001</v>
      </c>
      <c r="AR10" s="188">
        <v>369708813.51999998</v>
      </c>
      <c r="AS10" s="188">
        <v>168448490.52000001</v>
      </c>
      <c r="AT10" s="188">
        <v>723155575.20000005</v>
      </c>
      <c r="AU10" s="188">
        <v>475793089.54000002</v>
      </c>
      <c r="AV10" s="188">
        <v>277866482.92000002</v>
      </c>
      <c r="AW10" s="188">
        <v>99539514.049999997</v>
      </c>
      <c r="AX10" s="188">
        <v>492828170.27999997</v>
      </c>
      <c r="AY10" s="188">
        <v>256603509.80000001</v>
      </c>
      <c r="AZ10" s="188">
        <v>154874288.83000001</v>
      </c>
      <c r="BA10" s="188">
        <v>81752353.340000004</v>
      </c>
      <c r="BB10" s="188">
        <v>350685099.47000003</v>
      </c>
      <c r="BC10" s="188">
        <v>216504598.13</v>
      </c>
      <c r="BD10" s="188">
        <v>142501033.12</v>
      </c>
      <c r="BE10" s="188">
        <v>73791104.609999999</v>
      </c>
      <c r="BF10" s="188">
        <v>311563047.88999999</v>
      </c>
      <c r="BG10" s="188">
        <v>190624537.22999999</v>
      </c>
      <c r="BH10" s="188">
        <v>126425959.59999999</v>
      </c>
      <c r="BI10" s="188">
        <v>48201023.189999998</v>
      </c>
      <c r="BJ10" s="188">
        <v>291880260.69</v>
      </c>
      <c r="BK10" s="188">
        <v>153324035.58000001</v>
      </c>
      <c r="BL10" s="188">
        <v>97233132.640000001</v>
      </c>
      <c r="BM10" s="188">
        <v>38951847.950000003</v>
      </c>
      <c r="BN10" s="188">
        <v>237706731.47</v>
      </c>
      <c r="BO10" s="188">
        <v>154188146.5</v>
      </c>
      <c r="BP10" s="188">
        <v>79903159.849999994</v>
      </c>
      <c r="BQ10" s="188">
        <v>39164507.240000002</v>
      </c>
      <c r="BR10" s="188">
        <v>181060278.22</v>
      </c>
      <c r="BS10" s="188">
        <v>74414401</v>
      </c>
      <c r="BT10" s="188">
        <v>129669631.27</v>
      </c>
      <c r="BU10" s="188">
        <v>122410821.54000001</v>
      </c>
      <c r="BV10" s="188">
        <v>116104124.14</v>
      </c>
      <c r="BW10" s="188">
        <v>0</v>
      </c>
      <c r="BX10" s="188"/>
      <c r="BY10" s="188"/>
      <c r="BZ10" s="188"/>
      <c r="CA10" s="188"/>
      <c r="CB10" s="188"/>
      <c r="CC10" s="188"/>
      <c r="CD10" s="188"/>
      <c r="CE10" s="188"/>
      <c r="CF10" s="188"/>
      <c r="CG10" s="188"/>
      <c r="CH10" s="188"/>
      <c r="CI10" s="188"/>
      <c r="CJ10" s="188"/>
      <c r="CK10" s="188"/>
    </row>
    <row r="11" spans="1:89">
      <c r="A11" s="17" t="s">
        <v>391</v>
      </c>
      <c r="B11" s="188">
        <v>1289685.01</v>
      </c>
      <c r="C11" s="188">
        <v>1221263.23</v>
      </c>
      <c r="D11" s="188">
        <v>1221263.23</v>
      </c>
      <c r="E11" s="188">
        <v>2280412.48</v>
      </c>
      <c r="F11" s="188">
        <v>-8053703.9500000002</v>
      </c>
      <c r="G11" s="188">
        <v>-8205173.0300000003</v>
      </c>
      <c r="H11" s="188">
        <v>-3205173.03</v>
      </c>
      <c r="I11" s="188">
        <v>-5356392.4000000004</v>
      </c>
      <c r="J11" s="188">
        <v>12327496.220000001</v>
      </c>
      <c r="K11" s="188">
        <v>5491060.0800000001</v>
      </c>
      <c r="L11" s="188">
        <v>5536334.9299999997</v>
      </c>
      <c r="M11" s="188">
        <v>2979616.96</v>
      </c>
      <c r="N11" s="188">
        <v>-540313.39</v>
      </c>
      <c r="O11" s="188">
        <v>150533.28</v>
      </c>
      <c r="P11" s="188">
        <v>404373.28</v>
      </c>
      <c r="Q11" s="188">
        <v>-200793.38</v>
      </c>
      <c r="R11" s="188">
        <v>432745.88</v>
      </c>
      <c r="S11" s="188">
        <v>393295.23</v>
      </c>
      <c r="T11" s="188">
        <v>243295.23</v>
      </c>
      <c r="U11" s="188">
        <v>-760608.59</v>
      </c>
      <c r="V11" s="188">
        <v>-2004032.3</v>
      </c>
      <c r="W11" s="188">
        <v>-1818342.1</v>
      </c>
      <c r="X11" s="188">
        <v>-2068342.1</v>
      </c>
      <c r="Y11" s="188">
        <v>0</v>
      </c>
      <c r="Z11" s="188">
        <v>2979258.5</v>
      </c>
      <c r="AA11" s="188">
        <v>955859.42</v>
      </c>
      <c r="AB11" s="188">
        <v>955859.42</v>
      </c>
      <c r="AC11" s="188">
        <v>0</v>
      </c>
      <c r="AD11" s="188">
        <v>-2500650.5699999998</v>
      </c>
      <c r="AE11" s="188">
        <v>-1597611.27</v>
      </c>
      <c r="AF11" s="188">
        <v>-1568169.42</v>
      </c>
      <c r="AG11" s="188">
        <v>0</v>
      </c>
      <c r="AH11" s="188">
        <v>-3066975.05</v>
      </c>
      <c r="AI11" s="188">
        <v>2797805.44</v>
      </c>
      <c r="AJ11" s="188">
        <v>2776574.21</v>
      </c>
      <c r="AK11" s="188">
        <v>18000</v>
      </c>
      <c r="AL11" s="188">
        <v>-300085.01</v>
      </c>
      <c r="AM11" s="188">
        <v>442604</v>
      </c>
      <c r="AN11" s="188">
        <v>442604</v>
      </c>
      <c r="AO11" s="188">
        <v>0</v>
      </c>
      <c r="AP11" s="188">
        <v>450078.22</v>
      </c>
      <c r="AQ11" s="188">
        <v>-1411074.74</v>
      </c>
      <c r="AR11" s="188">
        <v>-1411074.74</v>
      </c>
      <c r="AS11" s="188">
        <v>0</v>
      </c>
      <c r="AT11" s="188">
        <v>-614738.65</v>
      </c>
      <c r="AU11" s="188">
        <v>1317514.0900000001</v>
      </c>
      <c r="AV11" s="188">
        <v>1317514.0900000001</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0</v>
      </c>
      <c r="BU11" s="188">
        <v>0</v>
      </c>
      <c r="BV11" s="188">
        <v>0</v>
      </c>
      <c r="BW11" s="188">
        <v>0</v>
      </c>
      <c r="BX11" s="188"/>
      <c r="BY11" s="188"/>
      <c r="BZ11" s="188"/>
      <c r="CA11" s="188"/>
      <c r="CB11" s="188"/>
      <c r="CC11" s="188"/>
      <c r="CD11" s="188"/>
      <c r="CE11" s="188"/>
      <c r="CF11" s="188"/>
      <c r="CG11" s="188"/>
      <c r="CH11" s="188"/>
      <c r="CI11" s="188"/>
      <c r="CJ11" s="188"/>
      <c r="CK11" s="188"/>
    </row>
    <row r="12" spans="1:89" s="7" customFormat="1">
      <c r="A12" s="21" t="s">
        <v>392</v>
      </c>
      <c r="B12" s="29">
        <f>B55</f>
        <v>463</v>
      </c>
      <c r="C12" s="29">
        <f t="shared" ref="C12:BN12" si="5">C55</f>
        <v>603</v>
      </c>
      <c r="D12" s="29">
        <f t="shared" si="5"/>
        <v>653</v>
      </c>
      <c r="E12" s="29">
        <f t="shared" si="5"/>
        <v>4084075.75</v>
      </c>
      <c r="F12" s="29">
        <f t="shared" si="5"/>
        <v>1204</v>
      </c>
      <c r="G12" s="29">
        <f t="shared" si="5"/>
        <v>868</v>
      </c>
      <c r="H12" s="29">
        <f t="shared" si="5"/>
        <v>644</v>
      </c>
      <c r="I12" s="29">
        <f t="shared" si="5"/>
        <v>787035.87</v>
      </c>
      <c r="J12" s="29">
        <f t="shared" si="5"/>
        <v>0</v>
      </c>
      <c r="K12" s="29">
        <f t="shared" si="5"/>
        <v>0</v>
      </c>
      <c r="L12" s="29">
        <f t="shared" si="5"/>
        <v>0</v>
      </c>
      <c r="M12" s="29">
        <f t="shared" si="5"/>
        <v>1633270.12</v>
      </c>
      <c r="N12" s="29">
        <f t="shared" si="5"/>
        <v>0</v>
      </c>
      <c r="O12" s="29">
        <f t="shared" si="5"/>
        <v>0</v>
      </c>
      <c r="P12" s="29">
        <f t="shared" si="5"/>
        <v>0</v>
      </c>
      <c r="Q12" s="29">
        <f t="shared" si="5"/>
        <v>831553.24</v>
      </c>
      <c r="R12" s="29">
        <f t="shared" si="5"/>
        <v>0</v>
      </c>
      <c r="S12" s="29">
        <f t="shared" si="5"/>
        <v>0</v>
      </c>
      <c r="T12" s="29">
        <f t="shared" si="5"/>
        <v>0</v>
      </c>
      <c r="U12" s="29">
        <f t="shared" si="5"/>
        <v>434996.18</v>
      </c>
      <c r="V12" s="29">
        <f t="shared" si="5"/>
        <v>0</v>
      </c>
      <c r="W12" s="29">
        <f t="shared" si="5"/>
        <v>0</v>
      </c>
      <c r="X12" s="29">
        <f t="shared" si="5"/>
        <v>0</v>
      </c>
      <c r="Y12" s="29">
        <f t="shared" si="5"/>
        <v>603190.06999999995</v>
      </c>
      <c r="Z12" s="29">
        <f t="shared" si="5"/>
        <v>0</v>
      </c>
      <c r="AA12" s="29">
        <f t="shared" si="5"/>
        <v>0</v>
      </c>
      <c r="AB12" s="29">
        <f t="shared" si="5"/>
        <v>0</v>
      </c>
      <c r="AC12" s="29">
        <f t="shared" si="5"/>
        <v>352310</v>
      </c>
      <c r="AD12" s="29">
        <f t="shared" si="5"/>
        <v>0</v>
      </c>
      <c r="AE12" s="29">
        <f t="shared" si="5"/>
        <v>0</v>
      </c>
      <c r="AF12" s="29">
        <f t="shared" si="5"/>
        <v>0</v>
      </c>
      <c r="AG12" s="29">
        <f t="shared" si="5"/>
        <v>284184.78000000003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393</v>
      </c>
      <c r="B13" s="188">
        <v>11619526.109999999</v>
      </c>
      <c r="C13" s="188">
        <v>10719272.189999999</v>
      </c>
      <c r="D13" s="188">
        <v>6714437.7000000002</v>
      </c>
      <c r="E13" s="188">
        <v>2230584.69</v>
      </c>
      <c r="F13" s="188">
        <v>12201990.51</v>
      </c>
      <c r="G13" s="188">
        <v>9775757.8599999994</v>
      </c>
      <c r="H13" s="188">
        <v>5597183.8300000001</v>
      </c>
      <c r="I13" s="188">
        <v>1770099.69</v>
      </c>
      <c r="J13" s="188">
        <v>8553926.0600000005</v>
      </c>
      <c r="K13" s="188">
        <v>8262314.4500000002</v>
      </c>
      <c r="L13" s="188">
        <v>5374865.2699999996</v>
      </c>
      <c r="M13" s="188">
        <v>4199647.6100000003</v>
      </c>
      <c r="N13" s="188">
        <v>4823183.32</v>
      </c>
      <c r="O13" s="188">
        <v>1151762.29</v>
      </c>
      <c r="P13" s="188">
        <v>712903.58</v>
      </c>
      <c r="Q13" s="188">
        <v>499998</v>
      </c>
      <c r="R13" s="188">
        <v>6562552.1799999997</v>
      </c>
      <c r="S13" s="188">
        <v>2509405.6</v>
      </c>
      <c r="T13" s="188">
        <v>631082.29</v>
      </c>
      <c r="U13" s="188">
        <v>573210.01</v>
      </c>
      <c r="V13" s="188">
        <v>32763249.140000001</v>
      </c>
      <c r="W13" s="188">
        <v>27712057.190000001</v>
      </c>
      <c r="X13" s="188">
        <v>181985.22</v>
      </c>
      <c r="Y13" s="188">
        <v>33313.199999999997</v>
      </c>
      <c r="Z13" s="188">
        <v>6756532.1900000004</v>
      </c>
      <c r="AA13" s="188">
        <v>4670917.43</v>
      </c>
      <c r="AB13" s="188">
        <v>2194791.12</v>
      </c>
      <c r="AC13" s="188">
        <v>1955371.81</v>
      </c>
      <c r="AD13" s="188">
        <v>7181584.54</v>
      </c>
      <c r="AE13" s="188">
        <v>4953462.93</v>
      </c>
      <c r="AF13" s="188">
        <v>2992008.57</v>
      </c>
      <c r="AG13" s="188">
        <v>1979084</v>
      </c>
      <c r="AH13" s="188">
        <v>5307144.91</v>
      </c>
      <c r="AI13" s="188">
        <v>1971014.48</v>
      </c>
      <c r="AJ13" s="188">
        <v>398410.98</v>
      </c>
      <c r="AK13" s="188">
        <v>10325.86</v>
      </c>
      <c r="AL13" s="188">
        <v>6247977</v>
      </c>
      <c r="AM13" s="188">
        <v>494320</v>
      </c>
      <c r="AN13" s="188">
        <v>1861620</v>
      </c>
      <c r="AO13" s="188">
        <v>1231620</v>
      </c>
      <c r="AP13" s="188">
        <v>6282035.79</v>
      </c>
      <c r="AQ13" s="188">
        <v>2381385.59</v>
      </c>
      <c r="AR13" s="188">
        <v>1164514.5900000001</v>
      </c>
      <c r="AS13" s="188">
        <v>570450</v>
      </c>
      <c r="AT13" s="188">
        <v>2917186.44</v>
      </c>
      <c r="AU13" s="188">
        <v>2650052.83</v>
      </c>
      <c r="AV13" s="188">
        <v>2337708.1800000002</v>
      </c>
      <c r="AW13" s="188">
        <v>1118127.8899999999</v>
      </c>
      <c r="AX13" s="188">
        <v>1149619.55</v>
      </c>
      <c r="AY13" s="188">
        <v>1004708.55</v>
      </c>
      <c r="AZ13" s="188">
        <v>859384.55</v>
      </c>
      <c r="BA13" s="188">
        <v>328675</v>
      </c>
      <c r="BB13" s="188">
        <v>1762887.9</v>
      </c>
      <c r="BC13" s="188">
        <v>1313389.2</v>
      </c>
      <c r="BD13" s="188">
        <v>1198053.82</v>
      </c>
      <c r="BE13" s="188">
        <v>11500</v>
      </c>
      <c r="BF13" s="188">
        <v>3601893.97</v>
      </c>
      <c r="BG13" s="188">
        <v>213199.97</v>
      </c>
      <c r="BH13" s="188">
        <v>35584.97</v>
      </c>
      <c r="BI13" s="188">
        <v>14874.97</v>
      </c>
      <c r="BJ13" s="188">
        <v>1392334.71</v>
      </c>
      <c r="BK13" s="188">
        <v>1064414.71</v>
      </c>
      <c r="BL13" s="188">
        <v>582293.07999999996</v>
      </c>
      <c r="BM13" s="188">
        <v>111556.08</v>
      </c>
      <c r="BN13" s="188">
        <v>137822</v>
      </c>
      <c r="BO13" s="188">
        <v>68602</v>
      </c>
      <c r="BP13" s="188">
        <v>55202</v>
      </c>
      <c r="BQ13" s="188">
        <v>50170</v>
      </c>
      <c r="BR13" s="188">
        <v>72208.039999999994</v>
      </c>
      <c r="BS13" s="188">
        <v>51586.44</v>
      </c>
      <c r="BT13" s="188">
        <v>17635.96</v>
      </c>
      <c r="BU13" s="188">
        <v>1500</v>
      </c>
      <c r="BV13" s="188">
        <v>0</v>
      </c>
      <c r="BW13" s="188">
        <v>0</v>
      </c>
      <c r="BX13" s="188"/>
      <c r="BY13" s="188"/>
      <c r="BZ13" s="188"/>
      <c r="CA13" s="188"/>
      <c r="CB13" s="188"/>
      <c r="CC13" s="188"/>
      <c r="CD13" s="188"/>
      <c r="CE13" s="188"/>
      <c r="CF13" s="188"/>
      <c r="CG13" s="188"/>
      <c r="CH13" s="188"/>
      <c r="CI13" s="188"/>
      <c r="CJ13" s="188"/>
      <c r="CK13" s="188"/>
    </row>
    <row r="14" spans="1:89">
      <c r="A14" s="17" t="s">
        <v>394</v>
      </c>
      <c r="B14" s="188">
        <v>527003759.81999999</v>
      </c>
      <c r="C14" s="188">
        <v>271320093.51999998</v>
      </c>
      <c r="D14" s="188">
        <v>166643463.81999999</v>
      </c>
      <c r="E14" s="188">
        <v>7376224.0700000003</v>
      </c>
      <c r="F14" s="188">
        <v>212137381.36000001</v>
      </c>
      <c r="G14" s="188">
        <v>153881485.16999999</v>
      </c>
      <c r="H14" s="188">
        <v>45837582.100000001</v>
      </c>
      <c r="I14" s="188">
        <v>36882434.299999997</v>
      </c>
      <c r="J14" s="188">
        <v>316298138.37</v>
      </c>
      <c r="K14" s="188">
        <v>119855695.88</v>
      </c>
      <c r="L14" s="188">
        <v>213054.89</v>
      </c>
      <c r="M14" s="188">
        <v>27219.7</v>
      </c>
      <c r="N14" s="188">
        <v>162100184.84999999</v>
      </c>
      <c r="O14" s="188">
        <v>133901458.09</v>
      </c>
      <c r="P14" s="188">
        <v>2893260.58</v>
      </c>
      <c r="Q14" s="188">
        <v>2815794.51</v>
      </c>
      <c r="R14" s="188">
        <v>227193365.75</v>
      </c>
      <c r="S14" s="188">
        <v>139757580</v>
      </c>
      <c r="T14" s="188">
        <v>28429120.030000001</v>
      </c>
      <c r="U14" s="188">
        <v>8142669.9199999999</v>
      </c>
      <c r="V14" s="188">
        <v>391947775.17000002</v>
      </c>
      <c r="W14" s="188">
        <v>373534440.38</v>
      </c>
      <c r="X14" s="188">
        <v>272522239.94</v>
      </c>
      <c r="Y14" s="188">
        <v>252324805.13</v>
      </c>
      <c r="Z14" s="188">
        <v>137005880.68000001</v>
      </c>
      <c r="AA14" s="188">
        <v>106707683.45999999</v>
      </c>
      <c r="AB14" s="188">
        <v>1707664.91</v>
      </c>
      <c r="AC14" s="188">
        <v>38335.06</v>
      </c>
      <c r="AD14" s="188">
        <v>8685535.8200000003</v>
      </c>
      <c r="AE14" s="188">
        <v>7792593.8099999996</v>
      </c>
      <c r="AF14" s="188">
        <v>5238266.28</v>
      </c>
      <c r="AG14" s="188">
        <v>151384.31</v>
      </c>
      <c r="AH14" s="188">
        <v>3796643.04</v>
      </c>
      <c r="AI14" s="188">
        <v>3694392.17</v>
      </c>
      <c r="AJ14" s="188">
        <v>3637581.92</v>
      </c>
      <c r="AK14" s="188">
        <v>2800000</v>
      </c>
      <c r="AL14" s="188">
        <v>1228603.08</v>
      </c>
      <c r="AM14" s="188">
        <v>1086603.01</v>
      </c>
      <c r="AN14" s="188">
        <v>1008880.69</v>
      </c>
      <c r="AO14" s="188">
        <v>1000000</v>
      </c>
      <c r="AP14" s="188">
        <v>11366252.66</v>
      </c>
      <c r="AQ14" s="188">
        <v>9836215.3900000006</v>
      </c>
      <c r="AR14" s="188">
        <v>9762890.1999999993</v>
      </c>
      <c r="AS14" s="188">
        <v>0</v>
      </c>
      <c r="AT14" s="188">
        <v>6233172.3099999996</v>
      </c>
      <c r="AU14" s="188">
        <v>326370.88</v>
      </c>
      <c r="AV14" s="188">
        <v>171352.52</v>
      </c>
      <c r="AW14" s="188">
        <v>10726.5</v>
      </c>
      <c r="AX14" s="188">
        <v>191818.51</v>
      </c>
      <c r="AY14" s="188">
        <v>51074.5</v>
      </c>
      <c r="AZ14" s="188">
        <v>1074.5</v>
      </c>
      <c r="BA14" s="188">
        <v>1074.5</v>
      </c>
      <c r="BB14" s="188">
        <v>796935.44</v>
      </c>
      <c r="BC14" s="188">
        <v>350</v>
      </c>
      <c r="BD14" s="188">
        <v>350</v>
      </c>
      <c r="BE14" s="188">
        <v>0</v>
      </c>
      <c r="BF14" s="188">
        <v>1036434.99</v>
      </c>
      <c r="BG14" s="188">
        <v>52400</v>
      </c>
      <c r="BH14" s="188">
        <v>2400</v>
      </c>
      <c r="BI14" s="188">
        <v>1400</v>
      </c>
      <c r="BJ14" s="188">
        <v>137513.69</v>
      </c>
      <c r="BK14" s="188">
        <v>131823.35999999999</v>
      </c>
      <c r="BL14" s="188">
        <v>9905.66</v>
      </c>
      <c r="BM14" s="188">
        <v>8355.66</v>
      </c>
      <c r="BN14" s="188">
        <v>10611.88</v>
      </c>
      <c r="BO14" s="188">
        <v>10611.88</v>
      </c>
      <c r="BP14" s="188">
        <v>10611.88</v>
      </c>
      <c r="BQ14" s="188">
        <v>211.88</v>
      </c>
      <c r="BR14" s="188">
        <v>3004334.7</v>
      </c>
      <c r="BS14" s="188">
        <v>612996.92000000004</v>
      </c>
      <c r="BT14" s="188">
        <v>960375.1</v>
      </c>
      <c r="BU14" s="188">
        <v>56614.31</v>
      </c>
      <c r="BV14" s="188">
        <v>0</v>
      </c>
      <c r="BW14" s="188">
        <v>0</v>
      </c>
      <c r="BX14" s="188"/>
      <c r="BY14" s="188"/>
      <c r="BZ14" s="188"/>
      <c r="CA14" s="188"/>
      <c r="CB14" s="188"/>
      <c r="CC14" s="188"/>
      <c r="CD14" s="188"/>
      <c r="CE14" s="188"/>
      <c r="CF14" s="188"/>
      <c r="CG14" s="188"/>
      <c r="CH14" s="188"/>
      <c r="CI14" s="188"/>
      <c r="CJ14" s="188"/>
      <c r="CK14" s="188"/>
    </row>
    <row r="15" spans="1:89" s="2" customFormat="1">
      <c r="A15" s="20" t="s">
        <v>397</v>
      </c>
      <c r="B15" s="28">
        <f>B6-(B8+B9+B10+B11+B12)+B13-B14</f>
        <v>47412331691.169998</v>
      </c>
      <c r="C15" s="28">
        <f t="shared" ref="C15:BN15" si="7">C6-(C8+C9+C10+C11+C12)+C13-C14</f>
        <v>32957239121.68</v>
      </c>
      <c r="D15" s="28">
        <f t="shared" si="7"/>
        <v>20910530479.950001</v>
      </c>
      <c r="E15" s="28">
        <f t="shared" si="7"/>
        <v>11261197474.52</v>
      </c>
      <c r="F15" s="28">
        <f t="shared" si="7"/>
        <v>35974716215.480003</v>
      </c>
      <c r="G15" s="28">
        <f t="shared" si="7"/>
        <v>26524201693.680004</v>
      </c>
      <c r="H15" s="28">
        <f t="shared" si="7"/>
        <v>14811232656.109999</v>
      </c>
      <c r="I15" s="28">
        <f t="shared" si="7"/>
        <v>8153132154.3700008</v>
      </c>
      <c r="J15" s="28">
        <f t="shared" si="7"/>
        <v>22754845992.759998</v>
      </c>
      <c r="K15" s="28">
        <f t="shared" si="7"/>
        <v>17224302576.93</v>
      </c>
      <c r="L15" s="28">
        <f t="shared" si="7"/>
        <v>12244780312.01</v>
      </c>
      <c r="M15" s="28">
        <f t="shared" si="7"/>
        <v>6967289917.079999</v>
      </c>
      <c r="N15" s="28">
        <f t="shared" si="7"/>
        <v>21217525355.279999</v>
      </c>
      <c r="O15" s="28">
        <f t="shared" si="7"/>
        <v>15569153338.09</v>
      </c>
      <c r="P15" s="28">
        <f t="shared" si="7"/>
        <v>10747899018.51</v>
      </c>
      <c r="Q15" s="28">
        <f t="shared" si="7"/>
        <v>5992471884.3299999</v>
      </c>
      <c r="R15" s="28">
        <f t="shared" si="7"/>
        <v>21172087007.459999</v>
      </c>
      <c r="S15" s="28">
        <f t="shared" si="7"/>
        <v>14669262457.400002</v>
      </c>
      <c r="T15" s="28">
        <f t="shared" si="7"/>
        <v>9901107345.6399994</v>
      </c>
      <c r="U15" s="28">
        <f t="shared" si="7"/>
        <v>5170812408.1700001</v>
      </c>
      <c r="V15" s="28">
        <f t="shared" si="7"/>
        <v>20887079186.68</v>
      </c>
      <c r="W15" s="28">
        <f t="shared" si="7"/>
        <v>15269182006.340002</v>
      </c>
      <c r="X15" s="28">
        <f t="shared" si="7"/>
        <v>9874167661.1199989</v>
      </c>
      <c r="Y15" s="28">
        <f t="shared" si="7"/>
        <v>5002765823.6199989</v>
      </c>
      <c r="Z15" s="28">
        <f t="shared" si="7"/>
        <v>18276411296.670002</v>
      </c>
      <c r="AA15" s="28">
        <f t="shared" si="7"/>
        <v>14284688218.48</v>
      </c>
      <c r="AB15" s="28">
        <f t="shared" si="7"/>
        <v>9609872110.0600014</v>
      </c>
      <c r="AC15" s="28">
        <f t="shared" si="7"/>
        <v>4077164614.8699999</v>
      </c>
      <c r="AD15" s="28">
        <f t="shared" si="7"/>
        <v>11980525976.880001</v>
      </c>
      <c r="AE15" s="28">
        <f t="shared" si="7"/>
        <v>9058450996.3900013</v>
      </c>
      <c r="AF15" s="28">
        <f t="shared" si="7"/>
        <v>6735261844.8100004</v>
      </c>
      <c r="AG15" s="28">
        <f t="shared" si="7"/>
        <v>2600254929.6700001</v>
      </c>
      <c r="AH15" s="28">
        <f t="shared" si="7"/>
        <v>6985370656.46</v>
      </c>
      <c r="AI15" s="28">
        <f t="shared" si="7"/>
        <v>5758077960.8400002</v>
      </c>
      <c r="AJ15" s="28">
        <f t="shared" si="7"/>
        <v>4277458985.2599998</v>
      </c>
      <c r="AK15" s="28">
        <f t="shared" si="7"/>
        <v>1746532659.9299996</v>
      </c>
      <c r="AL15" s="28">
        <f t="shared" si="7"/>
        <v>5945694321.5999994</v>
      </c>
      <c r="AM15" s="28">
        <f t="shared" si="7"/>
        <v>5213965295.1599998</v>
      </c>
      <c r="AN15" s="28">
        <f t="shared" si="7"/>
        <v>3817279631.7800002</v>
      </c>
      <c r="AO15" s="28">
        <f t="shared" si="7"/>
        <v>1623434688.2499998</v>
      </c>
      <c r="AP15" s="28">
        <f t="shared" si="7"/>
        <v>5281477622.8300009</v>
      </c>
      <c r="AQ15" s="28">
        <f t="shared" si="7"/>
        <v>4340687719.5899992</v>
      </c>
      <c r="AR15" s="28">
        <f t="shared" si="7"/>
        <v>3088681669.3800011</v>
      </c>
      <c r="AS15" s="28">
        <f t="shared" si="7"/>
        <v>1182458284.9700003</v>
      </c>
      <c r="AT15" s="28">
        <f t="shared" si="7"/>
        <v>4475466240.9799995</v>
      </c>
      <c r="AU15" s="28">
        <f t="shared" si="7"/>
        <v>2469028799.0100002</v>
      </c>
      <c r="AV15" s="28">
        <f t="shared" si="7"/>
        <v>1327234251.7100003</v>
      </c>
      <c r="AW15" s="28">
        <f t="shared" si="7"/>
        <v>847416485.08000016</v>
      </c>
      <c r="AX15" s="28">
        <f t="shared" si="7"/>
        <v>2459083270.2400002</v>
      </c>
      <c r="AY15" s="28">
        <f t="shared" si="7"/>
        <v>1552235645.4000001</v>
      </c>
      <c r="AZ15" s="28">
        <f t="shared" si="7"/>
        <v>965161342.11999989</v>
      </c>
      <c r="BA15" s="28">
        <f t="shared" si="7"/>
        <v>669613416.62</v>
      </c>
      <c r="BB15" s="28">
        <f t="shared" si="7"/>
        <v>1887504851.1300004</v>
      </c>
      <c r="BC15" s="28">
        <f t="shared" si="7"/>
        <v>1136484880.76</v>
      </c>
      <c r="BD15" s="28">
        <f t="shared" si="7"/>
        <v>748635044</v>
      </c>
      <c r="BE15" s="28">
        <f t="shared" si="7"/>
        <v>553948308.0999999</v>
      </c>
      <c r="BF15" s="28">
        <f t="shared" si="7"/>
        <v>1464361773.1400003</v>
      </c>
      <c r="BG15" s="28">
        <f t="shared" si="7"/>
        <v>853463721.18000007</v>
      </c>
      <c r="BH15" s="28">
        <f t="shared" si="7"/>
        <v>559754313.78999996</v>
      </c>
      <c r="BI15" s="28">
        <f t="shared" si="7"/>
        <v>394422790.95000005</v>
      </c>
      <c r="BJ15" s="28">
        <f t="shared" si="7"/>
        <v>959558980.33999968</v>
      </c>
      <c r="BK15" s="28">
        <f t="shared" si="7"/>
        <v>581654427.37999988</v>
      </c>
      <c r="BL15" s="28">
        <f t="shared" si="7"/>
        <v>405130506.79000002</v>
      </c>
      <c r="BM15" s="28">
        <f t="shared" si="7"/>
        <v>337896003.24999994</v>
      </c>
      <c r="BN15" s="28">
        <f t="shared" si="7"/>
        <v>628559254.21000016</v>
      </c>
      <c r="BO15" s="28">
        <f t="shared" ref="BO15:CJ15" si="8">BO6-(BO8+BO9+BO10+BO11+BO12)+BO13-BO14</f>
        <v>510478001.96000004</v>
      </c>
      <c r="BP15" s="28">
        <f t="shared" si="8"/>
        <v>389228086.32999992</v>
      </c>
      <c r="BQ15" s="28">
        <f t="shared" si="8"/>
        <v>334564336.5999999</v>
      </c>
      <c r="BR15" s="28">
        <f t="shared" si="8"/>
        <v>600311437.09999967</v>
      </c>
      <c r="BS15" s="28">
        <f t="shared" si="8"/>
        <v>373365639.61000001</v>
      </c>
      <c r="BT15" s="28">
        <f t="shared" si="8"/>
        <v>452474935.14999992</v>
      </c>
      <c r="BU15" s="28">
        <f t="shared" si="8"/>
        <v>364490805.42999995</v>
      </c>
      <c r="BV15" s="28">
        <f t="shared" si="8"/>
        <v>259853599.49000001</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395</v>
      </c>
      <c r="B16" s="26">
        <f>B15*B41</f>
        <v>12996929223.056229</v>
      </c>
      <c r="C16" s="26">
        <f t="shared" ref="C16:BN16" si="9">C15*C41</f>
        <v>9004362890.8689041</v>
      </c>
      <c r="D16" s="26">
        <f t="shared" si="9"/>
        <v>5797751297.3821459</v>
      </c>
      <c r="E16" s="26">
        <f t="shared" si="9"/>
        <v>3041192625.6634402</v>
      </c>
      <c r="F16" s="26">
        <f t="shared" si="9"/>
        <v>9717560732.6106319</v>
      </c>
      <c r="G16" s="26">
        <f t="shared" si="9"/>
        <v>7119749879.3456316</v>
      </c>
      <c r="H16" s="26">
        <f t="shared" si="9"/>
        <v>4027954034.8694549</v>
      </c>
      <c r="I16" s="26">
        <f t="shared" si="9"/>
        <v>2202102754.908031</v>
      </c>
      <c r="J16" s="26">
        <f t="shared" si="9"/>
        <v>6017989724.5692225</v>
      </c>
      <c r="K16" s="26">
        <f t="shared" si="9"/>
        <v>4706561444.3966455</v>
      </c>
      <c r="L16" s="26">
        <f t="shared" si="9"/>
        <v>3384069909.0024238</v>
      </c>
      <c r="M16" s="26">
        <f t="shared" si="9"/>
        <v>1992783850.792799</v>
      </c>
      <c r="N16" s="26">
        <f t="shared" si="9"/>
        <v>5531409756.8443813</v>
      </c>
      <c r="O16" s="26">
        <f t="shared" si="9"/>
        <v>4024029737.6738558</v>
      </c>
      <c r="P16" s="26">
        <f t="shared" si="9"/>
        <v>2782829085.9223294</v>
      </c>
      <c r="Q16" s="26">
        <f t="shared" si="9"/>
        <v>1574625221.2266514</v>
      </c>
      <c r="R16" s="26">
        <f t="shared" si="9"/>
        <v>5579857457.061717</v>
      </c>
      <c r="S16" s="26">
        <f t="shared" si="9"/>
        <v>3778065536.7497725</v>
      </c>
      <c r="T16" s="26">
        <f t="shared" si="9"/>
        <v>2544021063.6202502</v>
      </c>
      <c r="U16" s="26">
        <f t="shared" si="9"/>
        <v>1353104052.3218908</v>
      </c>
      <c r="V16" s="26">
        <f t="shared" si="9"/>
        <v>5356649245.4863491</v>
      </c>
      <c r="W16" s="26">
        <f t="shared" si="9"/>
        <v>3916254798.6674533</v>
      </c>
      <c r="X16" s="26">
        <f t="shared" si="9"/>
        <v>2444626877.5219655</v>
      </c>
      <c r="Y16" s="26">
        <f t="shared" si="9"/>
        <v>1314435993.8846667</v>
      </c>
      <c r="Z16" s="26">
        <f t="shared" si="9"/>
        <v>4585636336.2908545</v>
      </c>
      <c r="AA16" s="26">
        <f t="shared" si="9"/>
        <v>3572114933.520391</v>
      </c>
      <c r="AB16" s="26">
        <f t="shared" si="9"/>
        <v>2403637466.1027441</v>
      </c>
      <c r="AC16" s="26">
        <f t="shared" si="9"/>
        <v>1021316082.2692214</v>
      </c>
      <c r="AD16" s="26">
        <f t="shared" si="9"/>
        <v>2995783761.4665179</v>
      </c>
      <c r="AE16" s="26">
        <f t="shared" si="9"/>
        <v>2292874302.9634428</v>
      </c>
      <c r="AF16" s="26">
        <f t="shared" si="9"/>
        <v>1683037013.8413169</v>
      </c>
      <c r="AG16" s="26">
        <f t="shared" si="9"/>
        <v>649435924.75848424</v>
      </c>
      <c r="AH16" s="26">
        <f t="shared" si="9"/>
        <v>1777601453.355489</v>
      </c>
      <c r="AI16" s="26">
        <f t="shared" si="9"/>
        <v>1450002571.6897247</v>
      </c>
      <c r="AJ16" s="26">
        <f t="shared" si="9"/>
        <v>1077743386.6215065</v>
      </c>
      <c r="AK16" s="26">
        <f t="shared" si="9"/>
        <v>436830641.30657989</v>
      </c>
      <c r="AL16" s="26">
        <f t="shared" si="9"/>
        <v>1493772871.4015179</v>
      </c>
      <c r="AM16" s="26">
        <f t="shared" si="9"/>
        <v>1302734125.2229278</v>
      </c>
      <c r="AN16" s="26">
        <f t="shared" si="9"/>
        <v>954815527.60156655</v>
      </c>
      <c r="AO16" s="26">
        <f t="shared" si="9"/>
        <v>405803260.00011551</v>
      </c>
      <c r="AP16" s="26">
        <f t="shared" si="9"/>
        <v>1357848773.729573</v>
      </c>
      <c r="AQ16" s="26">
        <f t="shared" si="9"/>
        <v>1083909717.2243874</v>
      </c>
      <c r="AR16" s="26">
        <f t="shared" si="9"/>
        <v>771878799.97285557</v>
      </c>
      <c r="AS16" s="26">
        <f t="shared" si="9"/>
        <v>295488437.51355559</v>
      </c>
      <c r="AT16" s="26">
        <f t="shared" si="9"/>
        <v>1539952212.1948838</v>
      </c>
      <c r="AU16" s="26">
        <f t="shared" si="9"/>
        <v>825775117.92410052</v>
      </c>
      <c r="AV16" s="26">
        <f t="shared" si="9"/>
        <v>455503086.71666604</v>
      </c>
      <c r="AW16" s="26">
        <f t="shared" si="9"/>
        <v>303157386.70048916</v>
      </c>
      <c r="AX16" s="26">
        <f t="shared" si="9"/>
        <v>903487967.59684777</v>
      </c>
      <c r="AY16" s="26">
        <f t="shared" si="9"/>
        <v>567888157.35015202</v>
      </c>
      <c r="AZ16" s="26">
        <f t="shared" si="9"/>
        <v>335614621.24756598</v>
      </c>
      <c r="BA16" s="26">
        <f t="shared" si="9"/>
        <v>203079033.85094899</v>
      </c>
      <c r="BB16" s="26">
        <f t="shared" si="9"/>
        <v>738335883.52364326</v>
      </c>
      <c r="BC16" s="26">
        <f t="shared" si="9"/>
        <v>410994553.86131042</v>
      </c>
      <c r="BD16" s="26">
        <f t="shared" si="9"/>
        <v>251364716.51786903</v>
      </c>
      <c r="BE16" s="26">
        <f t="shared" si="9"/>
        <v>172459284.64278358</v>
      </c>
      <c r="BF16" s="26">
        <f t="shared" si="9"/>
        <v>625266739.19938314</v>
      </c>
      <c r="BG16" s="26">
        <f t="shared" si="9"/>
        <v>329174570.64856142</v>
      </c>
      <c r="BH16" s="26">
        <f t="shared" si="9"/>
        <v>202065416.00337327</v>
      </c>
      <c r="BI16" s="26">
        <f t="shared" si="9"/>
        <v>127655607.28648648</v>
      </c>
      <c r="BJ16" s="26">
        <f t="shared" si="9"/>
        <v>362478066.36029083</v>
      </c>
      <c r="BK16" s="26">
        <f t="shared" si="9"/>
        <v>221807956.38612831</v>
      </c>
      <c r="BL16" s="26">
        <f t="shared" si="9"/>
        <v>147162550.31523889</v>
      </c>
      <c r="BM16" s="26">
        <f t="shared" si="9"/>
        <v>115562633.49224176</v>
      </c>
      <c r="BN16" s="26">
        <f t="shared" si="9"/>
        <v>249843692.96053126</v>
      </c>
      <c r="BO16" s="26">
        <f t="shared" ref="BO16:CK16" si="10">BO15*BO41</f>
        <v>202181455.27781397</v>
      </c>
      <c r="BP16" s="26">
        <f t="shared" si="10"/>
        <v>150912750.34394965</v>
      </c>
      <c r="BQ16" s="26">
        <f t="shared" si="10"/>
        <v>123226076.23586291</v>
      </c>
      <c r="BR16" s="26">
        <f t="shared" si="10"/>
        <v>262402355.21340081</v>
      </c>
      <c r="BS16" s="26">
        <f t="shared" si="10"/>
        <v>143438474.69978237</v>
      </c>
      <c r="BT16" s="26">
        <f t="shared" si="10"/>
        <v>192401081.69414473</v>
      </c>
      <c r="BU16" s="26">
        <f t="shared" si="10"/>
        <v>142305423.26809937</v>
      </c>
      <c r="BV16" s="26">
        <f t="shared" si="10"/>
        <v>85938256.983400002</v>
      </c>
      <c r="BW16" s="26" t="e">
        <f t="shared" si="10"/>
        <v>#DIV/0!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396</v>
      </c>
      <c r="B17" s="27">
        <f>B15-B16</f>
        <v>34415402468.11377</v>
      </c>
      <c r="C17" s="27">
        <f t="shared" ref="C17:BN17" si="11">C15-C16</f>
        <v>23952876230.811096</v>
      </c>
      <c r="D17" s="27">
        <f t="shared" si="11"/>
        <v>15112779182.567856</v>
      </c>
      <c r="E17" s="27">
        <f t="shared" si="11"/>
        <v>8220004848.8565598</v>
      </c>
      <c r="F17" s="27">
        <f t="shared" si="11"/>
        <v>26257155482.86937</v>
      </c>
      <c r="G17" s="27">
        <f t="shared" si="11"/>
        <v>19404451814.334373</v>
      </c>
      <c r="H17" s="27">
        <f t="shared" si="11"/>
        <v>10783278621.240543</v>
      </c>
      <c r="I17" s="27">
        <f t="shared" si="11"/>
        <v>5951029399.4619694</v>
      </c>
      <c r="J17" s="27">
        <f t="shared" si="11"/>
        <v>16736856268.190777</v>
      </c>
      <c r="K17" s="27">
        <f t="shared" si="11"/>
        <v>12517741132.533356</v>
      </c>
      <c r="L17" s="27">
        <f t="shared" si="11"/>
        <v>8860710403.007576</v>
      </c>
      <c r="M17" s="27">
        <f t="shared" si="11"/>
        <v>4974506066.2872</v>
      </c>
      <c r="N17" s="27">
        <f t="shared" si="11"/>
        <v>15686115598.435617</v>
      </c>
      <c r="O17" s="27">
        <f t="shared" si="11"/>
        <v>11545123600.416145</v>
      </c>
      <c r="P17" s="27">
        <f t="shared" si="11"/>
        <v>7965069932.5876713</v>
      </c>
      <c r="Q17" s="27">
        <f t="shared" si="11"/>
        <v>4417846663.1033487</v>
      </c>
      <c r="R17" s="27">
        <f t="shared" si="11"/>
        <v>15592229550.398281</v>
      </c>
      <c r="S17" s="27">
        <f t="shared" si="11"/>
        <v>10891196920.650229</v>
      </c>
      <c r="T17" s="27">
        <f t="shared" si="11"/>
        <v>7357086282.0197487</v>
      </c>
      <c r="U17" s="27">
        <f t="shared" si="11"/>
        <v>3817708355.8481092</v>
      </c>
      <c r="V17" s="27">
        <f t="shared" si="11"/>
        <v>15530429941.193651</v>
      </c>
      <c r="W17" s="27">
        <f t="shared" si="11"/>
        <v>11352927207.672548</v>
      </c>
      <c r="X17" s="27">
        <f t="shared" si="11"/>
        <v>7429540783.5980339</v>
      </c>
      <c r="Y17" s="27">
        <f t="shared" si="11"/>
        <v>3688329829.7353325</v>
      </c>
      <c r="Z17" s="27">
        <f t="shared" si="11"/>
        <v>13690774960.379147</v>
      </c>
      <c r="AA17" s="27">
        <f t="shared" si="11"/>
        <v>10712573284.959608</v>
      </c>
      <c r="AB17" s="27">
        <f t="shared" si="11"/>
        <v>7206234643.9572573</v>
      </c>
      <c r="AC17" s="27">
        <f t="shared" si="11"/>
        <v>3055848532.6007786</v>
      </c>
      <c r="AD17" s="27">
        <f t="shared" si="11"/>
        <v>8984742215.4134827</v>
      </c>
      <c r="AE17" s="27">
        <f t="shared" si="11"/>
        <v>6765576693.4265585</v>
      </c>
      <c r="AF17" s="27">
        <f t="shared" si="11"/>
        <v>5052224830.9686832</v>
      </c>
      <c r="AG17" s="27">
        <f t="shared" si="11"/>
        <v>1950819004.9115157</v>
      </c>
      <c r="AH17" s="27">
        <f t="shared" si="11"/>
        <v>5207769203.1045113</v>
      </c>
      <c r="AI17" s="27">
        <f t="shared" si="11"/>
        <v>4308075389.1502752</v>
      </c>
      <c r="AJ17" s="27">
        <f t="shared" si="11"/>
        <v>3199715598.6384935</v>
      </c>
      <c r="AK17" s="27">
        <f t="shared" si="11"/>
        <v>1309702018.6234198</v>
      </c>
      <c r="AL17" s="27">
        <f t="shared" si="11"/>
        <v>4451921450.1984816</v>
      </c>
      <c r="AM17" s="27">
        <f t="shared" si="11"/>
        <v>3911231169.9370718</v>
      </c>
      <c r="AN17" s="27">
        <f t="shared" si="11"/>
        <v>2862464104.1784334</v>
      </c>
      <c r="AO17" s="27">
        <f t="shared" si="11"/>
        <v>1217631428.2498841</v>
      </c>
      <c r="AP17" s="27">
        <f t="shared" si="11"/>
        <v>3923628849.1004276</v>
      </c>
      <c r="AQ17" s="27">
        <f t="shared" si="11"/>
        <v>3256778002.365612</v>
      </c>
      <c r="AR17" s="27">
        <f t="shared" si="11"/>
        <v>2316802869.4071455</v>
      </c>
      <c r="AS17" s="27">
        <f t="shared" si="11"/>
        <v>886969847.45644474</v>
      </c>
      <c r="AT17" s="27">
        <f t="shared" si="11"/>
        <v>2935514028.7851157</v>
      </c>
      <c r="AU17" s="27">
        <f t="shared" si="11"/>
        <v>1643253681.0858998</v>
      </c>
      <c r="AV17" s="27">
        <f t="shared" si="11"/>
        <v>871731164.99333429</v>
      </c>
      <c r="AW17" s="27">
        <f t="shared" si="11"/>
        <v>544259098.379511</v>
      </c>
      <c r="AX17" s="27">
        <f t="shared" si="11"/>
        <v>1555595302.6431525</v>
      </c>
      <c r="AY17" s="27">
        <f t="shared" si="11"/>
        <v>984347488.04984808</v>
      </c>
      <c r="AZ17" s="27">
        <f t="shared" si="11"/>
        <v>629546720.8724339</v>
      </c>
      <c r="BA17" s="27">
        <f t="shared" si="11"/>
        <v>466534382.76905102</v>
      </c>
      <c r="BB17" s="27">
        <f t="shared" si="11"/>
        <v>1149168967.6063571</v>
      </c>
      <c r="BC17" s="27">
        <f t="shared" si="11"/>
        <v>725490326.89868951</v>
      </c>
      <c r="BD17" s="27">
        <f t="shared" si="11"/>
        <v>497270327.482131</v>
      </c>
      <c r="BE17" s="27">
        <f t="shared" si="11"/>
        <v>381489023.45721632</v>
      </c>
      <c r="BF17" s="27">
        <f t="shared" si="11"/>
        <v>839095033.9406172</v>
      </c>
      <c r="BG17" s="27">
        <f t="shared" si="11"/>
        <v>524289150.53143865</v>
      </c>
      <c r="BH17" s="27">
        <f t="shared" si="11"/>
        <v>357688897.7866267</v>
      </c>
      <c r="BI17" s="27">
        <f t="shared" si="11"/>
        <v>266767183.66351357</v>
      </c>
      <c r="BJ17" s="27">
        <f t="shared" si="11"/>
        <v>597080913.97970891</v>
      </c>
      <c r="BK17" s="27">
        <f t="shared" si="11"/>
        <v>359846470.99387157</v>
      </c>
      <c r="BL17" s="27">
        <f t="shared" si="11"/>
        <v>257967956.47476113</v>
      </c>
      <c r="BM17" s="27">
        <f t="shared" si="11"/>
        <v>222333369.7577582</v>
      </c>
      <c r="BN17" s="27">
        <f t="shared" si="11"/>
        <v>378715561.24946892</v>
      </c>
      <c r="BO17" s="27">
        <f t="shared" ref="BO17:CJ17" si="12">BO15-BO16</f>
        <v>308296546.68218607</v>
      </c>
      <c r="BP17" s="27">
        <f t="shared" si="12"/>
        <v>238315335.98605028</v>
      </c>
      <c r="BQ17" s="27">
        <f t="shared" si="12"/>
        <v>211338260.36413699</v>
      </c>
      <c r="BR17" s="27">
        <f t="shared" si="12"/>
        <v>337909081.88659883</v>
      </c>
      <c r="BS17" s="27">
        <f t="shared" si="12"/>
        <v>229927164.91021764</v>
      </c>
      <c r="BT17" s="27">
        <f t="shared" si="12"/>
        <v>260073853.45585519</v>
      </c>
      <c r="BU17" s="27">
        <f t="shared" si="12"/>
        <v>222185382.16190058</v>
      </c>
      <c r="BV17" s="27">
        <f t="shared" si="12"/>
        <v>173915342.50660002</v>
      </c>
      <c r="BW17" s="27" t="e">
        <f t="shared" si="12"/>
        <v>#DIV/0!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398</v>
      </c>
      <c r="B18" s="57">
        <f>B17/B4*100</f>
        <v>46.735374065434485</v>
      </c>
      <c r="C18" s="57">
        <f t="shared" ref="C18:D18" si="13">C17/C4*100</f>
        <v>45.850135030571437</v>
      </c>
      <c r="D18" s="57">
        <f t="shared" si="13"/>
        <v>45.252299495782786</v>
      </c>
      <c r="E18" s="57">
        <f>E17/E4</f>
        <v>0.47062444429332539</v>
      </c>
      <c r="F18" s="57">
        <f t="shared" ref="F18:BQ18" si="14">F17/F4</f>
        <v>0.45101545969155143</v>
      </c>
      <c r="G18" s="57">
        <f t="shared" si="14"/>
        <v>0.4571080828339476</v>
      </c>
      <c r="H18" s="57">
        <f t="shared" si="14"/>
        <v>0.44577367302289167</v>
      </c>
      <c r="I18" s="57">
        <f t="shared" si="14"/>
        <v>0.44715536739045164</v>
      </c>
      <c r="J18" s="57">
        <f t="shared" si="14"/>
        <v>0.43067197887828035</v>
      </c>
      <c r="K18" s="57">
        <f t="shared" si="14"/>
        <v>0.4700283734072413</v>
      </c>
      <c r="L18" s="57">
        <f t="shared" si="14"/>
        <v>0.48756925017632752</v>
      </c>
      <c r="M18" s="57">
        <f t="shared" si="14"/>
        <v>0.498010682840624</v>
      </c>
      <c r="N18" s="57">
        <f t="shared" si="14"/>
        <v>0.48029135124260181</v>
      </c>
      <c r="O18" s="57">
        <f t="shared" si="14"/>
        <v>0.49873768747430047</v>
      </c>
      <c r="P18" s="57">
        <f t="shared" si="14"/>
        <v>0.50480055085685449</v>
      </c>
      <c r="Q18" s="57">
        <f t="shared" si="14"/>
        <v>0.51705352083998413</v>
      </c>
      <c r="R18" s="57">
        <f t="shared" si="14"/>
        <v>0.49383242047688514</v>
      </c>
      <c r="S18" s="57">
        <f t="shared" si="14"/>
        <v>0.50147813137630759</v>
      </c>
      <c r="T18" s="57">
        <f t="shared" si="14"/>
        <v>0.51370459244930566</v>
      </c>
      <c r="U18" s="57">
        <f t="shared" si="14"/>
        <v>0.51245606053539405</v>
      </c>
      <c r="V18" s="57">
        <f t="shared" si="14"/>
        <v>0.50224855215198361</v>
      </c>
      <c r="W18" s="57">
        <f t="shared" si="14"/>
        <v>0.51755450959165916</v>
      </c>
      <c r="X18" s="57">
        <f t="shared" si="14"/>
        <v>0.52587844174194198</v>
      </c>
      <c r="Y18" s="57">
        <f t="shared" si="14"/>
        <v>0.51471393453749992</v>
      </c>
      <c r="Z18" s="57">
        <f t="shared" si="14"/>
        <v>0.51750525484580012</v>
      </c>
      <c r="AA18" s="57">
        <f t="shared" si="14"/>
        <v>0.53747115297044445</v>
      </c>
      <c r="AB18" s="57">
        <f t="shared" si="14"/>
        <v>0.54327478727945955</v>
      </c>
      <c r="AC18" s="57">
        <f t="shared" si="14"/>
        <v>0.50795626968868846</v>
      </c>
      <c r="AD18" s="57">
        <f t="shared" si="14"/>
        <v>0.48823871261051088</v>
      </c>
      <c r="AE18" s="57">
        <f t="shared" si="14"/>
        <v>0.49593455946718185</v>
      </c>
      <c r="AF18" s="57">
        <f t="shared" si="14"/>
        <v>0.51417826388419885</v>
      </c>
      <c r="AG18" s="57">
        <f t="shared" si="14"/>
        <v>0.46221486139545742</v>
      </c>
      <c r="AH18" s="57">
        <f t="shared" si="14"/>
        <v>0.4476611522091124</v>
      </c>
      <c r="AI18" s="57">
        <f t="shared" si="14"/>
        <v>0.4618643219984378</v>
      </c>
      <c r="AJ18" s="57">
        <f t="shared" si="14"/>
        <v>0.48574255577667719</v>
      </c>
      <c r="AK18" s="57">
        <f t="shared" si="14"/>
        <v>0.43083634012470878</v>
      </c>
      <c r="AL18" s="57">
        <f t="shared" si="14"/>
        <v>0.46038488939801481</v>
      </c>
      <c r="AM18" s="57">
        <f t="shared" si="14"/>
        <v>0.50097729976373728</v>
      </c>
      <c r="AN18" s="57">
        <f t="shared" si="14"/>
        <v>0.51613072326800635</v>
      </c>
      <c r="AO18" s="57">
        <f t="shared" si="14"/>
        <v>0.48462225520302515</v>
      </c>
      <c r="AP18" s="57">
        <f t="shared" si="14"/>
        <v>0.47607116512508341</v>
      </c>
      <c r="AQ18" s="57">
        <f t="shared" si="14"/>
        <v>0.50208422505867534</v>
      </c>
      <c r="AR18" s="57">
        <f t="shared" si="14"/>
        <v>0.50150316873128031</v>
      </c>
      <c r="AS18" s="57">
        <f t="shared" si="14"/>
        <v>0.44493175381527394</v>
      </c>
      <c r="AT18" s="57">
        <f t="shared" si="14"/>
        <v>0.40560167431698724</v>
      </c>
      <c r="AU18" s="57">
        <f t="shared" si="14"/>
        <v>0.36857622097312231</v>
      </c>
      <c r="AV18" s="57">
        <f t="shared" si="14"/>
        <v>0.33157158467018449</v>
      </c>
      <c r="AW18" s="57">
        <f t="shared" si="14"/>
        <v>0.34283214989331334</v>
      </c>
      <c r="AX18" s="57">
        <f t="shared" si="14"/>
        <v>0.31771567017973035</v>
      </c>
      <c r="AY18" s="57">
        <f t="shared" si="14"/>
        <v>0.30292711213693513</v>
      </c>
      <c r="AZ18" s="57">
        <f t="shared" si="14"/>
        <v>0.31020375150713003</v>
      </c>
      <c r="BA18" s="57">
        <f t="shared" si="14"/>
        <v>0.34443341037700076</v>
      </c>
      <c r="BB18" s="57">
        <f t="shared" si="14"/>
        <v>0.29237107558069764</v>
      </c>
      <c r="BC18" s="57">
        <f t="shared" si="14"/>
        <v>0.28116305097784661</v>
      </c>
      <c r="BD18" s="57">
        <f t="shared" si="14"/>
        <v>0.29491563392422387</v>
      </c>
      <c r="BE18" s="57">
        <f t="shared" si="14"/>
        <v>0.33346437731420747</v>
      </c>
      <c r="BF18" s="57">
        <f t="shared" si="14"/>
        <v>0.27878823859083868</v>
      </c>
      <c r="BG18" s="57">
        <f t="shared" si="14"/>
        <v>0.25322618055307067</v>
      </c>
      <c r="BH18" s="57">
        <f t="shared" si="14"/>
        <v>0.27219115072063638</v>
      </c>
      <c r="BI18" s="57">
        <f t="shared" si="14"/>
        <v>0.31258168558239374</v>
      </c>
      <c r="BJ18" s="57">
        <f t="shared" si="14"/>
        <v>0.24867823988041823</v>
      </c>
      <c r="BK18" s="57">
        <f t="shared" si="14"/>
        <v>0.2317486897654529</v>
      </c>
      <c r="BL18" s="57">
        <f t="shared" si="14"/>
        <v>0.25565490200855573</v>
      </c>
      <c r="BM18" s="57">
        <f t="shared" si="14"/>
        <v>0.30295220698950109</v>
      </c>
      <c r="BN18" s="57">
        <f t="shared" si="14"/>
        <v>0.20639594156367588</v>
      </c>
      <c r="BO18" s="57">
        <f t="shared" si="14"/>
        <v>0.22604271616270274</v>
      </c>
      <c r="BP18" s="57">
        <f t="shared" si="14"/>
        <v>0.24937402340611289</v>
      </c>
      <c r="BQ18" s="57">
        <f t="shared" si="14"/>
        <v>0.29433688990338197</v>
      </c>
      <c r="BR18" s="57">
        <f t="shared" ref="BR18:CK18" si="15">BR17/BR4</f>
        <v>0.20883766221046998</v>
      </c>
      <c r="BS18" s="57">
        <f t="shared" si="15"/>
        <v>0.26311565874010462</v>
      </c>
      <c r="BT18" s="57">
        <f t="shared" si="15"/>
        <v>0.23345930304554974</v>
      </c>
      <c r="BU18" s="57">
        <f t="shared" si="15"/>
        <v>0.249406006189729</v>
      </c>
      <c r="BV18" s="57">
        <f t="shared" si="15"/>
        <v>0.27685395135221019</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399</v>
      </c>
      <c r="B20" s="188">
        <v>0</v>
      </c>
      <c r="C20" s="188">
        <v>0</v>
      </c>
      <c r="D20" s="188">
        <v>0</v>
      </c>
      <c r="E20" s="188">
        <v>0</v>
      </c>
      <c r="F20" s="188">
        <v>0</v>
      </c>
      <c r="G20" s="188">
        <v>0</v>
      </c>
      <c r="H20" s="188">
        <v>0</v>
      </c>
      <c r="I20" s="188">
        <v>0</v>
      </c>
      <c r="J20" s="188">
        <v>0</v>
      </c>
      <c r="K20" s="188">
        <v>0</v>
      </c>
      <c r="L20" s="188">
        <v>0</v>
      </c>
      <c r="M20" s="188">
        <v>0</v>
      </c>
      <c r="N20" s="188">
        <v>0</v>
      </c>
      <c r="O20" s="188">
        <v>0</v>
      </c>
      <c r="P20" s="188">
        <v>0</v>
      </c>
      <c r="Q20" s="188">
        <v>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c r="AW20" s="188">
        <v>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v>0</v>
      </c>
      <c r="BP20" s="188">
        <v>0</v>
      </c>
      <c r="BQ20" s="188">
        <v>0</v>
      </c>
      <c r="BR20" s="188">
        <v>0</v>
      </c>
      <c r="BS20" s="188">
        <v>0</v>
      </c>
      <c r="BT20" s="188">
        <v>0</v>
      </c>
      <c r="BU20" s="188">
        <v>0</v>
      </c>
      <c r="BV20" s="188">
        <v>0</v>
      </c>
      <c r="BW20" s="188">
        <v>0</v>
      </c>
      <c r="BX20" s="188"/>
      <c r="BY20" s="188"/>
      <c r="BZ20" s="188"/>
      <c r="CA20" s="188"/>
      <c r="CB20" s="188"/>
      <c r="CC20" s="188"/>
      <c r="CD20" s="188"/>
      <c r="CE20" s="188"/>
      <c r="CF20" s="188"/>
      <c r="CG20" s="188"/>
      <c r="CH20" s="188"/>
      <c r="CI20" s="188"/>
      <c r="CJ20" s="188"/>
      <c r="CK20" s="188"/>
    </row>
    <row r="21" spans="1:89" s="16" customFormat="1">
      <c r="A21" s="18" t="s">
        <v>87</v>
      </c>
      <c r="B21" s="30"/>
      <c r="C21" s="30"/>
      <c r="D21" s="30"/>
      <c r="E21" s="30"/>
      <c r="F21" s="30"/>
      <c r="G21" s="30"/>
      <c r="H21" s="30"/>
      <c r="I21" s="30"/>
      <c r="J21" s="30"/>
      <c r="K21" s="30"/>
    </row>
    <row r="22" spans="1:89">
      <c r="A22" s="17" t="s">
        <v>400</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v>0</v>
      </c>
      <c r="BV22" s="188">
        <v>0</v>
      </c>
      <c r="BW22" s="188">
        <v>0</v>
      </c>
      <c r="BX22" s="188"/>
      <c r="BY22" s="188"/>
      <c r="BZ22" s="188"/>
      <c r="CA22" s="188"/>
      <c r="CB22" s="188"/>
      <c r="CC22" s="188"/>
      <c r="CD22" s="188"/>
      <c r="CE22" s="188"/>
      <c r="CF22" s="188"/>
      <c r="CG22" s="188"/>
      <c r="CH22" s="188"/>
      <c r="CI22" s="188"/>
      <c r="CJ22" s="188"/>
      <c r="CK22" s="188"/>
    </row>
    <row r="23" spans="1:89" s="7" customFormat="1">
      <c r="A23" s="21" t="s">
        <v>401</v>
      </c>
      <c r="B23" s="29">
        <f>-B52</f>
        <v>25636</v>
      </c>
      <c r="C23" s="29">
        <f t="shared" ref="C23:BN23" si="16">-C52</f>
        <v>27718</v>
      </c>
      <c r="D23" s="29">
        <f t="shared" si="16"/>
        <v>35317</v>
      </c>
      <c r="E23" s="29">
        <f t="shared" si="16"/>
        <v>60687396.93</v>
      </c>
      <c r="F23" s="29">
        <f t="shared" si="16"/>
        <v>34414</v>
      </c>
      <c r="G23" s="29">
        <f t="shared" si="16"/>
        <v>23309</v>
      </c>
      <c r="H23" s="29">
        <f t="shared" si="16"/>
        <v>16814</v>
      </c>
      <c r="I23" s="29">
        <f t="shared" si="16"/>
        <v>71491803.299999997</v>
      </c>
      <c r="J23" s="29">
        <f t="shared" si="16"/>
        <v>0</v>
      </c>
      <c r="K23" s="29">
        <f t="shared" si="16"/>
        <v>0</v>
      </c>
      <c r="L23" s="29">
        <f t="shared" si="16"/>
        <v>0</v>
      </c>
      <c r="M23" s="29">
        <f t="shared" si="16"/>
        <v>110261058.02</v>
      </c>
      <c r="N23" s="29">
        <f t="shared" si="16"/>
        <v>0</v>
      </c>
      <c r="O23" s="29">
        <f t="shared" si="16"/>
        <v>0</v>
      </c>
      <c r="P23" s="29">
        <f t="shared" si="16"/>
        <v>0</v>
      </c>
      <c r="Q23" s="29">
        <f t="shared" si="16"/>
        <v>134292919.63</v>
      </c>
      <c r="R23" s="29">
        <f t="shared" si="16"/>
        <v>0</v>
      </c>
      <c r="S23" s="29">
        <f t="shared" si="16"/>
        <v>0</v>
      </c>
      <c r="T23" s="29">
        <f t="shared" si="16"/>
        <v>0</v>
      </c>
      <c r="U23" s="29">
        <f t="shared" si="16"/>
        <v>429509360.86000001</v>
      </c>
      <c r="V23" s="29">
        <f t="shared" si="16"/>
        <v>0</v>
      </c>
      <c r="W23" s="29">
        <f t="shared" si="16"/>
        <v>0</v>
      </c>
      <c r="X23" s="29">
        <f t="shared" si="16"/>
        <v>0</v>
      </c>
      <c r="Y23" s="29">
        <f t="shared" si="16"/>
        <v>421711334.77999997</v>
      </c>
      <c r="Z23" s="29">
        <f t="shared" si="16"/>
        <v>0</v>
      </c>
      <c r="AA23" s="29">
        <f t="shared" si="16"/>
        <v>0</v>
      </c>
      <c r="AB23" s="29">
        <f t="shared" si="16"/>
        <v>0</v>
      </c>
      <c r="AC23" s="29">
        <f t="shared" si="16"/>
        <v>352218795.39999998</v>
      </c>
      <c r="AD23" s="29">
        <f t="shared" si="16"/>
        <v>0</v>
      </c>
      <c r="AE23" s="29">
        <f t="shared" si="16"/>
        <v>0</v>
      </c>
      <c r="AF23" s="29">
        <f t="shared" si="16"/>
        <v>0</v>
      </c>
      <c r="AG23" s="29">
        <f t="shared" si="16"/>
        <v>176861209.69</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402</v>
      </c>
      <c r="B24" s="26">
        <f>B67</f>
        <v>0</v>
      </c>
      <c r="C24" s="26">
        <f t="shared" ref="C24:BN24" si="18">C67</f>
        <v>0</v>
      </c>
      <c r="D24" s="26">
        <f t="shared" si="18"/>
        <v>0</v>
      </c>
      <c r="E24" s="26">
        <f>E67</f>
        <v>0</v>
      </c>
      <c r="F24" s="26">
        <f t="shared" si="18"/>
        <v>0</v>
      </c>
      <c r="G24" s="26">
        <f t="shared" si="18"/>
        <v>0</v>
      </c>
      <c r="H24" s="26">
        <f t="shared" si="18"/>
        <v>0</v>
      </c>
      <c r="I24" s="26">
        <f t="shared" si="18"/>
        <v>0</v>
      </c>
      <c r="J24" s="26">
        <f t="shared" si="18"/>
        <v>0</v>
      </c>
      <c r="K24" s="26">
        <f t="shared" si="18"/>
        <v>0</v>
      </c>
      <c r="L24" s="26">
        <f t="shared" si="18"/>
        <v>0</v>
      </c>
      <c r="M24" s="26">
        <f t="shared" si="18"/>
        <v>0</v>
      </c>
      <c r="N24" s="26">
        <f t="shared" si="18"/>
        <v>3869276.9</v>
      </c>
      <c r="O24" s="26">
        <f t="shared" si="18"/>
        <v>3868919.86</v>
      </c>
      <c r="P24" s="26">
        <f t="shared" si="18"/>
        <v>3342169.86</v>
      </c>
      <c r="Q24" s="26">
        <f t="shared" si="18"/>
        <v>332169.86</v>
      </c>
      <c r="R24" s="26">
        <f t="shared" si="18"/>
        <v>3095265.75</v>
      </c>
      <c r="S24" s="26">
        <f t="shared" si="18"/>
        <v>3010000</v>
      </c>
      <c r="T24" s="26">
        <f t="shared" si="18"/>
        <v>3010000</v>
      </c>
      <c r="U24" s="26">
        <f t="shared" si="18"/>
        <v>0</v>
      </c>
      <c r="V24" s="26">
        <f t="shared" si="18"/>
        <v>3010000</v>
      </c>
      <c r="W24" s="26">
        <f t="shared" si="18"/>
        <v>3010000</v>
      </c>
      <c r="X24" s="26">
        <f t="shared" si="18"/>
        <v>3010000</v>
      </c>
      <c r="Y24" s="26">
        <f t="shared" si="18"/>
        <v>0</v>
      </c>
      <c r="Z24" s="26">
        <f t="shared" si="18"/>
        <v>3103250</v>
      </c>
      <c r="AA24" s="26">
        <f t="shared" si="18"/>
        <v>3103250</v>
      </c>
      <c r="AB24" s="26">
        <f t="shared" si="18"/>
        <v>3103250</v>
      </c>
      <c r="AC24" s="26">
        <f t="shared" si="18"/>
        <v>93250</v>
      </c>
      <c r="AD24" s="26">
        <f t="shared" si="18"/>
        <v>3383000</v>
      </c>
      <c r="AE24" s="26">
        <f t="shared" si="18"/>
        <v>3289750</v>
      </c>
      <c r="AF24" s="26">
        <f t="shared" si="18"/>
        <v>3196500</v>
      </c>
      <c r="AG24" s="26">
        <f t="shared" si="18"/>
        <v>93250</v>
      </c>
      <c r="AH24" s="26">
        <f t="shared" si="18"/>
        <v>469050</v>
      </c>
      <c r="AI24" s="26">
        <f t="shared" si="18"/>
        <v>375800</v>
      </c>
      <c r="AJ24" s="26">
        <f t="shared" si="18"/>
        <v>282550</v>
      </c>
      <c r="AK24" s="26">
        <f t="shared" si="18"/>
        <v>0</v>
      </c>
      <c r="AL24" s="26">
        <f t="shared" si="18"/>
        <v>1209447.26</v>
      </c>
      <c r="AM24" s="26">
        <f t="shared" si="18"/>
        <v>972122.26</v>
      </c>
      <c r="AN24" s="26">
        <f t="shared" si="18"/>
        <v>734797.26</v>
      </c>
      <c r="AO24" s="26">
        <f t="shared" si="18"/>
        <v>301075</v>
      </c>
      <c r="AP24" s="26">
        <f t="shared" si="18"/>
        <v>1322250</v>
      </c>
      <c r="AQ24" s="26">
        <f t="shared" si="18"/>
        <v>1021175</v>
      </c>
      <c r="AR24" s="26">
        <f t="shared" si="18"/>
        <v>720100</v>
      </c>
      <c r="AS24" s="26">
        <f t="shared" si="18"/>
        <v>419025</v>
      </c>
      <c r="AT24" s="26">
        <f t="shared" si="18"/>
        <v>1814950</v>
      </c>
      <c r="AU24" s="26">
        <f t="shared" si="18"/>
        <v>859950</v>
      </c>
      <c r="AV24" s="26">
        <f t="shared" si="18"/>
        <v>859950</v>
      </c>
      <c r="AW24" s="26">
        <f t="shared" si="18"/>
        <v>0</v>
      </c>
      <c r="AX24" s="26">
        <f t="shared" si="18"/>
        <v>3012928.94</v>
      </c>
      <c r="AY24" s="26">
        <f t="shared" si="18"/>
        <v>144435.35999999999</v>
      </c>
      <c r="AZ24" s="26">
        <f t="shared" si="18"/>
        <v>144435.35999999999</v>
      </c>
      <c r="BA24" s="26">
        <f t="shared" si="18"/>
        <v>0</v>
      </c>
      <c r="BB24" s="26">
        <f t="shared" si="18"/>
        <v>427953.6</v>
      </c>
      <c r="BC24" s="26">
        <f t="shared" si="18"/>
        <v>23718.23</v>
      </c>
      <c r="BD24" s="26">
        <f t="shared" si="18"/>
        <v>23718.23</v>
      </c>
      <c r="BE24" s="26">
        <f t="shared" si="18"/>
        <v>-187658.6</v>
      </c>
      <c r="BF24" s="26">
        <f t="shared" si="18"/>
        <v>315063.71000000002</v>
      </c>
      <c r="BG24" s="26">
        <f t="shared" si="18"/>
        <v>0</v>
      </c>
      <c r="BH24" s="26">
        <f t="shared" si="18"/>
        <v>0</v>
      </c>
      <c r="BI24" s="26">
        <f t="shared" si="18"/>
        <v>0</v>
      </c>
      <c r="BJ24" s="26">
        <f t="shared" si="18"/>
        <v>0</v>
      </c>
      <c r="BK24" s="26">
        <f t="shared" si="18"/>
        <v>0</v>
      </c>
      <c r="BL24" s="26">
        <f t="shared" si="18"/>
        <v>0</v>
      </c>
      <c r="BM24" s="26">
        <f t="shared" si="18"/>
        <v>0</v>
      </c>
      <c r="BN24" s="26">
        <f t="shared" si="18"/>
        <v>0</v>
      </c>
      <c r="BO24" s="26">
        <f t="shared" ref="BO24:CJ24" si="19">BO67</f>
        <v>0</v>
      </c>
      <c r="BP24" s="26">
        <f t="shared" si="19"/>
        <v>0</v>
      </c>
      <c r="BQ24" s="26">
        <f t="shared" si="19"/>
        <v>0</v>
      </c>
      <c r="BR24" s="26">
        <f t="shared" si="19"/>
        <v>0</v>
      </c>
      <c r="BS24" s="26">
        <f t="shared" si="19"/>
        <v>0</v>
      </c>
      <c r="BT24" s="26">
        <f t="shared" si="19"/>
        <v>0</v>
      </c>
      <c r="BU24" s="26">
        <f t="shared" si="19"/>
        <v>0</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c r="A25" s="21" t="s">
        <v>403</v>
      </c>
      <c r="B25" s="29">
        <f>-B54</f>
        <v>-3104</v>
      </c>
      <c r="C25" s="29">
        <f t="shared" ref="C25:BN25" si="20">-C54</f>
        <v>1424</v>
      </c>
      <c r="D25" s="29">
        <f t="shared" si="20"/>
        <v>340</v>
      </c>
      <c r="E25" s="29">
        <f t="shared" si="20"/>
        <v>0</v>
      </c>
      <c r="F25" s="29">
        <f t="shared" si="20"/>
        <v>-2684</v>
      </c>
      <c r="G25" s="29">
        <f t="shared" si="20"/>
        <v>377</v>
      </c>
      <c r="H25" s="29">
        <f t="shared" si="20"/>
        <v>-1008</v>
      </c>
      <c r="I25" s="29">
        <f t="shared" si="20"/>
        <v>0</v>
      </c>
      <c r="J25" s="29">
        <f t="shared" si="20"/>
        <v>0</v>
      </c>
      <c r="K25" s="29">
        <f t="shared" si="20"/>
        <v>0</v>
      </c>
      <c r="L25" s="29">
        <f t="shared" si="20"/>
        <v>0</v>
      </c>
      <c r="M25" s="29">
        <f t="shared" si="20"/>
        <v>0</v>
      </c>
      <c r="N25" s="29">
        <f t="shared" si="20"/>
        <v>0</v>
      </c>
      <c r="O25" s="29">
        <f t="shared" si="20"/>
        <v>0</v>
      </c>
      <c r="P25" s="29">
        <f t="shared" si="20"/>
        <v>0</v>
      </c>
      <c r="Q25" s="29">
        <f t="shared" si="20"/>
        <v>0</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-1114988.48</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404</v>
      </c>
      <c r="B26" s="188">
        <v>335850.7</v>
      </c>
      <c r="C26" s="188">
        <v>1472775.26</v>
      </c>
      <c r="D26" s="188">
        <v>-1112190.02</v>
      </c>
      <c r="E26" s="188">
        <v>-482072.99</v>
      </c>
      <c r="F26" s="188">
        <v>3839265.16</v>
      </c>
      <c r="G26" s="188">
        <v>4011233.4</v>
      </c>
      <c r="H26" s="188">
        <v>3447000.51</v>
      </c>
      <c r="I26" s="188">
        <v>511001.79</v>
      </c>
      <c r="J26" s="188">
        <v>1793233.91</v>
      </c>
      <c r="K26" s="188">
        <v>3205168.24</v>
      </c>
      <c r="L26" s="188">
        <v>2292209.29</v>
      </c>
      <c r="M26" s="188">
        <v>3517202.39</v>
      </c>
      <c r="N26" s="188">
        <v>-12415031.48</v>
      </c>
      <c r="O26" s="188">
        <v>-11853282.279999999</v>
      </c>
      <c r="P26" s="188">
        <v>-14289160.189999999</v>
      </c>
      <c r="Q26" s="188">
        <v>-10342175.050000001</v>
      </c>
      <c r="R26" s="188">
        <v>-619043.99</v>
      </c>
      <c r="S26" s="188">
        <v>0</v>
      </c>
      <c r="T26" s="188">
        <v>0</v>
      </c>
      <c r="U26" s="188">
        <v>0</v>
      </c>
      <c r="V26" s="188">
        <v>0</v>
      </c>
      <c r="W26" s="188">
        <v>0</v>
      </c>
      <c r="X26" s="188">
        <v>0</v>
      </c>
      <c r="Y26" s="188">
        <v>0</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v>0</v>
      </c>
      <c r="BV26" s="188">
        <v>0</v>
      </c>
      <c r="BW26" s="188">
        <v>0</v>
      </c>
      <c r="BX26" s="188"/>
      <c r="BY26" s="188"/>
      <c r="BZ26" s="188"/>
      <c r="CA26" s="188"/>
      <c r="CB26" s="188"/>
      <c r="CC26" s="188"/>
      <c r="CD26" s="188"/>
      <c r="CE26" s="188"/>
      <c r="CF26" s="188"/>
      <c r="CG26" s="188"/>
      <c r="CH26" s="188"/>
      <c r="CI26" s="188"/>
      <c r="CJ26" s="188"/>
      <c r="CK26" s="188"/>
    </row>
    <row r="27" spans="1:89">
      <c r="A27" s="17" t="s">
        <v>405</v>
      </c>
      <c r="B27" s="26">
        <f>SUM(B22:B26)</f>
        <v>358382.7</v>
      </c>
      <c r="C27" s="26">
        <f t="shared" ref="C27:BN27" si="22">SUM(C22:C26)</f>
        <v>1501917.26</v>
      </c>
      <c r="D27" s="26">
        <f t="shared" si="22"/>
        <v>-1076533.02</v>
      </c>
      <c r="E27" s="26">
        <f t="shared" si="22"/>
        <v>60205323.939999998</v>
      </c>
      <c r="F27" s="26">
        <f t="shared" si="22"/>
        <v>3870995.16</v>
      </c>
      <c r="G27" s="26">
        <f t="shared" si="22"/>
        <v>4034919.4</v>
      </c>
      <c r="H27" s="26">
        <f t="shared" si="22"/>
        <v>3462806.51</v>
      </c>
      <c r="I27" s="26">
        <f t="shared" si="22"/>
        <v>72002805.090000004</v>
      </c>
      <c r="J27" s="26">
        <f t="shared" si="22"/>
        <v>1793233.91</v>
      </c>
      <c r="K27" s="26">
        <f t="shared" si="22"/>
        <v>3205168.24</v>
      </c>
      <c r="L27" s="26">
        <f t="shared" si="22"/>
        <v>2292209.29</v>
      </c>
      <c r="M27" s="26">
        <f t="shared" si="22"/>
        <v>113778260.41</v>
      </c>
      <c r="N27" s="26">
        <f t="shared" si="22"/>
        <v>-8545754.5800000001</v>
      </c>
      <c r="O27" s="26">
        <f t="shared" si="22"/>
        <v>-7984362.4199999999</v>
      </c>
      <c r="P27" s="26">
        <f t="shared" si="22"/>
        <v>-10946990.33</v>
      </c>
      <c r="Q27" s="26">
        <f t="shared" si="22"/>
        <v>124282914.44000001</v>
      </c>
      <c r="R27" s="26">
        <f t="shared" si="22"/>
        <v>2476221.7599999998</v>
      </c>
      <c r="S27" s="26">
        <f t="shared" si="22"/>
        <v>3010000</v>
      </c>
      <c r="T27" s="26">
        <f t="shared" si="22"/>
        <v>3010000</v>
      </c>
      <c r="U27" s="26">
        <f t="shared" si="22"/>
        <v>429509360.86000001</v>
      </c>
      <c r="V27" s="26">
        <f t="shared" si="22"/>
        <v>3010000</v>
      </c>
      <c r="W27" s="26">
        <f t="shared" si="22"/>
        <v>3010000</v>
      </c>
      <c r="X27" s="26">
        <f t="shared" si="22"/>
        <v>3010000</v>
      </c>
      <c r="Y27" s="26">
        <f t="shared" si="22"/>
        <v>421711334.77999997</v>
      </c>
      <c r="Z27" s="26">
        <f t="shared" si="22"/>
        <v>3103250</v>
      </c>
      <c r="AA27" s="26">
        <f t="shared" si="22"/>
        <v>3103250</v>
      </c>
      <c r="AB27" s="26">
        <f t="shared" si="22"/>
        <v>3103250</v>
      </c>
      <c r="AC27" s="26">
        <f t="shared" si="22"/>
        <v>351197056.91999996</v>
      </c>
      <c r="AD27" s="26">
        <f t="shared" si="22"/>
        <v>3383000</v>
      </c>
      <c r="AE27" s="26">
        <f t="shared" si="22"/>
        <v>3289750</v>
      </c>
      <c r="AF27" s="26">
        <f t="shared" si="22"/>
        <v>3196500</v>
      </c>
      <c r="AG27" s="26">
        <f t="shared" si="22"/>
        <v>176954459.69</v>
      </c>
      <c r="AH27" s="26">
        <f t="shared" si="22"/>
        <v>469050</v>
      </c>
      <c r="AI27" s="26">
        <f t="shared" si="22"/>
        <v>375800</v>
      </c>
      <c r="AJ27" s="26">
        <f t="shared" si="22"/>
        <v>282550</v>
      </c>
      <c r="AK27" s="26">
        <f t="shared" si="22"/>
        <v>0</v>
      </c>
      <c r="AL27" s="26">
        <f t="shared" si="22"/>
        <v>1209447.26</v>
      </c>
      <c r="AM27" s="26">
        <f t="shared" si="22"/>
        <v>972122.26</v>
      </c>
      <c r="AN27" s="26">
        <f t="shared" si="22"/>
        <v>734797.26</v>
      </c>
      <c r="AO27" s="26">
        <f t="shared" si="22"/>
        <v>301075</v>
      </c>
      <c r="AP27" s="26">
        <f t="shared" si="22"/>
        <v>1322250</v>
      </c>
      <c r="AQ27" s="26">
        <f t="shared" si="22"/>
        <v>1021175</v>
      </c>
      <c r="AR27" s="26">
        <f t="shared" si="22"/>
        <v>720100</v>
      </c>
      <c r="AS27" s="26">
        <f t="shared" si="22"/>
        <v>419025</v>
      </c>
      <c r="AT27" s="26">
        <f t="shared" si="22"/>
        <v>1814950</v>
      </c>
      <c r="AU27" s="26">
        <f t="shared" si="22"/>
        <v>859950</v>
      </c>
      <c r="AV27" s="26">
        <f t="shared" si="22"/>
        <v>859950</v>
      </c>
      <c r="AW27" s="26">
        <f t="shared" si="22"/>
        <v>0</v>
      </c>
      <c r="AX27" s="26">
        <f t="shared" si="22"/>
        <v>3012928.94</v>
      </c>
      <c r="AY27" s="26">
        <f t="shared" si="22"/>
        <v>144435.35999999999</v>
      </c>
      <c r="AZ27" s="26">
        <f t="shared" si="22"/>
        <v>144435.35999999999</v>
      </c>
      <c r="BA27" s="26">
        <f t="shared" si="22"/>
        <v>0</v>
      </c>
      <c r="BB27" s="26">
        <f t="shared" si="22"/>
        <v>427953.6</v>
      </c>
      <c r="BC27" s="26">
        <f t="shared" si="22"/>
        <v>23718.23</v>
      </c>
      <c r="BD27" s="26">
        <f t="shared" si="22"/>
        <v>23718.23</v>
      </c>
      <c r="BE27" s="26">
        <f t="shared" si="22"/>
        <v>-187658.6</v>
      </c>
      <c r="BF27" s="26">
        <f t="shared" si="22"/>
        <v>315063.71000000002</v>
      </c>
      <c r="BG27" s="26">
        <f t="shared" si="22"/>
        <v>0</v>
      </c>
      <c r="BH27" s="26">
        <f t="shared" si="22"/>
        <v>0</v>
      </c>
      <c r="BI27" s="26">
        <f t="shared" si="22"/>
        <v>0</v>
      </c>
      <c r="BJ27" s="26">
        <f t="shared" si="22"/>
        <v>0</v>
      </c>
      <c r="BK27" s="26">
        <f t="shared" si="22"/>
        <v>0</v>
      </c>
      <c r="BL27" s="26">
        <f t="shared" si="22"/>
        <v>0</v>
      </c>
      <c r="BM27" s="26">
        <f t="shared" si="22"/>
        <v>0</v>
      </c>
      <c r="BN27" s="26">
        <f t="shared" si="22"/>
        <v>0</v>
      </c>
      <c r="BO27" s="26">
        <f t="shared" ref="BO27:CJ27" si="23">SUM(BO22:BO26)</f>
        <v>0</v>
      </c>
      <c r="BP27" s="26">
        <f t="shared" si="23"/>
        <v>0</v>
      </c>
      <c r="BQ27" s="26">
        <f t="shared" si="23"/>
        <v>0</v>
      </c>
      <c r="BR27" s="26">
        <f t="shared" si="23"/>
        <v>0</v>
      </c>
      <c r="BS27" s="26">
        <f t="shared" si="23"/>
        <v>0</v>
      </c>
      <c r="BT27" s="26">
        <f t="shared" si="23"/>
        <v>0</v>
      </c>
      <c r="BU27" s="26">
        <f t="shared" si="23"/>
        <v>0</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c r="A28" s="17" t="s">
        <v>406</v>
      </c>
      <c r="B28" s="26">
        <f>SUM(B22:B25)*B41</f>
        <v>6176.5958097446255</v>
      </c>
      <c r="C28" s="26">
        <f t="shared" ref="C28:BN28" si="24">SUM(C22:C25)*C41</f>
        <v>7961.9880293032711</v>
      </c>
      <c r="D28" s="26">
        <f t="shared" si="24"/>
        <v>9886.4262773714909</v>
      </c>
      <c r="E28" s="26">
        <f t="shared" si="24"/>
        <v>16389204.117219595</v>
      </c>
      <c r="F28" s="26">
        <f t="shared" si="24"/>
        <v>8570.9696832314876</v>
      </c>
      <c r="G28" s="26">
        <f t="shared" si="24"/>
        <v>6357.9065485074552</v>
      </c>
      <c r="H28" s="26">
        <f t="shared" si="24"/>
        <v>4298.4836544906257</v>
      </c>
      <c r="I28" s="26">
        <f t="shared" si="24"/>
        <v>19309425.386400837</v>
      </c>
      <c r="J28" s="26">
        <f t="shared" si="24"/>
        <v>0</v>
      </c>
      <c r="K28" s="26">
        <f t="shared" si="24"/>
        <v>0</v>
      </c>
      <c r="L28" s="26">
        <f t="shared" si="24"/>
        <v>0</v>
      </c>
      <c r="M28" s="26">
        <f t="shared" si="24"/>
        <v>31536861.30599134</v>
      </c>
      <c r="N28" s="26">
        <f t="shared" si="24"/>
        <v>1008720.6513584553</v>
      </c>
      <c r="O28" s="26">
        <f t="shared" si="24"/>
        <v>999967.57891954249</v>
      </c>
      <c r="P28" s="26">
        <f t="shared" si="24"/>
        <v>865349.35623077047</v>
      </c>
      <c r="Q28" s="26">
        <f t="shared" si="24"/>
        <v>35375061.479249693</v>
      </c>
      <c r="R28" s="26">
        <f t="shared" si="24"/>
        <v>815750.55263280042</v>
      </c>
      <c r="S28" s="26">
        <f t="shared" si="24"/>
        <v>775224.88254889392</v>
      </c>
      <c r="T28" s="26">
        <f t="shared" si="24"/>
        <v>773398.68503384839</v>
      </c>
      <c r="U28" s="26">
        <f t="shared" si="24"/>
        <v>112394496.41831684</v>
      </c>
      <c r="V28" s="26">
        <f t="shared" si="24"/>
        <v>771937.23855828121</v>
      </c>
      <c r="W28" s="26">
        <f t="shared" si="24"/>
        <v>772007.7564793257</v>
      </c>
      <c r="X28" s="26">
        <f t="shared" si="24"/>
        <v>745209.83984451415</v>
      </c>
      <c r="Y28" s="26">
        <f t="shared" si="24"/>
        <v>110801220.16642353</v>
      </c>
      <c r="Z28" s="26">
        <f t="shared" si="24"/>
        <v>778619.81379174779</v>
      </c>
      <c r="AA28" s="26">
        <f t="shared" si="24"/>
        <v>776017.33393847221</v>
      </c>
      <c r="AB28" s="26">
        <f t="shared" si="24"/>
        <v>776190.13877144805</v>
      </c>
      <c r="AC28" s="26">
        <f t="shared" si="24"/>
        <v>87973686.65710637</v>
      </c>
      <c r="AD28" s="26">
        <f t="shared" si="24"/>
        <v>845934.18390805437</v>
      </c>
      <c r="AE28" s="26">
        <f t="shared" si="24"/>
        <v>832701.22465530108</v>
      </c>
      <c r="AF28" s="26">
        <f t="shared" si="24"/>
        <v>798755.55527055135</v>
      </c>
      <c r="AG28" s="26">
        <f t="shared" si="24"/>
        <v>44195890.894243099</v>
      </c>
      <c r="AH28" s="26">
        <f t="shared" si="24"/>
        <v>119361.44876225246</v>
      </c>
      <c r="AI28" s="26">
        <f t="shared" si="24"/>
        <v>94634.176568444003</v>
      </c>
      <c r="AJ28" s="26">
        <f t="shared" si="24"/>
        <v>71190.955878071865</v>
      </c>
      <c r="AK28" s="26">
        <f t="shared" si="24"/>
        <v>0</v>
      </c>
      <c r="AL28" s="26">
        <f t="shared" si="24"/>
        <v>303856.77578741172</v>
      </c>
      <c r="AM28" s="26">
        <f t="shared" si="24"/>
        <v>242889.38845957036</v>
      </c>
      <c r="AN28" s="26">
        <f t="shared" si="24"/>
        <v>183794.71800967611</v>
      </c>
      <c r="AO28" s="26">
        <f t="shared" si="24"/>
        <v>75258.47352457224</v>
      </c>
      <c r="AP28" s="26">
        <f t="shared" si="24"/>
        <v>339945.68741576554</v>
      </c>
      <c r="AQ28" s="26">
        <f t="shared" si="24"/>
        <v>254996.80626441439</v>
      </c>
      <c r="AR28" s="26">
        <f t="shared" si="24"/>
        <v>179957.01187685892</v>
      </c>
      <c r="AS28" s="26">
        <f t="shared" si="24"/>
        <v>104711.55228301263</v>
      </c>
      <c r="AT28" s="26">
        <f t="shared" si="24"/>
        <v>624501.69815404364</v>
      </c>
      <c r="AU28" s="26">
        <f t="shared" si="24"/>
        <v>287613.21574846242</v>
      </c>
      <c r="AV28" s="26">
        <f t="shared" si="24"/>
        <v>295132.43718455912</v>
      </c>
      <c r="AW28" s="26">
        <f t="shared" si="24"/>
        <v>0</v>
      </c>
      <c r="AX28" s="26">
        <f t="shared" si="24"/>
        <v>1106975.5455042603</v>
      </c>
      <c r="AY28" s="26">
        <f t="shared" si="24"/>
        <v>52841.932015721148</v>
      </c>
      <c r="AZ28" s="26">
        <f t="shared" si="24"/>
        <v>50224.368222913057</v>
      </c>
      <c r="BA28" s="26">
        <f t="shared" si="24"/>
        <v>0</v>
      </c>
      <c r="BB28" s="26">
        <f t="shared" si="24"/>
        <v>167402.7482228502</v>
      </c>
      <c r="BC28" s="26">
        <f t="shared" si="24"/>
        <v>8577.3805901501655</v>
      </c>
      <c r="BD28" s="26">
        <f t="shared" si="24"/>
        <v>7963.7283988212776</v>
      </c>
      <c r="BE28" s="26">
        <f t="shared" si="24"/>
        <v>-58423.263398114665</v>
      </c>
      <c r="BF28" s="26">
        <f t="shared" si="24"/>
        <v>134528.81808662595</v>
      </c>
      <c r="BG28" s="26">
        <f t="shared" si="24"/>
        <v>0</v>
      </c>
      <c r="BH28" s="26">
        <f t="shared" si="24"/>
        <v>0</v>
      </c>
      <c r="BI28" s="26">
        <f t="shared" si="24"/>
        <v>0</v>
      </c>
      <c r="BJ28" s="26">
        <f t="shared" si="24"/>
        <v>0</v>
      </c>
      <c r="BK28" s="26">
        <f t="shared" si="24"/>
        <v>0</v>
      </c>
      <c r="BL28" s="26">
        <f t="shared" si="24"/>
        <v>0</v>
      </c>
      <c r="BM28" s="26">
        <f t="shared" si="24"/>
        <v>0</v>
      </c>
      <c r="BN28" s="26">
        <f t="shared" si="24"/>
        <v>0</v>
      </c>
      <c r="BO28" s="26">
        <f t="shared" ref="BO28:CJ28" si="25">SUM(BO22:BO25)*BO41</f>
        <v>0</v>
      </c>
      <c r="BP28" s="26">
        <f t="shared" si="25"/>
        <v>0</v>
      </c>
      <c r="BQ28" s="26">
        <f t="shared" si="25"/>
        <v>0</v>
      </c>
      <c r="BR28" s="26">
        <f t="shared" si="25"/>
        <v>0</v>
      </c>
      <c r="BS28" s="26">
        <f t="shared" si="25"/>
        <v>0</v>
      </c>
      <c r="BT28" s="26">
        <f t="shared" si="25"/>
        <v>0</v>
      </c>
      <c r="BU28" s="26">
        <f t="shared" si="25"/>
        <v>0</v>
      </c>
      <c r="BV28" s="26">
        <f t="shared" si="25"/>
        <v>0</v>
      </c>
      <c r="BW28" s="26" t="e">
        <f t="shared" si="25"/>
        <v>#DIV/0!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407</v>
      </c>
      <c r="B29" s="28">
        <f>B27-B28</f>
        <v>352206.1041902554</v>
      </c>
      <c r="C29" s="28">
        <f t="shared" ref="C29:BN29" si="26">C27-C28</f>
        <v>1493955.2719706967</v>
      </c>
      <c r="D29" s="28">
        <f t="shared" si="26"/>
        <v>-1086419.4462773716</v>
      </c>
      <c r="E29" s="28">
        <f t="shared" si="26"/>
        <v>43816119.822780401</v>
      </c>
      <c r="F29" s="28">
        <f t="shared" si="26"/>
        <v>3862424.1903167688</v>
      </c>
      <c r="G29" s="28">
        <f t="shared" si="26"/>
        <v>4028561.4934514924</v>
      </c>
      <c r="H29" s="28">
        <f t="shared" si="26"/>
        <v>3458508.0263455091</v>
      </c>
      <c r="I29" s="28">
        <f t="shared" si="26"/>
        <v>52693379.70359917</v>
      </c>
      <c r="J29" s="28">
        <f t="shared" si="26"/>
        <v>1793233.91</v>
      </c>
      <c r="K29" s="28">
        <f t="shared" si="26"/>
        <v>3205168.24</v>
      </c>
      <c r="L29" s="28">
        <f t="shared" si="26"/>
        <v>2292209.29</v>
      </c>
      <c r="M29" s="28">
        <f t="shared" si="26"/>
        <v>82241399.10400866</v>
      </c>
      <c r="N29" s="28">
        <f t="shared" si="26"/>
        <v>-9554475.2313584555</v>
      </c>
      <c r="O29" s="28">
        <f t="shared" si="26"/>
        <v>-8984329.9989195429</v>
      </c>
      <c r="P29" s="28">
        <f t="shared" si="26"/>
        <v>-11812339.686230771</v>
      </c>
      <c r="Q29" s="28">
        <f t="shared" si="26"/>
        <v>88907852.960750312</v>
      </c>
      <c r="R29" s="28">
        <f t="shared" si="26"/>
        <v>1660471.2073671995</v>
      </c>
      <c r="S29" s="28">
        <f t="shared" si="26"/>
        <v>2234775.1174511062</v>
      </c>
      <c r="T29" s="28">
        <f t="shared" si="26"/>
        <v>2236601.3149661515</v>
      </c>
      <c r="U29" s="28">
        <f t="shared" si="26"/>
        <v>317114864.44168317</v>
      </c>
      <c r="V29" s="28">
        <f t="shared" si="26"/>
        <v>2238062.7614417188</v>
      </c>
      <c r="W29" s="28">
        <f t="shared" si="26"/>
        <v>2237992.2435206743</v>
      </c>
      <c r="X29" s="28">
        <f t="shared" si="26"/>
        <v>2264790.1601554858</v>
      </c>
      <c r="Y29" s="28">
        <f t="shared" si="26"/>
        <v>310910114.61357641</v>
      </c>
      <c r="Z29" s="28">
        <f t="shared" si="26"/>
        <v>2324630.1862082523</v>
      </c>
      <c r="AA29" s="28">
        <f t="shared" si="26"/>
        <v>2327232.666061528</v>
      </c>
      <c r="AB29" s="28">
        <f t="shared" si="26"/>
        <v>2327059.8612285517</v>
      </c>
      <c r="AC29" s="28">
        <f t="shared" si="26"/>
        <v>263223370.26289359</v>
      </c>
      <c r="AD29" s="28">
        <f t="shared" si="26"/>
        <v>2537065.8160919454</v>
      </c>
      <c r="AE29" s="28">
        <f t="shared" si="26"/>
        <v>2457048.7753446987</v>
      </c>
      <c r="AF29" s="28">
        <f t="shared" si="26"/>
        <v>2397744.4447294488</v>
      </c>
      <c r="AG29" s="28">
        <f t="shared" si="26"/>
        <v>132758568.79575691</v>
      </c>
      <c r="AH29" s="28">
        <f t="shared" si="26"/>
        <v>349688.55123774754</v>
      </c>
      <c r="AI29" s="28">
        <f t="shared" si="26"/>
        <v>281165.823431556</v>
      </c>
      <c r="AJ29" s="28">
        <f t="shared" si="26"/>
        <v>211359.04412192813</v>
      </c>
      <c r="AK29" s="28">
        <f t="shared" si="26"/>
        <v>0</v>
      </c>
      <c r="AL29" s="28">
        <f t="shared" si="26"/>
        <v>905590.48421258829</v>
      </c>
      <c r="AM29" s="28">
        <f t="shared" si="26"/>
        <v>729232.87154042965</v>
      </c>
      <c r="AN29" s="28">
        <f t="shared" si="26"/>
        <v>551002.54199032392</v>
      </c>
      <c r="AO29" s="28">
        <f t="shared" si="26"/>
        <v>225816.52647542776</v>
      </c>
      <c r="AP29" s="28">
        <f t="shared" si="26"/>
        <v>982304.3125842344</v>
      </c>
      <c r="AQ29" s="28">
        <f t="shared" si="26"/>
        <v>766178.19373558555</v>
      </c>
      <c r="AR29" s="28">
        <f t="shared" si="26"/>
        <v>540142.98812314111</v>
      </c>
      <c r="AS29" s="28">
        <f t="shared" si="26"/>
        <v>314313.44771698734</v>
      </c>
      <c r="AT29" s="28">
        <f t="shared" si="26"/>
        <v>1190448.3018459564</v>
      </c>
      <c r="AU29" s="28">
        <f t="shared" si="26"/>
        <v>572336.78425153764</v>
      </c>
      <c r="AV29" s="28">
        <f t="shared" si="26"/>
        <v>564817.56281544082</v>
      </c>
      <c r="AW29" s="28">
        <f t="shared" si="26"/>
        <v>0</v>
      </c>
      <c r="AX29" s="28">
        <f t="shared" si="26"/>
        <v>1905953.3944957396</v>
      </c>
      <c r="AY29" s="28">
        <f t="shared" si="26"/>
        <v>91593.427984278838</v>
      </c>
      <c r="AZ29" s="28">
        <f t="shared" si="26"/>
        <v>94210.991777086922</v>
      </c>
      <c r="BA29" s="28">
        <f t="shared" si="26"/>
        <v>0</v>
      </c>
      <c r="BB29" s="28">
        <f t="shared" si="26"/>
        <v>260550.85177714977</v>
      </c>
      <c r="BC29" s="28">
        <f t="shared" si="26"/>
        <v>15140.849409849834</v>
      </c>
      <c r="BD29" s="28">
        <f t="shared" si="26"/>
        <v>15754.501601178723</v>
      </c>
      <c r="BE29" s="28">
        <f t="shared" si="26"/>
        <v>-129235.33660188534</v>
      </c>
      <c r="BF29" s="28">
        <f t="shared" si="26"/>
        <v>180534.89191337407</v>
      </c>
      <c r="BG29" s="28">
        <f t="shared" si="26"/>
        <v>0</v>
      </c>
      <c r="BH29" s="28">
        <f t="shared" si="26"/>
        <v>0</v>
      </c>
      <c r="BI29" s="28">
        <f t="shared" si="26"/>
        <v>0</v>
      </c>
      <c r="BJ29" s="28">
        <f t="shared" si="26"/>
        <v>0</v>
      </c>
      <c r="BK29" s="28">
        <f t="shared" si="26"/>
        <v>0</v>
      </c>
      <c r="BL29" s="28">
        <f t="shared" si="26"/>
        <v>0</v>
      </c>
      <c r="BM29" s="28">
        <f t="shared" si="26"/>
        <v>0</v>
      </c>
      <c r="BN29" s="28">
        <f t="shared" si="26"/>
        <v>0</v>
      </c>
      <c r="BO29" s="28">
        <f t="shared" ref="BO29:CK29" si="27">BO27-BO28</f>
        <v>0</v>
      </c>
      <c r="BP29" s="28">
        <f t="shared" si="27"/>
        <v>0</v>
      </c>
      <c r="BQ29" s="28">
        <f t="shared" si="27"/>
        <v>0</v>
      </c>
      <c r="BR29" s="28">
        <f t="shared" si="27"/>
        <v>0</v>
      </c>
      <c r="BS29" s="28">
        <f t="shared" si="27"/>
        <v>0</v>
      </c>
      <c r="BT29" s="28">
        <f t="shared" si="27"/>
        <v>0</v>
      </c>
      <c r="BU29" s="28">
        <f t="shared" si="27"/>
        <v>0</v>
      </c>
      <c r="BV29" s="28">
        <f t="shared" si="27"/>
        <v>0</v>
      </c>
      <c r="BW29" s="28" t="e">
        <f t="shared" si="27"/>
        <v>#DIV/0!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408</v>
      </c>
      <c r="B31" s="26">
        <f>B15+B20+B27</f>
        <v>47412690073.869995</v>
      </c>
      <c r="C31" s="26">
        <f t="shared" ref="C31:BN31" si="28">C15+C20+C27</f>
        <v>32958741038.939999</v>
      </c>
      <c r="D31" s="26">
        <f t="shared" si="28"/>
        <v>20909453946.93</v>
      </c>
      <c r="E31" s="26">
        <f t="shared" si="28"/>
        <v>11321402798.460001</v>
      </c>
      <c r="F31" s="26">
        <f t="shared" si="28"/>
        <v>35978587210.640007</v>
      </c>
      <c r="G31" s="26">
        <f t="shared" si="28"/>
        <v>26528236613.080006</v>
      </c>
      <c r="H31" s="26">
        <f t="shared" si="28"/>
        <v>14814695462.619999</v>
      </c>
      <c r="I31" s="26">
        <f t="shared" si="28"/>
        <v>8225134959.460001</v>
      </c>
      <c r="J31" s="26">
        <f t="shared" si="28"/>
        <v>22756639226.669998</v>
      </c>
      <c r="K31" s="26">
        <f t="shared" si="28"/>
        <v>17227507745.170002</v>
      </c>
      <c r="L31" s="26">
        <f t="shared" si="28"/>
        <v>12247072521.300001</v>
      </c>
      <c r="M31" s="26">
        <f t="shared" si="28"/>
        <v>7081068177.4899988</v>
      </c>
      <c r="N31" s="26">
        <f t="shared" si="28"/>
        <v>21208979600.699997</v>
      </c>
      <c r="O31" s="26">
        <f t="shared" si="28"/>
        <v>15561168975.67</v>
      </c>
      <c r="P31" s="26">
        <f t="shared" si="28"/>
        <v>10736952028.18</v>
      </c>
      <c r="Q31" s="26">
        <f t="shared" si="28"/>
        <v>6116754798.7699995</v>
      </c>
      <c r="R31" s="26">
        <f t="shared" si="28"/>
        <v>21174563229.219997</v>
      </c>
      <c r="S31" s="26">
        <f t="shared" si="28"/>
        <v>14672272457.400002</v>
      </c>
      <c r="T31" s="26">
        <f t="shared" si="28"/>
        <v>9904117345.6399994</v>
      </c>
      <c r="U31" s="26">
        <f t="shared" si="28"/>
        <v>5600321769.0299997</v>
      </c>
      <c r="V31" s="26">
        <f t="shared" si="28"/>
        <v>20890089186.68</v>
      </c>
      <c r="W31" s="26">
        <f t="shared" si="28"/>
        <v>15272192006.340002</v>
      </c>
      <c r="X31" s="26">
        <f t="shared" si="28"/>
        <v>9877177661.1199989</v>
      </c>
      <c r="Y31" s="26">
        <f t="shared" si="28"/>
        <v>5424477158.3999987</v>
      </c>
      <c r="Z31" s="26">
        <f t="shared" si="28"/>
        <v>18279514546.670002</v>
      </c>
      <c r="AA31" s="26">
        <f t="shared" si="28"/>
        <v>14287791468.48</v>
      </c>
      <c r="AB31" s="26">
        <f t="shared" si="28"/>
        <v>9612975360.0600014</v>
      </c>
      <c r="AC31" s="26">
        <f t="shared" si="28"/>
        <v>4428361671.79</v>
      </c>
      <c r="AD31" s="26">
        <f t="shared" si="28"/>
        <v>11983908976.880001</v>
      </c>
      <c r="AE31" s="26">
        <f t="shared" si="28"/>
        <v>9061740746.3900013</v>
      </c>
      <c r="AF31" s="26">
        <f t="shared" si="28"/>
        <v>6738458344.8100004</v>
      </c>
      <c r="AG31" s="26">
        <f t="shared" si="28"/>
        <v>2777209389.3600001</v>
      </c>
      <c r="AH31" s="26">
        <f t="shared" si="28"/>
        <v>6985839706.46</v>
      </c>
      <c r="AI31" s="26">
        <f t="shared" si="28"/>
        <v>5758453760.8400002</v>
      </c>
      <c r="AJ31" s="26">
        <f t="shared" si="28"/>
        <v>4277741535.2599998</v>
      </c>
      <c r="AK31" s="26">
        <f t="shared" si="28"/>
        <v>1746532659.9299996</v>
      </c>
      <c r="AL31" s="26">
        <f t="shared" si="28"/>
        <v>5946903768.8599997</v>
      </c>
      <c r="AM31" s="26">
        <f t="shared" si="28"/>
        <v>5214937417.4200001</v>
      </c>
      <c r="AN31" s="26">
        <f t="shared" si="28"/>
        <v>3818014429.0400004</v>
      </c>
      <c r="AO31" s="26">
        <f t="shared" si="28"/>
        <v>1623735763.2499998</v>
      </c>
      <c r="AP31" s="26">
        <f t="shared" si="28"/>
        <v>5282799872.8300009</v>
      </c>
      <c r="AQ31" s="26">
        <f t="shared" si="28"/>
        <v>4341708894.5899992</v>
      </c>
      <c r="AR31" s="26">
        <f t="shared" si="28"/>
        <v>3089401769.3800011</v>
      </c>
      <c r="AS31" s="26">
        <f t="shared" si="28"/>
        <v>1182877309.9700003</v>
      </c>
      <c r="AT31" s="26">
        <f t="shared" si="28"/>
        <v>4477281190.9799995</v>
      </c>
      <c r="AU31" s="26">
        <f t="shared" si="28"/>
        <v>2469888749.0100002</v>
      </c>
      <c r="AV31" s="26">
        <f t="shared" si="28"/>
        <v>1328094201.7100003</v>
      </c>
      <c r="AW31" s="26">
        <f t="shared" si="28"/>
        <v>847416485.08000016</v>
      </c>
      <c r="AX31" s="26">
        <f t="shared" si="28"/>
        <v>2462096199.1800003</v>
      </c>
      <c r="AY31" s="26">
        <f t="shared" si="28"/>
        <v>1552380080.76</v>
      </c>
      <c r="AZ31" s="26">
        <f t="shared" si="28"/>
        <v>965305777.4799999</v>
      </c>
      <c r="BA31" s="26">
        <f t="shared" si="28"/>
        <v>669613416.62</v>
      </c>
      <c r="BB31" s="26">
        <f t="shared" si="28"/>
        <v>1887932804.7300003</v>
      </c>
      <c r="BC31" s="26">
        <f t="shared" si="28"/>
        <v>1136508598.99</v>
      </c>
      <c r="BD31" s="26">
        <f t="shared" si="28"/>
        <v>748658762.23000002</v>
      </c>
      <c r="BE31" s="26">
        <f t="shared" si="28"/>
        <v>553760649.49999988</v>
      </c>
      <c r="BF31" s="26">
        <f t="shared" si="28"/>
        <v>1464676836.8500004</v>
      </c>
      <c r="BG31" s="26">
        <f t="shared" si="28"/>
        <v>853463721.18000007</v>
      </c>
      <c r="BH31" s="26">
        <f t="shared" si="28"/>
        <v>559754313.78999996</v>
      </c>
      <c r="BI31" s="26">
        <f t="shared" si="28"/>
        <v>394422790.95000005</v>
      </c>
      <c r="BJ31" s="26">
        <f t="shared" si="28"/>
        <v>959558980.33999968</v>
      </c>
      <c r="BK31" s="26">
        <f t="shared" si="28"/>
        <v>581654427.37999988</v>
      </c>
      <c r="BL31" s="26">
        <f t="shared" si="28"/>
        <v>405130506.79000002</v>
      </c>
      <c r="BM31" s="26">
        <f t="shared" si="28"/>
        <v>337896003.24999994</v>
      </c>
      <c r="BN31" s="26">
        <f t="shared" si="28"/>
        <v>628559254.21000016</v>
      </c>
      <c r="BO31" s="26">
        <f t="shared" ref="BO31:CJ31" si="29">BO15+BO20+BO27</f>
        <v>510478001.96000004</v>
      </c>
      <c r="BP31" s="26">
        <f t="shared" si="29"/>
        <v>389228086.32999992</v>
      </c>
      <c r="BQ31" s="26">
        <f t="shared" si="29"/>
        <v>334564336.5999999</v>
      </c>
      <c r="BR31" s="26">
        <f t="shared" si="29"/>
        <v>600311437.09999967</v>
      </c>
      <c r="BS31" s="26">
        <f t="shared" si="29"/>
        <v>373365639.61000001</v>
      </c>
      <c r="BT31" s="26">
        <f t="shared" si="29"/>
        <v>452474935.14999992</v>
      </c>
      <c r="BU31" s="26">
        <f t="shared" si="29"/>
        <v>364490805.42999995</v>
      </c>
      <c r="BV31" s="26">
        <f t="shared" si="29"/>
        <v>259853599.49000001</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c r="A32" s="57" t="s">
        <v>409</v>
      </c>
      <c r="B32" s="57">
        <f>B31/B4*100</f>
        <v>64.385410227407192</v>
      </c>
      <c r="C32" s="57">
        <f t="shared" ref="C32:D32" si="30">C31/C4*100</f>
        <v>63.088988249736552</v>
      </c>
      <c r="D32" s="57">
        <f t="shared" si="30"/>
        <v>62.609322935861364</v>
      </c>
      <c r="E32" s="57">
        <f>E31/E4</f>
        <v>0.6481904814675753</v>
      </c>
      <c r="F32" s="57">
        <f t="shared" ref="F32:BQ32" si="31">F31/F4</f>
        <v>0.6179991225799798</v>
      </c>
      <c r="G32" s="57">
        <f t="shared" si="31"/>
        <v>0.62492213102420502</v>
      </c>
      <c r="H32" s="57">
        <f t="shared" si="31"/>
        <v>0.61242980387053547</v>
      </c>
      <c r="I32" s="57">
        <f t="shared" si="31"/>
        <v>0.61802975548497596</v>
      </c>
      <c r="J32" s="57">
        <f t="shared" si="31"/>
        <v>0.58557274384889602</v>
      </c>
      <c r="K32" s="57">
        <f t="shared" si="31"/>
        <v>0.64687529144358835</v>
      </c>
      <c r="L32" s="57">
        <f t="shared" si="31"/>
        <v>0.67390713548639614</v>
      </c>
      <c r="M32" s="57">
        <f t="shared" si="31"/>
        <v>0.7089040703381484</v>
      </c>
      <c r="N32" s="57">
        <f t="shared" si="31"/>
        <v>0.64939528253335588</v>
      </c>
      <c r="O32" s="57">
        <f t="shared" si="31"/>
        <v>0.67222679444009936</v>
      </c>
      <c r="P32" s="57">
        <f t="shared" si="31"/>
        <v>0.68047353560247315</v>
      </c>
      <c r="Q32" s="57">
        <f t="shared" si="31"/>
        <v>0.71588940178318505</v>
      </c>
      <c r="R32" s="57">
        <f t="shared" si="31"/>
        <v>0.67063441942204216</v>
      </c>
      <c r="S32" s="57">
        <f t="shared" si="31"/>
        <v>0.67557531358470191</v>
      </c>
      <c r="T32" s="57">
        <f t="shared" si="31"/>
        <v>0.69154966648227734</v>
      </c>
      <c r="U32" s="57">
        <f t="shared" si="31"/>
        <v>0.75173862536971237</v>
      </c>
      <c r="V32" s="57">
        <f t="shared" si="31"/>
        <v>0.67557801606678736</v>
      </c>
      <c r="W32" s="57">
        <f t="shared" si="31"/>
        <v>0.69622500872630766</v>
      </c>
      <c r="X32" s="57">
        <f t="shared" si="31"/>
        <v>0.69912730120617494</v>
      </c>
      <c r="Y32" s="57">
        <f t="shared" si="31"/>
        <v>0.75699682780517841</v>
      </c>
      <c r="Z32" s="57">
        <f t="shared" si="31"/>
        <v>0.69095758722996325</v>
      </c>
      <c r="AA32" s="57">
        <f t="shared" si="31"/>
        <v>0.71684697501644024</v>
      </c>
      <c r="AB32" s="57">
        <f t="shared" si="31"/>
        <v>0.72471788692567307</v>
      </c>
      <c r="AC32" s="57">
        <f t="shared" si="31"/>
        <v>0.73610129940582358</v>
      </c>
      <c r="AD32" s="57">
        <f t="shared" si="31"/>
        <v>0.65121604500526786</v>
      </c>
      <c r="AE32" s="57">
        <f t="shared" si="31"/>
        <v>0.6642494215508844</v>
      </c>
      <c r="AF32" s="57">
        <f t="shared" si="31"/>
        <v>0.68579070190074742</v>
      </c>
      <c r="AG32" s="57">
        <f t="shared" si="31"/>
        <v>0.6580146337191437</v>
      </c>
      <c r="AH32" s="57">
        <f t="shared" si="31"/>
        <v>0.60050454046192714</v>
      </c>
      <c r="AI32" s="57">
        <f t="shared" si="31"/>
        <v>0.61735789227548898</v>
      </c>
      <c r="AJ32" s="57">
        <f t="shared" si="31"/>
        <v>0.64939556102217189</v>
      </c>
      <c r="AK32" s="57">
        <f t="shared" si="31"/>
        <v>0.57453506859782288</v>
      </c>
      <c r="AL32" s="57">
        <f t="shared" si="31"/>
        <v>0.61498493729380277</v>
      </c>
      <c r="AM32" s="57">
        <f t="shared" si="31"/>
        <v>0.66796493285718606</v>
      </c>
      <c r="AN32" s="57">
        <f t="shared" si="31"/>
        <v>0.68842594247087951</v>
      </c>
      <c r="AO32" s="57">
        <f t="shared" si="31"/>
        <v>0.64625343037592131</v>
      </c>
      <c r="AP32" s="57">
        <f t="shared" si="31"/>
        <v>0.6409853702542313</v>
      </c>
      <c r="AQ32" s="57">
        <f t="shared" si="31"/>
        <v>0.66934361021450361</v>
      </c>
      <c r="AR32" s="57">
        <f t="shared" si="31"/>
        <v>0.6687426009725902</v>
      </c>
      <c r="AS32" s="57">
        <f t="shared" si="31"/>
        <v>0.59336817095024186</v>
      </c>
      <c r="AT32" s="57">
        <f t="shared" si="31"/>
        <v>0.61862853648190685</v>
      </c>
      <c r="AU32" s="57">
        <f t="shared" si="31"/>
        <v>0.55398765985575849</v>
      </c>
      <c r="AV32" s="57">
        <f t="shared" si="31"/>
        <v>0.5051537867820014</v>
      </c>
      <c r="AW32" s="57">
        <f t="shared" si="31"/>
        <v>0.53379285031709489</v>
      </c>
      <c r="AX32" s="57">
        <f t="shared" si="31"/>
        <v>0.50285992934043011</v>
      </c>
      <c r="AY32" s="57">
        <f t="shared" si="31"/>
        <v>0.47773577980595677</v>
      </c>
      <c r="AZ32" s="57">
        <f t="shared" si="31"/>
        <v>0.47564614920213238</v>
      </c>
      <c r="BA32" s="57">
        <f t="shared" si="31"/>
        <v>0.49436277633323894</v>
      </c>
      <c r="BB32" s="57">
        <f t="shared" si="31"/>
        <v>0.48032705398643405</v>
      </c>
      <c r="BC32" s="57">
        <f t="shared" si="31"/>
        <v>0.44045277146639189</v>
      </c>
      <c r="BD32" s="57">
        <f t="shared" si="31"/>
        <v>0.44400633066914535</v>
      </c>
      <c r="BE32" s="57">
        <f t="shared" si="31"/>
        <v>0.48404918310143191</v>
      </c>
      <c r="BF32" s="57">
        <f t="shared" si="31"/>
        <v>0.48663698262229338</v>
      </c>
      <c r="BG32" s="57">
        <f t="shared" si="31"/>
        <v>0.41221405809362216</v>
      </c>
      <c r="BH32" s="57">
        <f t="shared" si="31"/>
        <v>0.42595722633311411</v>
      </c>
      <c r="BI32" s="57">
        <f t="shared" si="31"/>
        <v>0.46216082178523865</v>
      </c>
      <c r="BJ32" s="57">
        <f t="shared" si="31"/>
        <v>0.39964673581997839</v>
      </c>
      <c r="BK32" s="57">
        <f t="shared" si="31"/>
        <v>0.37459767513986664</v>
      </c>
      <c r="BL32" s="57">
        <f t="shared" si="31"/>
        <v>0.40149792799636852</v>
      </c>
      <c r="BM32" s="57">
        <f t="shared" si="31"/>
        <v>0.46041824503920242</v>
      </c>
      <c r="BN32" s="57">
        <f t="shared" si="31"/>
        <v>0.34255808943582672</v>
      </c>
      <c r="BO32" s="57">
        <f t="shared" si="31"/>
        <v>0.37428195465095471</v>
      </c>
      <c r="BP32" s="57">
        <f t="shared" si="31"/>
        <v>0.40728966731899918</v>
      </c>
      <c r="BQ32" s="57">
        <f t="shared" si="31"/>
        <v>0.46595739994149604</v>
      </c>
      <c r="BR32" s="57">
        <f t="shared" ref="BR32:CK32" si="32">BR31/BR4</f>
        <v>0.37100996641529893</v>
      </c>
      <c r="BS32" s="57">
        <f t="shared" si="32"/>
        <v>0.4272585462238267</v>
      </c>
      <c r="BT32" s="57">
        <f t="shared" si="32"/>
        <v>0.40617109948589908</v>
      </c>
      <c r="BU32" s="57">
        <f t="shared" si="32"/>
        <v>0.4091457106252514</v>
      </c>
      <c r="BV32" s="57">
        <f t="shared" si="32"/>
        <v>0.41365813248575828</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410</v>
      </c>
      <c r="B33" s="26">
        <f>B17+B20+B29</f>
        <v>34415754674.217957</v>
      </c>
      <c r="C33" s="26">
        <f t="shared" ref="C33:BN33" si="33">C17+C20+C29</f>
        <v>23954370186.083065</v>
      </c>
      <c r="D33" s="26">
        <f t="shared" si="33"/>
        <v>15111692763.121578</v>
      </c>
      <c r="E33" s="26">
        <f t="shared" si="33"/>
        <v>8263820968.6793404</v>
      </c>
      <c r="F33" s="26">
        <f t="shared" si="33"/>
        <v>26261017907.059685</v>
      </c>
      <c r="G33" s="26">
        <f t="shared" si="33"/>
        <v>19408480375.827824</v>
      </c>
      <c r="H33" s="26">
        <f t="shared" si="33"/>
        <v>10786737129.26689</v>
      </c>
      <c r="I33" s="26">
        <f t="shared" si="33"/>
        <v>6003722779.1655684</v>
      </c>
      <c r="J33" s="26">
        <f t="shared" si="33"/>
        <v>16738649502.100777</v>
      </c>
      <c r="K33" s="26">
        <f t="shared" si="33"/>
        <v>12520946300.773355</v>
      </c>
      <c r="L33" s="26">
        <f t="shared" si="33"/>
        <v>8863002612.2975769</v>
      </c>
      <c r="M33" s="26">
        <f t="shared" si="33"/>
        <v>5056747465.3912086</v>
      </c>
      <c r="N33" s="26">
        <f t="shared" si="33"/>
        <v>15676561123.20426</v>
      </c>
      <c r="O33" s="26">
        <f t="shared" si="33"/>
        <v>11536139270.417225</v>
      </c>
      <c r="P33" s="26">
        <f t="shared" si="33"/>
        <v>7953257592.9014406</v>
      </c>
      <c r="Q33" s="26">
        <f t="shared" si="33"/>
        <v>4506754516.0640993</v>
      </c>
      <c r="R33" s="26">
        <f t="shared" si="33"/>
        <v>15593890021.605648</v>
      </c>
      <c r="S33" s="26">
        <f t="shared" si="33"/>
        <v>10893431695.767679</v>
      </c>
      <c r="T33" s="26">
        <f t="shared" si="33"/>
        <v>7359322883.3347149</v>
      </c>
      <c r="U33" s="26">
        <f t="shared" si="33"/>
        <v>4134823220.2897925</v>
      </c>
      <c r="V33" s="26">
        <f t="shared" si="33"/>
        <v>15532668003.955093</v>
      </c>
      <c r="W33" s="26">
        <f t="shared" si="33"/>
        <v>11355165199.916069</v>
      </c>
      <c r="X33" s="26">
        <f t="shared" si="33"/>
        <v>7431805573.7581892</v>
      </c>
      <c r="Y33" s="26">
        <f t="shared" si="33"/>
        <v>3999239944.3489089</v>
      </c>
      <c r="Z33" s="26">
        <f t="shared" si="33"/>
        <v>13693099590.565355</v>
      </c>
      <c r="AA33" s="26">
        <f t="shared" si="33"/>
        <v>10714900517.625669</v>
      </c>
      <c r="AB33" s="26">
        <f t="shared" si="33"/>
        <v>7208561703.8184862</v>
      </c>
      <c r="AC33" s="26">
        <f t="shared" si="33"/>
        <v>3319071902.8636723</v>
      </c>
      <c r="AD33" s="26">
        <f t="shared" si="33"/>
        <v>8987279281.2295742</v>
      </c>
      <c r="AE33" s="26">
        <f t="shared" si="33"/>
        <v>6768033742.2019033</v>
      </c>
      <c r="AF33" s="26">
        <f t="shared" si="33"/>
        <v>5054622575.413413</v>
      </c>
      <c r="AG33" s="26">
        <f t="shared" si="33"/>
        <v>2083577573.7072725</v>
      </c>
      <c r="AH33" s="26">
        <f t="shared" si="33"/>
        <v>5208118891.6557493</v>
      </c>
      <c r="AI33" s="26">
        <f t="shared" si="33"/>
        <v>4308356554.9737072</v>
      </c>
      <c r="AJ33" s="26">
        <f t="shared" si="33"/>
        <v>3199926957.6826153</v>
      </c>
      <c r="AK33" s="26">
        <f t="shared" si="33"/>
        <v>1309702018.6234198</v>
      </c>
      <c r="AL33" s="26">
        <f t="shared" si="33"/>
        <v>4452827040.6826944</v>
      </c>
      <c r="AM33" s="26">
        <f t="shared" si="33"/>
        <v>3911960402.8086123</v>
      </c>
      <c r="AN33" s="26">
        <f t="shared" si="33"/>
        <v>2863015106.7204237</v>
      </c>
      <c r="AO33" s="26">
        <f t="shared" si="33"/>
        <v>1217857244.7763596</v>
      </c>
      <c r="AP33" s="26">
        <f t="shared" si="33"/>
        <v>3924611153.413012</v>
      </c>
      <c r="AQ33" s="26">
        <f t="shared" si="33"/>
        <v>3257544180.5593476</v>
      </c>
      <c r="AR33" s="26">
        <f t="shared" si="33"/>
        <v>2317343012.3952684</v>
      </c>
      <c r="AS33" s="26">
        <f t="shared" si="33"/>
        <v>887284160.90416169</v>
      </c>
      <c r="AT33" s="26">
        <f t="shared" si="33"/>
        <v>2936704477.0869617</v>
      </c>
      <c r="AU33" s="26">
        <f t="shared" si="33"/>
        <v>1643826017.8701513</v>
      </c>
      <c r="AV33" s="26">
        <f t="shared" si="33"/>
        <v>872295982.55614972</v>
      </c>
      <c r="AW33" s="26">
        <f t="shared" si="33"/>
        <v>544259098.379511</v>
      </c>
      <c r="AX33" s="26">
        <f t="shared" si="33"/>
        <v>1557501256.0376482</v>
      </c>
      <c r="AY33" s="26">
        <f t="shared" si="33"/>
        <v>984439081.47783232</v>
      </c>
      <c r="AZ33" s="26">
        <f t="shared" si="33"/>
        <v>629640931.86421096</v>
      </c>
      <c r="BA33" s="26">
        <f t="shared" si="33"/>
        <v>466534382.76905102</v>
      </c>
      <c r="BB33" s="26">
        <f t="shared" si="33"/>
        <v>1149429518.4581342</v>
      </c>
      <c r="BC33" s="26">
        <f t="shared" si="33"/>
        <v>725505467.74809933</v>
      </c>
      <c r="BD33" s="26">
        <f t="shared" si="33"/>
        <v>497286081.98373216</v>
      </c>
      <c r="BE33" s="26">
        <f t="shared" si="33"/>
        <v>381359788.12061441</v>
      </c>
      <c r="BF33" s="26">
        <f t="shared" si="33"/>
        <v>839275568.83253062</v>
      </c>
      <c r="BG33" s="26">
        <f t="shared" si="33"/>
        <v>524289150.53143865</v>
      </c>
      <c r="BH33" s="26">
        <f t="shared" si="33"/>
        <v>357688897.7866267</v>
      </c>
      <c r="BI33" s="26">
        <f t="shared" si="33"/>
        <v>266767183.66351357</v>
      </c>
      <c r="BJ33" s="26">
        <f t="shared" si="33"/>
        <v>597080913.97970891</v>
      </c>
      <c r="BK33" s="26">
        <f t="shared" si="33"/>
        <v>359846470.99387157</v>
      </c>
      <c r="BL33" s="26">
        <f t="shared" si="33"/>
        <v>257967956.47476113</v>
      </c>
      <c r="BM33" s="26">
        <f t="shared" si="33"/>
        <v>222333369.7577582</v>
      </c>
      <c r="BN33" s="26">
        <f t="shared" si="33"/>
        <v>378715561.24946892</v>
      </c>
      <c r="BO33" s="26">
        <f t="shared" ref="BO33:CJ33" si="34">BO17+BO20+BO29</f>
        <v>308296546.68218607</v>
      </c>
      <c r="BP33" s="26">
        <f t="shared" si="34"/>
        <v>238315335.98605028</v>
      </c>
      <c r="BQ33" s="26">
        <f t="shared" si="34"/>
        <v>211338260.36413699</v>
      </c>
      <c r="BR33" s="26">
        <f t="shared" si="34"/>
        <v>337909081.88659883</v>
      </c>
      <c r="BS33" s="26">
        <f t="shared" si="34"/>
        <v>229927164.91021764</v>
      </c>
      <c r="BT33" s="26">
        <f t="shared" si="34"/>
        <v>260073853.45585519</v>
      </c>
      <c r="BU33" s="26">
        <f t="shared" si="34"/>
        <v>222185382.16190058</v>
      </c>
      <c r="BV33" s="26">
        <f t="shared" si="34"/>
        <v>173915342.50660002</v>
      </c>
      <c r="BW33" s="26" t="e">
        <f t="shared" si="34"/>
        <v>#DIV/0!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411</v>
      </c>
      <c r="B34" s="57">
        <f>B33/B4*100</f>
        <v>46.735852353725392</v>
      </c>
      <c r="C34" s="57">
        <f t="shared" ref="C34:D34" si="35">C33/C4*100</f>
        <v>45.852994731021994</v>
      </c>
      <c r="D34" s="57">
        <f t="shared" si="35"/>
        <v>45.249046422501749</v>
      </c>
      <c r="E34" s="57">
        <f>E33/E4</f>
        <v>0.47313307262406834</v>
      </c>
      <c r="F34" s="57">
        <f t="shared" ref="F34:BQ34" si="36">F33/F4</f>
        <v>0.4510818040075934</v>
      </c>
      <c r="G34" s="57">
        <f t="shared" si="36"/>
        <v>0.4572029831196382</v>
      </c>
      <c r="H34" s="57">
        <f t="shared" si="36"/>
        <v>0.44591664547869436</v>
      </c>
      <c r="I34" s="57">
        <f t="shared" si="36"/>
        <v>0.45111470383105762</v>
      </c>
      <c r="J34" s="57">
        <f t="shared" si="36"/>
        <v>0.43071812228682949</v>
      </c>
      <c r="K34" s="57">
        <f t="shared" si="36"/>
        <v>0.4701487241956458</v>
      </c>
      <c r="L34" s="57">
        <f t="shared" si="36"/>
        <v>0.48769538123286149</v>
      </c>
      <c r="M34" s="57">
        <f t="shared" si="36"/>
        <v>0.5062440822535077</v>
      </c>
      <c r="N34" s="57">
        <f t="shared" si="36"/>
        <v>0.47999880387544225</v>
      </c>
      <c r="O34" s="57">
        <f t="shared" si="36"/>
        <v>0.49834957348589709</v>
      </c>
      <c r="P34" s="57">
        <f t="shared" si="36"/>
        <v>0.50405192270531474</v>
      </c>
      <c r="Q34" s="57">
        <f t="shared" si="36"/>
        <v>0.52745906949508115</v>
      </c>
      <c r="R34" s="57">
        <f t="shared" si="36"/>
        <v>0.49388501042323085</v>
      </c>
      <c r="S34" s="57">
        <f t="shared" si="36"/>
        <v>0.50158103015392685</v>
      </c>
      <c r="T34" s="57">
        <f t="shared" si="36"/>
        <v>0.51386076193311125</v>
      </c>
      <c r="U34" s="57">
        <f t="shared" si="36"/>
        <v>0.55502280975290974</v>
      </c>
      <c r="V34" s="57">
        <f t="shared" si="36"/>
        <v>0.50232093030157876</v>
      </c>
      <c r="W34" s="57">
        <f t="shared" si="36"/>
        <v>0.5176565346427211</v>
      </c>
      <c r="X34" s="57">
        <f t="shared" si="36"/>
        <v>0.52603874832817465</v>
      </c>
      <c r="Y34" s="57">
        <f t="shared" si="36"/>
        <v>0.55810207382214261</v>
      </c>
      <c r="Z34" s="57">
        <f t="shared" si="36"/>
        <v>0.51759312484150299</v>
      </c>
      <c r="AA34" s="57">
        <f t="shared" si="36"/>
        <v>0.53758791487171564</v>
      </c>
      <c r="AB34" s="57">
        <f t="shared" si="36"/>
        <v>0.54345022327531012</v>
      </c>
      <c r="AC34" s="57">
        <f t="shared" si="36"/>
        <v>0.55171038898720914</v>
      </c>
      <c r="AD34" s="57">
        <f t="shared" si="36"/>
        <v>0.48837657897530562</v>
      </c>
      <c r="AE34" s="57">
        <f t="shared" si="36"/>
        <v>0.49611466760240908</v>
      </c>
      <c r="AF34" s="57">
        <f t="shared" si="36"/>
        <v>0.51442228866873974</v>
      </c>
      <c r="AG34" s="57">
        <f t="shared" si="36"/>
        <v>0.49366984687617005</v>
      </c>
      <c r="AH34" s="57">
        <f t="shared" si="36"/>
        <v>0.44769121152504138</v>
      </c>
      <c r="AI34" s="57">
        <f t="shared" si="36"/>
        <v>0.46189446549656127</v>
      </c>
      <c r="AJ34" s="57">
        <f t="shared" si="36"/>
        <v>0.48577464177904622</v>
      </c>
      <c r="AK34" s="57">
        <f t="shared" si="36"/>
        <v>0.43083634012470878</v>
      </c>
      <c r="AL34" s="57">
        <f t="shared" si="36"/>
        <v>0.46047853888837043</v>
      </c>
      <c r="AM34" s="57">
        <f t="shared" si="36"/>
        <v>0.50107070490882089</v>
      </c>
      <c r="AN34" s="57">
        <f t="shared" si="36"/>
        <v>0.5162300745018279</v>
      </c>
      <c r="AO34" s="57">
        <f t="shared" si="36"/>
        <v>0.48471213109796646</v>
      </c>
      <c r="AP34" s="57">
        <f t="shared" si="36"/>
        <v>0.47619035243269703</v>
      </c>
      <c r="AQ34" s="57">
        <f t="shared" si="36"/>
        <v>0.5022023436361096</v>
      </c>
      <c r="AR34" s="57">
        <f t="shared" si="36"/>
        <v>0.50162008995219587</v>
      </c>
      <c r="AS34" s="57">
        <f t="shared" si="36"/>
        <v>0.44508942324895479</v>
      </c>
      <c r="AT34" s="57">
        <f t="shared" si="36"/>
        <v>0.40576615924864889</v>
      </c>
      <c r="AU34" s="57">
        <f t="shared" si="36"/>
        <v>0.36870459417045109</v>
      </c>
      <c r="AV34" s="57">
        <f t="shared" si="36"/>
        <v>0.3317864186257351</v>
      </c>
      <c r="AW34" s="57">
        <f t="shared" si="36"/>
        <v>0.34283214989331334</v>
      </c>
      <c r="AX34" s="57">
        <f t="shared" si="36"/>
        <v>0.3181049431860416</v>
      </c>
      <c r="AY34" s="57">
        <f t="shared" si="36"/>
        <v>0.30295529947216665</v>
      </c>
      <c r="AZ34" s="57">
        <f t="shared" si="36"/>
        <v>0.31025017316594189</v>
      </c>
      <c r="BA34" s="57">
        <f t="shared" si="36"/>
        <v>0.34443341037700076</v>
      </c>
      <c r="BB34" s="57">
        <f t="shared" si="36"/>
        <v>0.29243736481659321</v>
      </c>
      <c r="BC34" s="57">
        <f t="shared" si="36"/>
        <v>0.28116891879890038</v>
      </c>
      <c r="BD34" s="57">
        <f t="shared" si="36"/>
        <v>0.29492497743130663</v>
      </c>
      <c r="BE34" s="57">
        <f t="shared" si="36"/>
        <v>0.33335141107298671</v>
      </c>
      <c r="BF34" s="57">
        <f t="shared" si="36"/>
        <v>0.27884822107492557</v>
      </c>
      <c r="BG34" s="57">
        <f t="shared" si="36"/>
        <v>0.25322618055307067</v>
      </c>
      <c r="BH34" s="57">
        <f t="shared" si="36"/>
        <v>0.27219115072063638</v>
      </c>
      <c r="BI34" s="57">
        <f t="shared" si="36"/>
        <v>0.31258168558239374</v>
      </c>
      <c r="BJ34" s="57">
        <f t="shared" si="36"/>
        <v>0.24867823988041823</v>
      </c>
      <c r="BK34" s="57">
        <f t="shared" si="36"/>
        <v>0.2317486897654529</v>
      </c>
      <c r="BL34" s="57">
        <f t="shared" si="36"/>
        <v>0.25565490200855573</v>
      </c>
      <c r="BM34" s="57">
        <f t="shared" si="36"/>
        <v>0.30295220698950109</v>
      </c>
      <c r="BN34" s="57">
        <f t="shared" si="36"/>
        <v>0.20639594156367588</v>
      </c>
      <c r="BO34" s="57">
        <f t="shared" si="36"/>
        <v>0.22604271616270274</v>
      </c>
      <c r="BP34" s="57">
        <f t="shared" si="36"/>
        <v>0.24937402340611289</v>
      </c>
      <c r="BQ34" s="57">
        <f t="shared" si="36"/>
        <v>0.29433688990338197</v>
      </c>
      <c r="BR34" s="57">
        <f t="shared" ref="BR34:CK34" si="37">BR33/BR4</f>
        <v>0.20883766221046998</v>
      </c>
      <c r="BS34" s="57">
        <f t="shared" si="37"/>
        <v>0.26311565874010462</v>
      </c>
      <c r="BT34" s="57">
        <f t="shared" si="37"/>
        <v>0.23345930304554974</v>
      </c>
      <c r="BU34" s="57">
        <f t="shared" si="37"/>
        <v>0.249406006189729</v>
      </c>
      <c r="BV34" s="57">
        <f t="shared" si="37"/>
        <v>0.27685395135221019</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412</v>
      </c>
      <c r="B35" s="26">
        <f>B23+B68</f>
        <v>-3495573.23</v>
      </c>
      <c r="C35" s="26">
        <f t="shared" ref="C35:BN35" si="38">C23+C68</f>
        <v>-4356346.29</v>
      </c>
      <c r="D35" s="26">
        <f t="shared" si="38"/>
        <v>-4189267.95</v>
      </c>
      <c r="E35" s="26">
        <f t="shared" si="38"/>
        <v>57226814.350000001</v>
      </c>
      <c r="F35" s="26">
        <f t="shared" si="38"/>
        <v>-55687932.189999998</v>
      </c>
      <c r="G35" s="26">
        <f t="shared" si="38"/>
        <v>-39249895.75</v>
      </c>
      <c r="H35" s="26">
        <f t="shared" si="38"/>
        <v>-37488391.880000003</v>
      </c>
      <c r="I35" s="26">
        <f t="shared" si="38"/>
        <v>41997517.019999996</v>
      </c>
      <c r="J35" s="26">
        <f t="shared" si="38"/>
        <v>-33175188.52</v>
      </c>
      <c r="K35" s="26">
        <f t="shared" si="38"/>
        <v>-1302024</v>
      </c>
      <c r="L35" s="26">
        <f t="shared" si="38"/>
        <v>-12226120.6</v>
      </c>
      <c r="M35" s="26">
        <f t="shared" si="38"/>
        <v>107229654.59999999</v>
      </c>
      <c r="N35" s="26">
        <f t="shared" si="38"/>
        <v>-67266800.969999999</v>
      </c>
      <c r="O35" s="26">
        <f t="shared" si="38"/>
        <v>-52132054.299999997</v>
      </c>
      <c r="P35" s="26">
        <f t="shared" si="38"/>
        <v>-18995600.109999999</v>
      </c>
      <c r="Q35" s="26">
        <f t="shared" si="38"/>
        <v>127819941.97</v>
      </c>
      <c r="R35" s="26">
        <f t="shared" si="38"/>
        <v>-123168793.84</v>
      </c>
      <c r="S35" s="26">
        <f t="shared" si="38"/>
        <v>-95772137.579999998</v>
      </c>
      <c r="T35" s="26">
        <f t="shared" si="38"/>
        <v>-53889235.740000002</v>
      </c>
      <c r="U35" s="26">
        <f t="shared" si="38"/>
        <v>405386140.54000002</v>
      </c>
      <c r="V35" s="26">
        <f t="shared" si="38"/>
        <v>-429074364.68000001</v>
      </c>
      <c r="W35" s="26">
        <f t="shared" si="38"/>
        <v>-343826830.68000001</v>
      </c>
      <c r="X35" s="26">
        <f t="shared" si="38"/>
        <v>-238790533.41</v>
      </c>
      <c r="Y35" s="26">
        <f t="shared" si="38"/>
        <v>307192120.25</v>
      </c>
      <c r="Z35" s="26">
        <f t="shared" si="38"/>
        <v>-420975922.49000001</v>
      </c>
      <c r="AA35" s="26">
        <f t="shared" si="38"/>
        <v>-297465187.51999998</v>
      </c>
      <c r="AB35" s="26">
        <f t="shared" si="38"/>
        <v>-187200820.61000001</v>
      </c>
      <c r="AC35" s="26">
        <f t="shared" si="38"/>
        <v>254900009.31999999</v>
      </c>
      <c r="AD35" s="26">
        <f t="shared" si="38"/>
        <v>-350751496.92000002</v>
      </c>
      <c r="AE35" s="26">
        <f t="shared" si="38"/>
        <v>-217813505.31999999</v>
      </c>
      <c r="AF35" s="26">
        <f t="shared" si="38"/>
        <v>-148888545.19</v>
      </c>
      <c r="AG35" s="26">
        <f t="shared" si="38"/>
        <v>123387517.41999999</v>
      </c>
      <c r="AH35" s="26">
        <f t="shared" si="38"/>
        <v>-176577024.91</v>
      </c>
      <c r="AI35" s="26">
        <f t="shared" si="38"/>
        <v>-137330593.52000001</v>
      </c>
      <c r="AJ35" s="26">
        <f t="shared" si="38"/>
        <v>-99774773.510000005</v>
      </c>
      <c r="AK35" s="26">
        <f t="shared" si="38"/>
        <v>-46248011.119999997</v>
      </c>
      <c r="AL35" s="26">
        <f t="shared" si="38"/>
        <v>-133636115.78</v>
      </c>
      <c r="AM35" s="26">
        <f t="shared" si="38"/>
        <v>-90429443.689999998</v>
      </c>
      <c r="AN35" s="26">
        <f t="shared" si="38"/>
        <v>-87784729.510000005</v>
      </c>
      <c r="AO35" s="26">
        <f t="shared" si="38"/>
        <v>-81307397.079999998</v>
      </c>
      <c r="AP35" s="26">
        <f t="shared" si="38"/>
        <v>-102500765.33</v>
      </c>
      <c r="AQ35" s="26">
        <f t="shared" si="38"/>
        <v>-62182025.009999998</v>
      </c>
      <c r="AR35" s="26">
        <f t="shared" si="38"/>
        <v>-46122542.109999999</v>
      </c>
      <c r="AS35" s="26">
        <f t="shared" si="38"/>
        <v>-39680467.920000002</v>
      </c>
      <c r="AT35" s="26">
        <f t="shared" si="38"/>
        <v>-44743824.950000003</v>
      </c>
      <c r="AU35" s="26">
        <f t="shared" si="38"/>
        <v>-38158017.710000001</v>
      </c>
      <c r="AV35" s="26">
        <f t="shared" si="38"/>
        <v>-32966149.120000001</v>
      </c>
      <c r="AW35" s="26">
        <f t="shared" si="38"/>
        <v>-26751923.239999998</v>
      </c>
      <c r="AX35" s="26">
        <f t="shared" si="38"/>
        <v>-25268367.890000001</v>
      </c>
      <c r="AY35" s="26">
        <f t="shared" si="38"/>
        <v>-14469012.92</v>
      </c>
      <c r="AZ35" s="26">
        <f t="shared" si="38"/>
        <v>-6698234.1299999999</v>
      </c>
      <c r="BA35" s="26">
        <f t="shared" si="38"/>
        <v>-2819139.21</v>
      </c>
      <c r="BB35" s="26">
        <f t="shared" si="38"/>
        <v>-32264593.949999999</v>
      </c>
      <c r="BC35" s="26">
        <f t="shared" si="38"/>
        <v>-14225903.98</v>
      </c>
      <c r="BD35" s="26">
        <f t="shared" si="38"/>
        <v>-8107880.4500000002</v>
      </c>
      <c r="BE35" s="26">
        <f t="shared" si="38"/>
        <v>-3746924.02</v>
      </c>
      <c r="BF35" s="26">
        <f t="shared" si="38"/>
        <v>-25993795.539999999</v>
      </c>
      <c r="BG35" s="26">
        <f t="shared" si="38"/>
        <v>-22307046.379999999</v>
      </c>
      <c r="BH35" s="26">
        <f t="shared" si="38"/>
        <v>-9958861.9700000007</v>
      </c>
      <c r="BI35" s="26">
        <f t="shared" si="38"/>
        <v>-6747422.2300000004</v>
      </c>
      <c r="BJ35" s="26">
        <f t="shared" si="38"/>
        <v>-16050225.99</v>
      </c>
      <c r="BK35" s="26">
        <f t="shared" si="38"/>
        <v>-12245012.15</v>
      </c>
      <c r="BL35" s="26">
        <f t="shared" si="38"/>
        <v>-4371087.49</v>
      </c>
      <c r="BM35" s="26">
        <f t="shared" si="38"/>
        <v>-2211149.4700000002</v>
      </c>
      <c r="BN35" s="26">
        <f t="shared" si="38"/>
        <v>-17461501.870000001</v>
      </c>
      <c r="BO35" s="26">
        <f t="shared" ref="BO35:CJ35" si="39">BO23+BO68</f>
        <v>-15259418.529999999</v>
      </c>
      <c r="BP35" s="26">
        <f t="shared" si="39"/>
        <v>-11910236.880000001</v>
      </c>
      <c r="BQ35" s="26">
        <f t="shared" si="39"/>
        <v>-2661960.19</v>
      </c>
      <c r="BR35" s="26">
        <f t="shared" si="39"/>
        <v>-5742353.4900000002</v>
      </c>
      <c r="BS35" s="26">
        <f t="shared" si="39"/>
        <v>1336222</v>
      </c>
      <c r="BT35" s="26">
        <f t="shared" si="39"/>
        <v>6680065.6699999999</v>
      </c>
      <c r="BU35" s="26">
        <f t="shared" si="39"/>
        <v>11277315.43</v>
      </c>
      <c r="BV35" s="26">
        <f t="shared" si="39"/>
        <v>41920771.770000003</v>
      </c>
      <c r="BW35" s="26">
        <f t="shared" si="39"/>
        <v>0</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413</v>
      </c>
      <c r="B36" s="26">
        <f>B35*B41</f>
        <v>-958225.76624682616</v>
      </c>
      <c r="C36" s="26">
        <f t="shared" ref="C36:BN36" si="40">C35*C41</f>
        <v>-1190212.648839466</v>
      </c>
      <c r="D36" s="26">
        <f t="shared" si="40"/>
        <v>-1161535.9885528844</v>
      </c>
      <c r="E36" s="26">
        <f t="shared" si="40"/>
        <v>15454641.141425233</v>
      </c>
      <c r="F36" s="26">
        <f t="shared" si="40"/>
        <v>-15042533.202721111</v>
      </c>
      <c r="G36" s="26">
        <f t="shared" si="40"/>
        <v>-10535640.007479521</v>
      </c>
      <c r="H36" s="26">
        <f t="shared" si="40"/>
        <v>-10195067.678686518</v>
      </c>
      <c r="I36" s="26">
        <f t="shared" si="40"/>
        <v>11343229.34768928</v>
      </c>
      <c r="J36" s="26">
        <f t="shared" si="40"/>
        <v>-8773864.8588318117</v>
      </c>
      <c r="K36" s="26">
        <f t="shared" si="40"/>
        <v>-355779.62769226625</v>
      </c>
      <c r="L36" s="26">
        <f t="shared" si="40"/>
        <v>-3378912.954911401</v>
      </c>
      <c r="M36" s="26">
        <f t="shared" si="40"/>
        <v>30669819.4787516</v>
      </c>
      <c r="N36" s="26">
        <f t="shared" si="40"/>
        <v>-17536457.855796769</v>
      </c>
      <c r="O36" s="26">
        <f t="shared" si="40"/>
        <v>-13474139.038504954</v>
      </c>
      <c r="P36" s="26">
        <f t="shared" si="40"/>
        <v>-4918310.8623945443</v>
      </c>
      <c r="Q36" s="26">
        <f t="shared" si="40"/>
        <v>33586891.734610491</v>
      </c>
      <c r="R36" s="26">
        <f t="shared" si="40"/>
        <v>-32460867.582079329</v>
      </c>
      <c r="S36" s="26">
        <f t="shared" si="40"/>
        <v>-24666094.387678411</v>
      </c>
      <c r="T36" s="26">
        <f t="shared" si="40"/>
        <v>-13846466.464715971</v>
      </c>
      <c r="U36" s="26">
        <f t="shared" si="40"/>
        <v>106081904.78020754</v>
      </c>
      <c r="V36" s="26">
        <f t="shared" si="40"/>
        <v>-110039362.19509241</v>
      </c>
      <c r="W36" s="26">
        <f t="shared" si="40"/>
        <v>-88185043.246067703</v>
      </c>
      <c r="X36" s="26">
        <f t="shared" si="40"/>
        <v>-59119287.428190105</v>
      </c>
      <c r="Y36" s="26">
        <f t="shared" si="40"/>
        <v>80712228.821090132</v>
      </c>
      <c r="Z36" s="26">
        <f t="shared" si="40"/>
        <v>-105624810.88535345</v>
      </c>
      <c r="AA36" s="26">
        <f t="shared" si="40"/>
        <v>-74385931.445670858</v>
      </c>
      <c r="AB36" s="26">
        <f t="shared" si="40"/>
        <v>-46822985.87848381</v>
      </c>
      <c r="AC36" s="26">
        <f t="shared" si="40"/>
        <v>63851598.716327801</v>
      </c>
      <c r="AD36" s="26">
        <f t="shared" si="40"/>
        <v>-87706970.529573947</v>
      </c>
      <c r="AE36" s="26">
        <f t="shared" si="40"/>
        <v>-55132934.911901489</v>
      </c>
      <c r="AF36" s="26">
        <f t="shared" si="40"/>
        <v>-37204928.073412493</v>
      </c>
      <c r="AG36" s="26">
        <f t="shared" si="40"/>
        <v>30817088.572727334</v>
      </c>
      <c r="AH36" s="26">
        <f t="shared" si="40"/>
        <v>-44934419.59574873</v>
      </c>
      <c r="AI36" s="26">
        <f t="shared" si="40"/>
        <v>-34582670.663706474</v>
      </c>
      <c r="AJ36" s="26">
        <f t="shared" si="40"/>
        <v>-25139131.12261555</v>
      </c>
      <c r="AK36" s="26">
        <f t="shared" si="40"/>
        <v>-11567231.933420099</v>
      </c>
      <c r="AL36" s="26">
        <f t="shared" si="40"/>
        <v>-33574212.462694779</v>
      </c>
      <c r="AM36" s="26">
        <f t="shared" si="40"/>
        <v>-22594228.298612617</v>
      </c>
      <c r="AN36" s="26">
        <f t="shared" si="40"/>
        <v>-21957579.98042364</v>
      </c>
      <c r="AO36" s="26">
        <f t="shared" si="40"/>
        <v>-20324074.036359917</v>
      </c>
      <c r="AP36" s="26">
        <f t="shared" si="40"/>
        <v>-26352575.633011095</v>
      </c>
      <c r="AQ36" s="26">
        <f t="shared" si="40"/>
        <v>-15527424.569347996</v>
      </c>
      <c r="AR36" s="26">
        <f t="shared" si="40"/>
        <v>-11526280.875267595</v>
      </c>
      <c r="AS36" s="26">
        <f t="shared" si="40"/>
        <v>-9915884.2341614105</v>
      </c>
      <c r="AT36" s="26">
        <f t="shared" si="40"/>
        <v>-15395793.086962324</v>
      </c>
      <c r="AU36" s="26">
        <f t="shared" si="40"/>
        <v>-12762079.400151031</v>
      </c>
      <c r="AV36" s="26">
        <f t="shared" si="40"/>
        <v>-11313890.266149437</v>
      </c>
      <c r="AW36" s="26">
        <f t="shared" si="40"/>
        <v>-9570315.5195108764</v>
      </c>
      <c r="AX36" s="26">
        <f t="shared" si="40"/>
        <v>-9283811.8276480455</v>
      </c>
      <c r="AY36" s="26">
        <f t="shared" si="40"/>
        <v>-5293513.9778322363</v>
      </c>
      <c r="AZ36" s="26">
        <f t="shared" si="40"/>
        <v>-2329170.4842110942</v>
      </c>
      <c r="BA36" s="26">
        <f t="shared" si="40"/>
        <v>-854982.96905096387</v>
      </c>
      <c r="BB36" s="26">
        <f t="shared" si="40"/>
        <v>-12620951.65813384</v>
      </c>
      <c r="BC36" s="26">
        <f t="shared" si="40"/>
        <v>-5144607.8680994315</v>
      </c>
      <c r="BD36" s="26">
        <f t="shared" si="40"/>
        <v>-2722334.5837321267</v>
      </c>
      <c r="BE36" s="26">
        <f t="shared" si="40"/>
        <v>-1166520.1006145345</v>
      </c>
      <c r="BF36" s="26">
        <f t="shared" si="40"/>
        <v>-11099071.3325302</v>
      </c>
      <c r="BG36" s="26">
        <f t="shared" si="40"/>
        <v>-8603660.8614385221</v>
      </c>
      <c r="BH36" s="26">
        <f t="shared" si="40"/>
        <v>-3595044.3566267593</v>
      </c>
      <c r="BI36" s="26">
        <f t="shared" si="40"/>
        <v>-2183814.6835135082</v>
      </c>
      <c r="BJ36" s="26">
        <f t="shared" si="40"/>
        <v>-6063050.8397091432</v>
      </c>
      <c r="BK36" s="26">
        <f t="shared" si="40"/>
        <v>-4669509.9238716848</v>
      </c>
      <c r="BL36" s="26">
        <f t="shared" si="40"/>
        <v>-1587785.5947611253</v>
      </c>
      <c r="BM36" s="26">
        <f t="shared" si="40"/>
        <v>-756227.51775823114</v>
      </c>
      <c r="BN36" s="26">
        <f t="shared" si="40"/>
        <v>-6940707.7894687597</v>
      </c>
      <c r="BO36" s="26">
        <f t="shared" ref="BO36:CJ36" si="41">BO35*BO41</f>
        <v>-6043691.2721860791</v>
      </c>
      <c r="BP36" s="26">
        <f t="shared" si="41"/>
        <v>-4617874.8860503444</v>
      </c>
      <c r="BQ36" s="26">
        <f t="shared" si="41"/>
        <v>-980447.9241370887</v>
      </c>
      <c r="BR36" s="26">
        <f t="shared" si="41"/>
        <v>-2510042.266599176</v>
      </c>
      <c r="BS36" s="26">
        <f t="shared" si="41"/>
        <v>513345.69978238334</v>
      </c>
      <c r="BT36" s="26">
        <f t="shared" si="41"/>
        <v>2840492.944144736</v>
      </c>
      <c r="BU36" s="26">
        <f t="shared" si="41"/>
        <v>4402918.0480993576</v>
      </c>
      <c r="BV36" s="26">
        <f t="shared" si="41"/>
        <v>13863952.873400008</v>
      </c>
      <c r="BW36" s="26" t="e">
        <f t="shared" si="41"/>
        <v>#DIV/0!</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414</v>
      </c>
      <c r="B37" s="26">
        <f>B35-B36</f>
        <v>-2537347.4637531741</v>
      </c>
      <c r="C37" s="26">
        <f t="shared" ref="C37:BN37" si="42">C35-C36</f>
        <v>-3166133.6411605338</v>
      </c>
      <c r="D37" s="26">
        <f t="shared" si="42"/>
        <v>-3027731.961447116</v>
      </c>
      <c r="E37" s="26">
        <f t="shared" si="42"/>
        <v>41772173.208574772</v>
      </c>
      <c r="F37" s="26">
        <f t="shared" si="42"/>
        <v>-40645398.987278886</v>
      </c>
      <c r="G37" s="26">
        <f t="shared" si="42"/>
        <v>-28714255.742520481</v>
      </c>
      <c r="H37" s="26">
        <f t="shared" si="42"/>
        <v>-27293324.201313484</v>
      </c>
      <c r="I37" s="26">
        <f t="shared" si="42"/>
        <v>30654287.672310717</v>
      </c>
      <c r="J37" s="26">
        <f t="shared" si="42"/>
        <v>-24401323.661168188</v>
      </c>
      <c r="K37" s="26">
        <f t="shared" si="42"/>
        <v>-946244.37230773375</v>
      </c>
      <c r="L37" s="26">
        <f t="shared" si="42"/>
        <v>-8847207.6450885981</v>
      </c>
      <c r="M37" s="26">
        <f t="shared" si="42"/>
        <v>76559835.121248394</v>
      </c>
      <c r="N37" s="26">
        <f t="shared" si="42"/>
        <v>-49730343.11420323</v>
      </c>
      <c r="O37" s="26">
        <f t="shared" si="42"/>
        <v>-38657915.261495039</v>
      </c>
      <c r="P37" s="26">
        <f t="shared" si="42"/>
        <v>-14077289.247605454</v>
      </c>
      <c r="Q37" s="26">
        <f t="shared" si="42"/>
        <v>94233050.235389501</v>
      </c>
      <c r="R37" s="26">
        <f t="shared" si="42"/>
        <v>-90707926.257920682</v>
      </c>
      <c r="S37" s="26">
        <f t="shared" si="42"/>
        <v>-71106043.192321584</v>
      </c>
      <c r="T37" s="26">
        <f t="shared" si="42"/>
        <v>-40042769.27528403</v>
      </c>
      <c r="U37" s="26">
        <f t="shared" si="42"/>
        <v>299304235.75979245</v>
      </c>
      <c r="V37" s="26">
        <f t="shared" si="42"/>
        <v>-319035002.48490763</v>
      </c>
      <c r="W37" s="26">
        <f t="shared" si="42"/>
        <v>-255641787.4339323</v>
      </c>
      <c r="X37" s="26">
        <f t="shared" si="42"/>
        <v>-179671245.98180988</v>
      </c>
      <c r="Y37" s="26">
        <f t="shared" si="42"/>
        <v>226479891.42890987</v>
      </c>
      <c r="Z37" s="26">
        <f t="shared" si="42"/>
        <v>-315351111.60464656</v>
      </c>
      <c r="AA37" s="26">
        <f t="shared" si="42"/>
        <v>-223079256.07432914</v>
      </c>
      <c r="AB37" s="26">
        <f t="shared" si="42"/>
        <v>-140377834.73151621</v>
      </c>
      <c r="AC37" s="26">
        <f t="shared" si="42"/>
        <v>191048410.60367221</v>
      </c>
      <c r="AD37" s="26">
        <f t="shared" si="42"/>
        <v>-263044526.39042607</v>
      </c>
      <c r="AE37" s="26">
        <f t="shared" si="42"/>
        <v>-162680570.40809852</v>
      </c>
      <c r="AF37" s="26">
        <f t="shared" si="42"/>
        <v>-111683617.1165875</v>
      </c>
      <c r="AG37" s="26">
        <f t="shared" si="42"/>
        <v>92570428.847272649</v>
      </c>
      <c r="AH37" s="26">
        <f t="shared" si="42"/>
        <v>-131642605.31425127</v>
      </c>
      <c r="AI37" s="26">
        <f t="shared" si="42"/>
        <v>-102747922.85629353</v>
      </c>
      <c r="AJ37" s="26">
        <f t="shared" si="42"/>
        <v>-74635642.387384459</v>
      </c>
      <c r="AK37" s="26">
        <f t="shared" si="42"/>
        <v>-34680779.186579898</v>
      </c>
      <c r="AL37" s="26">
        <f t="shared" si="42"/>
        <v>-100061903.31730522</v>
      </c>
      <c r="AM37" s="26">
        <f t="shared" si="42"/>
        <v>-67835215.391387373</v>
      </c>
      <c r="AN37" s="26">
        <f t="shared" si="42"/>
        <v>-65827149.529576361</v>
      </c>
      <c r="AO37" s="26">
        <f t="shared" si="42"/>
        <v>-60983323.043640077</v>
      </c>
      <c r="AP37" s="26">
        <f t="shared" si="42"/>
        <v>-76148189.69698891</v>
      </c>
      <c r="AQ37" s="26">
        <f t="shared" si="42"/>
        <v>-46654600.440651998</v>
      </c>
      <c r="AR37" s="26">
        <f t="shared" si="42"/>
        <v>-34596261.234732404</v>
      </c>
      <c r="AS37" s="26">
        <f t="shared" si="42"/>
        <v>-29764583.685838591</v>
      </c>
      <c r="AT37" s="26">
        <f t="shared" si="42"/>
        <v>-29348031.863037679</v>
      </c>
      <c r="AU37" s="26">
        <f t="shared" si="42"/>
        <v>-25395938.309848972</v>
      </c>
      <c r="AV37" s="26">
        <f t="shared" si="42"/>
        <v>-21652258.853850566</v>
      </c>
      <c r="AW37" s="26">
        <f t="shared" si="42"/>
        <v>-17181607.720489122</v>
      </c>
      <c r="AX37" s="26">
        <f t="shared" si="42"/>
        <v>-15984556.062351955</v>
      </c>
      <c r="AY37" s="26">
        <f t="shared" si="42"/>
        <v>-9175498.9421677627</v>
      </c>
      <c r="AZ37" s="26">
        <f t="shared" si="42"/>
        <v>-4369063.6457889061</v>
      </c>
      <c r="BA37" s="26">
        <f t="shared" si="42"/>
        <v>-1964156.2409490361</v>
      </c>
      <c r="BB37" s="26">
        <f t="shared" si="42"/>
        <v>-19643642.291866161</v>
      </c>
      <c r="BC37" s="26">
        <f t="shared" si="42"/>
        <v>-9081296.111900568</v>
      </c>
      <c r="BD37" s="26">
        <f t="shared" si="42"/>
        <v>-5385545.866267873</v>
      </c>
      <c r="BE37" s="26">
        <f t="shared" si="42"/>
        <v>-2580403.9193854658</v>
      </c>
      <c r="BF37" s="26">
        <f t="shared" si="42"/>
        <v>-14894724.207469799</v>
      </c>
      <c r="BG37" s="26">
        <f t="shared" si="42"/>
        <v>-13703385.518561477</v>
      </c>
      <c r="BH37" s="26">
        <f t="shared" si="42"/>
        <v>-6363817.6133732414</v>
      </c>
      <c r="BI37" s="26">
        <f t="shared" si="42"/>
        <v>-4563607.5464864923</v>
      </c>
      <c r="BJ37" s="26">
        <f t="shared" si="42"/>
        <v>-9987175.150290858</v>
      </c>
      <c r="BK37" s="26">
        <f t="shared" si="42"/>
        <v>-7575502.2261283156</v>
      </c>
      <c r="BL37" s="26">
        <f t="shared" si="42"/>
        <v>-2783301.8952388749</v>
      </c>
      <c r="BM37" s="26">
        <f t="shared" si="42"/>
        <v>-1454921.9522417691</v>
      </c>
      <c r="BN37" s="26">
        <f t="shared" si="42"/>
        <v>-10520794.080531241</v>
      </c>
      <c r="BO37" s="26">
        <f t="shared" ref="BO37:CJ37" si="43">BO35-BO36</f>
        <v>-9215727.2578139193</v>
      </c>
      <c r="BP37" s="26">
        <f t="shared" si="43"/>
        <v>-7292361.9939496564</v>
      </c>
      <c r="BQ37" s="26">
        <f t="shared" si="43"/>
        <v>-1681512.2658629112</v>
      </c>
      <c r="BR37" s="26">
        <f t="shared" si="43"/>
        <v>-3232311.2234008242</v>
      </c>
      <c r="BS37" s="26">
        <f t="shared" si="43"/>
        <v>822876.3002176166</v>
      </c>
      <c r="BT37" s="26">
        <f t="shared" si="43"/>
        <v>3839572.7258552639</v>
      </c>
      <c r="BU37" s="26">
        <f t="shared" si="43"/>
        <v>6874397.3819006421</v>
      </c>
      <c r="BV37" s="26">
        <f t="shared" si="43"/>
        <v>28056818.896599993</v>
      </c>
      <c r="BW37" s="26" t="e">
        <f t="shared" si="43"/>
        <v>#DIV/0!</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415</v>
      </c>
      <c r="B38" s="28">
        <f>B31-B35</f>
        <v>47416185647.099998</v>
      </c>
      <c r="C38" s="28">
        <f t="shared" ref="C38:BN38" si="44">C31-C35</f>
        <v>32963097385.23</v>
      </c>
      <c r="D38" s="28">
        <f t="shared" si="44"/>
        <v>20913643214.880001</v>
      </c>
      <c r="E38" s="28">
        <f t="shared" si="44"/>
        <v>11264175984.110001</v>
      </c>
      <c r="F38" s="28">
        <f t="shared" si="44"/>
        <v>36034275142.830009</v>
      </c>
      <c r="G38" s="28">
        <f t="shared" si="44"/>
        <v>26567486508.830006</v>
      </c>
      <c r="H38" s="28">
        <f t="shared" si="44"/>
        <v>14852183854.499998</v>
      </c>
      <c r="I38" s="28">
        <f t="shared" si="44"/>
        <v>8183137442.4400005</v>
      </c>
      <c r="J38" s="28">
        <f t="shared" si="44"/>
        <v>22789814415.189999</v>
      </c>
      <c r="K38" s="28">
        <f t="shared" si="44"/>
        <v>17228809769.170002</v>
      </c>
      <c r="L38" s="28">
        <f t="shared" si="44"/>
        <v>12259298641.900002</v>
      </c>
      <c r="M38" s="28">
        <f t="shared" si="44"/>
        <v>6973838522.8899984</v>
      </c>
      <c r="N38" s="28">
        <f t="shared" si="44"/>
        <v>21276246401.669998</v>
      </c>
      <c r="O38" s="28">
        <f t="shared" si="44"/>
        <v>15613301029.969999</v>
      </c>
      <c r="P38" s="28">
        <f t="shared" si="44"/>
        <v>10755947628.290001</v>
      </c>
      <c r="Q38" s="28">
        <f t="shared" si="44"/>
        <v>5988934856.7999992</v>
      </c>
      <c r="R38" s="28">
        <f t="shared" si="44"/>
        <v>21297732023.059998</v>
      </c>
      <c r="S38" s="28">
        <f t="shared" si="44"/>
        <v>14768044594.980001</v>
      </c>
      <c r="T38" s="28">
        <f t="shared" si="44"/>
        <v>9958006581.3799992</v>
      </c>
      <c r="U38" s="28">
        <f t="shared" si="44"/>
        <v>5194935628.4899998</v>
      </c>
      <c r="V38" s="28">
        <f t="shared" si="44"/>
        <v>21319163551.360001</v>
      </c>
      <c r="W38" s="28">
        <f t="shared" si="44"/>
        <v>15616018837.020002</v>
      </c>
      <c r="X38" s="28">
        <f t="shared" si="44"/>
        <v>10115968194.529999</v>
      </c>
      <c r="Y38" s="28">
        <f t="shared" si="44"/>
        <v>5117285038.1499987</v>
      </c>
      <c r="Z38" s="28">
        <f t="shared" si="44"/>
        <v>18700490469.160004</v>
      </c>
      <c r="AA38" s="28">
        <f t="shared" si="44"/>
        <v>14585256656</v>
      </c>
      <c r="AB38" s="28">
        <f t="shared" si="44"/>
        <v>9800176180.670002</v>
      </c>
      <c r="AC38" s="28">
        <f t="shared" si="44"/>
        <v>4173461662.4699998</v>
      </c>
      <c r="AD38" s="28">
        <f t="shared" si="44"/>
        <v>12334660473.800001</v>
      </c>
      <c r="AE38" s="28">
        <f t="shared" si="44"/>
        <v>9279554251.710001</v>
      </c>
      <c r="AF38" s="28">
        <f t="shared" si="44"/>
        <v>6887346890</v>
      </c>
      <c r="AG38" s="28">
        <f t="shared" si="44"/>
        <v>2653821871.9400001</v>
      </c>
      <c r="AH38" s="28">
        <f t="shared" si="44"/>
        <v>7162416731.3699999</v>
      </c>
      <c r="AI38" s="28">
        <f t="shared" si="44"/>
        <v>5895784354.3600006</v>
      </c>
      <c r="AJ38" s="28">
        <f t="shared" si="44"/>
        <v>4377516308.7699995</v>
      </c>
      <c r="AK38" s="28">
        <f t="shared" si="44"/>
        <v>1792780671.0499995</v>
      </c>
      <c r="AL38" s="28">
        <f t="shared" si="44"/>
        <v>6080539884.6399994</v>
      </c>
      <c r="AM38" s="28">
        <f t="shared" si="44"/>
        <v>5305366861.1099997</v>
      </c>
      <c r="AN38" s="28">
        <f t="shared" si="44"/>
        <v>3905799158.5500007</v>
      </c>
      <c r="AO38" s="28">
        <f t="shared" si="44"/>
        <v>1705043160.3299997</v>
      </c>
      <c r="AP38" s="28">
        <f t="shared" si="44"/>
        <v>5385300638.1600008</v>
      </c>
      <c r="AQ38" s="28">
        <f t="shared" si="44"/>
        <v>4403890919.5999994</v>
      </c>
      <c r="AR38" s="28">
        <f t="shared" si="44"/>
        <v>3135524311.4900012</v>
      </c>
      <c r="AS38" s="28">
        <f t="shared" si="44"/>
        <v>1222557777.8900003</v>
      </c>
      <c r="AT38" s="28">
        <f t="shared" si="44"/>
        <v>4522025015.9299994</v>
      </c>
      <c r="AU38" s="28">
        <f t="shared" si="44"/>
        <v>2508046766.7200003</v>
      </c>
      <c r="AV38" s="28">
        <f t="shared" si="44"/>
        <v>1361060350.8300002</v>
      </c>
      <c r="AW38" s="28">
        <f t="shared" si="44"/>
        <v>874168408.32000017</v>
      </c>
      <c r="AX38" s="28">
        <f t="shared" si="44"/>
        <v>2487364567.0700002</v>
      </c>
      <c r="AY38" s="28">
        <f t="shared" si="44"/>
        <v>1566849093.6800001</v>
      </c>
      <c r="AZ38" s="28">
        <f t="shared" si="44"/>
        <v>972004011.6099999</v>
      </c>
      <c r="BA38" s="28">
        <f t="shared" si="44"/>
        <v>672432555.83000004</v>
      </c>
      <c r="BB38" s="28">
        <f t="shared" si="44"/>
        <v>1920197398.6800003</v>
      </c>
      <c r="BC38" s="28">
        <f t="shared" si="44"/>
        <v>1150734502.97</v>
      </c>
      <c r="BD38" s="28">
        <f t="shared" si="44"/>
        <v>756766642.68000007</v>
      </c>
      <c r="BE38" s="28">
        <f t="shared" si="44"/>
        <v>557507573.51999986</v>
      </c>
      <c r="BF38" s="28">
        <f t="shared" si="44"/>
        <v>1490670632.3900003</v>
      </c>
      <c r="BG38" s="28">
        <f t="shared" si="44"/>
        <v>875770767.56000006</v>
      </c>
      <c r="BH38" s="28">
        <f t="shared" si="44"/>
        <v>569713175.75999999</v>
      </c>
      <c r="BI38" s="28">
        <f t="shared" si="44"/>
        <v>401170213.18000007</v>
      </c>
      <c r="BJ38" s="28">
        <f t="shared" si="44"/>
        <v>975609206.32999969</v>
      </c>
      <c r="BK38" s="28">
        <f t="shared" si="44"/>
        <v>593899439.52999985</v>
      </c>
      <c r="BL38" s="28">
        <f t="shared" si="44"/>
        <v>409501594.28000003</v>
      </c>
      <c r="BM38" s="28">
        <f t="shared" si="44"/>
        <v>340107152.71999997</v>
      </c>
      <c r="BN38" s="28">
        <f t="shared" si="44"/>
        <v>646020756.08000016</v>
      </c>
      <c r="BO38" s="28">
        <f t="shared" ref="BO38:CJ38" si="45">BO31-BO35</f>
        <v>525737420.49000001</v>
      </c>
      <c r="BP38" s="28">
        <f t="shared" si="45"/>
        <v>401138323.20999992</v>
      </c>
      <c r="BQ38" s="28">
        <f t="shared" si="45"/>
        <v>337226296.7899999</v>
      </c>
      <c r="BR38" s="28">
        <f t="shared" si="45"/>
        <v>606053790.58999968</v>
      </c>
      <c r="BS38" s="28">
        <f t="shared" si="45"/>
        <v>372029417.61000001</v>
      </c>
      <c r="BT38" s="28">
        <f t="shared" si="45"/>
        <v>445794869.4799999</v>
      </c>
      <c r="BU38" s="28">
        <f t="shared" si="45"/>
        <v>353213489.99999994</v>
      </c>
      <c r="BV38" s="28">
        <f t="shared" si="45"/>
        <v>217932827.72</v>
      </c>
      <c r="BW38" s="28">
        <f t="shared" si="45"/>
        <v>0</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c r="A39" s="57" t="s">
        <v>416</v>
      </c>
      <c r="B39" s="57">
        <f>B38/B4*100</f>
        <v>64.390157140439186</v>
      </c>
      <c r="C39" s="57">
        <f t="shared" ref="C39:D39" si="46">C38/C4*100</f>
        <v>63.097327084025665</v>
      </c>
      <c r="D39" s="57">
        <f t="shared" si="46"/>
        <v>62.621866889931709</v>
      </c>
      <c r="E39" s="57">
        <f>E38/E4</f>
        <v>0.64491404329054758</v>
      </c>
      <c r="F39" s="57">
        <f t="shared" ref="F39:BQ39" si="47">F38/F4</f>
        <v>0.61895566634391996</v>
      </c>
      <c r="G39" s="57">
        <f t="shared" si="47"/>
        <v>0.62584673558244663</v>
      </c>
      <c r="H39" s="57">
        <f t="shared" si="47"/>
        <v>0.61397954942854704</v>
      </c>
      <c r="I39" s="57">
        <f t="shared" si="47"/>
        <v>0.61487409721276798</v>
      </c>
      <c r="J39" s="57">
        <f t="shared" si="47"/>
        <v>0.58642640620105013</v>
      </c>
      <c r="K39" s="57">
        <f t="shared" si="47"/>
        <v>0.64692418111276884</v>
      </c>
      <c r="L39" s="57">
        <f t="shared" si="47"/>
        <v>0.67457988972193506</v>
      </c>
      <c r="M39" s="57">
        <f t="shared" si="47"/>
        <v>0.69816903196518942</v>
      </c>
      <c r="N39" s="57">
        <f t="shared" si="47"/>
        <v>0.65145491689782986</v>
      </c>
      <c r="O39" s="57">
        <f t="shared" si="47"/>
        <v>0.67447884657091672</v>
      </c>
      <c r="P39" s="57">
        <f t="shared" si="47"/>
        <v>0.68167741572914387</v>
      </c>
      <c r="Q39" s="57">
        <f t="shared" si="47"/>
        <v>0.70092968134265587</v>
      </c>
      <c r="R39" s="57">
        <f t="shared" si="47"/>
        <v>0.67453538454012374</v>
      </c>
      <c r="S39" s="57">
        <f t="shared" si="47"/>
        <v>0.67998507983366852</v>
      </c>
      <c r="T39" s="57">
        <f t="shared" si="47"/>
        <v>0.69531245338215053</v>
      </c>
      <c r="U39" s="57">
        <f t="shared" si="47"/>
        <v>0.69732310558320276</v>
      </c>
      <c r="V39" s="57">
        <f t="shared" si="47"/>
        <v>0.68945412762596925</v>
      </c>
      <c r="W39" s="57">
        <f t="shared" si="47"/>
        <v>0.71189930342422314</v>
      </c>
      <c r="X39" s="57">
        <f t="shared" si="47"/>
        <v>0.71602939479042527</v>
      </c>
      <c r="Y39" s="57">
        <f t="shared" si="47"/>
        <v>0.71412754220114649</v>
      </c>
      <c r="Z39" s="57">
        <f t="shared" si="47"/>
        <v>0.7068702914181928</v>
      </c>
      <c r="AA39" s="57">
        <f t="shared" si="47"/>
        <v>0.73177139635313382</v>
      </c>
      <c r="AB39" s="57">
        <f t="shared" si="47"/>
        <v>0.73883087255829039</v>
      </c>
      <c r="AC39" s="57">
        <f t="shared" si="47"/>
        <v>0.6937307249167789</v>
      </c>
      <c r="AD39" s="57">
        <f t="shared" si="47"/>
        <v>0.67027618665392275</v>
      </c>
      <c r="AE39" s="57">
        <f t="shared" si="47"/>
        <v>0.68021572415917952</v>
      </c>
      <c r="AF39" s="57">
        <f t="shared" si="47"/>
        <v>0.70094348235675097</v>
      </c>
      <c r="AG39" s="57">
        <f t="shared" si="47"/>
        <v>0.62877996657748247</v>
      </c>
      <c r="AH39" s="57">
        <f t="shared" si="47"/>
        <v>0.61568314599186225</v>
      </c>
      <c r="AI39" s="57">
        <f t="shared" si="47"/>
        <v>0.63208096365569266</v>
      </c>
      <c r="AJ39" s="57">
        <f t="shared" si="47"/>
        <v>0.66454217389845649</v>
      </c>
      <c r="AK39" s="57">
        <f t="shared" si="47"/>
        <v>0.58974870006945368</v>
      </c>
      <c r="AL39" s="57">
        <f t="shared" si="47"/>
        <v>0.62880459899969654</v>
      </c>
      <c r="AM39" s="57">
        <f t="shared" si="47"/>
        <v>0.67954775589949723</v>
      </c>
      <c r="AN39" s="57">
        <f t="shared" si="47"/>
        <v>0.70425440154840813</v>
      </c>
      <c r="AO39" s="57">
        <f t="shared" si="47"/>
        <v>0.67861410473386918</v>
      </c>
      <c r="AP39" s="57">
        <f t="shared" si="47"/>
        <v>0.65342223945200306</v>
      </c>
      <c r="AQ39" s="57">
        <f t="shared" si="47"/>
        <v>0.678929960225787</v>
      </c>
      <c r="AR39" s="57">
        <f t="shared" si="47"/>
        <v>0.67872644609102528</v>
      </c>
      <c r="AS39" s="57">
        <f t="shared" si="47"/>
        <v>0.61327313190746691</v>
      </c>
      <c r="AT39" s="57">
        <f t="shared" si="47"/>
        <v>0.62481081670169414</v>
      </c>
      <c r="AU39" s="57">
        <f t="shared" si="47"/>
        <v>0.56254637366194526</v>
      </c>
      <c r="AV39" s="57">
        <f t="shared" si="47"/>
        <v>0.51769278818878894</v>
      </c>
      <c r="AW39" s="57">
        <f t="shared" si="47"/>
        <v>0.55064405112468318</v>
      </c>
      <c r="AX39" s="57">
        <f t="shared" si="47"/>
        <v>0.50802075518303746</v>
      </c>
      <c r="AY39" s="57">
        <f t="shared" si="47"/>
        <v>0.48218853287592317</v>
      </c>
      <c r="AZ39" s="57">
        <f t="shared" si="47"/>
        <v>0.47894664666595782</v>
      </c>
      <c r="BA39" s="57">
        <f t="shared" si="47"/>
        <v>0.49644409288415331</v>
      </c>
      <c r="BB39" s="57">
        <f t="shared" si="47"/>
        <v>0.48853579813307141</v>
      </c>
      <c r="BC39" s="57">
        <f t="shared" si="47"/>
        <v>0.44596600633339961</v>
      </c>
      <c r="BD39" s="57">
        <f t="shared" si="47"/>
        <v>0.44881486351445077</v>
      </c>
      <c r="BE39" s="57">
        <f t="shared" si="47"/>
        <v>0.48732441674734328</v>
      </c>
      <c r="BF39" s="57">
        <f t="shared" si="47"/>
        <v>0.49527338753444528</v>
      </c>
      <c r="BG39" s="57">
        <f t="shared" si="47"/>
        <v>0.42298812837240218</v>
      </c>
      <c r="BH39" s="57">
        <f t="shared" si="47"/>
        <v>0.43353563907182685</v>
      </c>
      <c r="BI39" s="57">
        <f t="shared" si="47"/>
        <v>0.47006704392630178</v>
      </c>
      <c r="BJ39" s="57">
        <f t="shared" si="47"/>
        <v>0.40633149471182228</v>
      </c>
      <c r="BK39" s="57">
        <f t="shared" si="47"/>
        <v>0.38248372030264627</v>
      </c>
      <c r="BL39" s="57">
        <f t="shared" si="47"/>
        <v>0.40582982238820597</v>
      </c>
      <c r="BM39" s="57">
        <f t="shared" si="47"/>
        <v>0.46343116483909585</v>
      </c>
      <c r="BN39" s="57">
        <f t="shared" si="47"/>
        <v>0.35207442171349751</v>
      </c>
      <c r="BO39" s="57">
        <f t="shared" si="47"/>
        <v>0.38547014488112435</v>
      </c>
      <c r="BP39" s="57">
        <f t="shared" si="47"/>
        <v>0.41975258196188781</v>
      </c>
      <c r="BQ39" s="57">
        <f t="shared" si="47"/>
        <v>0.46966478866524736</v>
      </c>
      <c r="BR39" s="57">
        <f t="shared" ref="BR39:CK39" si="48">BR38/BR4</f>
        <v>0.37455890825415777</v>
      </c>
      <c r="BS39" s="57">
        <f t="shared" si="48"/>
        <v>0.42572944925135586</v>
      </c>
      <c r="BT39" s="57">
        <f t="shared" si="48"/>
        <v>0.4001746355780752</v>
      </c>
      <c r="BU39" s="57">
        <f t="shared" si="48"/>
        <v>0.39648677611493061</v>
      </c>
      <c r="BV39" s="57">
        <f t="shared" si="48"/>
        <v>0.3469249096373011</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417</v>
      </c>
      <c r="B40" s="26">
        <f>B60</f>
        <v>12997985690.66</v>
      </c>
      <c r="C40" s="26">
        <f t="shared" ref="C40:BN40" si="49">C60</f>
        <v>9005963447.6000004</v>
      </c>
      <c r="D40" s="26">
        <f t="shared" si="49"/>
        <v>5798614348.8000002</v>
      </c>
      <c r="E40" s="26">
        <f t="shared" si="49"/>
        <v>3041997000.2800002</v>
      </c>
      <c r="F40" s="26">
        <f t="shared" si="49"/>
        <v>9733648906.6000004</v>
      </c>
      <c r="G40" s="26">
        <f t="shared" si="49"/>
        <v>7131368591.2299995</v>
      </c>
      <c r="H40" s="26">
        <f t="shared" si="49"/>
        <v>4039090821.9699998</v>
      </c>
      <c r="I40" s="26">
        <f t="shared" si="49"/>
        <v>2210206968.8800001</v>
      </c>
      <c r="J40" s="26">
        <f t="shared" si="49"/>
        <v>6027237847.2299995</v>
      </c>
      <c r="K40" s="26">
        <f t="shared" si="49"/>
        <v>4707793040.1099997</v>
      </c>
      <c r="L40" s="26">
        <f t="shared" si="49"/>
        <v>3388082316.0900002</v>
      </c>
      <c r="M40" s="26">
        <f t="shared" si="49"/>
        <v>1994656882.6400001</v>
      </c>
      <c r="N40" s="26">
        <f t="shared" si="49"/>
        <v>5546718336.1199999</v>
      </c>
      <c r="O40" s="26">
        <f t="shared" si="49"/>
        <v>4035440224.8800001</v>
      </c>
      <c r="P40" s="26">
        <f t="shared" si="49"/>
        <v>2784913019.29</v>
      </c>
      <c r="Q40" s="26">
        <f t="shared" si="49"/>
        <v>1573695806.3099999</v>
      </c>
      <c r="R40" s="26">
        <f t="shared" si="49"/>
        <v>5612970927.5</v>
      </c>
      <c r="S40" s="26">
        <f t="shared" si="49"/>
        <v>3803506856.02</v>
      </c>
      <c r="T40" s="26">
        <f t="shared" si="49"/>
        <v>2558640928.77</v>
      </c>
      <c r="U40" s="26">
        <f t="shared" si="49"/>
        <v>1359416643.96</v>
      </c>
      <c r="V40" s="26">
        <f t="shared" si="49"/>
        <v>5467460544.9200001</v>
      </c>
      <c r="W40" s="26">
        <f t="shared" si="49"/>
        <v>4005211849.6700001</v>
      </c>
      <c r="X40" s="26">
        <f t="shared" si="49"/>
        <v>2504491374.79</v>
      </c>
      <c r="Y40" s="26">
        <f t="shared" si="49"/>
        <v>1344524985.23</v>
      </c>
      <c r="Z40" s="26">
        <f t="shared" si="49"/>
        <v>4692039766.9899998</v>
      </c>
      <c r="AA40" s="26">
        <f t="shared" si="49"/>
        <v>3647276882.3000002</v>
      </c>
      <c r="AB40" s="26">
        <f t="shared" si="49"/>
        <v>2451236642.1199999</v>
      </c>
      <c r="AC40" s="26">
        <f t="shared" si="49"/>
        <v>1045438170.21</v>
      </c>
      <c r="AD40" s="26">
        <f t="shared" si="49"/>
        <v>3084336666.1799998</v>
      </c>
      <c r="AE40" s="26">
        <f t="shared" si="49"/>
        <v>2348839939.0999999</v>
      </c>
      <c r="AF40" s="26">
        <f t="shared" si="49"/>
        <v>1721040697.47</v>
      </c>
      <c r="AG40" s="26">
        <f t="shared" si="49"/>
        <v>662814727.08000004</v>
      </c>
      <c r="AH40" s="26">
        <f t="shared" si="49"/>
        <v>1822655234.4000001</v>
      </c>
      <c r="AI40" s="26">
        <f t="shared" si="49"/>
        <v>1484679876.53</v>
      </c>
      <c r="AJ40" s="26">
        <f t="shared" si="49"/>
        <v>1102953708.7</v>
      </c>
      <c r="AK40" s="26">
        <f t="shared" si="49"/>
        <v>448397873.24000001</v>
      </c>
      <c r="AL40" s="26">
        <f t="shared" si="49"/>
        <v>1527650940.6400001</v>
      </c>
      <c r="AM40" s="26">
        <f t="shared" si="49"/>
        <v>1325571242.9100001</v>
      </c>
      <c r="AN40" s="26">
        <f t="shared" si="49"/>
        <v>976956902.29999995</v>
      </c>
      <c r="AO40" s="26">
        <f t="shared" si="49"/>
        <v>426202592.50999999</v>
      </c>
      <c r="AP40" s="26">
        <f t="shared" si="49"/>
        <v>1384541295.05</v>
      </c>
      <c r="AQ40" s="26">
        <f t="shared" si="49"/>
        <v>1099692138.5999999</v>
      </c>
      <c r="AR40" s="26">
        <f t="shared" si="49"/>
        <v>783585037.86000001</v>
      </c>
      <c r="AS40" s="26">
        <f t="shared" si="49"/>
        <v>305509033.30000001</v>
      </c>
      <c r="AT40" s="26">
        <f t="shared" si="49"/>
        <v>1555972506.98</v>
      </c>
      <c r="AU40" s="26">
        <f t="shared" si="49"/>
        <v>838824810.53999996</v>
      </c>
      <c r="AV40" s="26">
        <f t="shared" si="49"/>
        <v>467112109.42000002</v>
      </c>
      <c r="AW40" s="26">
        <f t="shared" si="49"/>
        <v>312727702.22000003</v>
      </c>
      <c r="AX40" s="26">
        <f t="shared" si="49"/>
        <v>913878754.97000003</v>
      </c>
      <c r="AY40" s="26">
        <f t="shared" si="49"/>
        <v>573234513.25999999</v>
      </c>
      <c r="AZ40" s="26">
        <f t="shared" si="49"/>
        <v>337994016.10000002</v>
      </c>
      <c r="BA40" s="26">
        <f t="shared" si="49"/>
        <v>203934016.81999999</v>
      </c>
      <c r="BB40" s="26">
        <f t="shared" si="49"/>
        <v>751124237.92999995</v>
      </c>
      <c r="BC40" s="26">
        <f t="shared" si="49"/>
        <v>416147739.11000001</v>
      </c>
      <c r="BD40" s="26">
        <f t="shared" si="49"/>
        <v>254095014.83000001</v>
      </c>
      <c r="BE40" s="26">
        <f t="shared" si="49"/>
        <v>173567381.47999999</v>
      </c>
      <c r="BF40" s="26">
        <f t="shared" si="49"/>
        <v>636500339.35000002</v>
      </c>
      <c r="BG40" s="26">
        <f t="shared" si="49"/>
        <v>337778231.50999999</v>
      </c>
      <c r="BH40" s="26">
        <f t="shared" si="49"/>
        <v>205660460.36000001</v>
      </c>
      <c r="BI40" s="26">
        <f t="shared" si="49"/>
        <v>129839421.97</v>
      </c>
      <c r="BJ40" s="26">
        <f t="shared" si="49"/>
        <v>368541117.19999999</v>
      </c>
      <c r="BK40" s="26">
        <f t="shared" si="49"/>
        <v>226477466.31</v>
      </c>
      <c r="BL40" s="26">
        <f t="shared" si="49"/>
        <v>148750335.91</v>
      </c>
      <c r="BM40" s="26">
        <f t="shared" si="49"/>
        <v>116318861.01000001</v>
      </c>
      <c r="BN40" s="26">
        <f t="shared" si="49"/>
        <v>256784400.75</v>
      </c>
      <c r="BO40" s="26">
        <f t="shared" ref="BO40:CJ40" si="50">BO60</f>
        <v>208225146.55000001</v>
      </c>
      <c r="BP40" s="26">
        <f t="shared" si="50"/>
        <v>155530625.22999999</v>
      </c>
      <c r="BQ40" s="26">
        <f t="shared" si="50"/>
        <v>124206524.16</v>
      </c>
      <c r="BR40" s="26">
        <f t="shared" si="50"/>
        <v>264912397.47999999</v>
      </c>
      <c r="BS40" s="26">
        <f t="shared" si="50"/>
        <v>142925129</v>
      </c>
      <c r="BT40" s="26">
        <f t="shared" si="50"/>
        <v>189560588.75</v>
      </c>
      <c r="BU40" s="26">
        <f t="shared" si="50"/>
        <v>137902505.22</v>
      </c>
      <c r="BV40" s="26">
        <f t="shared" si="50"/>
        <v>72074304.109999999</v>
      </c>
      <c r="BW40" s="26">
        <f t="shared" si="50"/>
        <v>0</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608</v>
      </c>
      <c r="B41" s="57">
        <f>B40/B38</f>
        <v>0.27412550194144442</v>
      </c>
      <c r="C41" s="57">
        <f t="shared" ref="C41:BN41" si="51">C40/C38</f>
        <v>0.27321350728513044</v>
      </c>
      <c r="D41" s="57">
        <f t="shared" si="51"/>
        <v>0.27726466829434587</v>
      </c>
      <c r="E41" s="57">
        <f t="shared" si="51"/>
        <v>0.27005943484647654</v>
      </c>
      <c r="F41" s="57">
        <f t="shared" si="51"/>
        <v>0.27012195660987987</v>
      </c>
      <c r="G41" s="57">
        <f t="shared" si="51"/>
        <v>0.26842466218472749</v>
      </c>
      <c r="H41" s="57">
        <f t="shared" si="51"/>
        <v>0.27195265433953092</v>
      </c>
      <c r="I41" s="57">
        <f t="shared" si="51"/>
        <v>0.27009285673454037</v>
      </c>
      <c r="J41" s="57">
        <f t="shared" si="51"/>
        <v>0.26447068578200839</v>
      </c>
      <c r="K41" s="57">
        <f t="shared" si="51"/>
        <v>0.27325120557859628</v>
      </c>
      <c r="L41" s="57">
        <f t="shared" si="51"/>
        <v>0.27636836454168473</v>
      </c>
      <c r="M41" s="57">
        <f t="shared" si="51"/>
        <v>0.28601994096837835</v>
      </c>
      <c r="N41" s="57">
        <f t="shared" si="51"/>
        <v>0.26070004226331162</v>
      </c>
      <c r="O41" s="57">
        <f t="shared" si="51"/>
        <v>0.2584616934710926</v>
      </c>
      <c r="P41" s="57">
        <f t="shared" si="51"/>
        <v>0.25891842499913231</v>
      </c>
      <c r="Q41" s="57">
        <f t="shared" si="51"/>
        <v>0.26276722721790552</v>
      </c>
      <c r="R41" s="57">
        <f t="shared" si="51"/>
        <v>0.26354782384446324</v>
      </c>
      <c r="S41" s="57">
        <f t="shared" si="51"/>
        <v>0.25754979486674218</v>
      </c>
      <c r="T41" s="57">
        <f t="shared" si="51"/>
        <v>0.2569430847288533</v>
      </c>
      <c r="U41" s="57">
        <f t="shared" si="51"/>
        <v>0.26168113354566025</v>
      </c>
      <c r="V41" s="57">
        <f t="shared" si="51"/>
        <v>0.25645755433829942</v>
      </c>
      <c r="W41" s="57">
        <f t="shared" si="51"/>
        <v>0.25648098221904508</v>
      </c>
      <c r="X41" s="57">
        <f t="shared" si="51"/>
        <v>0.2475780198818984</v>
      </c>
      <c r="Y41" s="57">
        <f t="shared" si="51"/>
        <v>0.26274185924887872</v>
      </c>
      <c r="Z41" s="57">
        <f t="shared" si="51"/>
        <v>0.25090463668468471</v>
      </c>
      <c r="AA41" s="57">
        <f t="shared" si="51"/>
        <v>0.2500660062639079</v>
      </c>
      <c r="AB41" s="57">
        <f t="shared" si="51"/>
        <v>0.25012169137886026</v>
      </c>
      <c r="AC41" s="57">
        <f t="shared" si="51"/>
        <v>0.25049665116398201</v>
      </c>
      <c r="AD41" s="57">
        <f t="shared" si="51"/>
        <v>0.2500544439574503</v>
      </c>
      <c r="AE41" s="57">
        <f t="shared" si="51"/>
        <v>0.25311991022275282</v>
      </c>
      <c r="AF41" s="57">
        <f t="shared" si="51"/>
        <v>0.24988442210872872</v>
      </c>
      <c r="AG41" s="57">
        <f t="shared" si="51"/>
        <v>0.24975855918900405</v>
      </c>
      <c r="AH41" s="57">
        <f t="shared" si="51"/>
        <v>0.25447489342767821</v>
      </c>
      <c r="AI41" s="57">
        <f t="shared" si="51"/>
        <v>0.25182058693039916</v>
      </c>
      <c r="AJ41" s="57">
        <f t="shared" si="51"/>
        <v>0.25195878916323433</v>
      </c>
      <c r="AK41" s="57">
        <f t="shared" si="51"/>
        <v>0.25011306763887708</v>
      </c>
      <c r="AL41" s="57">
        <f t="shared" si="51"/>
        <v>0.25123606943175986</v>
      </c>
      <c r="AM41" s="57">
        <f t="shared" si="51"/>
        <v>0.24985477491233496</v>
      </c>
      <c r="AN41" s="57">
        <f t="shared" si="51"/>
        <v>0.25012983582665527</v>
      </c>
      <c r="AO41" s="57">
        <f t="shared" si="51"/>
        <v>0.24996586739042509</v>
      </c>
      <c r="AP41" s="57">
        <f t="shared" si="51"/>
        <v>0.25709637921404088</v>
      </c>
      <c r="AQ41" s="57">
        <f t="shared" si="51"/>
        <v>0.24970921366505683</v>
      </c>
      <c r="AR41" s="57">
        <f t="shared" si="51"/>
        <v>0.24990558516436456</v>
      </c>
      <c r="AS41" s="57">
        <f t="shared" si="51"/>
        <v>0.24989332923575591</v>
      </c>
      <c r="AT41" s="57">
        <f t="shared" si="51"/>
        <v>0.34408754960414539</v>
      </c>
      <c r="AU41" s="57">
        <f t="shared" si="51"/>
        <v>0.33445341676662876</v>
      </c>
      <c r="AV41" s="57">
        <f t="shared" si="51"/>
        <v>0.34319720586610747</v>
      </c>
      <c r="AW41" s="57">
        <f t="shared" si="51"/>
        <v>0.35774308387671933</v>
      </c>
      <c r="AX41" s="57">
        <f t="shared" si="51"/>
        <v>0.36740844790858573</v>
      </c>
      <c r="AY41" s="57">
        <f t="shared" si="51"/>
        <v>0.36585176937088781</v>
      </c>
      <c r="AZ41" s="57">
        <f t="shared" si="51"/>
        <v>0.34772903410157363</v>
      </c>
      <c r="BA41" s="57">
        <f t="shared" si="51"/>
        <v>0.30327802402172394</v>
      </c>
      <c r="BB41" s="57">
        <f t="shared" si="51"/>
        <v>0.39117032365857002</v>
      </c>
      <c r="BC41" s="57">
        <f t="shared" si="51"/>
        <v>0.36163662255362922</v>
      </c>
      <c r="BD41" s="57">
        <f t="shared" si="51"/>
        <v>0.33576402618666223</v>
      </c>
      <c r="BE41" s="57">
        <f t="shared" si="51"/>
        <v>0.31132739665602677</v>
      </c>
      <c r="BF41" s="57">
        <f t="shared" si="51"/>
        <v>0.42698925270265475</v>
      </c>
      <c r="BG41" s="57">
        <f t="shared" si="51"/>
        <v>0.38569251683415934</v>
      </c>
      <c r="BH41" s="57">
        <f t="shared" si="51"/>
        <v>0.36098947524892333</v>
      </c>
      <c r="BI41" s="57">
        <f t="shared" si="51"/>
        <v>0.32365170120879005</v>
      </c>
      <c r="BJ41" s="57">
        <f t="shared" si="51"/>
        <v>0.3777548579993012</v>
      </c>
      <c r="BK41" s="57">
        <f t="shared" si="51"/>
        <v>0.38133975423386446</v>
      </c>
      <c r="BL41" s="57">
        <f t="shared" si="51"/>
        <v>0.36324726933368362</v>
      </c>
      <c r="BM41" s="57">
        <f t="shared" si="51"/>
        <v>0.3420065120058261</v>
      </c>
      <c r="BN41" s="57">
        <f t="shared" si="51"/>
        <v>0.39748630107203714</v>
      </c>
      <c r="BO41" s="57">
        <f t="shared" ref="BO41:CJ41" si="52">BO40/BO38</f>
        <v>0.39606301251284176</v>
      </c>
      <c r="BP41" s="57">
        <f t="shared" si="52"/>
        <v>0.38772317734543194</v>
      </c>
      <c r="BQ41" s="57">
        <f t="shared" si="52"/>
        <v>0.36831802662574331</v>
      </c>
      <c r="BR41" s="57">
        <f t="shared" si="52"/>
        <v>0.43711037137826497</v>
      </c>
      <c r="BS41" s="57">
        <f t="shared" si="52"/>
        <v>0.38417695546277741</v>
      </c>
      <c r="BT41" s="57">
        <f t="shared" si="52"/>
        <v>0.42521931437011395</v>
      </c>
      <c r="BU41" s="57">
        <f t="shared" si="52"/>
        <v>0.39042253233306584</v>
      </c>
      <c r="BV41" s="57">
        <f t="shared" si="52"/>
        <v>0.33071797793860147</v>
      </c>
      <c r="BW41" s="57" t="e">
        <f t="shared" si="52"/>
        <v>#DIV/0!</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419</v>
      </c>
      <c r="B42" s="28">
        <f>B38-B40</f>
        <v>34418199956.440002</v>
      </c>
      <c r="C42" s="28">
        <f t="shared" ref="C42:BN42" si="53">C38-C40</f>
        <v>23957133937.629997</v>
      </c>
      <c r="D42" s="28">
        <f t="shared" si="53"/>
        <v>15115028866.080002</v>
      </c>
      <c r="E42" s="28">
        <f t="shared" si="53"/>
        <v>8222178983.8299999</v>
      </c>
      <c r="F42" s="28">
        <f t="shared" si="53"/>
        <v>26300626236.230011</v>
      </c>
      <c r="G42" s="28">
        <f t="shared" si="53"/>
        <v>19436117917.600006</v>
      </c>
      <c r="H42" s="28">
        <f t="shared" si="53"/>
        <v>10813093032.529999</v>
      </c>
      <c r="I42" s="28">
        <f t="shared" si="53"/>
        <v>5972930473.5600004</v>
      </c>
      <c r="J42" s="28">
        <f t="shared" si="53"/>
        <v>16762576567.959999</v>
      </c>
      <c r="K42" s="28">
        <f t="shared" si="53"/>
        <v>12521016729.060001</v>
      </c>
      <c r="L42" s="28">
        <f t="shared" si="53"/>
        <v>8871216325.8100014</v>
      </c>
      <c r="M42" s="28">
        <f t="shared" si="53"/>
        <v>4979181640.2499981</v>
      </c>
      <c r="N42" s="28">
        <f t="shared" si="53"/>
        <v>15729528065.549999</v>
      </c>
      <c r="O42" s="28">
        <f t="shared" si="53"/>
        <v>11577860805.09</v>
      </c>
      <c r="P42" s="28">
        <f t="shared" si="53"/>
        <v>7971034609.000001</v>
      </c>
      <c r="Q42" s="28">
        <f t="shared" si="53"/>
        <v>4415239050.4899998</v>
      </c>
      <c r="R42" s="28">
        <f t="shared" si="53"/>
        <v>15684761095.559998</v>
      </c>
      <c r="S42" s="28">
        <f t="shared" si="53"/>
        <v>10964537738.960001</v>
      </c>
      <c r="T42" s="28">
        <f t="shared" si="53"/>
        <v>7399365652.6099987</v>
      </c>
      <c r="U42" s="28">
        <f t="shared" si="53"/>
        <v>3835518984.5299997</v>
      </c>
      <c r="V42" s="28">
        <f t="shared" si="53"/>
        <v>15851703006.440001</v>
      </c>
      <c r="W42" s="28">
        <f t="shared" si="53"/>
        <v>11610806987.350002</v>
      </c>
      <c r="X42" s="28">
        <f t="shared" si="53"/>
        <v>7611476819.7399988</v>
      </c>
      <c r="Y42" s="28">
        <f t="shared" si="53"/>
        <v>3772760052.9199986</v>
      </c>
      <c r="Z42" s="28">
        <f t="shared" si="53"/>
        <v>14008450702.170004</v>
      </c>
      <c r="AA42" s="28">
        <f t="shared" si="53"/>
        <v>10937979773.700001</v>
      </c>
      <c r="AB42" s="28">
        <f t="shared" si="53"/>
        <v>7348939538.5500021</v>
      </c>
      <c r="AC42" s="28">
        <f t="shared" si="53"/>
        <v>3128023492.2599998</v>
      </c>
      <c r="AD42" s="28">
        <f t="shared" si="53"/>
        <v>9250323807.6200008</v>
      </c>
      <c r="AE42" s="28">
        <f t="shared" si="53"/>
        <v>6930714312.6100006</v>
      </c>
      <c r="AF42" s="28">
        <f t="shared" si="53"/>
        <v>5166306192.5299997</v>
      </c>
      <c r="AG42" s="28">
        <f t="shared" si="53"/>
        <v>1991007144.8600001</v>
      </c>
      <c r="AH42" s="28">
        <f t="shared" si="53"/>
        <v>5339761496.9699993</v>
      </c>
      <c r="AI42" s="28">
        <f t="shared" si="53"/>
        <v>4411104477.8300009</v>
      </c>
      <c r="AJ42" s="28">
        <f t="shared" si="53"/>
        <v>3274562600.0699997</v>
      </c>
      <c r="AK42" s="28">
        <f t="shared" si="53"/>
        <v>1344382797.8099995</v>
      </c>
      <c r="AL42" s="28">
        <f t="shared" si="53"/>
        <v>4552888943.999999</v>
      </c>
      <c r="AM42" s="28">
        <f t="shared" si="53"/>
        <v>3979795618.1999998</v>
      </c>
      <c r="AN42" s="28">
        <f t="shared" si="53"/>
        <v>2928842256.250001</v>
      </c>
      <c r="AO42" s="28">
        <f t="shared" si="53"/>
        <v>1278840567.8199997</v>
      </c>
      <c r="AP42" s="28">
        <f t="shared" si="53"/>
        <v>4000759343.1100006</v>
      </c>
      <c r="AQ42" s="28">
        <f t="shared" si="53"/>
        <v>3304198780.9999995</v>
      </c>
      <c r="AR42" s="28">
        <f t="shared" si="53"/>
        <v>2351939273.6300011</v>
      </c>
      <c r="AS42" s="28">
        <f t="shared" si="53"/>
        <v>917048744.59000039</v>
      </c>
      <c r="AT42" s="28">
        <f t="shared" si="53"/>
        <v>2966052508.9499993</v>
      </c>
      <c r="AU42" s="28">
        <f t="shared" si="53"/>
        <v>1669221956.1800003</v>
      </c>
      <c r="AV42" s="28">
        <f t="shared" si="53"/>
        <v>893948241.41000009</v>
      </c>
      <c r="AW42" s="28">
        <f t="shared" si="53"/>
        <v>561440706.10000014</v>
      </c>
      <c r="AX42" s="28">
        <f t="shared" si="53"/>
        <v>1573485812.1000001</v>
      </c>
      <c r="AY42" s="28">
        <f t="shared" si="53"/>
        <v>993614580.42000008</v>
      </c>
      <c r="AZ42" s="28">
        <f t="shared" si="53"/>
        <v>634009995.50999987</v>
      </c>
      <c r="BA42" s="28">
        <f t="shared" si="53"/>
        <v>468498539.01000005</v>
      </c>
      <c r="BB42" s="28">
        <f t="shared" si="53"/>
        <v>1169073160.7500005</v>
      </c>
      <c r="BC42" s="28">
        <f t="shared" si="53"/>
        <v>734586763.86000001</v>
      </c>
      <c r="BD42" s="28">
        <f t="shared" si="53"/>
        <v>502671627.85000002</v>
      </c>
      <c r="BE42" s="28">
        <f t="shared" si="53"/>
        <v>383940192.03999984</v>
      </c>
      <c r="BF42" s="28">
        <f t="shared" si="53"/>
        <v>854170293.04000032</v>
      </c>
      <c r="BG42" s="28">
        <f t="shared" si="53"/>
        <v>537992536.05000007</v>
      </c>
      <c r="BH42" s="28">
        <f t="shared" si="53"/>
        <v>364052715.39999998</v>
      </c>
      <c r="BI42" s="28">
        <f t="shared" si="53"/>
        <v>271330791.21000004</v>
      </c>
      <c r="BJ42" s="28">
        <f t="shared" si="53"/>
        <v>607068089.12999964</v>
      </c>
      <c r="BK42" s="28">
        <f t="shared" si="53"/>
        <v>367421973.21999985</v>
      </c>
      <c r="BL42" s="28">
        <f t="shared" si="53"/>
        <v>260751258.37000003</v>
      </c>
      <c r="BM42" s="28">
        <f t="shared" si="53"/>
        <v>223788291.70999998</v>
      </c>
      <c r="BN42" s="28">
        <f t="shared" si="53"/>
        <v>389236355.33000016</v>
      </c>
      <c r="BO42" s="28">
        <f t="shared" ref="BO42:CK42" si="54">BO38-BO40</f>
        <v>317512273.94</v>
      </c>
      <c r="BP42" s="28">
        <f t="shared" si="54"/>
        <v>245607697.97999993</v>
      </c>
      <c r="BQ42" s="28">
        <f t="shared" si="54"/>
        <v>213019772.62999991</v>
      </c>
      <c r="BR42" s="28">
        <f t="shared" si="54"/>
        <v>341141393.10999966</v>
      </c>
      <c r="BS42" s="28">
        <f t="shared" si="54"/>
        <v>229104288.61000001</v>
      </c>
      <c r="BT42" s="28">
        <f t="shared" si="54"/>
        <v>256234280.7299999</v>
      </c>
      <c r="BU42" s="28">
        <f t="shared" si="54"/>
        <v>215310984.77999994</v>
      </c>
      <c r="BV42" s="28">
        <f t="shared" si="54"/>
        <v>145858523.61000001</v>
      </c>
      <c r="BW42" s="28">
        <f t="shared" si="54"/>
        <v>0</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418</v>
      </c>
      <c r="B43" s="57">
        <f>B42/B4*100</f>
        <v>46.739172994227815</v>
      </c>
      <c r="C43" s="57">
        <f t="shared" ref="C43:D43" si="55">C42/C4*100</f>
        <v>45.858285051081964</v>
      </c>
      <c r="D43" s="57">
        <f t="shared" si="55"/>
        <v>45.259035738722119</v>
      </c>
      <c r="E43" s="57">
        <f>E42/E4</f>
        <v>0.47074892123494622</v>
      </c>
      <c r="F43" s="57">
        <f t="shared" ref="F43:BQ43" si="56">F42/F4</f>
        <v>0.45176215069632836</v>
      </c>
      <c r="G43" s="57">
        <f t="shared" si="56"/>
        <v>0.45785403700431393</v>
      </c>
      <c r="H43" s="57">
        <f t="shared" si="56"/>
        <v>0.44700618125126451</v>
      </c>
      <c r="I43" s="57">
        <f t="shared" si="56"/>
        <v>0.4488009957645</v>
      </c>
      <c r="J43" s="57">
        <f t="shared" si="56"/>
        <v>0.43133381239237978</v>
      </c>
      <c r="K43" s="57">
        <f t="shared" si="56"/>
        <v>0.47015136870575858</v>
      </c>
      <c r="L43" s="57">
        <f t="shared" si="56"/>
        <v>0.48814734884677385</v>
      </c>
      <c r="M43" s="57">
        <f t="shared" si="56"/>
        <v>0.49847876665655605</v>
      </c>
      <c r="N43" s="57">
        <f t="shared" si="56"/>
        <v>0.48162059252992351</v>
      </c>
      <c r="O43" s="57">
        <f t="shared" si="56"/>
        <v>0.5001519016757684</v>
      </c>
      <c r="P43" s="57">
        <f t="shared" si="56"/>
        <v>0.50517857289107515</v>
      </c>
      <c r="Q43" s="57">
        <f t="shared" si="56"/>
        <v>0.51674833250151608</v>
      </c>
      <c r="R43" s="57">
        <f t="shared" si="56"/>
        <v>0.49676305183848596</v>
      </c>
      <c r="S43" s="57">
        <f t="shared" si="56"/>
        <v>0.50485506201006192</v>
      </c>
      <c r="T43" s="57">
        <f t="shared" si="56"/>
        <v>0.51665672675975371</v>
      </c>
      <c r="U43" s="57">
        <f t="shared" si="56"/>
        <v>0.51484680486661016</v>
      </c>
      <c r="V43" s="57">
        <f t="shared" si="56"/>
        <v>0.51263840822656748</v>
      </c>
      <c r="W43" s="57">
        <f t="shared" si="56"/>
        <v>0.52931067084092442</v>
      </c>
      <c r="X43" s="57">
        <f t="shared" si="56"/>
        <v>0.53875625505097768</v>
      </c>
      <c r="Y43" s="57">
        <f t="shared" si="56"/>
        <v>0.52649634402238521</v>
      </c>
      <c r="Z43" s="57">
        <f t="shared" si="56"/>
        <v>0.52951325776671399</v>
      </c>
      <c r="AA43" s="57">
        <f t="shared" si="56"/>
        <v>0.54878024576894247</v>
      </c>
      <c r="AB43" s="57">
        <f t="shared" si="56"/>
        <v>0.55403324507109164</v>
      </c>
      <c r="AC43" s="57">
        <f t="shared" si="56"/>
        <v>0.51995350151556419</v>
      </c>
      <c r="AD43" s="57">
        <f t="shared" si="56"/>
        <v>0.50267064750225587</v>
      </c>
      <c r="AE43" s="57">
        <f t="shared" si="56"/>
        <v>0.50803958112790315</v>
      </c>
      <c r="AF43" s="57">
        <f t="shared" si="56"/>
        <v>0.52578862533715431</v>
      </c>
      <c r="AG43" s="57">
        <f t="shared" si="56"/>
        <v>0.47173678807818031</v>
      </c>
      <c r="AH43" s="57">
        <f t="shared" si="56"/>
        <v>0.45900724303036539</v>
      </c>
      <c r="AI43" s="57">
        <f t="shared" si="56"/>
        <v>0.47290996440038385</v>
      </c>
      <c r="AJ43" s="57">
        <f t="shared" si="56"/>
        <v>0.4971049324150979</v>
      </c>
      <c r="AK43" s="57">
        <f t="shared" si="56"/>
        <v>0.44224484355904253</v>
      </c>
      <c r="AL43" s="57">
        <f t="shared" si="56"/>
        <v>0.47082620310639889</v>
      </c>
      <c r="AM43" s="57">
        <f t="shared" si="56"/>
        <v>0.50975950430704597</v>
      </c>
      <c r="AN43" s="57">
        <f t="shared" si="56"/>
        <v>0.52809936370890542</v>
      </c>
      <c r="AO43" s="57">
        <f t="shared" si="56"/>
        <v>0.50898374142069081</v>
      </c>
      <c r="AP43" s="57">
        <f t="shared" si="56"/>
        <v>0.48542974759096302</v>
      </c>
      <c r="AQ43" s="57">
        <f t="shared" si="56"/>
        <v>0.50939489372415736</v>
      </c>
      <c r="AR43" s="57">
        <f t="shared" si="56"/>
        <v>0.50910891641411804</v>
      </c>
      <c r="AS43" s="57">
        <f t="shared" si="56"/>
        <v>0.46002026724427114</v>
      </c>
      <c r="AT43" s="57">
        <f t="shared" si="56"/>
        <v>0.40982119381664334</v>
      </c>
      <c r="AU43" s="57">
        <f t="shared" si="56"/>
        <v>0.37440081690103105</v>
      </c>
      <c r="AV43" s="57">
        <f t="shared" si="56"/>
        <v>0.34002206978536192</v>
      </c>
      <c r="AW43" s="57">
        <f t="shared" si="56"/>
        <v>0.35365495015696913</v>
      </c>
      <c r="AX43" s="57">
        <f t="shared" si="56"/>
        <v>0.32136963801589008</v>
      </c>
      <c r="AY43" s="57">
        <f t="shared" si="56"/>
        <v>0.30577900495291416</v>
      </c>
      <c r="AZ43" s="57">
        <f t="shared" si="56"/>
        <v>0.31240299183461662</v>
      </c>
      <c r="BA43" s="57">
        <f t="shared" si="56"/>
        <v>0.34588350935699008</v>
      </c>
      <c r="BB43" s="57">
        <f t="shared" si="56"/>
        <v>0.2974350918585601</v>
      </c>
      <c r="BC43" s="57">
        <f t="shared" si="56"/>
        <v>0.28468836602925857</v>
      </c>
      <c r="BD43" s="57">
        <f t="shared" si="56"/>
        <v>0.29811897792842146</v>
      </c>
      <c r="BE43" s="57">
        <f t="shared" si="56"/>
        <v>0.33560697475447621</v>
      </c>
      <c r="BF43" s="57">
        <f t="shared" si="56"/>
        <v>0.28379697390760017</v>
      </c>
      <c r="BG43" s="57">
        <f t="shared" si="56"/>
        <v>0.25984477254947991</v>
      </c>
      <c r="BH43" s="57">
        <f t="shared" si="56"/>
        <v>0.27703383622158145</v>
      </c>
      <c r="BI43" s="57">
        <f t="shared" si="56"/>
        <v>0.31792904547736711</v>
      </c>
      <c r="BJ43" s="57">
        <f t="shared" si="56"/>
        <v>0.252837798626314</v>
      </c>
      <c r="BK43" s="57">
        <f t="shared" si="56"/>
        <v>0.23662747240398099</v>
      </c>
      <c r="BL43" s="57">
        <f t="shared" si="56"/>
        <v>0.25841324759151635</v>
      </c>
      <c r="BM43" s="57">
        <f t="shared" si="56"/>
        <v>0.30493468859767964</v>
      </c>
      <c r="BN43" s="57">
        <f t="shared" si="56"/>
        <v>0.21212966212452289</v>
      </c>
      <c r="BO43" s="57">
        <f t="shared" si="56"/>
        <v>0.23279967806574467</v>
      </c>
      <c r="BP43" s="57">
        <f t="shared" si="56"/>
        <v>0.25700477718467585</v>
      </c>
      <c r="BQ43" s="57">
        <f t="shared" si="56"/>
        <v>0.29667878052846669</v>
      </c>
      <c r="BR43" s="57">
        <f t="shared" ref="BR43:CK43" si="57">BR42/BR4</f>
        <v>0.21083532476414538</v>
      </c>
      <c r="BS43" s="57">
        <f t="shared" si="57"/>
        <v>0.26217400558712495</v>
      </c>
      <c r="BT43" s="57">
        <f t="shared" si="57"/>
        <v>0.23001265140925586</v>
      </c>
      <c r="BU43" s="57">
        <f t="shared" si="57"/>
        <v>0.24168940494756608</v>
      </c>
      <c r="BV43" s="57">
        <f t="shared" si="57"/>
        <v>0.23219060502552089</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420</v>
      </c>
      <c r="B45" s="26">
        <f>B70*B69</f>
        <v>9392679033.8024006</v>
      </c>
      <c r="C45" s="26">
        <f t="shared" ref="C45:BN45" si="58">C70*C69</f>
        <v>8492564963.9143991</v>
      </c>
      <c r="D45" s="26">
        <f t="shared" si="58"/>
        <v>7720357965.6464005</v>
      </c>
      <c r="E45" s="26">
        <f t="shared" si="58"/>
        <v>8411974492.4304008</v>
      </c>
      <c r="F45" s="26">
        <f t="shared" si="58"/>
        <v>7681570198.0064001</v>
      </c>
      <c r="G45" s="26">
        <f t="shared" si="58"/>
        <v>7070467621.9304008</v>
      </c>
      <c r="H45" s="26">
        <f t="shared" si="58"/>
        <v>6325060053.6368008</v>
      </c>
      <c r="I45" s="26">
        <f t="shared" si="58"/>
        <v>6596310985.2463999</v>
      </c>
      <c r="J45" s="26">
        <f t="shared" si="58"/>
        <v>6071883428.3776007</v>
      </c>
      <c r="K45" s="26">
        <f t="shared" si="58"/>
        <v>5702680276.885601</v>
      </c>
      <c r="L45" s="26">
        <f t="shared" si="58"/>
        <v>5388252934.6703997</v>
      </c>
      <c r="M45" s="26">
        <f t="shared" si="58"/>
        <v>5675300719.1695995</v>
      </c>
      <c r="N45" s="26">
        <f t="shared" si="58"/>
        <v>5298733633.7032003</v>
      </c>
      <c r="O45" s="26">
        <f t="shared" si="58"/>
        <v>4953507404.6464005</v>
      </c>
      <c r="P45" s="26">
        <f t="shared" si="58"/>
        <v>5092942575.1632004</v>
      </c>
      <c r="Q45" s="26">
        <f t="shared" si="58"/>
        <v>4794411850.1568003</v>
      </c>
      <c r="R45" s="26">
        <f t="shared" si="58"/>
        <v>4424924067.2896004</v>
      </c>
      <c r="S45" s="26">
        <f t="shared" si="58"/>
        <v>4027306285.7208004</v>
      </c>
      <c r="T45" s="26">
        <f t="shared" si="58"/>
        <v>3729934150.4976001</v>
      </c>
      <c r="U45" s="26">
        <f t="shared" si="58"/>
        <v>3796285731.5703998</v>
      </c>
      <c r="V45" s="26">
        <f t="shared" si="58"/>
        <v>3530327381.8608003</v>
      </c>
      <c r="W45" s="26">
        <f t="shared" si="58"/>
        <v>3185629416.1752005</v>
      </c>
      <c r="X45" s="26">
        <f t="shared" si="58"/>
        <v>2862328574.6815996</v>
      </c>
      <c r="Y45" s="26">
        <f t="shared" si="58"/>
        <v>3087650644.4335999</v>
      </c>
      <c r="Z45" s="26">
        <f t="shared" si="58"/>
        <v>2836322911.7800002</v>
      </c>
      <c r="AA45" s="26">
        <f t="shared" si="58"/>
        <v>2559325237.5023999</v>
      </c>
      <c r="AB45" s="26">
        <f t="shared" si="58"/>
        <v>2272382018.6904001</v>
      </c>
      <c r="AC45" s="26">
        <f t="shared" si="58"/>
        <v>2282449632.1623998</v>
      </c>
      <c r="AD45" s="26">
        <f t="shared" si="58"/>
        <v>2032270368.9032001</v>
      </c>
      <c r="AE45" s="26">
        <f t="shared" si="58"/>
        <v>1846701609.3023999</v>
      </c>
      <c r="AF45" s="26">
        <f t="shared" si="58"/>
        <v>1723596470.9720001</v>
      </c>
      <c r="AG45" s="26">
        <f t="shared" si="58"/>
        <v>1643254481.9408</v>
      </c>
      <c r="AH45" s="26">
        <f t="shared" si="58"/>
        <v>1483951175.5695999</v>
      </c>
      <c r="AI45" s="26">
        <f t="shared" si="58"/>
        <v>1417741615.4751999</v>
      </c>
      <c r="AJ45" s="26">
        <f t="shared" si="58"/>
        <v>1338977063.6975999</v>
      </c>
      <c r="AK45" s="26">
        <f t="shared" si="58"/>
        <v>1279675855.3616002</v>
      </c>
      <c r="AL45" s="26">
        <f t="shared" si="58"/>
        <v>1172125231.5367999</v>
      </c>
      <c r="AM45" s="26">
        <f t="shared" si="58"/>
        <v>1137254378.4824002</v>
      </c>
      <c r="AN45" s="26">
        <f t="shared" si="58"/>
        <v>1053358109.5264</v>
      </c>
      <c r="AO45" s="26">
        <f t="shared" si="58"/>
        <v>1008640598.3232001</v>
      </c>
      <c r="AP45" s="26">
        <f t="shared" si="58"/>
        <v>920273463.67600012</v>
      </c>
      <c r="AQ45" s="26">
        <f t="shared" si="58"/>
        <v>864560378.70720005</v>
      </c>
      <c r="AR45" s="26">
        <f t="shared" si="58"/>
        <v>788370798.11759996</v>
      </c>
      <c r="AS45" s="26">
        <f t="shared" si="58"/>
        <v>742875301.20240009</v>
      </c>
      <c r="AT45" s="26">
        <f t="shared" si="58"/>
        <v>669508461.63520002</v>
      </c>
      <c r="AU45" s="26">
        <f t="shared" si="58"/>
        <v>556231945.94640005</v>
      </c>
      <c r="AV45" s="26">
        <f t="shared" si="58"/>
        <v>497552951.63919997</v>
      </c>
      <c r="AW45" s="26">
        <f t="shared" si="58"/>
        <v>471070143.48720002</v>
      </c>
      <c r="AX45" s="26">
        <f t="shared" si="58"/>
        <v>479602291.95440006</v>
      </c>
      <c r="AY45" s="26">
        <f t="shared" si="58"/>
        <v>433203554.24879998</v>
      </c>
      <c r="AZ45" s="26">
        <f t="shared" si="58"/>
        <v>404677948.49120003</v>
      </c>
      <c r="BA45" s="26">
        <f t="shared" si="58"/>
        <v>447063645.7392</v>
      </c>
      <c r="BB45" s="26">
        <f t="shared" si="58"/>
        <v>412991606.52160007</v>
      </c>
      <c r="BC45" s="26">
        <f t="shared" si="58"/>
        <v>381240267.76239997</v>
      </c>
      <c r="BD45" s="26">
        <f t="shared" si="58"/>
        <v>375346986.45999998</v>
      </c>
      <c r="BE45" s="26">
        <f t="shared" si="58"/>
        <v>368051933.11919999</v>
      </c>
      <c r="BF45" s="26">
        <f t="shared" si="58"/>
        <v>337336619.73839998</v>
      </c>
      <c r="BG45" s="26">
        <f t="shared" si="58"/>
        <v>312037949.29040003</v>
      </c>
      <c r="BH45" s="26">
        <f t="shared" si="58"/>
        <v>305371623.65439999</v>
      </c>
      <c r="BI45" s="26">
        <f t="shared" si="58"/>
        <v>298223559.52319998</v>
      </c>
      <c r="BJ45" s="26">
        <f t="shared" si="58"/>
        <v>277641927.2744</v>
      </c>
      <c r="BK45" s="26">
        <f t="shared" si="58"/>
        <v>258521330.02720001</v>
      </c>
      <c r="BL45" s="26">
        <f t="shared" si="58"/>
        <v>249981853.80320001</v>
      </c>
      <c r="BM45" s="26">
        <f t="shared" si="58"/>
        <v>248037814.10479999</v>
      </c>
      <c r="BN45" s="26">
        <f t="shared" si="58"/>
        <v>229978717.8152</v>
      </c>
      <c r="BO45" s="26">
        <f t="shared" ref="BO45:CJ45" si="59">BO70*BO69</f>
        <v>228624348.03759998</v>
      </c>
      <c r="BP45" s="26">
        <f t="shared" si="59"/>
        <v>222724219.26240003</v>
      </c>
      <c r="BQ45" s="26">
        <f t="shared" si="59"/>
        <v>220116990.12799999</v>
      </c>
      <c r="BR45" s="26">
        <f t="shared" si="59"/>
        <v>203010536.3048</v>
      </c>
      <c r="BS45" s="26">
        <f t="shared" si="59"/>
        <v>44923632.259199999</v>
      </c>
      <c r="BT45" s="26">
        <f t="shared" si="59"/>
        <v>35502369.843200006</v>
      </c>
      <c r="BU45" s="26">
        <f t="shared" si="59"/>
        <v>22828948.418400001</v>
      </c>
      <c r="BV45" s="26">
        <f t="shared" si="59"/>
        <v>18727322.238400001</v>
      </c>
      <c r="BW45" s="26">
        <f t="shared" si="59"/>
        <v>0</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422</v>
      </c>
      <c r="B47" s="28">
        <f>B42-B45</f>
        <v>25025520922.637604</v>
      </c>
      <c r="C47" s="28">
        <f t="shared" ref="C47:BN47" si="62">C42-C45</f>
        <v>15464568973.715599</v>
      </c>
      <c r="D47" s="28">
        <f t="shared" si="62"/>
        <v>7394670900.4336014</v>
      </c>
      <c r="E47" s="28">
        <f t="shared" si="62"/>
        <v>-189795508.60040092</v>
      </c>
      <c r="F47" s="28">
        <f t="shared" si="62"/>
        <v>18619056038.22361</v>
      </c>
      <c r="G47" s="28">
        <f t="shared" si="62"/>
        <v>12365650295.669605</v>
      </c>
      <c r="H47" s="28">
        <f t="shared" si="62"/>
        <v>4488032978.893198</v>
      </c>
      <c r="I47" s="28">
        <f t="shared" si="62"/>
        <v>-623380511.68639946</v>
      </c>
      <c r="J47" s="28">
        <f t="shared" si="62"/>
        <v>10690693139.582397</v>
      </c>
      <c r="K47" s="28">
        <f t="shared" si="62"/>
        <v>6818336452.1744003</v>
      </c>
      <c r="L47" s="28">
        <f t="shared" si="62"/>
        <v>3482963391.1396017</v>
      </c>
      <c r="M47" s="28">
        <f t="shared" si="62"/>
        <v>-696119078.91960144</v>
      </c>
      <c r="N47" s="28">
        <f t="shared" si="62"/>
        <v>10430794431.846798</v>
      </c>
      <c r="O47" s="28">
        <f t="shared" si="62"/>
        <v>6624353400.4435997</v>
      </c>
      <c r="P47" s="28">
        <f t="shared" si="62"/>
        <v>2878092033.8368006</v>
      </c>
      <c r="Q47" s="28">
        <f t="shared" si="62"/>
        <v>-379172799.6668005</v>
      </c>
      <c r="R47" s="28">
        <f t="shared" si="62"/>
        <v>11259837028.270397</v>
      </c>
      <c r="S47" s="28">
        <f t="shared" si="62"/>
        <v>6937231453.2392006</v>
      </c>
      <c r="T47" s="28">
        <f t="shared" si="62"/>
        <v>3669431502.1123986</v>
      </c>
      <c r="U47" s="28">
        <f t="shared" si="62"/>
        <v>39233252.959599972</v>
      </c>
      <c r="V47" s="28">
        <f t="shared" si="62"/>
        <v>12321375624.579201</v>
      </c>
      <c r="W47" s="28">
        <f t="shared" si="62"/>
        <v>8425177571.1748018</v>
      </c>
      <c r="X47" s="28">
        <f t="shared" si="62"/>
        <v>4749148245.0583992</v>
      </c>
      <c r="Y47" s="28">
        <f t="shared" si="62"/>
        <v>685109408.4863987</v>
      </c>
      <c r="Z47" s="28">
        <f t="shared" si="62"/>
        <v>11172127790.390003</v>
      </c>
      <c r="AA47" s="28">
        <f t="shared" si="62"/>
        <v>8378654536.1976013</v>
      </c>
      <c r="AB47" s="28">
        <f t="shared" si="62"/>
        <v>5076557519.859602</v>
      </c>
      <c r="AC47" s="28">
        <f t="shared" si="62"/>
        <v>845573860.09759998</v>
      </c>
      <c r="AD47" s="28">
        <f t="shared" si="62"/>
        <v>7218053438.7168007</v>
      </c>
      <c r="AE47" s="28">
        <f t="shared" si="62"/>
        <v>5084012703.307601</v>
      </c>
      <c r="AF47" s="28">
        <f t="shared" si="62"/>
        <v>3442709721.5579996</v>
      </c>
      <c r="AG47" s="28">
        <f t="shared" si="62"/>
        <v>347752662.91920018</v>
      </c>
      <c r="AH47" s="28">
        <f t="shared" si="62"/>
        <v>3855810321.4003992</v>
      </c>
      <c r="AI47" s="28">
        <f t="shared" si="62"/>
        <v>2993362862.3548012</v>
      </c>
      <c r="AJ47" s="28">
        <f t="shared" si="62"/>
        <v>1935585536.3723998</v>
      </c>
      <c r="AK47" s="28">
        <f t="shared" si="62"/>
        <v>64706942.448399305</v>
      </c>
      <c r="AL47" s="28">
        <f t="shared" si="62"/>
        <v>3380763712.4631991</v>
      </c>
      <c r="AM47" s="28">
        <f t="shared" si="62"/>
        <v>2842541239.7175999</v>
      </c>
      <c r="AN47" s="28">
        <f t="shared" si="62"/>
        <v>1875484146.7236009</v>
      </c>
      <c r="AO47" s="28">
        <f t="shared" si="62"/>
        <v>270199969.49679959</v>
      </c>
      <c r="AP47" s="28">
        <f t="shared" si="62"/>
        <v>3080485879.4340005</v>
      </c>
      <c r="AQ47" s="28">
        <f t="shared" si="62"/>
        <v>2439638402.2927995</v>
      </c>
      <c r="AR47" s="28">
        <f t="shared" si="62"/>
        <v>1563568475.5124011</v>
      </c>
      <c r="AS47" s="28">
        <f t="shared" si="62"/>
        <v>174173443.3876003</v>
      </c>
      <c r="AT47" s="28">
        <f t="shared" si="62"/>
        <v>2296544047.3147993</v>
      </c>
      <c r="AU47" s="28">
        <f t="shared" si="62"/>
        <v>1112990010.2336001</v>
      </c>
      <c r="AV47" s="28">
        <f t="shared" si="62"/>
        <v>396395289.77080011</v>
      </c>
      <c r="AW47" s="28">
        <f t="shared" si="62"/>
        <v>90370562.612800121</v>
      </c>
      <c r="AX47" s="28">
        <f t="shared" si="62"/>
        <v>1093883520.1456001</v>
      </c>
      <c r="AY47" s="28">
        <f t="shared" si="62"/>
        <v>560411026.17120004</v>
      </c>
      <c r="AZ47" s="28">
        <f t="shared" si="62"/>
        <v>229332047.01879984</v>
      </c>
      <c r="BA47" s="28">
        <f t="shared" si="62"/>
        <v>21434893.270800054</v>
      </c>
      <c r="BB47" s="28">
        <f t="shared" si="62"/>
        <v>756081554.22840047</v>
      </c>
      <c r="BC47" s="28">
        <f t="shared" si="62"/>
        <v>353346496.09760004</v>
      </c>
      <c r="BD47" s="28">
        <f t="shared" si="62"/>
        <v>127324641.39000005</v>
      </c>
      <c r="BE47" s="28">
        <f t="shared" si="62"/>
        <v>15888258.920799851</v>
      </c>
      <c r="BF47" s="28">
        <f t="shared" si="62"/>
        <v>516833673.30160034</v>
      </c>
      <c r="BG47" s="28">
        <f t="shared" si="62"/>
        <v>225954586.75960004</v>
      </c>
      <c r="BH47" s="28">
        <f t="shared" si="62"/>
        <v>58681091.745599985</v>
      </c>
      <c r="BI47" s="28">
        <f t="shared" si="62"/>
        <v>-26892768.313199937</v>
      </c>
      <c r="BJ47" s="28">
        <f t="shared" si="62"/>
        <v>329426161.85559964</v>
      </c>
      <c r="BK47" s="28">
        <f t="shared" si="62"/>
        <v>108900643.19279984</v>
      </c>
      <c r="BL47" s="28">
        <f t="shared" si="62"/>
        <v>10769404.566800028</v>
      </c>
      <c r="BM47" s="28">
        <f t="shared" si="62"/>
        <v>-24249522.394800007</v>
      </c>
      <c r="BN47" s="28">
        <f t="shared" si="62"/>
        <v>159257637.51480016</v>
      </c>
      <c r="BO47" s="28">
        <f t="shared" ref="BO47:CJ47" si="63">BO42-BO45</f>
        <v>88887925.902400017</v>
      </c>
      <c r="BP47" s="28">
        <f t="shared" si="63"/>
        <v>22883478.717599899</v>
      </c>
      <c r="BQ47" s="28">
        <f t="shared" si="63"/>
        <v>-7097217.4980000854</v>
      </c>
      <c r="BR47" s="28">
        <f t="shared" si="63"/>
        <v>138130856.80519965</v>
      </c>
      <c r="BS47" s="28">
        <f t="shared" si="63"/>
        <v>184180656.35080001</v>
      </c>
      <c r="BT47" s="28">
        <f t="shared" si="63"/>
        <v>220731910.8867999</v>
      </c>
      <c r="BU47" s="28">
        <f t="shared" si="63"/>
        <v>192482036.36159995</v>
      </c>
      <c r="BV47" s="28">
        <f t="shared" si="63"/>
        <v>127131201.37160002</v>
      </c>
      <c r="BW47" s="28">
        <f t="shared" si="63"/>
        <v>0</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188">
        <v>20181231</v>
      </c>
      <c r="C51" s="188">
        <v>20180930</v>
      </c>
      <c r="D51" s="188">
        <v>20180630</v>
      </c>
      <c r="E51" s="188">
        <v>20180331</v>
      </c>
      <c r="F51" s="188">
        <v>20171231</v>
      </c>
      <c r="G51" s="188">
        <v>20170930</v>
      </c>
      <c r="H51" s="188">
        <v>20170630</v>
      </c>
      <c r="I51" s="188">
        <v>20170331</v>
      </c>
      <c r="J51" s="188">
        <v>20161231</v>
      </c>
      <c r="K51" s="188">
        <v>20160930</v>
      </c>
      <c r="L51" s="188">
        <v>20160630</v>
      </c>
      <c r="M51" s="188">
        <v>20160331</v>
      </c>
      <c r="N51" s="188">
        <v>20151231</v>
      </c>
      <c r="O51" s="188">
        <v>20150930</v>
      </c>
      <c r="P51" s="188">
        <v>20150630</v>
      </c>
      <c r="Q51" s="188">
        <v>20150331</v>
      </c>
      <c r="R51" s="188">
        <v>20141231</v>
      </c>
      <c r="S51" s="188">
        <v>20140930</v>
      </c>
      <c r="T51" s="188">
        <v>20140630</v>
      </c>
      <c r="U51" s="188">
        <v>20140331</v>
      </c>
      <c r="V51" s="188">
        <v>20131231</v>
      </c>
      <c r="W51" s="188">
        <v>20130930</v>
      </c>
      <c r="X51" s="188">
        <v>20130630</v>
      </c>
      <c r="Y51" s="188">
        <v>20130331</v>
      </c>
      <c r="Z51" s="188">
        <v>20121231</v>
      </c>
      <c r="AA51" s="188">
        <v>20120930</v>
      </c>
      <c r="AB51" s="188">
        <v>20120630</v>
      </c>
      <c r="AC51" s="188">
        <v>20120331</v>
      </c>
      <c r="AD51" s="188">
        <v>20111231</v>
      </c>
      <c r="AE51" s="188">
        <v>20110930</v>
      </c>
      <c r="AF51" s="188">
        <v>20110630</v>
      </c>
      <c r="AG51" s="188">
        <v>20110331</v>
      </c>
      <c r="AH51" s="188">
        <v>20101231</v>
      </c>
      <c r="AI51" s="188">
        <v>20100930</v>
      </c>
      <c r="AJ51" s="188">
        <v>20100630</v>
      </c>
      <c r="AK51" s="188">
        <v>20100331</v>
      </c>
      <c r="AL51" s="188">
        <v>20091231</v>
      </c>
      <c r="AM51" s="188">
        <v>20090930</v>
      </c>
      <c r="AN51" s="188">
        <v>20090630</v>
      </c>
      <c r="AO51" s="188">
        <v>20090331</v>
      </c>
      <c r="AP51" s="188">
        <v>20081231</v>
      </c>
      <c r="AQ51" s="188">
        <v>20080930</v>
      </c>
      <c r="AR51" s="188">
        <v>20080630</v>
      </c>
      <c r="AS51" s="188">
        <v>20080331</v>
      </c>
      <c r="AT51" s="188">
        <v>20071231</v>
      </c>
      <c r="AU51" s="188">
        <v>20070930</v>
      </c>
      <c r="AV51" s="188">
        <v>20070630</v>
      </c>
      <c r="AW51" s="188">
        <v>20070331</v>
      </c>
      <c r="AX51" s="188">
        <v>20061231</v>
      </c>
      <c r="AY51" s="188">
        <v>20060930</v>
      </c>
      <c r="AZ51" s="188">
        <v>20060630</v>
      </c>
      <c r="BA51" s="188">
        <v>20060331</v>
      </c>
      <c r="BB51" s="188">
        <v>20051231</v>
      </c>
      <c r="BC51" s="188">
        <v>20050930</v>
      </c>
      <c r="BD51" s="188">
        <v>20050630</v>
      </c>
      <c r="BE51" s="188">
        <v>20050331</v>
      </c>
      <c r="BF51" s="188">
        <v>20041231</v>
      </c>
      <c r="BG51" s="188">
        <v>20040930</v>
      </c>
      <c r="BH51" s="188">
        <v>20040630</v>
      </c>
      <c r="BI51" s="188">
        <v>20040331</v>
      </c>
      <c r="BJ51" s="188">
        <v>20031231</v>
      </c>
      <c r="BK51" s="188">
        <v>20030930</v>
      </c>
      <c r="BL51" s="188">
        <v>20030630</v>
      </c>
      <c r="BM51" s="188">
        <v>20030331</v>
      </c>
      <c r="BN51" s="188">
        <v>20021231</v>
      </c>
      <c r="BO51" s="188">
        <v>20020930</v>
      </c>
      <c r="BP51" s="188">
        <v>20020630</v>
      </c>
      <c r="BQ51" s="188">
        <v>20020331</v>
      </c>
      <c r="BR51" s="188">
        <v>20011231</v>
      </c>
      <c r="BS51" s="188">
        <v>20010630</v>
      </c>
      <c r="BT51" s="188">
        <v>20001231</v>
      </c>
      <c r="BU51" s="188">
        <v>19991231</v>
      </c>
      <c r="BV51" s="188">
        <v>19981231</v>
      </c>
      <c r="BW51" s="188">
        <v>19700101</v>
      </c>
      <c r="BX51" s="188">
        <v>19990630</v>
      </c>
      <c r="BY51" s="188">
        <v>19981231</v>
      </c>
      <c r="BZ51" s="188">
        <v>19980630</v>
      </c>
      <c r="CA51" s="188">
        <v>19971231</v>
      </c>
      <c r="CB51" s="188">
        <v>19961231</v>
      </c>
      <c r="CC51" s="188">
        <v>19951231</v>
      </c>
      <c r="CD51" s="188">
        <v>19700101</v>
      </c>
      <c r="CE51" s="188">
        <v>19941231</v>
      </c>
      <c r="CF51" s="188">
        <v>19940630</v>
      </c>
      <c r="CG51" s="188">
        <v>19930630</v>
      </c>
      <c r="CH51" s="188">
        <v>19921231</v>
      </c>
      <c r="CI51" s="188">
        <v>19911231</v>
      </c>
      <c r="CJ51" s="188">
        <v>19901231</v>
      </c>
      <c r="CK51" s="188">
        <v>19700101</v>
      </c>
    </row>
    <row r="52" spans="1:89" s="43" customFormat="1">
      <c r="A52" s="131" t="s">
        <v>570</v>
      </c>
      <c r="B52" s="42">
        <v>-25636</v>
      </c>
      <c r="C52" s="42">
        <v>-27718</v>
      </c>
      <c r="D52" s="42">
        <v>-35317</v>
      </c>
      <c r="E52" s="42">
        <v>-60687396.93</v>
      </c>
      <c r="F52" s="42">
        <v>-34414</v>
      </c>
      <c r="G52" s="42">
        <v>-23309</v>
      </c>
      <c r="H52" s="42">
        <v>-16814</v>
      </c>
      <c r="I52" s="42">
        <v>-71491803.299999997</v>
      </c>
      <c r="J52" s="42"/>
      <c r="K52" s="42"/>
      <c r="M52" s="43">
        <v>-110261058.02</v>
      </c>
      <c r="Q52" s="43">
        <v>-134292919.63</v>
      </c>
      <c r="U52" s="43">
        <v>-429509360.86000001</v>
      </c>
      <c r="Y52" s="43">
        <v>-421711334.77999997</v>
      </c>
      <c r="AC52" s="43">
        <v>-352218795.39999998</v>
      </c>
      <c r="AG52" s="43">
        <v>-176861209.69</v>
      </c>
    </row>
    <row r="53" spans="1:89" s="43" customFormat="1">
      <c r="A53" s="132" t="s">
        <v>90</v>
      </c>
      <c r="B53" s="42">
        <v>217</v>
      </c>
      <c r="C53" s="42">
        <v>189</v>
      </c>
      <c r="D53" s="42"/>
      <c r="E53" s="42">
        <v>880974.99</v>
      </c>
      <c r="F53" s="42"/>
      <c r="G53" s="42"/>
      <c r="H53" s="42"/>
      <c r="I53" s="42">
        <v>37529578.909999996</v>
      </c>
      <c r="J53" s="42"/>
      <c r="K53" s="42"/>
      <c r="M53" s="43">
        <v>41360986.93</v>
      </c>
      <c r="Q53" s="43">
        <v>10292572.550000001</v>
      </c>
      <c r="Y53" s="43">
        <v>132222.22</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32" t="s">
        <v>91</v>
      </c>
      <c r="B54" s="42">
        <v>3104</v>
      </c>
      <c r="C54" s="42">
        <v>-1424</v>
      </c>
      <c r="D54" s="42">
        <v>-340</v>
      </c>
      <c r="E54" s="42"/>
      <c r="F54" s="42">
        <v>2684</v>
      </c>
      <c r="G54" s="42">
        <v>-377</v>
      </c>
      <c r="H54" s="42">
        <v>1008</v>
      </c>
      <c r="I54" s="42"/>
      <c r="J54" s="42"/>
      <c r="K54" s="42"/>
      <c r="AC54" s="43">
        <v>1114988.48</v>
      </c>
    </row>
    <row r="55" spans="1:89" s="43" customFormat="1">
      <c r="A55" s="132" t="s">
        <v>92</v>
      </c>
      <c r="B55" s="42">
        <v>463</v>
      </c>
      <c r="C55" s="42">
        <v>603</v>
      </c>
      <c r="D55" s="42">
        <v>653</v>
      </c>
      <c r="E55" s="42">
        <v>4084075.75</v>
      </c>
      <c r="F55" s="42">
        <v>1204</v>
      </c>
      <c r="G55" s="42">
        <v>868</v>
      </c>
      <c r="H55" s="42">
        <v>644</v>
      </c>
      <c r="I55" s="42">
        <v>787035.87</v>
      </c>
      <c r="J55" s="42"/>
      <c r="K55" s="42"/>
      <c r="M55" s="43">
        <v>1633270.12</v>
      </c>
      <c r="Q55" s="43">
        <v>831553.24</v>
      </c>
      <c r="U55" s="43">
        <v>434996.18</v>
      </c>
      <c r="Y55" s="43">
        <v>603190.06999999995</v>
      </c>
      <c r="AC55" s="43">
        <v>352310</v>
      </c>
      <c r="AG55" s="43">
        <v>284184.78000000003</v>
      </c>
    </row>
    <row r="56" spans="1:89" s="26" customFormat="1">
      <c r="A56" s="133" t="s">
        <v>93</v>
      </c>
      <c r="B56" s="44">
        <f>SUM(B52:B55)</f>
        <v>-21852</v>
      </c>
      <c r="C56" s="44">
        <f t="shared" ref="C56:D56" si="64">SUM(C52:C55)</f>
        <v>-28350</v>
      </c>
      <c r="D56" s="44">
        <f t="shared" si="64"/>
        <v>-35004</v>
      </c>
      <c r="E56" s="44">
        <f>SUM(E52:E55)</f>
        <v>-55722346.189999998</v>
      </c>
      <c r="F56" s="44">
        <f t="shared" ref="F56:BQ56" si="65">SUM(F52:F55)</f>
        <v>-30526</v>
      </c>
      <c r="G56" s="44">
        <f t="shared" si="65"/>
        <v>-22818</v>
      </c>
      <c r="H56" s="44">
        <f t="shared" si="65"/>
        <v>-15162</v>
      </c>
      <c r="I56" s="44">
        <f t="shared" si="65"/>
        <v>-33175188.52</v>
      </c>
      <c r="J56" s="44">
        <f t="shared" si="65"/>
        <v>0</v>
      </c>
      <c r="K56" s="44">
        <f t="shared" si="65"/>
        <v>0</v>
      </c>
      <c r="L56" s="44">
        <f t="shared" si="65"/>
        <v>0</v>
      </c>
      <c r="M56" s="44">
        <f t="shared" si="65"/>
        <v>-67266800.969999999</v>
      </c>
      <c r="N56" s="44">
        <f t="shared" si="65"/>
        <v>0</v>
      </c>
      <c r="O56" s="44">
        <f t="shared" si="65"/>
        <v>0</v>
      </c>
      <c r="P56" s="44">
        <f t="shared" si="65"/>
        <v>0</v>
      </c>
      <c r="Q56" s="44">
        <f t="shared" si="65"/>
        <v>-123168793.84</v>
      </c>
      <c r="R56" s="44">
        <f t="shared" si="65"/>
        <v>0</v>
      </c>
      <c r="S56" s="44">
        <f t="shared" si="65"/>
        <v>0</v>
      </c>
      <c r="T56" s="44">
        <f t="shared" si="65"/>
        <v>0</v>
      </c>
      <c r="U56" s="44">
        <f t="shared" si="65"/>
        <v>-429074364.68000001</v>
      </c>
      <c r="V56" s="44">
        <f t="shared" si="65"/>
        <v>0</v>
      </c>
      <c r="W56" s="44">
        <f t="shared" si="65"/>
        <v>0</v>
      </c>
      <c r="X56" s="44">
        <f t="shared" si="65"/>
        <v>0</v>
      </c>
      <c r="Y56" s="44">
        <f t="shared" si="65"/>
        <v>-420975922.48999995</v>
      </c>
      <c r="Z56" s="44">
        <f t="shared" si="65"/>
        <v>0</v>
      </c>
      <c r="AA56" s="44">
        <f t="shared" si="65"/>
        <v>0</v>
      </c>
      <c r="AB56" s="44">
        <f t="shared" si="65"/>
        <v>0</v>
      </c>
      <c r="AC56" s="44">
        <f t="shared" si="65"/>
        <v>-350751496.91999996</v>
      </c>
      <c r="AD56" s="44">
        <f t="shared" si="65"/>
        <v>0</v>
      </c>
      <c r="AE56" s="44">
        <f t="shared" si="65"/>
        <v>0</v>
      </c>
      <c r="AF56" s="44">
        <f t="shared" si="65"/>
        <v>0</v>
      </c>
      <c r="AG56" s="44">
        <f t="shared" si="65"/>
        <v>-176577024.91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34" t="s">
        <v>97</v>
      </c>
    </row>
    <row r="59" spans="1:89">
      <c r="A59" s="22" t="s">
        <v>96</v>
      </c>
      <c r="B59" s="188">
        <v>37829617756.809998</v>
      </c>
      <c r="C59" s="188">
        <v>26571354958.669998</v>
      </c>
      <c r="D59" s="188">
        <v>16921352445.58</v>
      </c>
      <c r="E59" s="188">
        <v>9130535753.2999992</v>
      </c>
      <c r="F59" s="188">
        <v>29006423236</v>
      </c>
      <c r="G59" s="188">
        <v>21361469066.810001</v>
      </c>
      <c r="H59" s="188">
        <v>12044438696.030001</v>
      </c>
      <c r="I59" s="188">
        <v>6544833459.0699997</v>
      </c>
      <c r="J59" s="188">
        <v>17930643109.880001</v>
      </c>
      <c r="K59" s="188">
        <v>13330191781.889999</v>
      </c>
      <c r="L59" s="188">
        <v>9377202963.1499996</v>
      </c>
      <c r="M59" s="188">
        <v>5212078652.4799995</v>
      </c>
      <c r="N59" s="188">
        <v>16454996625.219999</v>
      </c>
      <c r="O59" s="188">
        <v>12126789326.870001</v>
      </c>
      <c r="P59" s="188">
        <v>8364520508.6099997</v>
      </c>
      <c r="Q59" s="188">
        <v>4628320416.9099998</v>
      </c>
      <c r="R59" s="188">
        <v>16269371509.83</v>
      </c>
      <c r="S59" s="188">
        <v>11375689707.879999</v>
      </c>
      <c r="T59" s="188">
        <v>7664538017.5900002</v>
      </c>
      <c r="U59" s="188">
        <v>3952933461</v>
      </c>
      <c r="V59" s="188">
        <v>15964899881.049999</v>
      </c>
      <c r="W59" s="188">
        <v>11662175309.98</v>
      </c>
      <c r="X59" s="188">
        <v>7620914791.3100004</v>
      </c>
      <c r="Y59" s="188">
        <v>3773363242.9899998</v>
      </c>
      <c r="Z59" s="188">
        <v>14008450702.17</v>
      </c>
      <c r="AA59" s="188">
        <v>10937979773.700001</v>
      </c>
      <c r="AB59" s="188">
        <v>7348939538.5500002</v>
      </c>
      <c r="AC59" s="188">
        <v>3129490790.7399998</v>
      </c>
      <c r="AD59" s="188">
        <v>9250323807.6200008</v>
      </c>
      <c r="AE59" s="188">
        <v>6930714312.6099997</v>
      </c>
      <c r="AF59" s="188">
        <v>5166306192.5299997</v>
      </c>
      <c r="AG59" s="188">
        <v>1991291329.6400001</v>
      </c>
      <c r="AH59" s="188">
        <v>5339761496.9700003</v>
      </c>
      <c r="AI59" s="188">
        <v>4411104477.8299999</v>
      </c>
      <c r="AJ59" s="188">
        <v>3274562600.0700002</v>
      </c>
      <c r="AK59" s="188">
        <v>1344382797.8099999</v>
      </c>
      <c r="AL59" s="188">
        <v>4552888944</v>
      </c>
      <c r="AM59" s="188">
        <v>3979795618.1999998</v>
      </c>
      <c r="AN59" s="188">
        <v>2928842256.25</v>
      </c>
      <c r="AO59" s="188">
        <v>1278840567.8199999</v>
      </c>
      <c r="AP59" s="188">
        <v>4000759343.1100001</v>
      </c>
      <c r="AQ59" s="188">
        <v>3304198781</v>
      </c>
      <c r="AR59" s="188">
        <v>2351939273.6300001</v>
      </c>
      <c r="AS59" s="188">
        <v>917048744.59000003</v>
      </c>
      <c r="AT59" s="188">
        <v>2966052508.9499998</v>
      </c>
      <c r="AU59" s="188">
        <v>1669221956.1800001</v>
      </c>
      <c r="AV59" s="188">
        <v>893948241.40999997</v>
      </c>
      <c r="AW59" s="188">
        <v>561440706.10000002</v>
      </c>
      <c r="AX59" s="188">
        <v>1574308238.46</v>
      </c>
      <c r="AY59" s="188">
        <v>994042507.13999999</v>
      </c>
      <c r="AZ59" s="188">
        <v>634070818.38</v>
      </c>
      <c r="BA59" s="188">
        <v>468500544.70999998</v>
      </c>
      <c r="BB59" s="188">
        <v>1169122125.71</v>
      </c>
      <c r="BC59" s="188">
        <v>734632419.82000005</v>
      </c>
      <c r="BD59" s="188">
        <v>502705034.94</v>
      </c>
      <c r="BE59" s="188">
        <v>383941417.25999999</v>
      </c>
      <c r="BF59" s="188">
        <v>854172175.46000004</v>
      </c>
      <c r="BG59" s="188">
        <v>538075474.88</v>
      </c>
      <c r="BH59" s="188">
        <v>364062064.43000001</v>
      </c>
      <c r="BI59" s="188">
        <v>271330791.20999998</v>
      </c>
      <c r="BJ59" s="188">
        <v>608753496.05999994</v>
      </c>
      <c r="BK59" s="188">
        <v>369811690.47000003</v>
      </c>
      <c r="BL59" s="188">
        <v>262486045.78</v>
      </c>
      <c r="BM59" s="188">
        <v>225123681.74000001</v>
      </c>
      <c r="BN59" s="188">
        <v>392585970.76999998</v>
      </c>
      <c r="BO59" s="188">
        <v>320106986.66000003</v>
      </c>
      <c r="BP59" s="188">
        <v>246355376.97</v>
      </c>
      <c r="BQ59" s="188">
        <v>213798332.78999999</v>
      </c>
      <c r="BR59" s="188">
        <v>342365808.76999998</v>
      </c>
      <c r="BS59" s="188">
        <v>230067061.15000001</v>
      </c>
      <c r="BT59" s="188">
        <v>255284811.38</v>
      </c>
      <c r="BU59" s="188">
        <v>215690128.65000001</v>
      </c>
      <c r="BV59" s="188">
        <v>146891419.61000001</v>
      </c>
      <c r="BW59" s="188">
        <v>0</v>
      </c>
      <c r="BX59" s="188">
        <v>317076251.63999999</v>
      </c>
      <c r="BY59" s="188">
        <v>553291095.09000003</v>
      </c>
      <c r="BZ59" s="188">
        <v>252919406.88</v>
      </c>
      <c r="CA59" s="188">
        <v>341298375.86000001</v>
      </c>
      <c r="CB59" s="188">
        <v>259939328.41</v>
      </c>
      <c r="CC59" s="188">
        <v>216927477.38</v>
      </c>
      <c r="CD59" s="188">
        <v>0</v>
      </c>
      <c r="CE59" s="188">
        <v>162135000</v>
      </c>
      <c r="CF59" s="188">
        <v>90056788.769999996</v>
      </c>
      <c r="CG59" s="188">
        <v>54430000</v>
      </c>
      <c r="CH59" s="188">
        <v>80440000</v>
      </c>
      <c r="CI59" s="188">
        <v>58950000</v>
      </c>
      <c r="CJ59" s="188">
        <v>67670000</v>
      </c>
      <c r="CK59" s="188">
        <v>0</v>
      </c>
    </row>
    <row r="60" spans="1:89">
      <c r="A60" s="22" t="s">
        <v>95</v>
      </c>
      <c r="B60" s="188">
        <v>12997985690.66</v>
      </c>
      <c r="C60" s="188">
        <v>9005963447.6000004</v>
      </c>
      <c r="D60" s="188">
        <v>5798614348.8000002</v>
      </c>
      <c r="E60" s="188">
        <v>3041997000.2800002</v>
      </c>
      <c r="F60" s="188">
        <v>9733648906.6000004</v>
      </c>
      <c r="G60" s="188">
        <v>7131368591.2299995</v>
      </c>
      <c r="H60" s="188">
        <v>4039090821.9699998</v>
      </c>
      <c r="I60" s="188">
        <v>2210206968.8800001</v>
      </c>
      <c r="J60" s="188">
        <v>6027237847.2299995</v>
      </c>
      <c r="K60" s="188">
        <v>4707793040.1099997</v>
      </c>
      <c r="L60" s="188">
        <v>3388082316.0900002</v>
      </c>
      <c r="M60" s="188">
        <v>1994656882.6400001</v>
      </c>
      <c r="N60" s="188">
        <v>5546718336.1199999</v>
      </c>
      <c r="O60" s="188">
        <v>4035440224.8800001</v>
      </c>
      <c r="P60" s="188">
        <v>2784913019.29</v>
      </c>
      <c r="Q60" s="188">
        <v>1573695806.3099999</v>
      </c>
      <c r="R60" s="188">
        <v>5612970927.5</v>
      </c>
      <c r="S60" s="188">
        <v>3803506856.02</v>
      </c>
      <c r="T60" s="188">
        <v>2558640928.77</v>
      </c>
      <c r="U60" s="188">
        <v>1359416643.96</v>
      </c>
      <c r="V60" s="188">
        <v>5467460544.9200001</v>
      </c>
      <c r="W60" s="188">
        <v>4005211849.6700001</v>
      </c>
      <c r="X60" s="188">
        <v>2504491374.79</v>
      </c>
      <c r="Y60" s="188">
        <v>1344524985.23</v>
      </c>
      <c r="Z60" s="188">
        <v>4692039766.9899998</v>
      </c>
      <c r="AA60" s="188">
        <v>3647276882.3000002</v>
      </c>
      <c r="AB60" s="188">
        <v>2451236642.1199999</v>
      </c>
      <c r="AC60" s="188">
        <v>1045438170.21</v>
      </c>
      <c r="AD60" s="188">
        <v>3084336666.1799998</v>
      </c>
      <c r="AE60" s="188">
        <v>2348839939.0999999</v>
      </c>
      <c r="AF60" s="188">
        <v>1721040697.47</v>
      </c>
      <c r="AG60" s="188">
        <v>662814727.08000004</v>
      </c>
      <c r="AH60" s="188">
        <v>1822655234.4000001</v>
      </c>
      <c r="AI60" s="188">
        <v>1484679876.53</v>
      </c>
      <c r="AJ60" s="188">
        <v>1102953708.7</v>
      </c>
      <c r="AK60" s="188">
        <v>448397873.24000001</v>
      </c>
      <c r="AL60" s="188">
        <v>1527650940.6400001</v>
      </c>
      <c r="AM60" s="188">
        <v>1325571242.9100001</v>
      </c>
      <c r="AN60" s="188">
        <v>976956902.29999995</v>
      </c>
      <c r="AO60" s="188">
        <v>426202592.50999999</v>
      </c>
      <c r="AP60" s="188">
        <v>1384541295.05</v>
      </c>
      <c r="AQ60" s="188">
        <v>1099692138.5999999</v>
      </c>
      <c r="AR60" s="188">
        <v>783585037.86000001</v>
      </c>
      <c r="AS60" s="188">
        <v>305509033.30000001</v>
      </c>
      <c r="AT60" s="188">
        <v>1555972506.98</v>
      </c>
      <c r="AU60" s="188">
        <v>838824810.53999996</v>
      </c>
      <c r="AV60" s="188">
        <v>467112109.42000002</v>
      </c>
      <c r="AW60" s="188">
        <v>312727702.22000003</v>
      </c>
      <c r="AX60" s="188">
        <v>913878754.97000003</v>
      </c>
      <c r="AY60" s="188">
        <v>573234513.25999999</v>
      </c>
      <c r="AZ60" s="188">
        <v>337994016.10000002</v>
      </c>
      <c r="BA60" s="188">
        <v>203934016.81999999</v>
      </c>
      <c r="BB60" s="188">
        <v>751124237.92999995</v>
      </c>
      <c r="BC60" s="188">
        <v>416147739.11000001</v>
      </c>
      <c r="BD60" s="188">
        <v>254095014.83000001</v>
      </c>
      <c r="BE60" s="188">
        <v>173567381.47999999</v>
      </c>
      <c r="BF60" s="188">
        <v>636500339.35000002</v>
      </c>
      <c r="BG60" s="188">
        <v>337778231.50999999</v>
      </c>
      <c r="BH60" s="188">
        <v>205660460.36000001</v>
      </c>
      <c r="BI60" s="188">
        <v>129839421.97</v>
      </c>
      <c r="BJ60" s="188">
        <v>368541117.19999999</v>
      </c>
      <c r="BK60" s="188">
        <v>226477466.31</v>
      </c>
      <c r="BL60" s="188">
        <v>148750335.91</v>
      </c>
      <c r="BM60" s="188">
        <v>116318861.01000001</v>
      </c>
      <c r="BN60" s="188">
        <v>256784400.75</v>
      </c>
      <c r="BO60" s="188">
        <v>208225146.55000001</v>
      </c>
      <c r="BP60" s="188">
        <v>155530625.22999999</v>
      </c>
      <c r="BQ60" s="188">
        <v>124206524.16</v>
      </c>
      <c r="BR60" s="188">
        <v>264912397.47999999</v>
      </c>
      <c r="BS60" s="188">
        <v>142925129</v>
      </c>
      <c r="BT60" s="188">
        <v>189560588.75</v>
      </c>
      <c r="BU60" s="188">
        <v>137902505.22</v>
      </c>
      <c r="BV60" s="188">
        <v>72074304.109999999</v>
      </c>
      <c r="BW60" s="188">
        <v>0</v>
      </c>
      <c r="BX60" s="188">
        <v>66653678.539999999</v>
      </c>
      <c r="BY60" s="188">
        <v>260578360.56999999</v>
      </c>
      <c r="BZ60" s="188">
        <v>44632836.509999998</v>
      </c>
      <c r="CA60" s="188">
        <v>168102185.13</v>
      </c>
      <c r="CB60" s="188">
        <v>128029818.47</v>
      </c>
      <c r="CC60" s="188">
        <v>106844876.92</v>
      </c>
      <c r="CD60" s="188">
        <v>0</v>
      </c>
      <c r="CE60" s="188">
        <v>27810000</v>
      </c>
      <c r="CF60" s="188">
        <v>16447145.279999999</v>
      </c>
      <c r="CG60" s="188">
        <v>4330000</v>
      </c>
      <c r="CH60" s="188">
        <v>4220000</v>
      </c>
      <c r="CI60" s="188">
        <v>12510000</v>
      </c>
      <c r="CJ60" s="188">
        <v>3630000</v>
      </c>
      <c r="CK60" s="188">
        <v>0</v>
      </c>
    </row>
    <row r="61" spans="1:89">
      <c r="A61" s="22" t="s">
        <v>94</v>
      </c>
      <c r="B61" s="188">
        <v>50827603447.470001</v>
      </c>
      <c r="C61" s="188">
        <v>35577318406.269997</v>
      </c>
      <c r="D61" s="188">
        <v>22719966794.380001</v>
      </c>
      <c r="E61" s="188">
        <v>12172532753.58</v>
      </c>
      <c r="F61" s="188">
        <v>38740072142.599998</v>
      </c>
      <c r="G61" s="188">
        <v>28492837658.040001</v>
      </c>
      <c r="H61" s="188">
        <v>16083529518</v>
      </c>
      <c r="I61" s="188">
        <v>8755040427.9500008</v>
      </c>
      <c r="J61" s="188">
        <v>23957880957.110001</v>
      </c>
      <c r="K61" s="188">
        <v>18037984822</v>
      </c>
      <c r="L61" s="188">
        <v>12765285279.24</v>
      </c>
      <c r="M61" s="188">
        <v>7206735535.1199999</v>
      </c>
      <c r="N61" s="188">
        <v>22001714961.34</v>
      </c>
      <c r="O61" s="188">
        <v>16162229551.75</v>
      </c>
      <c r="P61" s="188">
        <v>11149433527.9</v>
      </c>
      <c r="Q61" s="188">
        <v>6202016223.2200003</v>
      </c>
      <c r="R61" s="188">
        <v>21882342437.330002</v>
      </c>
      <c r="S61" s="188">
        <v>15179196563.9</v>
      </c>
      <c r="T61" s="188">
        <v>10223178946.360001</v>
      </c>
      <c r="U61" s="188">
        <v>5312350104.96</v>
      </c>
      <c r="V61" s="188">
        <v>21432360425.970001</v>
      </c>
      <c r="W61" s="188">
        <v>15667387159.65</v>
      </c>
      <c r="X61" s="188">
        <v>10125406166.1</v>
      </c>
      <c r="Y61" s="188">
        <v>5117888228.2200003</v>
      </c>
      <c r="Z61" s="188">
        <v>18700490469.16</v>
      </c>
      <c r="AA61" s="188">
        <v>14585256656</v>
      </c>
      <c r="AB61" s="188">
        <v>9800176180.6700001</v>
      </c>
      <c r="AC61" s="188">
        <v>4174928960.9499998</v>
      </c>
      <c r="AD61" s="188">
        <v>12334660473.799999</v>
      </c>
      <c r="AE61" s="188">
        <v>9279554251.7099991</v>
      </c>
      <c r="AF61" s="188">
        <v>6887346890</v>
      </c>
      <c r="AG61" s="188">
        <v>2654106056.7199998</v>
      </c>
      <c r="AH61" s="188">
        <v>7162416731.3699999</v>
      </c>
      <c r="AI61" s="188">
        <v>5895784354.3599997</v>
      </c>
      <c r="AJ61" s="188">
        <v>4377516308.7700005</v>
      </c>
      <c r="AK61" s="188">
        <v>1792780671.05</v>
      </c>
      <c r="AL61" s="188">
        <v>6080539884.6400003</v>
      </c>
      <c r="AM61" s="188">
        <v>5305366861.1099997</v>
      </c>
      <c r="AN61" s="188">
        <v>3905799158.5500002</v>
      </c>
      <c r="AO61" s="188">
        <v>1705043160.3299999</v>
      </c>
      <c r="AP61" s="188">
        <v>5385300638.1599998</v>
      </c>
      <c r="AQ61" s="188">
        <v>4403890919.6000004</v>
      </c>
      <c r="AR61" s="188">
        <v>3135524311.4899998</v>
      </c>
      <c r="AS61" s="188">
        <v>1222557777.8900001</v>
      </c>
      <c r="AT61" s="188">
        <v>4522025015.9300003</v>
      </c>
      <c r="AU61" s="188">
        <v>2508046766.7199998</v>
      </c>
      <c r="AV61" s="188">
        <v>1361060350.8299999</v>
      </c>
      <c r="AW61" s="188">
        <v>874168408.32000005</v>
      </c>
      <c r="AX61" s="188">
        <v>2488186993.4299998</v>
      </c>
      <c r="AY61" s="188">
        <v>1567277020.4000001</v>
      </c>
      <c r="AZ61" s="188">
        <v>972064834.48000002</v>
      </c>
      <c r="BA61" s="188">
        <v>672434561.52999997</v>
      </c>
      <c r="BB61" s="188">
        <v>1920246363.6400001</v>
      </c>
      <c r="BC61" s="188">
        <v>1150780158.9300001</v>
      </c>
      <c r="BD61" s="188">
        <v>756800049.76999998</v>
      </c>
      <c r="BE61" s="188">
        <v>557508798.74000001</v>
      </c>
      <c r="BF61" s="188">
        <v>1490672514.8099999</v>
      </c>
      <c r="BG61" s="188">
        <v>875853706.38999999</v>
      </c>
      <c r="BH61" s="188">
        <v>569722524.78999996</v>
      </c>
      <c r="BI61" s="188">
        <v>401170213.18000001</v>
      </c>
      <c r="BJ61" s="188">
        <v>977294613.25999999</v>
      </c>
      <c r="BK61" s="188">
        <v>596289156.77999997</v>
      </c>
      <c r="BL61" s="188">
        <v>411236381.69</v>
      </c>
      <c r="BM61" s="188">
        <v>341442542.75</v>
      </c>
      <c r="BN61" s="188">
        <v>649370371.51999998</v>
      </c>
      <c r="BO61" s="188">
        <v>528332133.20999998</v>
      </c>
      <c r="BP61" s="188">
        <v>401886002.19999999</v>
      </c>
      <c r="BQ61" s="188">
        <v>338004856.94999999</v>
      </c>
      <c r="BR61" s="188">
        <v>607278206.25</v>
      </c>
      <c r="BS61" s="188">
        <v>372992200</v>
      </c>
      <c r="BT61" s="188">
        <v>444845400.13</v>
      </c>
      <c r="BU61" s="188">
        <v>353592633.87</v>
      </c>
      <c r="BV61" s="188">
        <v>218965723.72</v>
      </c>
      <c r="BW61" s="188">
        <v>0</v>
      </c>
      <c r="BX61" s="188">
        <v>383729930.18000001</v>
      </c>
      <c r="BY61" s="188">
        <v>813869455.65999997</v>
      </c>
      <c r="BZ61" s="188">
        <v>297552243.38999999</v>
      </c>
      <c r="CA61" s="188">
        <v>509400560.99000001</v>
      </c>
      <c r="CB61" s="188">
        <v>387969146.88</v>
      </c>
      <c r="CC61" s="188">
        <v>323772354.30000001</v>
      </c>
      <c r="CD61" s="188">
        <v>0</v>
      </c>
      <c r="CE61" s="188">
        <v>189945000</v>
      </c>
      <c r="CF61" s="188">
        <v>106503934.05</v>
      </c>
      <c r="CG61" s="188">
        <v>58750000</v>
      </c>
      <c r="CH61" s="188">
        <v>84660000</v>
      </c>
      <c r="CI61" s="188">
        <v>71460000</v>
      </c>
      <c r="CJ61" s="188">
        <v>71300000</v>
      </c>
      <c r="CK61" s="188">
        <v>0</v>
      </c>
    </row>
    <row r="62" spans="1:89">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c r="A65" s="22" t="s">
        <v>98</v>
      </c>
      <c r="B65" s="188">
        <v>0</v>
      </c>
      <c r="C65" s="188">
        <v>0</v>
      </c>
      <c r="D65" s="188">
        <v>0</v>
      </c>
      <c r="E65" s="188">
        <v>0</v>
      </c>
      <c r="F65" s="188">
        <v>0</v>
      </c>
      <c r="G65" s="188">
        <v>0</v>
      </c>
      <c r="H65" s="188">
        <v>0</v>
      </c>
      <c r="I65" s="188">
        <v>0</v>
      </c>
      <c r="J65" s="188">
        <v>0</v>
      </c>
      <c r="K65" s="188">
        <v>0</v>
      </c>
      <c r="L65" s="188">
        <v>0</v>
      </c>
      <c r="M65" s="188">
        <v>0</v>
      </c>
      <c r="N65" s="188">
        <v>3869276.9</v>
      </c>
      <c r="O65" s="188">
        <v>3868919.86</v>
      </c>
      <c r="P65" s="188">
        <v>3342169.86</v>
      </c>
      <c r="Q65" s="188">
        <v>332169.86</v>
      </c>
      <c r="R65" s="188">
        <v>3095265.75</v>
      </c>
      <c r="S65" s="188">
        <v>3010000</v>
      </c>
      <c r="T65" s="188">
        <v>3010000</v>
      </c>
      <c r="U65" s="188">
        <v>0</v>
      </c>
      <c r="V65" s="188">
        <v>3010000</v>
      </c>
      <c r="W65" s="188">
        <v>3010000</v>
      </c>
      <c r="X65" s="188">
        <v>3010000</v>
      </c>
      <c r="Y65" s="188">
        <v>0</v>
      </c>
      <c r="Z65" s="188">
        <v>3103250</v>
      </c>
      <c r="AA65" s="188">
        <v>3103250</v>
      </c>
      <c r="AB65" s="188">
        <v>3103250</v>
      </c>
      <c r="AC65" s="188">
        <v>93250</v>
      </c>
      <c r="AD65" s="188">
        <v>3383000</v>
      </c>
      <c r="AE65" s="188">
        <v>3289750</v>
      </c>
      <c r="AF65" s="188">
        <v>3196500</v>
      </c>
      <c r="AG65" s="188">
        <v>93250</v>
      </c>
      <c r="AH65" s="188">
        <v>469050</v>
      </c>
      <c r="AI65" s="188">
        <v>375800</v>
      </c>
      <c r="AJ65" s="188">
        <v>282550</v>
      </c>
      <c r="AK65" s="188">
        <v>0</v>
      </c>
      <c r="AL65" s="188">
        <v>1209447.26</v>
      </c>
      <c r="AM65" s="188">
        <v>972122.26</v>
      </c>
      <c r="AN65" s="188">
        <v>734797.26</v>
      </c>
      <c r="AO65" s="188">
        <v>301075</v>
      </c>
      <c r="AP65" s="188">
        <v>1322250</v>
      </c>
      <c r="AQ65" s="188">
        <v>1021175</v>
      </c>
      <c r="AR65" s="188">
        <v>720100</v>
      </c>
      <c r="AS65" s="188">
        <v>419025</v>
      </c>
      <c r="AT65" s="188">
        <v>1814950</v>
      </c>
      <c r="AU65" s="188">
        <v>859950</v>
      </c>
      <c r="AV65" s="188">
        <v>859950</v>
      </c>
      <c r="AW65" s="188">
        <v>0</v>
      </c>
      <c r="AX65" s="188">
        <v>3012928.94</v>
      </c>
      <c r="AY65" s="188">
        <v>144435.35999999999</v>
      </c>
      <c r="AZ65" s="188">
        <v>144435.35999999999</v>
      </c>
      <c r="BA65" s="188">
        <v>0</v>
      </c>
      <c r="BB65" s="188">
        <v>427953.6</v>
      </c>
      <c r="BC65" s="188">
        <v>23718.23</v>
      </c>
      <c r="BD65" s="188">
        <v>23718.23</v>
      </c>
      <c r="BE65" s="188">
        <v>-187658.6</v>
      </c>
      <c r="BF65" s="188">
        <v>315063.71000000002</v>
      </c>
      <c r="BG65" s="188">
        <v>0</v>
      </c>
      <c r="BH65" s="188">
        <v>0</v>
      </c>
      <c r="BI65" s="188">
        <v>0</v>
      </c>
      <c r="BJ65" s="188">
        <v>0</v>
      </c>
      <c r="BK65" s="188">
        <v>0</v>
      </c>
      <c r="BL65" s="188">
        <v>0</v>
      </c>
      <c r="BM65" s="188">
        <v>0</v>
      </c>
      <c r="BN65" s="188">
        <v>0</v>
      </c>
      <c r="BO65" s="188">
        <v>0</v>
      </c>
      <c r="BP65" s="188">
        <v>0</v>
      </c>
      <c r="BQ65" s="188">
        <v>0</v>
      </c>
      <c r="BR65" s="188">
        <v>0</v>
      </c>
      <c r="BS65" s="188">
        <v>0</v>
      </c>
      <c r="BT65" s="188">
        <v>0</v>
      </c>
      <c r="BU65" s="188">
        <v>0</v>
      </c>
      <c r="BV65" s="188">
        <v>0</v>
      </c>
      <c r="BW65" s="188">
        <v>0</v>
      </c>
      <c r="BX65" s="188">
        <v>0</v>
      </c>
      <c r="BY65" s="188">
        <v>0</v>
      </c>
      <c r="BZ65" s="188">
        <v>0</v>
      </c>
      <c r="CA65" s="188">
        <v>0</v>
      </c>
      <c r="CB65" s="188">
        <v>0</v>
      </c>
      <c r="CC65" s="188">
        <v>0</v>
      </c>
      <c r="CD65" s="188">
        <v>0</v>
      </c>
      <c r="CE65" s="188">
        <v>7729000</v>
      </c>
      <c r="CF65" s="188">
        <v>2092581.44</v>
      </c>
      <c r="CG65" s="188">
        <v>0</v>
      </c>
      <c r="CH65" s="188">
        <v>0</v>
      </c>
      <c r="CI65" s="188">
        <v>0</v>
      </c>
      <c r="CJ65" s="188">
        <v>0</v>
      </c>
      <c r="CK65" s="188">
        <v>0</v>
      </c>
    </row>
    <row r="66" spans="1:89">
      <c r="A66" s="22" t="s">
        <v>99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c r="A67" s="22" t="s">
        <v>100</v>
      </c>
      <c r="B67" s="4">
        <f>B65-B66</f>
        <v>0</v>
      </c>
      <c r="C67" s="4">
        <f t="shared" ref="C67:BN67" si="67">C65-C66</f>
        <v>0</v>
      </c>
      <c r="D67" s="4">
        <f t="shared" si="67"/>
        <v>0</v>
      </c>
      <c r="E67" s="4">
        <f t="shared" si="67"/>
        <v>0</v>
      </c>
      <c r="F67" s="4">
        <f t="shared" si="67"/>
        <v>0</v>
      </c>
      <c r="G67" s="4">
        <f t="shared" si="67"/>
        <v>0</v>
      </c>
      <c r="H67" s="4">
        <f t="shared" si="67"/>
        <v>0</v>
      </c>
      <c r="I67" s="4">
        <f t="shared" si="67"/>
        <v>0</v>
      </c>
      <c r="J67" s="4">
        <f t="shared" si="67"/>
        <v>0</v>
      </c>
      <c r="K67" s="4">
        <f t="shared" si="67"/>
        <v>0</v>
      </c>
      <c r="L67" s="4">
        <f t="shared" si="67"/>
        <v>0</v>
      </c>
      <c r="M67" s="4">
        <f t="shared" si="67"/>
        <v>0</v>
      </c>
      <c r="N67" s="4">
        <f t="shared" si="67"/>
        <v>3869276.9</v>
      </c>
      <c r="O67" s="4">
        <f t="shared" si="67"/>
        <v>3868919.86</v>
      </c>
      <c r="P67" s="4">
        <f t="shared" si="67"/>
        <v>3342169.86</v>
      </c>
      <c r="Q67" s="4">
        <f t="shared" si="67"/>
        <v>332169.86</v>
      </c>
      <c r="R67" s="4">
        <f t="shared" si="67"/>
        <v>3095265.75</v>
      </c>
      <c r="S67" s="4">
        <f t="shared" si="67"/>
        <v>3010000</v>
      </c>
      <c r="T67" s="4">
        <f t="shared" si="67"/>
        <v>3010000</v>
      </c>
      <c r="U67" s="4">
        <f t="shared" si="67"/>
        <v>0</v>
      </c>
      <c r="V67" s="4">
        <f t="shared" si="67"/>
        <v>3010000</v>
      </c>
      <c r="W67" s="4">
        <f t="shared" si="67"/>
        <v>3010000</v>
      </c>
      <c r="X67" s="4">
        <f t="shared" si="67"/>
        <v>3010000</v>
      </c>
      <c r="Y67" s="4">
        <f t="shared" si="67"/>
        <v>0</v>
      </c>
      <c r="Z67" s="4">
        <f t="shared" si="67"/>
        <v>3103250</v>
      </c>
      <c r="AA67" s="4">
        <f t="shared" si="67"/>
        <v>3103250</v>
      </c>
      <c r="AB67" s="4">
        <f t="shared" si="67"/>
        <v>3103250</v>
      </c>
      <c r="AC67" s="4">
        <f t="shared" si="67"/>
        <v>93250</v>
      </c>
      <c r="AD67" s="4">
        <f t="shared" si="67"/>
        <v>3383000</v>
      </c>
      <c r="AE67" s="4">
        <f t="shared" si="67"/>
        <v>3289750</v>
      </c>
      <c r="AF67" s="4">
        <f t="shared" si="67"/>
        <v>3196500</v>
      </c>
      <c r="AG67" s="4">
        <f t="shared" si="67"/>
        <v>93250</v>
      </c>
      <c r="AH67" s="4">
        <f t="shared" si="67"/>
        <v>469050</v>
      </c>
      <c r="AI67" s="4">
        <f t="shared" si="67"/>
        <v>375800</v>
      </c>
      <c r="AJ67" s="4">
        <f t="shared" si="67"/>
        <v>282550</v>
      </c>
      <c r="AK67" s="4">
        <f t="shared" si="67"/>
        <v>0</v>
      </c>
      <c r="AL67" s="4">
        <f t="shared" si="67"/>
        <v>1209447.26</v>
      </c>
      <c r="AM67" s="4">
        <f t="shared" si="67"/>
        <v>972122.26</v>
      </c>
      <c r="AN67" s="4">
        <f t="shared" si="67"/>
        <v>734797.26</v>
      </c>
      <c r="AO67" s="4">
        <f t="shared" si="67"/>
        <v>301075</v>
      </c>
      <c r="AP67" s="4">
        <f t="shared" si="67"/>
        <v>1322250</v>
      </c>
      <c r="AQ67" s="4">
        <f t="shared" si="67"/>
        <v>1021175</v>
      </c>
      <c r="AR67" s="4">
        <f t="shared" si="67"/>
        <v>720100</v>
      </c>
      <c r="AS67" s="4">
        <f t="shared" si="67"/>
        <v>419025</v>
      </c>
      <c r="AT67" s="4">
        <f t="shared" si="67"/>
        <v>1814950</v>
      </c>
      <c r="AU67" s="4">
        <f t="shared" si="67"/>
        <v>859950</v>
      </c>
      <c r="AV67" s="4">
        <f t="shared" si="67"/>
        <v>859950</v>
      </c>
      <c r="AW67" s="4">
        <f t="shared" si="67"/>
        <v>0</v>
      </c>
      <c r="AX67" s="4">
        <f t="shared" si="67"/>
        <v>3012928.94</v>
      </c>
      <c r="AY67" s="4">
        <f t="shared" si="67"/>
        <v>144435.35999999999</v>
      </c>
      <c r="AZ67" s="4">
        <f t="shared" si="67"/>
        <v>144435.35999999999</v>
      </c>
      <c r="BA67" s="4">
        <f t="shared" si="67"/>
        <v>0</v>
      </c>
      <c r="BB67" s="4">
        <f t="shared" si="67"/>
        <v>427953.6</v>
      </c>
      <c r="BC67" s="4">
        <f t="shared" si="67"/>
        <v>23718.23</v>
      </c>
      <c r="BD67" s="4">
        <f t="shared" si="67"/>
        <v>23718.23</v>
      </c>
      <c r="BE67" s="4">
        <f t="shared" si="67"/>
        <v>-187658.6</v>
      </c>
      <c r="BF67" s="4">
        <f t="shared" si="67"/>
        <v>315063.71000000002</v>
      </c>
      <c r="BG67" s="4">
        <f t="shared" si="67"/>
        <v>0</v>
      </c>
      <c r="BH67" s="4">
        <f t="shared" si="67"/>
        <v>0</v>
      </c>
      <c r="BI67" s="4">
        <f t="shared" si="67"/>
        <v>0</v>
      </c>
      <c r="BJ67" s="4">
        <f t="shared" si="67"/>
        <v>0</v>
      </c>
      <c r="BK67" s="4">
        <f t="shared" si="67"/>
        <v>0</v>
      </c>
      <c r="BL67" s="4">
        <f t="shared" si="67"/>
        <v>0</v>
      </c>
      <c r="BM67" s="4">
        <f t="shared" si="67"/>
        <v>0</v>
      </c>
      <c r="BN67" s="4">
        <f t="shared" si="67"/>
        <v>0</v>
      </c>
      <c r="BO67" s="4">
        <f t="shared" ref="BO67:CJ67" si="68">BO65-BO66</f>
        <v>0</v>
      </c>
      <c r="BP67" s="4">
        <f t="shared" si="68"/>
        <v>0</v>
      </c>
      <c r="BQ67" s="4">
        <f t="shared" si="68"/>
        <v>0</v>
      </c>
      <c r="BR67" s="4">
        <f t="shared" si="68"/>
        <v>0</v>
      </c>
      <c r="BS67" s="4">
        <f t="shared" si="68"/>
        <v>0</v>
      </c>
      <c r="BT67" s="4">
        <f t="shared" si="68"/>
        <v>0</v>
      </c>
      <c r="BU67" s="4">
        <f t="shared" si="68"/>
        <v>0</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c r="A68" s="22" t="s">
        <v>101</v>
      </c>
      <c r="B68" s="188">
        <v>-3521209.23</v>
      </c>
      <c r="C68" s="188">
        <v>-4384064.29</v>
      </c>
      <c r="D68" s="188">
        <v>-4224584.95</v>
      </c>
      <c r="E68" s="188">
        <v>-3460582.58</v>
      </c>
      <c r="F68" s="188">
        <v>-55722346.189999998</v>
      </c>
      <c r="G68" s="188">
        <v>-39273204.75</v>
      </c>
      <c r="H68" s="188">
        <v>-37505205.880000003</v>
      </c>
      <c r="I68" s="188">
        <v>-29494286.280000001</v>
      </c>
      <c r="J68" s="188">
        <v>-33175188.52</v>
      </c>
      <c r="K68" s="188">
        <v>-1302024</v>
      </c>
      <c r="L68" s="188">
        <v>-12226120.6</v>
      </c>
      <c r="M68" s="188">
        <v>-3031403.42</v>
      </c>
      <c r="N68" s="188">
        <v>-67266800.969999999</v>
      </c>
      <c r="O68" s="188">
        <v>-52132054.299999997</v>
      </c>
      <c r="P68" s="188">
        <v>-18995600.109999999</v>
      </c>
      <c r="Q68" s="188">
        <v>-6472977.6600000001</v>
      </c>
      <c r="R68" s="188">
        <v>-123168793.84</v>
      </c>
      <c r="S68" s="188">
        <v>-95772137.579999998</v>
      </c>
      <c r="T68" s="188">
        <v>-53889235.740000002</v>
      </c>
      <c r="U68" s="188">
        <v>-24123220.32</v>
      </c>
      <c r="V68" s="188">
        <v>-429074364.68000001</v>
      </c>
      <c r="W68" s="188">
        <v>-343826830.68000001</v>
      </c>
      <c r="X68" s="188">
        <v>-238790533.41</v>
      </c>
      <c r="Y68" s="188">
        <v>-114519214.53</v>
      </c>
      <c r="Z68" s="188">
        <v>-420975922.49000001</v>
      </c>
      <c r="AA68" s="188">
        <v>-297465187.51999998</v>
      </c>
      <c r="AB68" s="188">
        <v>-187200820.61000001</v>
      </c>
      <c r="AC68" s="188">
        <v>-97318786.079999998</v>
      </c>
      <c r="AD68" s="188">
        <v>-350751496.92000002</v>
      </c>
      <c r="AE68" s="188">
        <v>-217813505.31999999</v>
      </c>
      <c r="AF68" s="188">
        <v>-148888545.19</v>
      </c>
      <c r="AG68" s="188">
        <v>-53473692.270000003</v>
      </c>
      <c r="AH68" s="188">
        <v>-176577024.91</v>
      </c>
      <c r="AI68" s="188">
        <v>-137330593.52000001</v>
      </c>
      <c r="AJ68" s="188">
        <v>-99774773.510000005</v>
      </c>
      <c r="AK68" s="188">
        <v>-46248011.119999997</v>
      </c>
      <c r="AL68" s="188">
        <v>-133636115.78</v>
      </c>
      <c r="AM68" s="188">
        <v>-90429443.689999998</v>
      </c>
      <c r="AN68" s="188">
        <v>-87784729.510000005</v>
      </c>
      <c r="AO68" s="188">
        <v>-81307397.079999998</v>
      </c>
      <c r="AP68" s="188">
        <v>-102500765.33</v>
      </c>
      <c r="AQ68" s="188">
        <v>-62182025.009999998</v>
      </c>
      <c r="AR68" s="188">
        <v>-46122542.109999999</v>
      </c>
      <c r="AS68" s="188">
        <v>-39680467.920000002</v>
      </c>
      <c r="AT68" s="188">
        <v>-44743824.950000003</v>
      </c>
      <c r="AU68" s="188">
        <v>-38158017.710000001</v>
      </c>
      <c r="AV68" s="188">
        <v>-32966149.120000001</v>
      </c>
      <c r="AW68" s="188">
        <v>-26751923.239999998</v>
      </c>
      <c r="AX68" s="188">
        <v>-25268367.890000001</v>
      </c>
      <c r="AY68" s="188">
        <v>-14469012.92</v>
      </c>
      <c r="AZ68" s="188">
        <v>-6698234.1299999999</v>
      </c>
      <c r="BA68" s="188">
        <v>-2819139.21</v>
      </c>
      <c r="BB68" s="188">
        <v>-32264593.949999999</v>
      </c>
      <c r="BC68" s="188">
        <v>-14225903.98</v>
      </c>
      <c r="BD68" s="188">
        <v>-8107880.4500000002</v>
      </c>
      <c r="BE68" s="188">
        <v>-3746924.02</v>
      </c>
      <c r="BF68" s="188">
        <v>-25993795.539999999</v>
      </c>
      <c r="BG68" s="188">
        <v>-22307046.379999999</v>
      </c>
      <c r="BH68" s="188">
        <v>-9958861.9700000007</v>
      </c>
      <c r="BI68" s="188">
        <v>-6747422.2300000004</v>
      </c>
      <c r="BJ68" s="188">
        <v>-16050225.99</v>
      </c>
      <c r="BK68" s="188">
        <v>-12245012.15</v>
      </c>
      <c r="BL68" s="188">
        <v>-4371087.49</v>
      </c>
      <c r="BM68" s="188">
        <v>-2211149.4700000002</v>
      </c>
      <c r="BN68" s="188">
        <v>-17461501.870000001</v>
      </c>
      <c r="BO68" s="188">
        <v>-15259418.529999999</v>
      </c>
      <c r="BP68" s="188">
        <v>-11910236.880000001</v>
      </c>
      <c r="BQ68" s="188">
        <v>-2661960.19</v>
      </c>
      <c r="BR68" s="188">
        <v>-5742353.4900000002</v>
      </c>
      <c r="BS68" s="188">
        <v>1336222</v>
      </c>
      <c r="BT68" s="188">
        <v>6680065.6699999999</v>
      </c>
      <c r="BU68" s="188">
        <v>11277315.43</v>
      </c>
      <c r="BV68" s="188">
        <v>41920771.770000003</v>
      </c>
      <c r="BW68" s="188">
        <v>0</v>
      </c>
      <c r="BX68" s="188">
        <v>-9593131.2100000009</v>
      </c>
      <c r="BY68" s="188">
        <v>-42791521.079999998</v>
      </c>
      <c r="BZ68" s="188">
        <v>-3834295.55</v>
      </c>
      <c r="CA68" s="188">
        <v>11835075.34</v>
      </c>
      <c r="CB68" s="188">
        <v>16252757.800000001</v>
      </c>
      <c r="CC68" s="188">
        <v>12407743.33</v>
      </c>
      <c r="CD68" s="188">
        <v>0</v>
      </c>
      <c r="CE68" s="188">
        <v>0</v>
      </c>
      <c r="CF68" s="188">
        <v>0</v>
      </c>
      <c r="CG68" s="188">
        <v>0</v>
      </c>
      <c r="CH68" s="188">
        <v>0</v>
      </c>
      <c r="CI68" s="188">
        <v>0</v>
      </c>
      <c r="CJ68" s="188">
        <v>0</v>
      </c>
      <c r="CK68" s="188">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188">
        <v>117408487922.53</v>
      </c>
      <c r="C70" s="188">
        <v>106157062048.92999</v>
      </c>
      <c r="D70" s="188">
        <v>96504474570.580002</v>
      </c>
      <c r="E70" s="188">
        <v>105149681155.38</v>
      </c>
      <c r="F70" s="188">
        <v>96019627475.080002</v>
      </c>
      <c r="G70" s="188">
        <v>88380845274.130005</v>
      </c>
      <c r="H70" s="188">
        <v>79063250670.460007</v>
      </c>
      <c r="I70" s="188">
        <v>82453887315.580002</v>
      </c>
      <c r="J70" s="188">
        <v>75898542854.720001</v>
      </c>
      <c r="K70" s="188">
        <v>71283503461.070007</v>
      </c>
      <c r="L70" s="188">
        <v>67353161683.379997</v>
      </c>
      <c r="M70" s="188">
        <v>70941258989.619995</v>
      </c>
      <c r="N70" s="188">
        <v>66234170421.290001</v>
      </c>
      <c r="O70" s="188">
        <v>61918842558.080002</v>
      </c>
      <c r="P70" s="188">
        <v>63661782189.540001</v>
      </c>
      <c r="Q70" s="188">
        <v>59930148126.959999</v>
      </c>
      <c r="R70" s="188">
        <v>55311550841.120003</v>
      </c>
      <c r="S70" s="188">
        <v>50341328571.510002</v>
      </c>
      <c r="T70" s="188">
        <v>46624176881.220001</v>
      </c>
      <c r="U70" s="188">
        <v>47453571644.629997</v>
      </c>
      <c r="V70" s="188">
        <v>44129092273.260002</v>
      </c>
      <c r="W70" s="188">
        <v>39820367702.190002</v>
      </c>
      <c r="X70" s="188">
        <v>35779107183.519997</v>
      </c>
      <c r="Y70" s="188">
        <v>38595633055.419998</v>
      </c>
      <c r="Z70" s="188">
        <v>35454036397.25</v>
      </c>
      <c r="AA70" s="188">
        <v>31991565468.779999</v>
      </c>
      <c r="AB70" s="188">
        <v>28404775233.630001</v>
      </c>
      <c r="AC70" s="188">
        <v>28530620402.029999</v>
      </c>
      <c r="AD70" s="188">
        <v>25403379611.290001</v>
      </c>
      <c r="AE70" s="188">
        <v>23083770116.279999</v>
      </c>
      <c r="AF70" s="188">
        <v>21544955887.150002</v>
      </c>
      <c r="AG70" s="188">
        <v>20540681024.259998</v>
      </c>
      <c r="AH70" s="188">
        <v>18549389694.619999</v>
      </c>
      <c r="AI70" s="188">
        <v>17721770193.439999</v>
      </c>
      <c r="AJ70" s="188">
        <v>16737213296.219999</v>
      </c>
      <c r="AK70" s="188">
        <v>15995948192.02</v>
      </c>
      <c r="AL70" s="188">
        <v>14651565394.209999</v>
      </c>
      <c r="AM70" s="188">
        <v>14215679731.030001</v>
      </c>
      <c r="AN70" s="188">
        <v>13166976369.08</v>
      </c>
      <c r="AO70" s="188">
        <v>12608007479.040001</v>
      </c>
      <c r="AP70" s="188">
        <v>11503418295.950001</v>
      </c>
      <c r="AQ70" s="188">
        <v>10807004733.84</v>
      </c>
      <c r="AR70" s="188">
        <v>9854634976.4699993</v>
      </c>
      <c r="AS70" s="188">
        <v>9285941265.0300007</v>
      </c>
      <c r="AT70" s="188">
        <v>8368855770.4399996</v>
      </c>
      <c r="AU70" s="188">
        <v>6952899324.3299999</v>
      </c>
      <c r="AV70" s="188">
        <v>6219411895.4899998</v>
      </c>
      <c r="AW70" s="188">
        <v>5888376793.5900002</v>
      </c>
      <c r="AX70" s="188">
        <v>5995028649.4300003</v>
      </c>
      <c r="AY70" s="188">
        <v>5415044428.1099997</v>
      </c>
      <c r="AZ70" s="188">
        <v>5058474356.1400003</v>
      </c>
      <c r="BA70" s="188">
        <v>5588295571.7399998</v>
      </c>
      <c r="BB70" s="188">
        <v>5162395081.5200005</v>
      </c>
      <c r="BC70" s="188">
        <v>4765503347.0299997</v>
      </c>
      <c r="BD70" s="188">
        <v>4691837330.75</v>
      </c>
      <c r="BE70" s="188">
        <v>4600649163.9899998</v>
      </c>
      <c r="BF70" s="188">
        <v>4216707746.73</v>
      </c>
      <c r="BG70" s="188">
        <v>3900474366.1300001</v>
      </c>
      <c r="BH70" s="188">
        <v>3817145295.6799998</v>
      </c>
      <c r="BI70" s="188">
        <v>3727794494.04</v>
      </c>
      <c r="BJ70" s="188">
        <v>3470524090.9299998</v>
      </c>
      <c r="BK70" s="188">
        <v>3231516625.3400002</v>
      </c>
      <c r="BL70" s="188">
        <v>3124773172.54</v>
      </c>
      <c r="BM70" s="188">
        <v>3100472676.3099999</v>
      </c>
      <c r="BN70" s="188">
        <v>2874733972.6900001</v>
      </c>
      <c r="BO70" s="188">
        <v>2857804350.4699998</v>
      </c>
      <c r="BP70" s="188">
        <v>2784052740.7800002</v>
      </c>
      <c r="BQ70" s="188">
        <v>2751462376.5999999</v>
      </c>
      <c r="BR70" s="188">
        <v>2537631703.8099999</v>
      </c>
      <c r="BS70" s="188">
        <v>561545403.24000001</v>
      </c>
      <c r="BT70" s="188">
        <v>443779623.04000002</v>
      </c>
      <c r="BU70" s="188">
        <v>285361855.23000002</v>
      </c>
      <c r="BV70" s="188">
        <v>234091527.97999999</v>
      </c>
      <c r="BW70" s="188">
        <v>0</v>
      </c>
      <c r="BX70" s="188">
        <v>2089698452.7</v>
      </c>
      <c r="BY70" s="188">
        <v>1764990217.6700001</v>
      </c>
      <c r="BZ70" s="188">
        <v>1864618529.46</v>
      </c>
      <c r="CA70" s="188">
        <v>392384778.43000001</v>
      </c>
      <c r="CB70" s="188">
        <v>264958379.21000001</v>
      </c>
      <c r="CC70" s="188">
        <v>225967479.94999999</v>
      </c>
      <c r="CD70" s="188">
        <v>0</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opLeftCell="A31" zoomScale="95" zoomScaleNormal="95" workbookViewId="0">
      <selection activeCell="A31" sqref="A31:XFD33"/>
    </sheetView>
  </sheetViews>
  <sheetFormatPr defaultRowHeight="13.5"/>
  <cols>
    <col min="1" max="1" width="74.625" style="17" bestFit="1" customWidth="1"/>
    <col min="2" max="2" width="22" bestFit="1" customWidth="1"/>
    <col min="3" max="3" width="19.5" hidden="1" customWidth="1"/>
    <col min="4" max="4" width="19.375" hidden="1" customWidth="1"/>
    <col min="5" max="5" width="22" hidden="1" customWidth="1"/>
    <col min="6" max="6" width="20.5" bestFit="1" customWidth="1"/>
    <col min="7" max="8" width="20.5" hidden="1" customWidth="1"/>
    <col min="9" max="9" width="22" hidden="1" customWidth="1"/>
    <col min="10" max="10" width="20.5" bestFit="1" customWidth="1"/>
    <col min="11" max="12" width="20.5" hidden="1" customWidth="1"/>
    <col min="13" max="13" width="22" hidden="1" customWidth="1"/>
    <col min="14" max="14" width="20.5" bestFit="1" customWidth="1"/>
    <col min="15" max="16" width="20.5" hidden="1" customWidth="1"/>
    <col min="17" max="17" width="22" hidden="1" customWidth="1"/>
    <col min="18" max="18" width="20.5" bestFit="1" customWidth="1"/>
    <col min="19" max="20" width="20.5" hidden="1" customWidth="1"/>
    <col min="21" max="21" width="22" hidden="1" customWidth="1"/>
    <col min="22" max="22" width="20.5" bestFit="1" customWidth="1"/>
    <col min="23" max="24" width="20.5" hidden="1" customWidth="1"/>
    <col min="25" max="25" width="22" hidden="1" customWidth="1"/>
    <col min="26" max="26" width="20.5" bestFit="1" customWidth="1"/>
    <col min="27" max="28" width="20.5" hidden="1" customWidth="1"/>
    <col min="29" max="29" width="22" hidden="1" customWidth="1"/>
    <col min="30" max="30" width="20.5" bestFit="1" customWidth="1"/>
    <col min="31" max="32" width="20.5" hidden="1" customWidth="1"/>
    <col min="33" max="33" width="22" hidden="1" customWidth="1"/>
    <col min="34" max="34" width="20.5" bestFit="1" customWidth="1"/>
    <col min="35" max="36" width="20.5" hidden="1" customWidth="1"/>
    <col min="37" max="37" width="22" hidden="1" customWidth="1"/>
    <col min="38" max="38" width="20.5" bestFit="1" customWidth="1"/>
    <col min="39" max="41" width="19.375" hidden="1" customWidth="1"/>
    <col min="42" max="42" width="19.375" bestFit="1" customWidth="1"/>
    <col min="43" max="45" width="19.375" hidden="1" customWidth="1"/>
    <col min="46" max="46" width="19.375" bestFit="1" customWidth="1"/>
    <col min="47" max="49" width="19.375" hidden="1" customWidth="1"/>
    <col min="50" max="50" width="19.375" bestFit="1" customWidth="1"/>
    <col min="51" max="53" width="19.375" hidden="1" customWidth="1"/>
    <col min="54" max="54" width="19.375" bestFit="1" customWidth="1"/>
    <col min="55" max="57" width="19.375" hidden="1" customWidth="1"/>
    <col min="58" max="58" width="19.375" bestFit="1" customWidth="1"/>
    <col min="59" max="61" width="19.375" hidden="1" customWidth="1"/>
    <col min="62" max="62" width="19.375" bestFit="1" customWidth="1"/>
    <col min="63" max="65" width="19.375" hidden="1" customWidth="1"/>
    <col min="66" max="66" width="19.375" bestFit="1" customWidth="1"/>
    <col min="67" max="67" width="19.375" hidden="1" customWidth="1"/>
    <col min="68" max="68" width="19.375" bestFit="1" customWidth="1"/>
    <col min="69" max="69" width="19.375" hidden="1" customWidth="1"/>
    <col min="70" max="70" width="19.375" bestFit="1" customWidth="1"/>
    <col min="71" max="72" width="19.375" hidden="1" customWidth="1"/>
    <col min="73" max="73" width="19.375" bestFit="1" customWidth="1"/>
    <col min="74" max="74" width="19.375" hidden="1" customWidth="1"/>
  </cols>
  <sheetData>
    <row r="1" spans="1:74" s="6" customFormat="1">
      <c r="A1" s="104">
        <v>600519</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25569</v>
      </c>
      <c r="BT1" s="1">
        <v>36341</v>
      </c>
      <c r="BU1" s="1">
        <v>36160</v>
      </c>
      <c r="BV1" s="1">
        <v>25569</v>
      </c>
    </row>
    <row r="2" spans="1:74" s="45" customFormat="1">
      <c r="A2" s="46" t="s">
        <v>292</v>
      </c>
    </row>
    <row r="3" spans="1:74" s="191" customFormat="1">
      <c r="A3" s="191" t="s">
        <v>320</v>
      </c>
      <c r="B3" s="188">
        <v>0</v>
      </c>
      <c r="C3" s="188">
        <v>0</v>
      </c>
      <c r="D3" s="188">
        <v>0</v>
      </c>
      <c r="E3" s="188">
        <v>0</v>
      </c>
      <c r="F3" s="188">
        <v>16450</v>
      </c>
      <c r="G3" s="188">
        <v>16450</v>
      </c>
      <c r="H3" s="188">
        <v>0</v>
      </c>
      <c r="I3" s="188">
        <v>0</v>
      </c>
      <c r="J3" s="188">
        <v>92084.5</v>
      </c>
      <c r="K3" s="188">
        <v>75180</v>
      </c>
      <c r="L3" s="188">
        <v>73845</v>
      </c>
      <c r="M3" s="188">
        <v>117322</v>
      </c>
      <c r="N3" s="188">
        <v>8772937.3900000006</v>
      </c>
      <c r="O3" s="188">
        <v>1280</v>
      </c>
      <c r="P3" s="188">
        <v>0</v>
      </c>
      <c r="Q3" s="188">
        <v>0</v>
      </c>
      <c r="R3" s="188">
        <v>10226939.390000001</v>
      </c>
      <c r="S3" s="188">
        <v>1047680</v>
      </c>
      <c r="T3" s="188">
        <v>1047680</v>
      </c>
      <c r="U3" s="188">
        <v>173418</v>
      </c>
      <c r="V3" s="188">
        <v>0</v>
      </c>
      <c r="W3" s="188">
        <v>0</v>
      </c>
      <c r="X3" s="188">
        <v>0</v>
      </c>
      <c r="Y3" s="188">
        <v>0</v>
      </c>
      <c r="Z3" s="188">
        <v>79000</v>
      </c>
      <c r="AA3" s="188">
        <v>0</v>
      </c>
      <c r="AB3" s="188">
        <v>0</v>
      </c>
      <c r="AC3" s="188">
        <v>0</v>
      </c>
      <c r="AD3" s="188">
        <v>41600</v>
      </c>
      <c r="AE3" s="188">
        <v>40000</v>
      </c>
      <c r="AF3" s="188">
        <v>40000</v>
      </c>
      <c r="AG3" s="188">
        <v>40000</v>
      </c>
      <c r="AH3" s="188">
        <v>0</v>
      </c>
      <c r="AI3" s="188">
        <v>0</v>
      </c>
      <c r="AJ3" s="188">
        <v>0</v>
      </c>
      <c r="AK3" s="188">
        <v>2500</v>
      </c>
      <c r="AL3" s="188">
        <v>0</v>
      </c>
      <c r="AM3" s="188">
        <v>0</v>
      </c>
      <c r="AN3" s="188">
        <v>0</v>
      </c>
      <c r="AO3" s="188">
        <v>0</v>
      </c>
      <c r="AP3" s="188">
        <v>50000</v>
      </c>
      <c r="AQ3" s="188">
        <v>50000</v>
      </c>
      <c r="AR3" s="188">
        <v>0</v>
      </c>
      <c r="AS3" s="188">
        <v>0</v>
      </c>
      <c r="AT3" s="188">
        <v>0</v>
      </c>
      <c r="AU3" s="188">
        <v>0</v>
      </c>
      <c r="AV3" s="188">
        <v>0</v>
      </c>
      <c r="AW3" s="188">
        <v>0</v>
      </c>
      <c r="AX3" s="188">
        <v>5950</v>
      </c>
      <c r="AY3" s="188">
        <v>0</v>
      </c>
      <c r="AZ3" s="188">
        <v>0</v>
      </c>
      <c r="BA3" s="188">
        <v>0</v>
      </c>
      <c r="BB3" s="188">
        <v>0</v>
      </c>
      <c r="BC3" s="188">
        <v>0</v>
      </c>
      <c r="BD3" s="188">
        <v>0</v>
      </c>
      <c r="BE3" s="188">
        <v>0</v>
      </c>
      <c r="BF3" s="188">
        <v>0</v>
      </c>
      <c r="BG3" s="188">
        <v>0</v>
      </c>
      <c r="BH3" s="188">
        <v>0</v>
      </c>
      <c r="BI3" s="188">
        <v>0</v>
      </c>
      <c r="BJ3" s="188">
        <v>0</v>
      </c>
      <c r="BK3" s="188">
        <v>0</v>
      </c>
      <c r="BL3" s="188">
        <v>0</v>
      </c>
      <c r="BM3" s="188">
        <v>0</v>
      </c>
      <c r="BN3" s="188">
        <v>0</v>
      </c>
      <c r="BO3" s="188">
        <v>0</v>
      </c>
      <c r="BP3" s="188">
        <v>0</v>
      </c>
      <c r="BQ3" s="188">
        <v>0</v>
      </c>
      <c r="BR3" s="188">
        <v>0</v>
      </c>
      <c r="BS3" s="188">
        <v>0</v>
      </c>
      <c r="BT3" s="191">
        <v>1680</v>
      </c>
      <c r="BU3" s="191">
        <v>25980.76</v>
      </c>
      <c r="BV3" s="191">
        <v>0</v>
      </c>
    </row>
    <row r="4" spans="1:74" s="191" customFormat="1">
      <c r="A4" s="191" t="s">
        <v>304</v>
      </c>
      <c r="B4" s="188">
        <v>1606750226.28</v>
      </c>
      <c r="C4" s="188">
        <v>1016477926.63</v>
      </c>
      <c r="D4" s="188">
        <v>716639810.98000002</v>
      </c>
      <c r="E4" s="188">
        <v>574638851.37</v>
      </c>
      <c r="F4" s="188">
        <v>1125017192.45</v>
      </c>
      <c r="G4" s="188">
        <v>756994453.84000003</v>
      </c>
      <c r="H4" s="188">
        <v>480999293.66000003</v>
      </c>
      <c r="I4" s="188">
        <v>307369260.11000001</v>
      </c>
      <c r="J4" s="188">
        <v>1019178136.92</v>
      </c>
      <c r="K4" s="188">
        <v>775269285.34000003</v>
      </c>
      <c r="L4" s="188">
        <v>496606045.55000001</v>
      </c>
      <c r="M4" s="188">
        <v>367086565.32999998</v>
      </c>
      <c r="N4" s="188">
        <v>2061470481.3199999</v>
      </c>
      <c r="O4" s="188">
        <v>1810810170.6099999</v>
      </c>
      <c r="P4" s="188">
        <v>1275907396.6199999</v>
      </c>
      <c r="Q4" s="188">
        <v>865730347.38</v>
      </c>
      <c r="R4" s="188">
        <v>4431065066.0500002</v>
      </c>
      <c r="S4" s="188">
        <v>3698405813.6799998</v>
      </c>
      <c r="T4" s="188">
        <v>2846115154.8499999</v>
      </c>
      <c r="U4" s="188">
        <v>2024967912.28</v>
      </c>
      <c r="V4" s="188">
        <v>5405740026.2299995</v>
      </c>
      <c r="W4" s="188">
        <v>3944662952.02</v>
      </c>
      <c r="X4" s="188">
        <v>2527195939.4299998</v>
      </c>
      <c r="Y4" s="188">
        <v>1124939088.24</v>
      </c>
      <c r="Z4" s="188">
        <v>4211900807.9099998</v>
      </c>
      <c r="AA4" s="188">
        <v>3041808991.9499998</v>
      </c>
      <c r="AB4" s="188">
        <v>1701317277.73</v>
      </c>
      <c r="AC4" s="188">
        <v>678815042.40999997</v>
      </c>
      <c r="AD4" s="188">
        <v>2184528163.1100001</v>
      </c>
      <c r="AE4" s="188">
        <v>1234305197.8399999</v>
      </c>
      <c r="AF4" s="188">
        <v>747055064.26999998</v>
      </c>
      <c r="AG4" s="188">
        <v>300691471.88</v>
      </c>
      <c r="AH4" s="188">
        <v>1731913788.52</v>
      </c>
      <c r="AI4" s="188">
        <v>1394221713.73</v>
      </c>
      <c r="AJ4" s="188">
        <v>1079662311.3</v>
      </c>
      <c r="AK4" s="188">
        <v>469039504.07999998</v>
      </c>
      <c r="AL4" s="188">
        <v>1356601530.0899999</v>
      </c>
      <c r="AM4" s="188">
        <v>1058500946.42</v>
      </c>
      <c r="AN4" s="188">
        <v>689017762.13</v>
      </c>
      <c r="AO4" s="188">
        <v>288879016.69</v>
      </c>
      <c r="AP4" s="188">
        <v>1010735786.04</v>
      </c>
      <c r="AQ4" s="188">
        <v>643869405.12</v>
      </c>
      <c r="AR4" s="188">
        <v>409784280.75</v>
      </c>
      <c r="AS4" s="188">
        <v>174666400.53</v>
      </c>
      <c r="AT4" s="188">
        <v>772456652.49000001</v>
      </c>
      <c r="AU4" s="188">
        <v>545583793.12</v>
      </c>
      <c r="AV4" s="188">
        <v>332503082.61000001</v>
      </c>
      <c r="AW4" s="188">
        <v>182658817.77000001</v>
      </c>
      <c r="AX4" s="188">
        <v>737075587.27999997</v>
      </c>
      <c r="AY4" s="188">
        <v>544313686.75999999</v>
      </c>
      <c r="AZ4" s="188">
        <v>311944622.32999998</v>
      </c>
      <c r="BA4" s="188">
        <v>104814535.87</v>
      </c>
      <c r="BB4" s="188">
        <v>540843725.72000003</v>
      </c>
      <c r="BC4" s="188">
        <v>388631291.38999999</v>
      </c>
      <c r="BD4" s="188">
        <v>242680051.99000001</v>
      </c>
      <c r="BE4" s="188">
        <v>101989194.91</v>
      </c>
      <c r="BF4" s="188">
        <v>355190020.75</v>
      </c>
      <c r="BG4" s="188">
        <v>228190946.83000001</v>
      </c>
      <c r="BH4" s="188">
        <v>138326737.52000001</v>
      </c>
      <c r="BI4" s="188">
        <v>73503913.549999997</v>
      </c>
      <c r="BJ4" s="188">
        <v>334880557.62</v>
      </c>
      <c r="BK4" s="188">
        <v>299863886.41000003</v>
      </c>
      <c r="BL4" s="188">
        <v>201234233.88</v>
      </c>
      <c r="BM4" s="188">
        <v>106650497.18000001</v>
      </c>
      <c r="BN4" s="188">
        <v>467451921.25</v>
      </c>
      <c r="BO4" s="188">
        <v>260755471.34</v>
      </c>
      <c r="BP4" s="188">
        <v>331691548.18000001</v>
      </c>
      <c r="BQ4" s="188">
        <v>0</v>
      </c>
      <c r="BR4" s="188">
        <v>33823984.460000001</v>
      </c>
      <c r="BS4" s="188">
        <v>0</v>
      </c>
      <c r="BT4" s="191">
        <v>6757461.4400000004</v>
      </c>
      <c r="BU4" s="191">
        <v>585117171</v>
      </c>
      <c r="BV4" s="191">
        <v>0</v>
      </c>
    </row>
    <row r="5" spans="1:74" s="47" customFormat="1">
      <c r="A5" s="47" t="s">
        <v>295</v>
      </c>
      <c r="E5" s="47">
        <f>E4-E3</f>
        <v>574638851.37</v>
      </c>
      <c r="F5" s="47">
        <f t="shared" ref="F5:AR5" si="0">F4-F3</f>
        <v>1125000742.45</v>
      </c>
      <c r="G5" s="47">
        <f t="shared" si="0"/>
        <v>756978003.84000003</v>
      </c>
      <c r="H5" s="47">
        <f t="shared" si="0"/>
        <v>480999293.66000003</v>
      </c>
      <c r="I5" s="47">
        <f t="shared" si="0"/>
        <v>307369260.11000001</v>
      </c>
      <c r="J5" s="47">
        <f t="shared" si="0"/>
        <v>1019086052.42</v>
      </c>
      <c r="K5" s="47">
        <f t="shared" si="0"/>
        <v>775194105.34000003</v>
      </c>
      <c r="L5" s="47">
        <f t="shared" si="0"/>
        <v>496532200.55000001</v>
      </c>
      <c r="M5" s="47">
        <f t="shared" si="0"/>
        <v>366969243.32999998</v>
      </c>
      <c r="N5" s="47">
        <f t="shared" si="0"/>
        <v>2052697543.9299998</v>
      </c>
      <c r="O5" s="47">
        <f t="shared" si="0"/>
        <v>1810808890.6099999</v>
      </c>
      <c r="P5" s="47">
        <f t="shared" si="0"/>
        <v>1275907396.6199999</v>
      </c>
      <c r="Q5" s="47">
        <f t="shared" si="0"/>
        <v>865730347.38</v>
      </c>
      <c r="R5" s="47">
        <f t="shared" si="0"/>
        <v>4420838126.6599998</v>
      </c>
      <c r="S5" s="47">
        <f t="shared" si="0"/>
        <v>3697358133.6799998</v>
      </c>
      <c r="T5" s="47">
        <f t="shared" si="0"/>
        <v>2845067474.8499999</v>
      </c>
      <c r="U5" s="47">
        <f t="shared" si="0"/>
        <v>2024794494.28</v>
      </c>
      <c r="V5" s="47">
        <f t="shared" si="0"/>
        <v>5405740026.2299995</v>
      </c>
      <c r="W5" s="47">
        <f t="shared" si="0"/>
        <v>3944662952.02</v>
      </c>
      <c r="X5" s="47">
        <f t="shared" si="0"/>
        <v>2527195939.4299998</v>
      </c>
      <c r="Y5" s="47">
        <f t="shared" si="0"/>
        <v>1124939088.24</v>
      </c>
      <c r="Z5" s="47">
        <f t="shared" si="0"/>
        <v>4211821807.9099998</v>
      </c>
      <c r="AA5" s="47">
        <f t="shared" si="0"/>
        <v>3041808991.9499998</v>
      </c>
      <c r="AB5" s="47">
        <f t="shared" si="0"/>
        <v>1701317277.73</v>
      </c>
      <c r="AC5" s="47">
        <f t="shared" si="0"/>
        <v>678815042.40999997</v>
      </c>
      <c r="AD5" s="47">
        <f t="shared" si="0"/>
        <v>2184486563.1100001</v>
      </c>
      <c r="AE5" s="47">
        <f t="shared" si="0"/>
        <v>1234265197.8399999</v>
      </c>
      <c r="AF5" s="47">
        <f t="shared" si="0"/>
        <v>747015064.26999998</v>
      </c>
      <c r="AG5" s="47">
        <f t="shared" si="0"/>
        <v>300651471.88</v>
      </c>
      <c r="AH5" s="47">
        <f t="shared" si="0"/>
        <v>1731913788.52</v>
      </c>
      <c r="AI5" s="47">
        <f t="shared" si="0"/>
        <v>1394221713.73</v>
      </c>
      <c r="AJ5" s="47">
        <f t="shared" si="0"/>
        <v>1079662311.3</v>
      </c>
      <c r="AK5" s="47">
        <f t="shared" si="0"/>
        <v>469037004.07999998</v>
      </c>
      <c r="AL5" s="47">
        <f t="shared" si="0"/>
        <v>1356601530.0899999</v>
      </c>
      <c r="AM5" s="47">
        <f t="shared" si="0"/>
        <v>1058500946.42</v>
      </c>
      <c r="AN5" s="47">
        <f t="shared" si="0"/>
        <v>689017762.13</v>
      </c>
      <c r="AO5" s="47">
        <f t="shared" si="0"/>
        <v>288879016.69</v>
      </c>
      <c r="AP5" s="47">
        <f t="shared" si="0"/>
        <v>1010685786.04</v>
      </c>
      <c r="AQ5" s="47">
        <f t="shared" si="0"/>
        <v>643819405.12</v>
      </c>
      <c r="AR5" s="47">
        <f t="shared" si="0"/>
        <v>409784280.75</v>
      </c>
    </row>
    <row r="6" spans="1:74" s="105" customFormat="1">
      <c r="A6" s="105" t="s">
        <v>305</v>
      </c>
      <c r="B6" s="188">
        <v>1084662728.5799999</v>
      </c>
      <c r="C6" s="188">
        <v>0</v>
      </c>
      <c r="D6" s="188">
        <v>544243284.45000005</v>
      </c>
      <c r="E6" s="188">
        <v>0</v>
      </c>
      <c r="F6" s="188">
        <v>1035052733.45</v>
      </c>
      <c r="G6" s="188">
        <v>0</v>
      </c>
      <c r="H6" s="188">
        <v>516162327.69999999</v>
      </c>
      <c r="I6" s="188">
        <v>0</v>
      </c>
      <c r="J6" s="188">
        <v>842728072.03999996</v>
      </c>
      <c r="K6" s="188">
        <v>0</v>
      </c>
      <c r="L6" s="188">
        <v>417647140.01999998</v>
      </c>
      <c r="M6" s="188">
        <v>0</v>
      </c>
      <c r="N6" s="188">
        <v>761458678.28999996</v>
      </c>
      <c r="O6" s="188">
        <v>0</v>
      </c>
      <c r="P6" s="188">
        <v>373349019.23000002</v>
      </c>
      <c r="Q6" s="188">
        <v>0</v>
      </c>
      <c r="R6" s="188">
        <v>675349786.98000002</v>
      </c>
      <c r="S6" s="188">
        <v>0</v>
      </c>
      <c r="T6" s="188">
        <v>321291816.05000001</v>
      </c>
      <c r="U6" s="188">
        <v>0</v>
      </c>
      <c r="V6" s="188">
        <v>520481867.72000003</v>
      </c>
      <c r="W6" s="188">
        <v>0</v>
      </c>
      <c r="X6" s="188">
        <v>254184419.62</v>
      </c>
      <c r="Y6" s="188">
        <v>0</v>
      </c>
      <c r="Z6" s="188">
        <v>414952194.94</v>
      </c>
      <c r="AA6" s="188">
        <v>0</v>
      </c>
      <c r="AB6" s="188">
        <v>200507000.40000001</v>
      </c>
      <c r="AC6" s="188">
        <v>0</v>
      </c>
      <c r="AD6" s="188">
        <v>331356736.88</v>
      </c>
      <c r="AE6" s="188">
        <v>0</v>
      </c>
      <c r="AF6" s="188">
        <v>158950782.41999999</v>
      </c>
      <c r="AG6" s="188">
        <v>0</v>
      </c>
      <c r="AH6" s="188">
        <v>267815117.52000001</v>
      </c>
      <c r="AI6" s="188">
        <v>0</v>
      </c>
      <c r="AJ6" s="188">
        <v>122119373.3</v>
      </c>
      <c r="AK6" s="188">
        <v>0</v>
      </c>
      <c r="AL6" s="188">
        <v>187387081.41</v>
      </c>
      <c r="AM6" s="188">
        <v>0</v>
      </c>
      <c r="AN6" s="188">
        <v>89093818.810000002</v>
      </c>
      <c r="AO6" s="188">
        <v>0</v>
      </c>
      <c r="AP6" s="188">
        <v>147042974.22999999</v>
      </c>
      <c r="AQ6" s="188">
        <v>0</v>
      </c>
      <c r="AR6" s="188">
        <v>70037352.950000003</v>
      </c>
      <c r="AS6" s="188">
        <v>0</v>
      </c>
      <c r="AT6" s="188">
        <v>103823977.31999999</v>
      </c>
      <c r="AU6" s="188">
        <v>0</v>
      </c>
      <c r="AV6" s="188">
        <v>49772665.390000001</v>
      </c>
      <c r="AW6" s="188">
        <v>0</v>
      </c>
      <c r="AX6" s="188">
        <v>84717392.170000002</v>
      </c>
      <c r="AY6" s="188">
        <v>62546557.289999999</v>
      </c>
      <c r="AZ6" s="188">
        <v>40854031.590000004</v>
      </c>
      <c r="BA6" s="188">
        <v>20555222.16</v>
      </c>
      <c r="BB6" s="188">
        <v>64659106.390000001</v>
      </c>
      <c r="BC6" s="188">
        <v>14382986.699999999</v>
      </c>
      <c r="BD6" s="188">
        <v>31667890.949999999</v>
      </c>
      <c r="BE6" s="188">
        <v>15524717.93</v>
      </c>
      <c r="BF6" s="188">
        <v>55088524.049999997</v>
      </c>
      <c r="BG6" s="188">
        <v>40655791.490000002</v>
      </c>
      <c r="BH6" s="188">
        <v>26579528.530000001</v>
      </c>
      <c r="BI6" s="188">
        <v>12725361.800000001</v>
      </c>
      <c r="BJ6" s="188">
        <v>58391200.810000002</v>
      </c>
      <c r="BK6" s="188">
        <v>47752591.530000001</v>
      </c>
      <c r="BL6" s="188">
        <v>35569491.770000003</v>
      </c>
      <c r="BM6" s="188">
        <v>23864812.800000001</v>
      </c>
      <c r="BN6" s="188">
        <v>20409817.800000001</v>
      </c>
      <c r="BO6" s="188">
        <v>9446489.4299999997</v>
      </c>
      <c r="BP6" s="188">
        <v>11587498.189999999</v>
      </c>
      <c r="BQ6" s="188">
        <v>0</v>
      </c>
      <c r="BR6" s="188">
        <v>10108725</v>
      </c>
      <c r="BS6" s="188">
        <v>0</v>
      </c>
      <c r="BT6" s="191">
        <v>29633190.559999999</v>
      </c>
      <c r="BU6" s="191">
        <v>42460875.850000001</v>
      </c>
      <c r="BV6" s="191">
        <v>0</v>
      </c>
    </row>
    <row r="7" spans="1:74" s="191" customFormat="1">
      <c r="A7" s="191" t="s">
        <v>306</v>
      </c>
      <c r="B7" s="188">
        <v>80431667.219999999</v>
      </c>
      <c r="C7" s="188">
        <v>0</v>
      </c>
      <c r="D7" s="188">
        <v>39850046.619999997</v>
      </c>
      <c r="E7" s="188">
        <v>0</v>
      </c>
      <c r="F7" s="188">
        <v>80522705.769999996</v>
      </c>
      <c r="G7" s="188">
        <v>0</v>
      </c>
      <c r="H7" s="188">
        <v>40237130.289999999</v>
      </c>
      <c r="I7" s="188">
        <v>0</v>
      </c>
      <c r="J7" s="188">
        <v>80457895.989999995</v>
      </c>
      <c r="K7" s="188">
        <v>0</v>
      </c>
      <c r="L7" s="188">
        <v>40081010.549999997</v>
      </c>
      <c r="M7" s="188">
        <v>0</v>
      </c>
      <c r="N7" s="188">
        <v>79883270.420000002</v>
      </c>
      <c r="O7" s="188">
        <v>0</v>
      </c>
      <c r="P7" s="188">
        <v>39738464.259999998</v>
      </c>
      <c r="Q7" s="188">
        <v>0</v>
      </c>
      <c r="R7" s="188">
        <v>77607523.200000003</v>
      </c>
      <c r="S7" s="188">
        <v>0</v>
      </c>
      <c r="T7" s="188">
        <v>38383088.600000001</v>
      </c>
      <c r="U7" s="188">
        <v>0</v>
      </c>
      <c r="V7" s="188">
        <v>31617810.780000001</v>
      </c>
      <c r="W7" s="188">
        <v>0</v>
      </c>
      <c r="X7" s="188">
        <v>11204325.32</v>
      </c>
      <c r="Y7" s="188">
        <v>0</v>
      </c>
      <c r="Z7" s="188">
        <v>15994854.35</v>
      </c>
      <c r="AA7" s="188">
        <v>0</v>
      </c>
      <c r="AB7" s="188">
        <v>6655978.8700000001</v>
      </c>
      <c r="AC7" s="188">
        <v>0</v>
      </c>
      <c r="AD7" s="188">
        <v>11855582.220000001</v>
      </c>
      <c r="AE7" s="188">
        <v>0</v>
      </c>
      <c r="AF7" s="188">
        <v>5646985.7000000002</v>
      </c>
      <c r="AG7" s="188">
        <v>0</v>
      </c>
      <c r="AH7" s="188">
        <v>14719853.449999999</v>
      </c>
      <c r="AI7" s="188">
        <v>0</v>
      </c>
      <c r="AJ7" s="188">
        <v>5961975.2400000002</v>
      </c>
      <c r="AK7" s="188">
        <v>0</v>
      </c>
      <c r="AL7" s="188">
        <v>11552408.130000001</v>
      </c>
      <c r="AM7" s="188">
        <v>0</v>
      </c>
      <c r="AN7" s="188">
        <v>5728173.5</v>
      </c>
      <c r="AO7" s="188">
        <v>0</v>
      </c>
      <c r="AP7" s="188">
        <v>6995493.6799999997</v>
      </c>
      <c r="AQ7" s="188">
        <v>0</v>
      </c>
      <c r="AR7" s="188">
        <v>3361247.64</v>
      </c>
      <c r="AS7" s="188">
        <v>0</v>
      </c>
      <c r="AT7" s="188">
        <v>8419605.2599999998</v>
      </c>
      <c r="AU7" s="188">
        <v>0</v>
      </c>
      <c r="AV7" s="188">
        <v>3214603.12</v>
      </c>
      <c r="AW7" s="188">
        <v>0</v>
      </c>
      <c r="AX7" s="188">
        <v>3228097.47</v>
      </c>
      <c r="AY7" s="188">
        <v>507627.19</v>
      </c>
      <c r="AZ7" s="188">
        <v>303570.90999999997</v>
      </c>
      <c r="BA7" s="188">
        <v>141331.29</v>
      </c>
      <c r="BB7" s="188">
        <v>1721214.26</v>
      </c>
      <c r="BC7" s="188">
        <v>84999.84</v>
      </c>
      <c r="BD7" s="188">
        <v>84999.84</v>
      </c>
      <c r="BE7" s="188">
        <v>42500.01</v>
      </c>
      <c r="BF7" s="188">
        <v>171205.04</v>
      </c>
      <c r="BG7" s="188">
        <v>127500.03</v>
      </c>
      <c r="BH7" s="188">
        <v>85000.02</v>
      </c>
      <c r="BI7" s="188">
        <v>42500.01</v>
      </c>
      <c r="BJ7" s="188">
        <v>170000.04</v>
      </c>
      <c r="BK7" s="188">
        <v>127500.03</v>
      </c>
      <c r="BL7" s="188">
        <v>85000.02</v>
      </c>
      <c r="BM7" s="188">
        <v>42500.01</v>
      </c>
      <c r="BN7" s="188">
        <v>170000.04</v>
      </c>
      <c r="BO7" s="188">
        <v>85000.02</v>
      </c>
      <c r="BP7" s="188">
        <v>676000.04</v>
      </c>
      <c r="BQ7" s="188">
        <v>0</v>
      </c>
      <c r="BR7" s="188">
        <v>3477429</v>
      </c>
      <c r="BS7" s="188">
        <v>0</v>
      </c>
      <c r="BT7" s="191">
        <v>1394056.95</v>
      </c>
      <c r="BU7" s="191">
        <v>2442875.52</v>
      </c>
      <c r="BV7" s="191">
        <v>0</v>
      </c>
    </row>
    <row r="8" spans="1:74" s="191" customFormat="1">
      <c r="A8" s="191" t="s">
        <v>307</v>
      </c>
      <c r="B8" s="188">
        <v>10331100.619999999</v>
      </c>
      <c r="C8" s="188">
        <v>0</v>
      </c>
      <c r="D8" s="188">
        <v>5061092.9400000004</v>
      </c>
      <c r="E8" s="188">
        <v>0</v>
      </c>
      <c r="F8" s="188">
        <v>10259101.970000001</v>
      </c>
      <c r="G8" s="188">
        <v>0</v>
      </c>
      <c r="H8" s="188">
        <v>5140436.7300000004</v>
      </c>
      <c r="I8" s="188">
        <v>0</v>
      </c>
      <c r="J8" s="188">
        <v>11008704.17</v>
      </c>
      <c r="K8" s="188">
        <v>0</v>
      </c>
      <c r="L8" s="188">
        <v>5681522.1299999999</v>
      </c>
      <c r="M8" s="188">
        <v>0</v>
      </c>
      <c r="N8" s="188">
        <v>6804749.0199999996</v>
      </c>
      <c r="O8" s="188">
        <v>0</v>
      </c>
      <c r="P8" s="188">
        <v>2445058.8199999998</v>
      </c>
      <c r="Q8" s="188">
        <v>0</v>
      </c>
      <c r="R8" s="188">
        <v>3842650.48</v>
      </c>
      <c r="S8" s="188">
        <v>0</v>
      </c>
      <c r="T8" s="188">
        <v>1851383.57</v>
      </c>
      <c r="U8" s="188">
        <v>0</v>
      </c>
      <c r="V8" s="188">
        <v>4197830.59</v>
      </c>
      <c r="W8" s="188">
        <v>0</v>
      </c>
      <c r="X8" s="188">
        <v>1942477.92</v>
      </c>
      <c r="Y8" s="188">
        <v>0</v>
      </c>
      <c r="Z8" s="188">
        <v>3854764.8</v>
      </c>
      <c r="AA8" s="188">
        <v>0</v>
      </c>
      <c r="AB8" s="188">
        <v>1919834.64</v>
      </c>
      <c r="AC8" s="188">
        <v>0</v>
      </c>
      <c r="AD8" s="188">
        <v>4896216.72</v>
      </c>
      <c r="AE8" s="188">
        <v>0</v>
      </c>
      <c r="AF8" s="188">
        <v>863163.66</v>
      </c>
      <c r="AG8" s="188">
        <v>0</v>
      </c>
      <c r="AH8" s="188">
        <v>3034894.25</v>
      </c>
      <c r="AI8" s="188">
        <v>0</v>
      </c>
      <c r="AJ8" s="188">
        <v>2588560.7999999998</v>
      </c>
      <c r="AK8" s="188">
        <v>0</v>
      </c>
      <c r="AL8" s="188">
        <v>8627818.8800000008</v>
      </c>
      <c r="AM8" s="188">
        <v>0</v>
      </c>
      <c r="AN8" s="188">
        <v>4684138.12</v>
      </c>
      <c r="AO8" s="188">
        <v>0</v>
      </c>
      <c r="AP8" s="188">
        <v>10613073.470000001</v>
      </c>
      <c r="AQ8" s="188">
        <v>0</v>
      </c>
      <c r="AR8" s="188">
        <v>6441361.3099999996</v>
      </c>
      <c r="AS8" s="188">
        <v>0</v>
      </c>
      <c r="AT8" s="188">
        <v>65846168.600000001</v>
      </c>
      <c r="AU8" s="188">
        <v>0</v>
      </c>
      <c r="AV8" s="188">
        <v>4580442.62</v>
      </c>
      <c r="AW8" s="188">
        <v>0</v>
      </c>
      <c r="AX8" s="188">
        <v>8744492.6899999995</v>
      </c>
      <c r="AY8" s="188">
        <v>6440605.7699999996</v>
      </c>
      <c r="AZ8" s="188">
        <v>4187782.96</v>
      </c>
      <c r="BA8" s="188">
        <v>2098114.34</v>
      </c>
      <c r="BB8" s="188">
        <v>12051388.76</v>
      </c>
      <c r="BC8" s="188">
        <v>2203602.2400000002</v>
      </c>
      <c r="BD8" s="188">
        <v>4623317.43</v>
      </c>
      <c r="BE8" s="188">
        <v>967986.57</v>
      </c>
      <c r="BF8" s="188">
        <v>11374067.689999999</v>
      </c>
      <c r="BG8" s="188">
        <v>2772944.12</v>
      </c>
      <c r="BH8" s="188">
        <v>2416531.69</v>
      </c>
      <c r="BI8" s="188">
        <v>1638077.4399999999</v>
      </c>
      <c r="BJ8" s="188">
        <v>5297418.04</v>
      </c>
      <c r="BK8" s="188">
        <v>2483546</v>
      </c>
      <c r="BL8" s="188">
        <v>1638442.04</v>
      </c>
      <c r="BM8" s="188">
        <v>642970.9</v>
      </c>
      <c r="BN8" s="188">
        <v>-5629054.3700000001</v>
      </c>
      <c r="BO8" s="188">
        <v>1086189.98</v>
      </c>
      <c r="BP8" s="188">
        <v>2083990</v>
      </c>
      <c r="BQ8" s="188">
        <v>0</v>
      </c>
      <c r="BR8" s="188">
        <v>0</v>
      </c>
      <c r="BS8" s="188">
        <v>0</v>
      </c>
      <c r="BT8" s="191">
        <v>0</v>
      </c>
      <c r="BU8" s="191">
        <v>0</v>
      </c>
      <c r="BV8" s="191">
        <v>0</v>
      </c>
    </row>
    <row r="9" spans="1:74" s="191" customFormat="1">
      <c r="A9" s="191" t="s">
        <v>308</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v>0</v>
      </c>
      <c r="AL9" s="188">
        <v>0</v>
      </c>
      <c r="AM9" s="188">
        <v>0</v>
      </c>
      <c r="AN9" s="188">
        <v>0</v>
      </c>
      <c r="AO9" s="188">
        <v>0</v>
      </c>
      <c r="AP9" s="188">
        <v>0</v>
      </c>
      <c r="AQ9" s="188">
        <v>0</v>
      </c>
      <c r="AR9" s="188">
        <v>0</v>
      </c>
      <c r="AS9" s="188">
        <v>0</v>
      </c>
      <c r="AT9" s="188">
        <v>900998.31</v>
      </c>
      <c r="AU9" s="188">
        <v>0</v>
      </c>
      <c r="AV9" s="188">
        <v>-98880</v>
      </c>
      <c r="AW9" s="188">
        <v>0</v>
      </c>
      <c r="AX9" s="188">
        <v>0</v>
      </c>
      <c r="AY9" s="188">
        <v>0</v>
      </c>
      <c r="AZ9" s="188">
        <v>0</v>
      </c>
      <c r="BA9" s="188">
        <v>0</v>
      </c>
      <c r="BB9" s="188">
        <v>0</v>
      </c>
      <c r="BC9" s="188">
        <v>0</v>
      </c>
      <c r="BD9" s="188">
        <v>0</v>
      </c>
      <c r="BE9" s="188">
        <v>0</v>
      </c>
      <c r="BF9" s="188">
        <v>0</v>
      </c>
      <c r="BG9" s="188">
        <v>0</v>
      </c>
      <c r="BH9" s="188">
        <v>0</v>
      </c>
      <c r="BI9" s="188">
        <v>0</v>
      </c>
      <c r="BJ9" s="188">
        <v>0</v>
      </c>
      <c r="BK9" s="188">
        <v>0</v>
      </c>
      <c r="BL9" s="188">
        <v>0</v>
      </c>
      <c r="BM9" s="188">
        <v>0</v>
      </c>
      <c r="BN9" s="188">
        <v>0</v>
      </c>
      <c r="BO9" s="188">
        <v>0</v>
      </c>
      <c r="BP9" s="188">
        <v>0</v>
      </c>
      <c r="BQ9" s="188">
        <v>0</v>
      </c>
      <c r="BR9" s="188">
        <v>0</v>
      </c>
      <c r="BS9" s="188">
        <v>0</v>
      </c>
      <c r="BT9" s="191">
        <v>-1680</v>
      </c>
      <c r="BU9" s="191">
        <v>0</v>
      </c>
      <c r="BV9" s="191">
        <v>0</v>
      </c>
    </row>
    <row r="10" spans="1:74" s="191" customFormat="1">
      <c r="A10" s="191" t="s">
        <v>309</v>
      </c>
      <c r="B10" s="188">
        <v>1808930.93</v>
      </c>
      <c r="C10" s="188">
        <v>0</v>
      </c>
      <c r="D10" s="188">
        <v>242363</v>
      </c>
      <c r="E10" s="188">
        <v>0</v>
      </c>
      <c r="F10" s="188">
        <v>3291895.5</v>
      </c>
      <c r="G10" s="188">
        <v>0</v>
      </c>
      <c r="H10" s="188">
        <v>115399.49</v>
      </c>
      <c r="I10" s="188">
        <v>0</v>
      </c>
      <c r="J10" s="188">
        <v>1869869.13</v>
      </c>
      <c r="K10" s="188">
        <v>0</v>
      </c>
      <c r="L10" s="188">
        <v>-43123.46</v>
      </c>
      <c r="M10" s="188">
        <v>0</v>
      </c>
      <c r="N10" s="188">
        <v>-17419.86</v>
      </c>
      <c r="O10" s="188">
        <v>0</v>
      </c>
      <c r="P10" s="188">
        <v>38556.61</v>
      </c>
      <c r="Q10" s="188">
        <v>0</v>
      </c>
      <c r="R10" s="188">
        <v>85119583.319999993</v>
      </c>
      <c r="S10" s="188">
        <v>0</v>
      </c>
      <c r="T10" s="188">
        <v>5620616.7999999998</v>
      </c>
      <c r="U10" s="188">
        <v>0</v>
      </c>
      <c r="V10" s="188">
        <v>8997287.1699999999</v>
      </c>
      <c r="W10" s="188">
        <v>0</v>
      </c>
      <c r="X10" s="188">
        <v>175182.81</v>
      </c>
      <c r="Y10" s="188">
        <v>0</v>
      </c>
      <c r="Z10" s="188">
        <v>155718.82</v>
      </c>
      <c r="AA10" s="188">
        <v>0</v>
      </c>
      <c r="AB10" s="188">
        <v>84152.4</v>
      </c>
      <c r="AC10" s="188">
        <v>0</v>
      </c>
      <c r="AD10" s="188">
        <v>-888534.94</v>
      </c>
      <c r="AE10" s="188">
        <v>0</v>
      </c>
      <c r="AF10" s="188">
        <v>-886934.94</v>
      </c>
      <c r="AG10" s="188">
        <v>0</v>
      </c>
      <c r="AH10" s="188">
        <v>617857.77</v>
      </c>
      <c r="AI10" s="188">
        <v>0</v>
      </c>
      <c r="AJ10" s="188">
        <v>561791.21</v>
      </c>
      <c r="AK10" s="188">
        <v>0</v>
      </c>
      <c r="AL10" s="188">
        <v>227122.97</v>
      </c>
      <c r="AM10" s="188">
        <v>0</v>
      </c>
      <c r="AN10" s="188">
        <v>8880.69</v>
      </c>
      <c r="AO10" s="188">
        <v>0</v>
      </c>
      <c r="AP10" s="188">
        <v>3241808.24</v>
      </c>
      <c r="AQ10" s="188">
        <v>0</v>
      </c>
      <c r="AR10" s="188">
        <v>3118790.2</v>
      </c>
      <c r="AS10" s="188">
        <v>0</v>
      </c>
      <c r="AT10" s="188">
        <v>3146711.19</v>
      </c>
      <c r="AU10" s="188">
        <v>0</v>
      </c>
      <c r="AV10" s="188">
        <v>149474.44</v>
      </c>
      <c r="AW10" s="188">
        <v>0</v>
      </c>
      <c r="AX10" s="188">
        <v>0</v>
      </c>
      <c r="AY10" s="188">
        <v>0</v>
      </c>
      <c r="AZ10" s="188">
        <v>0</v>
      </c>
      <c r="BA10" s="188">
        <v>0</v>
      </c>
      <c r="BB10" s="188">
        <v>0</v>
      </c>
      <c r="BC10" s="188">
        <v>0</v>
      </c>
      <c r="BD10" s="188">
        <v>0</v>
      </c>
      <c r="BE10" s="188">
        <v>0</v>
      </c>
      <c r="BF10" s="188">
        <v>210396.99</v>
      </c>
      <c r="BG10" s="188">
        <v>627297.24</v>
      </c>
      <c r="BH10" s="188">
        <v>0</v>
      </c>
      <c r="BI10" s="188">
        <v>0</v>
      </c>
      <c r="BJ10" s="188">
        <v>0</v>
      </c>
      <c r="BK10" s="188">
        <v>8291.7099999999991</v>
      </c>
      <c r="BL10" s="188">
        <v>8291.7099999999991</v>
      </c>
      <c r="BM10" s="188">
        <v>7741.71</v>
      </c>
      <c r="BN10" s="188">
        <v>0</v>
      </c>
      <c r="BO10" s="188">
        <v>0</v>
      </c>
      <c r="BP10" s="188">
        <v>602996.92000000004</v>
      </c>
      <c r="BQ10" s="188">
        <v>0</v>
      </c>
      <c r="BR10" s="188">
        <v>216575</v>
      </c>
      <c r="BS10" s="188">
        <v>0</v>
      </c>
      <c r="BT10" s="191">
        <v>7101</v>
      </c>
      <c r="BU10" s="191">
        <v>0</v>
      </c>
      <c r="BV10" s="191">
        <v>0</v>
      </c>
    </row>
    <row r="11" spans="1:74" s="47" customFormat="1">
      <c r="A11" s="135" t="s">
        <v>296</v>
      </c>
      <c r="E11" s="47">
        <f>E5-E6-E7-E8-E9-E10</f>
        <v>574638851.37</v>
      </c>
      <c r="F11" s="47">
        <f t="shared" ref="F11:BQ11" si="1">F5-F6-F7-F8-F9-F10</f>
        <v>-4125694.2399999965</v>
      </c>
      <c r="G11" s="47">
        <f t="shared" si="1"/>
        <v>756978003.84000003</v>
      </c>
      <c r="H11" s="47">
        <f t="shared" si="1"/>
        <v>-80656000.549999952</v>
      </c>
      <c r="I11" s="47">
        <f t="shared" si="1"/>
        <v>307369260.11000001</v>
      </c>
      <c r="J11" s="47">
        <f t="shared" si="1"/>
        <v>83021511.090000004</v>
      </c>
      <c r="K11" s="47">
        <f t="shared" si="1"/>
        <v>775194105.34000003</v>
      </c>
      <c r="L11" s="47">
        <f t="shared" si="1"/>
        <v>33165651.310000036</v>
      </c>
      <c r="M11" s="47">
        <f t="shared" si="1"/>
        <v>366969243.32999998</v>
      </c>
      <c r="N11" s="47">
        <f t="shared" si="1"/>
        <v>1204568266.0599997</v>
      </c>
      <c r="O11" s="47">
        <f t="shared" si="1"/>
        <v>1810808890.6099999</v>
      </c>
      <c r="P11" s="47">
        <f t="shared" si="1"/>
        <v>860336297.69999981</v>
      </c>
      <c r="Q11" s="47">
        <f t="shared" si="1"/>
        <v>865730347.38</v>
      </c>
      <c r="R11" s="47">
        <f t="shared" si="1"/>
        <v>3578918582.6799998</v>
      </c>
      <c r="S11" s="47">
        <f t="shared" si="1"/>
        <v>3697358133.6799998</v>
      </c>
      <c r="T11" s="47">
        <f t="shared" si="1"/>
        <v>2477920569.8299994</v>
      </c>
      <c r="U11" s="47">
        <f t="shared" si="1"/>
        <v>2024794494.28</v>
      </c>
      <c r="V11" s="47">
        <f t="shared" si="1"/>
        <v>4840445229.9699993</v>
      </c>
      <c r="W11" s="47">
        <f t="shared" si="1"/>
        <v>3944662952.02</v>
      </c>
      <c r="X11" s="47">
        <f t="shared" si="1"/>
        <v>2259689533.7599998</v>
      </c>
      <c r="Y11" s="47">
        <f t="shared" si="1"/>
        <v>1124939088.24</v>
      </c>
      <c r="Z11" s="47">
        <f t="shared" si="1"/>
        <v>3776864274.9999995</v>
      </c>
      <c r="AA11" s="47">
        <f t="shared" si="1"/>
        <v>3041808991.9499998</v>
      </c>
      <c r="AB11" s="47">
        <f t="shared" si="1"/>
        <v>1492150311.4199998</v>
      </c>
      <c r="AC11" s="47">
        <f t="shared" si="1"/>
        <v>678815042.40999997</v>
      </c>
      <c r="AD11" s="47">
        <f t="shared" si="1"/>
        <v>1837266562.23</v>
      </c>
      <c r="AE11" s="47">
        <f t="shared" si="1"/>
        <v>1234265197.8399999</v>
      </c>
      <c r="AF11" s="47">
        <f t="shared" si="1"/>
        <v>582441067.43000007</v>
      </c>
      <c r="AG11" s="47">
        <f t="shared" si="1"/>
        <v>300651471.88</v>
      </c>
      <c r="AH11" s="47">
        <f t="shared" si="1"/>
        <v>1445726065.53</v>
      </c>
      <c r="AI11" s="47">
        <f t="shared" si="1"/>
        <v>1394221713.73</v>
      </c>
      <c r="AJ11" s="47">
        <f t="shared" si="1"/>
        <v>948430610.75</v>
      </c>
      <c r="AK11" s="47">
        <f t="shared" si="1"/>
        <v>469037004.07999998</v>
      </c>
      <c r="AL11" s="47">
        <f t="shared" si="1"/>
        <v>1148807098.6999996</v>
      </c>
      <c r="AM11" s="47">
        <f t="shared" si="1"/>
        <v>1058500946.42</v>
      </c>
      <c r="AN11" s="47">
        <f t="shared" si="1"/>
        <v>589502751.00999987</v>
      </c>
      <c r="AO11" s="47">
        <f t="shared" si="1"/>
        <v>288879016.69</v>
      </c>
      <c r="AP11" s="47">
        <f t="shared" si="1"/>
        <v>842792436.41999996</v>
      </c>
      <c r="AQ11" s="47">
        <f t="shared" si="1"/>
        <v>643819405.12</v>
      </c>
      <c r="AR11" s="47">
        <f t="shared" si="1"/>
        <v>326825528.65000004</v>
      </c>
      <c r="AS11" s="47">
        <f t="shared" si="1"/>
        <v>0</v>
      </c>
      <c r="AT11" s="47">
        <f t="shared" si="1"/>
        <v>-182137460.68000001</v>
      </c>
      <c r="AU11" s="47">
        <f t="shared" si="1"/>
        <v>0</v>
      </c>
      <c r="AV11" s="47">
        <f t="shared" si="1"/>
        <v>-57618305.569999993</v>
      </c>
      <c r="AW11" s="47">
        <f t="shared" si="1"/>
        <v>0</v>
      </c>
      <c r="AX11" s="47">
        <f t="shared" si="1"/>
        <v>-96689982.329999998</v>
      </c>
      <c r="AY11" s="47">
        <f t="shared" si="1"/>
        <v>-69494790.25</v>
      </c>
      <c r="AZ11" s="47">
        <f t="shared" si="1"/>
        <v>-45345385.460000001</v>
      </c>
      <c r="BA11" s="47">
        <f t="shared" si="1"/>
        <v>-22794667.789999999</v>
      </c>
      <c r="BB11" s="47">
        <f t="shared" si="1"/>
        <v>-78431709.409999996</v>
      </c>
      <c r="BC11" s="47">
        <f t="shared" si="1"/>
        <v>-16671588.779999999</v>
      </c>
      <c r="BD11" s="47">
        <f t="shared" si="1"/>
        <v>-36376208.219999999</v>
      </c>
      <c r="BE11" s="47">
        <f t="shared" si="1"/>
        <v>-16535204.51</v>
      </c>
      <c r="BF11" s="47">
        <f t="shared" si="1"/>
        <v>-66844193.769999996</v>
      </c>
      <c r="BG11" s="47">
        <f t="shared" si="1"/>
        <v>-44183532.880000003</v>
      </c>
      <c r="BH11" s="47">
        <f t="shared" si="1"/>
        <v>-29081060.240000002</v>
      </c>
      <c r="BI11" s="47">
        <f t="shared" si="1"/>
        <v>-14405939.25</v>
      </c>
      <c r="BJ11" s="47">
        <f t="shared" si="1"/>
        <v>-63858618.890000001</v>
      </c>
      <c r="BK11" s="47">
        <f t="shared" si="1"/>
        <v>-50371929.270000003</v>
      </c>
      <c r="BL11" s="47">
        <f t="shared" si="1"/>
        <v>-37301225.540000007</v>
      </c>
      <c r="BM11" s="47">
        <f t="shared" si="1"/>
        <v>-24558025.420000002</v>
      </c>
      <c r="BN11" s="47">
        <f t="shared" si="1"/>
        <v>-14950763.469999999</v>
      </c>
      <c r="BO11" s="47">
        <f t="shared" si="1"/>
        <v>-10617679.43</v>
      </c>
      <c r="BP11" s="47">
        <f t="shared" si="1"/>
        <v>-14950485.15</v>
      </c>
      <c r="BQ11" s="47">
        <f t="shared" si="1"/>
        <v>0</v>
      </c>
      <c r="BR11" s="47">
        <f t="shared" ref="BR11:BS11" si="2">BR5-BR6-BR7-BR8-BR9-BR10</f>
        <v>-13802729</v>
      </c>
      <c r="BS11" s="47">
        <f t="shared" si="2"/>
        <v>0</v>
      </c>
    </row>
    <row r="12" spans="1:74" s="26" customFormat="1">
      <c r="A12" s="17" t="s">
        <v>297</v>
      </c>
      <c r="E12" s="26">
        <f t="shared" ref="E12:Q12" si="3">I34</f>
        <v>23060295953.759998</v>
      </c>
      <c r="F12" s="26">
        <f t="shared" si="3"/>
        <v>22724989474.84</v>
      </c>
      <c r="G12" s="26">
        <f t="shared" si="3"/>
        <v>21614145955.470001</v>
      </c>
      <c r="H12" s="26">
        <f t="shared" si="3"/>
        <v>21564032140.220001</v>
      </c>
      <c r="I12" s="26">
        <f t="shared" si="3"/>
        <v>21547653404.439999</v>
      </c>
      <c r="J12" s="26">
        <f t="shared" si="3"/>
        <v>21267949399.18</v>
      </c>
      <c r="K12" s="26">
        <f t="shared" si="3"/>
        <v>20232592117.09</v>
      </c>
      <c r="L12" s="26">
        <f t="shared" si="3"/>
        <v>19068774757.830002</v>
      </c>
      <c r="M12" s="26">
        <f t="shared" si="3"/>
        <v>18311646536.52</v>
      </c>
      <c r="N12" s="26">
        <f t="shared" si="3"/>
        <v>18298236150.310001</v>
      </c>
      <c r="O12" s="26">
        <f t="shared" si="3"/>
        <v>16656795222.92</v>
      </c>
      <c r="P12" s="26">
        <f t="shared" si="3"/>
        <v>16579774564.629999</v>
      </c>
      <c r="Q12" s="26">
        <f t="shared" si="3"/>
        <v>15583608259.01</v>
      </c>
      <c r="R12" s="191">
        <f t="shared" ref="R12" si="4">V34</f>
        <v>13522567242.82</v>
      </c>
      <c r="S12" s="191">
        <f t="shared" ref="S12" si="5">W34</f>
        <v>9433590713.1000004</v>
      </c>
      <c r="T12" s="191">
        <f t="shared" ref="T12" si="6">X34</f>
        <v>8937733311.7900009</v>
      </c>
      <c r="U12" s="191">
        <f t="shared" ref="U12" si="7">Y34</f>
        <v>9046122215.5200005</v>
      </c>
      <c r="V12" s="191">
        <f t="shared" ref="V12" si="8">Z34</f>
        <v>8773132339.5799999</v>
      </c>
      <c r="W12" s="191">
        <f t="shared" ref="W12" si="9">AA34</f>
        <v>7348983711.5200005</v>
      </c>
      <c r="X12" s="191">
        <f t="shared" ref="X12" si="10">AB34</f>
        <v>7287172510.8199997</v>
      </c>
      <c r="Y12" s="191">
        <f t="shared" ref="Y12" si="11">AC34</f>
        <v>7174957543.2700005</v>
      </c>
      <c r="Z12" s="191">
        <f t="shared" ref="Z12" si="12">AD34</f>
        <v>7071236794.9799995</v>
      </c>
      <c r="AA12" s="191">
        <f t="shared" ref="AA12" si="13">AE34</f>
        <v>5907593182.6300001</v>
      </c>
      <c r="AB12" s="191">
        <f t="shared" ref="AB12" si="14">AF34</f>
        <v>5450664776.8999996</v>
      </c>
      <c r="AC12" s="191">
        <f t="shared" ref="AC12" si="15">AG34</f>
        <v>5404910754.6800003</v>
      </c>
      <c r="AD12" s="191">
        <f t="shared" ref="AD12" si="16">AH34</f>
        <v>5287295112.3800001</v>
      </c>
      <c r="AE12" s="191">
        <f t="shared" ref="AE12" si="17">AI34</f>
        <v>4854322092.2399998</v>
      </c>
      <c r="AF12" s="191">
        <f t="shared" ref="AF12" si="18">AJ34</f>
        <v>4750522574.4799995</v>
      </c>
      <c r="AG12" s="191">
        <f t="shared" ref="AG12" si="19">AK34</f>
        <v>4223497907.46</v>
      </c>
      <c r="AH12" s="191">
        <f t="shared" ref="AH12" si="20">AL34</f>
        <v>4114037784.3299999</v>
      </c>
      <c r="AI12" s="191">
        <f t="shared" ref="AI12" si="21">AM34</f>
        <v>3893081948.3499999</v>
      </c>
      <c r="AJ12" s="191">
        <f t="shared" ref="AJ12" si="22">AN34</f>
        <v>3756937589.1599998</v>
      </c>
      <c r="AK12" s="191">
        <f t="shared" ref="AK12" si="23">AO34</f>
        <v>3728677824.9000001</v>
      </c>
      <c r="AL12" s="191">
        <f t="shared" ref="AL12" si="24">AP34</f>
        <v>3513436953.5100002</v>
      </c>
      <c r="AM12" s="191">
        <f t="shared" ref="AM12" si="25">AQ34</f>
        <v>3739014271</v>
      </c>
      <c r="AN12" s="191">
        <f t="shared" ref="AN12" si="26">AR34</f>
        <v>3526080172.4299998</v>
      </c>
      <c r="AO12" s="191">
        <f t="shared" ref="AO12" si="27">AS34</f>
        <v>3338338900.5300002</v>
      </c>
      <c r="AP12" s="191">
        <f t="shared" ref="AP12" si="28">AT34</f>
        <v>3209968937.0300002</v>
      </c>
      <c r="AQ12" s="191">
        <f t="shared" ref="AQ12" si="29">AU34</f>
        <v>3086136003.2399998</v>
      </c>
      <c r="AR12" s="191">
        <f t="shared" ref="AR12" si="30">AV34</f>
        <v>2952999545.0700002</v>
      </c>
      <c r="AS12" s="191">
        <f t="shared" ref="AS12" si="31">AW34</f>
        <v>2845284852.9899998</v>
      </c>
      <c r="AT12" s="191">
        <f t="shared" ref="AT12" si="32">AX34</f>
        <v>2638340763.6999998</v>
      </c>
      <c r="AU12" s="191">
        <f t="shared" ref="AU12" si="33">AY34</f>
        <v>2450389777.1900001</v>
      </c>
      <c r="AV12" s="191">
        <f t="shared" ref="AV12" si="34">AZ34</f>
        <v>2263427977.0500002</v>
      </c>
      <c r="AW12" s="191">
        <f t="shared" ref="AW12" si="35">BA34</f>
        <v>2115638921.48</v>
      </c>
      <c r="AX12" s="191">
        <f t="shared" ref="AX12" si="36">BB34</f>
        <v>2038076176.98</v>
      </c>
      <c r="AY12" s="191">
        <f t="shared" ref="AY12" si="37">BC34</f>
        <v>1904956898.72</v>
      </c>
      <c r="AZ12" s="191">
        <f t="shared" ref="AZ12" si="38">BD34</f>
        <v>1780876639.3299999</v>
      </c>
      <c r="BA12" s="191">
        <f t="shared" ref="BA12" si="39">BE34</f>
        <v>1685409788.29</v>
      </c>
      <c r="BB12" s="191">
        <f t="shared" ref="BB12" si="40">BF34</f>
        <v>1601014475.77</v>
      </c>
      <c r="BC12" s="191">
        <f t="shared" ref="BC12" si="41">BG34</f>
        <v>1463570659.45</v>
      </c>
      <c r="BD12" s="191">
        <f t="shared" ref="BD12" si="42">BH34</f>
        <v>1398793760.26</v>
      </c>
      <c r="BE12" s="191">
        <f t="shared" ref="BE12" si="43">BI34</f>
        <v>1332300138.5599999</v>
      </c>
      <c r="BF12" s="191">
        <f t="shared" ref="BF12" si="44">BJ34</f>
        <v>1200336776.9300001</v>
      </c>
      <c r="BG12" s="191">
        <f t="shared" ref="BG12" si="45">BK34</f>
        <v>1165910893.28</v>
      </c>
      <c r="BH12" s="191">
        <f t="shared" ref="BH12" si="46">BL34</f>
        <v>1092933336.0799999</v>
      </c>
      <c r="BI12" s="191">
        <f t="shared" ref="BI12" si="47">BM34</f>
        <v>1019774319.86</v>
      </c>
      <c r="BJ12" s="191">
        <f t="shared" ref="BJ12" si="48">BN34</f>
        <v>939648707.25</v>
      </c>
      <c r="BK12" s="191">
        <f t="shared" ref="BK12" si="49">BO34</f>
        <v>859601030.65999997</v>
      </c>
      <c r="BL12" s="191">
        <f t="shared" ref="BL12" si="50">BP34</f>
        <v>748821426.96000004</v>
      </c>
      <c r="BM12" s="191">
        <f t="shared" ref="BM12" si="51">BQ34</f>
        <v>3513436953.5100002</v>
      </c>
      <c r="BN12" s="191">
        <f t="shared" ref="BN12" si="52">BR34</f>
        <v>3739014271</v>
      </c>
    </row>
    <row r="13" spans="1:74" s="218" customFormat="1">
      <c r="A13" s="218" t="s">
        <v>350</v>
      </c>
      <c r="E13" s="218">
        <f>E11/E12</f>
        <v>2.4918971227526884E-2</v>
      </c>
      <c r="F13" s="218">
        <f t="shared" ref="F13:AR13" si="53">F11/F12</f>
        <v>-1.8154878551507203E-4</v>
      </c>
      <c r="G13" s="218">
        <f t="shared" si="53"/>
        <v>3.5022341636794019E-2</v>
      </c>
      <c r="H13" s="218">
        <f t="shared" si="53"/>
        <v>-3.7403023713531288E-3</v>
      </c>
      <c r="I13" s="218">
        <f t="shared" si="53"/>
        <v>1.4264628001054866E-2</v>
      </c>
      <c r="J13" s="218">
        <f t="shared" si="53"/>
        <v>3.9035973582484144E-3</v>
      </c>
      <c r="K13" s="218">
        <f t="shared" si="53"/>
        <v>3.8314127070510733E-2</v>
      </c>
      <c r="L13" s="218">
        <f t="shared" si="53"/>
        <v>1.7392649360642109E-3</v>
      </c>
      <c r="M13" s="218">
        <f t="shared" si="53"/>
        <v>2.0040210070576204E-2</v>
      </c>
      <c r="N13" s="218">
        <f t="shared" si="53"/>
        <v>6.5829747532228255E-2</v>
      </c>
      <c r="O13" s="218">
        <f t="shared" si="53"/>
        <v>0.10871292264662651</v>
      </c>
      <c r="P13" s="218">
        <f t="shared" si="53"/>
        <v>5.1890711441600318E-2</v>
      </c>
      <c r="Q13" s="218">
        <f t="shared" si="53"/>
        <v>5.5553908503793353E-2</v>
      </c>
      <c r="R13" s="218">
        <f t="shared" si="53"/>
        <v>0.26466265749798934</v>
      </c>
      <c r="S13" s="218">
        <f t="shared" si="53"/>
        <v>0.39193539831504942</v>
      </c>
      <c r="T13" s="218">
        <f t="shared" si="53"/>
        <v>0.27724261659959226</v>
      </c>
      <c r="U13" s="218">
        <f t="shared" si="53"/>
        <v>0.22383010598797312</v>
      </c>
      <c r="V13" s="218">
        <f t="shared" si="53"/>
        <v>0.55173512066292707</v>
      </c>
      <c r="W13" s="218">
        <f t="shared" si="53"/>
        <v>0.53676305552786696</v>
      </c>
      <c r="X13" s="218">
        <f t="shared" si="53"/>
        <v>0.31009140107563132</v>
      </c>
      <c r="Y13" s="218">
        <f t="shared" si="53"/>
        <v>0.15678686340035217</v>
      </c>
      <c r="Z13" s="218">
        <f t="shared" si="53"/>
        <v>0.53411650387401322</v>
      </c>
      <c r="AA13" s="218">
        <f t="shared" si="53"/>
        <v>0.51489818237548601</v>
      </c>
      <c r="AB13" s="218">
        <f t="shared" si="53"/>
        <v>0.27375565596030699</v>
      </c>
      <c r="AC13" s="218">
        <f t="shared" si="53"/>
        <v>0.12559227584326496</v>
      </c>
      <c r="AD13" s="218">
        <f t="shared" si="53"/>
        <v>0.34748704643478484</v>
      </c>
      <c r="AE13" s="218">
        <f t="shared" si="53"/>
        <v>0.25426108411987453</v>
      </c>
      <c r="AF13" s="218">
        <f t="shared" si="53"/>
        <v>0.12260568354287951</v>
      </c>
      <c r="AG13" s="218">
        <f t="shared" si="53"/>
        <v>7.1185419874118264E-2</v>
      </c>
      <c r="AH13" s="218">
        <f t="shared" si="53"/>
        <v>0.3514129284462677</v>
      </c>
      <c r="AI13" s="218">
        <f t="shared" si="53"/>
        <v>0.35812801585666887</v>
      </c>
      <c r="AJ13" s="218">
        <f t="shared" si="53"/>
        <v>0.25244779511018073</v>
      </c>
      <c r="AK13" s="218">
        <f t="shared" si="53"/>
        <v>0.12579177555855986</v>
      </c>
      <c r="AL13" s="218">
        <f t="shared" si="53"/>
        <v>0.32697529908778245</v>
      </c>
      <c r="AM13" s="218">
        <f t="shared" si="53"/>
        <v>0.28309625738253835</v>
      </c>
      <c r="AN13" s="218">
        <f t="shared" si="53"/>
        <v>0.16718359259646209</v>
      </c>
      <c r="AO13" s="218">
        <f t="shared" si="53"/>
        <v>8.6533759842099045E-2</v>
      </c>
      <c r="AP13" s="218">
        <f t="shared" si="53"/>
        <v>0.26255470160399352</v>
      </c>
      <c r="AQ13" s="218">
        <f t="shared" si="53"/>
        <v>0.20861666642172674</v>
      </c>
      <c r="AR13" s="218">
        <f t="shared" si="53"/>
        <v>0.11067578022341101</v>
      </c>
    </row>
    <row r="14" spans="1:74" s="48" customFormat="1">
      <c r="A14" s="46" t="s">
        <v>293</v>
      </c>
    </row>
    <row r="15" spans="1:74" s="26" customFormat="1">
      <c r="A15" s="17" t="s">
        <v>313</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6" customFormat="1">
      <c r="A16" s="17" t="s">
        <v>314</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s="47" customFormat="1">
      <c r="A17" s="135"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c r="A18" s="46" t="s">
        <v>294</v>
      </c>
    </row>
    <row r="19" spans="1:74" s="191" customFormat="1">
      <c r="A19" s="191" t="s">
        <v>299</v>
      </c>
      <c r="E19" s="191">
        <f>E5+E17</f>
        <v>574638851.37</v>
      </c>
      <c r="F19" s="191">
        <f t="shared" ref="F19:AS19" si="55">F5+F17</f>
        <v>1125000742.45</v>
      </c>
      <c r="G19" s="191">
        <f t="shared" si="55"/>
        <v>756978003.84000003</v>
      </c>
      <c r="H19" s="191">
        <f t="shared" si="55"/>
        <v>480999293.66000003</v>
      </c>
      <c r="I19" s="191">
        <f t="shared" si="55"/>
        <v>307369260.11000001</v>
      </c>
      <c r="J19" s="191">
        <f t="shared" si="55"/>
        <v>1019086052.42</v>
      </c>
      <c r="K19" s="191">
        <f t="shared" si="55"/>
        <v>775194105.34000003</v>
      </c>
      <c r="L19" s="191">
        <f t="shared" si="55"/>
        <v>496532200.55000001</v>
      </c>
      <c r="M19" s="191">
        <f t="shared" si="55"/>
        <v>366969243.32999998</v>
      </c>
      <c r="N19" s="191">
        <f t="shared" si="55"/>
        <v>2052697543.9299998</v>
      </c>
      <c r="O19" s="191">
        <f t="shared" si="55"/>
        <v>1810808890.6099999</v>
      </c>
      <c r="P19" s="191">
        <f t="shared" si="55"/>
        <v>1275907396.6199999</v>
      </c>
      <c r="Q19" s="191">
        <f t="shared" si="55"/>
        <v>865730347.38</v>
      </c>
      <c r="R19" s="191">
        <f t="shared" si="55"/>
        <v>4420838126.6599998</v>
      </c>
      <c r="S19" s="191">
        <f t="shared" si="55"/>
        <v>3697358133.6799998</v>
      </c>
      <c r="T19" s="191">
        <f t="shared" si="55"/>
        <v>2845067474.8499999</v>
      </c>
      <c r="U19" s="191">
        <f t="shared" si="55"/>
        <v>2024794494.28</v>
      </c>
      <c r="V19" s="191">
        <f t="shared" si="55"/>
        <v>5405740026.2299995</v>
      </c>
      <c r="W19" s="191">
        <f t="shared" si="55"/>
        <v>3944662952.02</v>
      </c>
      <c r="X19" s="191">
        <f t="shared" si="55"/>
        <v>2527195939.4299998</v>
      </c>
      <c r="Y19" s="191">
        <f t="shared" si="55"/>
        <v>1124939088.24</v>
      </c>
      <c r="Z19" s="191">
        <f t="shared" si="55"/>
        <v>4211821807.9099998</v>
      </c>
      <c r="AA19" s="191">
        <f t="shared" si="55"/>
        <v>3041808991.9499998</v>
      </c>
      <c r="AB19" s="191">
        <f t="shared" si="55"/>
        <v>1701317277.73</v>
      </c>
      <c r="AC19" s="191">
        <f t="shared" si="55"/>
        <v>678815042.40999997</v>
      </c>
      <c r="AD19" s="191">
        <f t="shared" si="55"/>
        <v>2184486563.1100001</v>
      </c>
      <c r="AE19" s="191">
        <f t="shared" si="55"/>
        <v>1234265197.8399999</v>
      </c>
      <c r="AF19" s="191">
        <f t="shared" si="55"/>
        <v>747015064.26999998</v>
      </c>
      <c r="AG19" s="191">
        <f t="shared" si="55"/>
        <v>300651471.88</v>
      </c>
      <c r="AH19" s="191">
        <f t="shared" si="55"/>
        <v>1731913788.52</v>
      </c>
      <c r="AI19" s="191">
        <f t="shared" si="55"/>
        <v>1394221713.73</v>
      </c>
      <c r="AJ19" s="191">
        <f t="shared" si="55"/>
        <v>1079662311.3</v>
      </c>
      <c r="AK19" s="191">
        <f t="shared" si="55"/>
        <v>469037004.07999998</v>
      </c>
      <c r="AL19" s="191">
        <f t="shared" si="55"/>
        <v>1356601530.0899999</v>
      </c>
      <c r="AM19" s="191">
        <f t="shared" si="55"/>
        <v>1058500946.42</v>
      </c>
      <c r="AN19" s="191">
        <f t="shared" si="55"/>
        <v>689017762.13</v>
      </c>
      <c r="AO19" s="191">
        <f t="shared" si="55"/>
        <v>288879016.69</v>
      </c>
      <c r="AP19" s="191">
        <f t="shared" si="55"/>
        <v>1010685786.04</v>
      </c>
      <c r="AQ19" s="191">
        <f t="shared" si="55"/>
        <v>643819405.12</v>
      </c>
      <c r="AR19" s="191">
        <f t="shared" si="55"/>
        <v>409784280.75</v>
      </c>
      <c r="AS19" s="191">
        <f t="shared" si="55"/>
        <v>0</v>
      </c>
    </row>
    <row r="20" spans="1:74" s="191" customFormat="1">
      <c r="A20" s="191" t="s">
        <v>300</v>
      </c>
      <c r="B20" s="188">
        <v>41385234406.720001</v>
      </c>
      <c r="C20" s="188">
        <v>28221285915.540001</v>
      </c>
      <c r="D20" s="188">
        <v>17735030962.189999</v>
      </c>
      <c r="E20" s="188">
        <v>4935500707.4700003</v>
      </c>
      <c r="F20" s="188">
        <v>22153036084.130001</v>
      </c>
      <c r="G20" s="188">
        <v>22786767198.189999</v>
      </c>
      <c r="H20" s="188">
        <v>6935360410.3599997</v>
      </c>
      <c r="I20" s="188">
        <v>6108975096.5600004</v>
      </c>
      <c r="J20" s="188">
        <v>37451249647.050003</v>
      </c>
      <c r="K20" s="188">
        <v>32535332631.689999</v>
      </c>
      <c r="L20" s="188">
        <v>13603962283.99</v>
      </c>
      <c r="M20" s="188">
        <v>7436044334.9799995</v>
      </c>
      <c r="N20" s="188">
        <v>17436340141.720001</v>
      </c>
      <c r="O20" s="188">
        <v>11423393327.059999</v>
      </c>
      <c r="P20" s="188">
        <v>4901688343.2799997</v>
      </c>
      <c r="Q20" s="188">
        <v>2111633649.4000001</v>
      </c>
      <c r="R20" s="188">
        <v>12632522436.6</v>
      </c>
      <c r="S20" s="188">
        <v>7679397243.8699999</v>
      </c>
      <c r="T20" s="188">
        <v>4288743348.5</v>
      </c>
      <c r="U20" s="188">
        <v>173915705.72</v>
      </c>
      <c r="V20" s="188">
        <v>12655024861.92</v>
      </c>
      <c r="W20" s="188">
        <v>9245117959.3099995</v>
      </c>
      <c r="X20" s="188">
        <v>5215024506.9099998</v>
      </c>
      <c r="Y20" s="188">
        <v>790228914.26999998</v>
      </c>
      <c r="Z20" s="188">
        <v>11921310609.25</v>
      </c>
      <c r="AA20" s="188">
        <v>7561565324.8999996</v>
      </c>
      <c r="AB20" s="188">
        <v>4459709495.3299999</v>
      </c>
      <c r="AC20" s="188">
        <v>1339500999.5999999</v>
      </c>
      <c r="AD20" s="188">
        <v>10148564689.530001</v>
      </c>
      <c r="AE20" s="188">
        <v>9026937978.2999992</v>
      </c>
      <c r="AF20" s="188">
        <v>5327897835.0799999</v>
      </c>
      <c r="AG20" s="188">
        <v>3411131919.8499999</v>
      </c>
      <c r="AH20" s="188">
        <v>6201476519.5699997</v>
      </c>
      <c r="AI20" s="188">
        <v>3964406933.9299998</v>
      </c>
      <c r="AJ20" s="188">
        <v>1766383110.55</v>
      </c>
      <c r="AK20" s="188">
        <v>824771903.73000002</v>
      </c>
      <c r="AL20" s="188">
        <v>4223937144.1900001</v>
      </c>
      <c r="AM20" s="188">
        <v>2077542093.22</v>
      </c>
      <c r="AN20" s="188">
        <v>548187840.42999995</v>
      </c>
      <c r="AO20" s="188">
        <v>-130764695.25</v>
      </c>
      <c r="AP20" s="188">
        <v>5247488535.7399998</v>
      </c>
      <c r="AQ20" s="188">
        <v>3068605688.1700001</v>
      </c>
      <c r="AR20" s="188">
        <v>1495681406.98</v>
      </c>
      <c r="AS20" s="188">
        <v>992687155.95000005</v>
      </c>
      <c r="AT20" s="188">
        <v>1743303211.3800001</v>
      </c>
      <c r="AU20" s="188">
        <v>1548259234.8800001</v>
      </c>
      <c r="AV20" s="188">
        <v>685813057.54999995</v>
      </c>
      <c r="AW20" s="188">
        <v>380543066.07999998</v>
      </c>
      <c r="AX20" s="188">
        <v>2105171033.6900001</v>
      </c>
      <c r="AY20" s="188">
        <v>1490129273.8</v>
      </c>
      <c r="AZ20" s="188">
        <v>594871612.89999998</v>
      </c>
      <c r="BA20" s="188">
        <v>222204247.83000001</v>
      </c>
      <c r="BB20" s="188">
        <v>1693707488.3199999</v>
      </c>
      <c r="BC20" s="188">
        <v>883720092.28999996</v>
      </c>
      <c r="BD20" s="188">
        <v>436604511.29000002</v>
      </c>
      <c r="BE20" s="188">
        <v>242281053.09999999</v>
      </c>
      <c r="BF20" s="188">
        <v>975784480.20000005</v>
      </c>
      <c r="BG20" s="188">
        <v>372675167.5</v>
      </c>
      <c r="BH20" s="188">
        <v>-37984534.130000003</v>
      </c>
      <c r="BI20" s="188">
        <v>-181383371.87</v>
      </c>
      <c r="BJ20" s="188">
        <v>941706242.08000004</v>
      </c>
      <c r="BK20" s="188">
        <v>439378658.54000002</v>
      </c>
      <c r="BL20" s="188">
        <v>-33965937.280000001</v>
      </c>
      <c r="BM20" s="188">
        <v>9112186.6699999999</v>
      </c>
      <c r="BN20" s="188">
        <v>434582378.66000003</v>
      </c>
      <c r="BO20" s="188">
        <v>-180120845.05000001</v>
      </c>
      <c r="BP20" s="188">
        <v>42283037.350000001</v>
      </c>
      <c r="BQ20" s="188">
        <v>-86280877.689999998</v>
      </c>
      <c r="BR20" s="188">
        <v>443124645.68000001</v>
      </c>
      <c r="BS20" s="188">
        <v>0</v>
      </c>
      <c r="BT20" s="191">
        <v>436278873.26999998</v>
      </c>
      <c r="BU20" s="191">
        <v>359005459.04000002</v>
      </c>
      <c r="BV20" s="191">
        <v>0</v>
      </c>
    </row>
    <row r="21" spans="1:74" s="219" customFormat="1">
      <c r="A21" s="219" t="s">
        <v>665</v>
      </c>
      <c r="E21" s="219">
        <f>E20/E19</f>
        <v>8.5888740305380384</v>
      </c>
      <c r="F21" s="219">
        <f t="shared" ref="F21:AS21" si="56">F20/F19</f>
        <v>19.691574634773701</v>
      </c>
      <c r="G21" s="219">
        <f t="shared" si="56"/>
        <v>30.10228445555515</v>
      </c>
      <c r="H21" s="219">
        <f t="shared" si="56"/>
        <v>14.418649885299708</v>
      </c>
      <c r="I21" s="219">
        <f t="shared" si="56"/>
        <v>19.875035956340415</v>
      </c>
      <c r="J21" s="219">
        <f t="shared" si="56"/>
        <v>36.749840269244572</v>
      </c>
      <c r="K21" s="219">
        <f t="shared" si="56"/>
        <v>41.970562479212873</v>
      </c>
      <c r="L21" s="219">
        <f t="shared" si="56"/>
        <v>27.397945730248974</v>
      </c>
      <c r="M21" s="219">
        <f t="shared" si="56"/>
        <v>20.263399372391213</v>
      </c>
      <c r="N21" s="219">
        <f t="shared" si="56"/>
        <v>8.4943542672814765</v>
      </c>
      <c r="O21" s="219">
        <f t="shared" si="56"/>
        <v>6.3084477806003303</v>
      </c>
      <c r="P21" s="219">
        <f t="shared" si="56"/>
        <v>3.8417273512678416</v>
      </c>
      <c r="Q21" s="219">
        <f t="shared" si="56"/>
        <v>2.439135529660633</v>
      </c>
      <c r="R21" s="219">
        <f t="shared" si="56"/>
        <v>2.8574949081304712</v>
      </c>
      <c r="S21" s="219">
        <f t="shared" si="56"/>
        <v>2.0769957808297721</v>
      </c>
      <c r="T21" s="219">
        <f t="shared" si="56"/>
        <v>1.5074311545901438</v>
      </c>
      <c r="U21" s="219">
        <f t="shared" si="56"/>
        <v>8.5893015914112789E-2</v>
      </c>
      <c r="V21" s="219">
        <f t="shared" si="56"/>
        <v>2.3410346780486413</v>
      </c>
      <c r="W21" s="219">
        <f t="shared" si="56"/>
        <v>2.3437028896412353</v>
      </c>
      <c r="X21" s="219">
        <f t="shared" si="56"/>
        <v>2.0635616042047893</v>
      </c>
      <c r="Y21" s="219">
        <f t="shared" si="56"/>
        <v>0.70246373561997577</v>
      </c>
      <c r="Z21" s="219">
        <f t="shared" si="56"/>
        <v>2.8304404015528903</v>
      </c>
      <c r="AA21" s="219">
        <f t="shared" si="56"/>
        <v>2.4858777605402955</v>
      </c>
      <c r="AB21" s="219">
        <f t="shared" si="56"/>
        <v>2.6213273407064981</v>
      </c>
      <c r="AC21" s="219">
        <f t="shared" si="56"/>
        <v>1.973293041421657</v>
      </c>
      <c r="AD21" s="219">
        <f t="shared" si="56"/>
        <v>4.6457437005617175</v>
      </c>
      <c r="AE21" s="219">
        <f t="shared" si="56"/>
        <v>7.3136129853595513</v>
      </c>
      <c r="AF21" s="219">
        <f t="shared" si="56"/>
        <v>7.1322495220180633</v>
      </c>
      <c r="AG21" s="219">
        <f t="shared" si="56"/>
        <v>11.345801497394618</v>
      </c>
      <c r="AH21" s="219">
        <f t="shared" si="56"/>
        <v>3.5807074004933277</v>
      </c>
      <c r="AI21" s="219">
        <f t="shared" si="56"/>
        <v>2.8434551656234874</v>
      </c>
      <c r="AJ21" s="219">
        <f t="shared" si="56"/>
        <v>1.6360514691145727</v>
      </c>
      <c r="AK21" s="219">
        <f t="shared" si="56"/>
        <v>1.7584367471128677</v>
      </c>
      <c r="AL21" s="219">
        <f t="shared" si="56"/>
        <v>3.1136166740942528</v>
      </c>
      <c r="AM21" s="219">
        <f t="shared" si="56"/>
        <v>1.9627210540023998</v>
      </c>
      <c r="AN21" s="219">
        <f t="shared" si="56"/>
        <v>0.79560770499639299</v>
      </c>
      <c r="AO21" s="219">
        <f t="shared" si="56"/>
        <v>-0.4526624908527897</v>
      </c>
      <c r="AP21" s="219">
        <f t="shared" si="56"/>
        <v>5.1920078507291088</v>
      </c>
      <c r="AQ21" s="219">
        <f t="shared" si="56"/>
        <v>4.7662522498806164</v>
      </c>
      <c r="AR21" s="219">
        <f t="shared" si="56"/>
        <v>3.6499238190458581</v>
      </c>
      <c r="AS21" s="219" t="e">
        <f t="shared" si="56"/>
        <v>#DIV/0!</v>
      </c>
    </row>
    <row r="22" spans="1:74" s="191" customFormat="1">
      <c r="A22" s="191" t="s">
        <v>301</v>
      </c>
      <c r="E22" s="191">
        <f>I35</f>
        <v>73219258579.670013</v>
      </c>
      <c r="F22" s="191">
        <f t="shared" ref="F22:Y22" si="57">J35</f>
        <v>67085700492.129997</v>
      </c>
      <c r="G22" s="191">
        <f t="shared" si="57"/>
        <v>62324058442.190002</v>
      </c>
      <c r="H22" s="191">
        <f t="shared" si="57"/>
        <v>47808867372.299995</v>
      </c>
      <c r="I22" s="191">
        <f t="shared" si="57"/>
        <v>44074809231.059998</v>
      </c>
      <c r="J22" s="191">
        <f t="shared" si="57"/>
        <v>36934596946.529999</v>
      </c>
      <c r="K22" s="191">
        <f t="shared" si="57"/>
        <v>30722903270.879997</v>
      </c>
      <c r="L22" s="191">
        <f t="shared" si="57"/>
        <v>30482844449.870003</v>
      </c>
      <c r="M22" s="191">
        <f t="shared" si="57"/>
        <v>28623123952.73</v>
      </c>
      <c r="N22" s="191">
        <f t="shared" si="57"/>
        <v>27886130602.540001</v>
      </c>
      <c r="O22" s="191">
        <f t="shared" si="57"/>
        <v>22910725708.920002</v>
      </c>
      <c r="P22" s="191">
        <f t="shared" si="57"/>
        <v>21200304356.759998</v>
      </c>
      <c r="Q22" s="191">
        <f t="shared" si="57"/>
        <v>23500579727.43</v>
      </c>
      <c r="R22" s="191">
        <f t="shared" si="57"/>
        <v>25514135978.91</v>
      </c>
      <c r="S22" s="191">
        <f t="shared" si="57"/>
        <v>22377192030.630001</v>
      </c>
      <c r="T22" s="191">
        <f t="shared" si="57"/>
        <v>18562670939.949997</v>
      </c>
      <c r="U22" s="191">
        <f t="shared" si="57"/>
        <v>21955036844.350002</v>
      </c>
      <c r="V22" s="191">
        <f t="shared" si="57"/>
        <v>22376612663.389999</v>
      </c>
      <c r="W22" s="191">
        <f t="shared" si="57"/>
        <v>19005987757.170002</v>
      </c>
      <c r="X22" s="191">
        <f t="shared" si="57"/>
        <v>21245645480.619999</v>
      </c>
      <c r="Y22" s="191">
        <f t="shared" si="57"/>
        <v>19056013006.079998</v>
      </c>
      <c r="Z22" s="191">
        <f t="shared" ref="Z22" si="58">AD35</f>
        <v>18539872922.09</v>
      </c>
      <c r="AA22" s="191">
        <f t="shared" ref="AA22" si="59">AE35</f>
        <v>18524435542.09</v>
      </c>
      <c r="AB22" s="191">
        <f t="shared" ref="AB22" si="60">AF35</f>
        <v>17479293577.549999</v>
      </c>
      <c r="AC22" s="191">
        <f t="shared" ref="AC22" si="61">AG35</f>
        <v>16097936940.57</v>
      </c>
      <c r="AD22" s="191">
        <f t="shared" ref="AD22" si="62">AH35</f>
        <v>12991122314.630001</v>
      </c>
      <c r="AE22" s="191">
        <f t="shared" ref="AE22" si="63">AI35</f>
        <v>11163366118.51</v>
      </c>
      <c r="AF22" s="191">
        <f t="shared" ref="AF22" si="64">AJ35</f>
        <v>10378305344.280001</v>
      </c>
      <c r="AG22" s="191">
        <f t="shared" ref="AG22" si="65">AK35</f>
        <v>9990618883.5699997</v>
      </c>
      <c r="AH22" s="191">
        <f t="shared" ref="AH22" si="66">AL35</f>
        <v>9755064755.2399998</v>
      </c>
      <c r="AI22" s="191">
        <f t="shared" ref="AI22" si="67">AM35</f>
        <v>7923955837.8000002</v>
      </c>
      <c r="AJ22" s="191">
        <f t="shared" ref="AJ22" si="68">AN35</f>
        <v>7824246321.21</v>
      </c>
      <c r="AK22" s="191">
        <f t="shared" ref="AK22" si="69">AO35</f>
        <v>7717405756.3000002</v>
      </c>
      <c r="AL22" s="191">
        <f t="shared" ref="AL22" si="70">AP35</f>
        <v>8138505441.1599998</v>
      </c>
      <c r="AM22" s="191">
        <f t="shared" ref="AM22" si="71">AQ35</f>
        <v>6441498269.54</v>
      </c>
      <c r="AN22" s="191">
        <f t="shared" ref="AN22" si="72">AR35</f>
        <v>5105053230.8000002</v>
      </c>
      <c r="AO22" s="191">
        <f t="shared" ref="AO22" si="73">AS35</f>
        <v>5603323644.29</v>
      </c>
      <c r="AP22" s="191">
        <f t="shared" ref="AP22" si="74">AT35</f>
        <v>4784290700.0200005</v>
      </c>
      <c r="AQ22" s="191">
        <f t="shared" ref="AQ22" si="75">AU35</f>
        <v>4814014936.3500004</v>
      </c>
      <c r="AR22" s="191">
        <f t="shared" ref="AR22" si="76">AV35</f>
        <v>4870494456.1599998</v>
      </c>
      <c r="AS22" s="191">
        <f t="shared" ref="AS22" si="77">AW35</f>
        <v>4715254931.29</v>
      </c>
    </row>
    <row r="23" spans="1:74" s="191" customFormat="1">
      <c r="A23" s="191" t="s">
        <v>302</v>
      </c>
      <c r="E23" s="191">
        <f>E20+E22-E19</f>
        <v>77580120435.77002</v>
      </c>
      <c r="F23" s="191">
        <f t="shared" ref="F23:AS23" si="78">F20+F22-F19</f>
        <v>88113735833.809998</v>
      </c>
      <c r="G23" s="191">
        <f t="shared" si="78"/>
        <v>84353847636.540009</v>
      </c>
      <c r="H23" s="191">
        <f t="shared" si="78"/>
        <v>54263228488.999992</v>
      </c>
      <c r="I23" s="191">
        <f t="shared" si="78"/>
        <v>49876415067.509995</v>
      </c>
      <c r="J23" s="191">
        <f t="shared" si="78"/>
        <v>73366760541.160004</v>
      </c>
      <c r="K23" s="191">
        <f t="shared" si="78"/>
        <v>62483041797.229996</v>
      </c>
      <c r="L23" s="191">
        <f t="shared" si="78"/>
        <v>43590274533.309998</v>
      </c>
      <c r="M23" s="191">
        <f t="shared" si="78"/>
        <v>35692199044.379997</v>
      </c>
      <c r="N23" s="191">
        <f t="shared" si="78"/>
        <v>43269773200.330002</v>
      </c>
      <c r="O23" s="191">
        <f t="shared" si="78"/>
        <v>32523310145.370003</v>
      </c>
      <c r="P23" s="191">
        <f t="shared" si="78"/>
        <v>24826085303.419998</v>
      </c>
      <c r="Q23" s="191">
        <f t="shared" si="78"/>
        <v>24746483029.450001</v>
      </c>
      <c r="R23" s="191">
        <f t="shared" si="78"/>
        <v>33725820288.850002</v>
      </c>
      <c r="S23" s="191">
        <f t="shared" si="78"/>
        <v>26359231140.82</v>
      </c>
      <c r="T23" s="191">
        <f t="shared" si="78"/>
        <v>20006346813.599998</v>
      </c>
      <c r="U23" s="191">
        <f t="shared" si="78"/>
        <v>20104158055.790005</v>
      </c>
      <c r="V23" s="191">
        <f t="shared" si="78"/>
        <v>29625897499.079998</v>
      </c>
      <c r="W23" s="191">
        <f t="shared" si="78"/>
        <v>24306442764.460003</v>
      </c>
      <c r="X23" s="191">
        <f t="shared" si="78"/>
        <v>23933474048.099998</v>
      </c>
      <c r="Y23" s="191">
        <f t="shared" si="78"/>
        <v>18721302832.109997</v>
      </c>
      <c r="Z23" s="191">
        <f t="shared" si="78"/>
        <v>26249361723.43</v>
      </c>
      <c r="AA23" s="191">
        <f t="shared" si="78"/>
        <v>23044191875.039997</v>
      </c>
      <c r="AB23" s="191">
        <f t="shared" si="78"/>
        <v>20237685795.149998</v>
      </c>
      <c r="AC23" s="191">
        <f t="shared" si="78"/>
        <v>16758622897.759998</v>
      </c>
      <c r="AD23" s="191">
        <f t="shared" si="78"/>
        <v>20955200441.050003</v>
      </c>
      <c r="AE23" s="191">
        <f t="shared" si="78"/>
        <v>18956038898.969997</v>
      </c>
      <c r="AF23" s="191">
        <f t="shared" si="78"/>
        <v>14959188115.09</v>
      </c>
      <c r="AG23" s="191">
        <f t="shared" si="78"/>
        <v>13101099331.540001</v>
      </c>
      <c r="AH23" s="191">
        <f t="shared" si="78"/>
        <v>14224627486.289999</v>
      </c>
      <c r="AI23" s="191">
        <f t="shared" si="78"/>
        <v>10494141058</v>
      </c>
      <c r="AJ23" s="191">
        <f t="shared" si="78"/>
        <v>8510967120.46</v>
      </c>
      <c r="AK23" s="191">
        <f t="shared" si="78"/>
        <v>8073140655.9500008</v>
      </c>
      <c r="AL23" s="191">
        <f t="shared" si="78"/>
        <v>11005841055.26</v>
      </c>
      <c r="AM23" s="191">
        <f t="shared" si="78"/>
        <v>7460539416.3400002</v>
      </c>
      <c r="AN23" s="191">
        <f t="shared" si="78"/>
        <v>4964223309.1000004</v>
      </c>
      <c r="AO23" s="191">
        <f t="shared" si="78"/>
        <v>5183679932.3500004</v>
      </c>
      <c r="AP23" s="191">
        <f t="shared" si="78"/>
        <v>9021093449.7200012</v>
      </c>
      <c r="AQ23" s="191">
        <f t="shared" si="78"/>
        <v>7238801219.4000006</v>
      </c>
      <c r="AR23" s="191">
        <f t="shared" si="78"/>
        <v>5956391582.3899994</v>
      </c>
      <c r="AS23" s="191">
        <f t="shared" si="78"/>
        <v>5707942087.2399998</v>
      </c>
    </row>
    <row r="24" spans="1:74" s="219" customFormat="1">
      <c r="A24" s="219" t="s">
        <v>303</v>
      </c>
      <c r="B24" s="188">
        <v>-16441093160.059999</v>
      </c>
      <c r="C24" s="188">
        <v>-16435393160.059999</v>
      </c>
      <c r="D24" s="188">
        <v>-13854919610.83</v>
      </c>
      <c r="E24" s="188">
        <v>0</v>
      </c>
      <c r="F24" s="188">
        <v>-8899177880.7999992</v>
      </c>
      <c r="G24" s="188">
        <v>-8893177880.7999992</v>
      </c>
      <c r="H24" s="188">
        <v>-364000000</v>
      </c>
      <c r="I24" s="188">
        <v>0</v>
      </c>
      <c r="J24" s="188">
        <v>-8334512252.2299995</v>
      </c>
      <c r="K24" s="188">
        <v>-8284063910.3500004</v>
      </c>
      <c r="L24" s="188">
        <v>-3283073780.9899998</v>
      </c>
      <c r="M24" s="188">
        <v>-508507286.54000002</v>
      </c>
      <c r="N24" s="188">
        <v>-5588019638.6099997</v>
      </c>
      <c r="O24" s="188">
        <v>-5587555381.5200005</v>
      </c>
      <c r="P24" s="188">
        <v>-34942456.670000002</v>
      </c>
      <c r="Q24" s="188">
        <v>-34641852.909999996</v>
      </c>
      <c r="R24" s="188">
        <v>-5041426729.3299999</v>
      </c>
      <c r="S24" s="188">
        <v>-5099391867.6199999</v>
      </c>
      <c r="T24" s="188">
        <v>-5105391867.6199999</v>
      </c>
      <c r="U24" s="188">
        <v>0</v>
      </c>
      <c r="V24" s="188">
        <v>-7385971074.4700003</v>
      </c>
      <c r="W24" s="188">
        <v>-7344303718.8999996</v>
      </c>
      <c r="X24" s="188">
        <v>-6790393654.46</v>
      </c>
      <c r="Y24" s="188">
        <v>-98380859.950000003</v>
      </c>
      <c r="Z24" s="188">
        <v>-3914524622.8499999</v>
      </c>
      <c r="AA24" s="188">
        <v>-4110858633.6399999</v>
      </c>
      <c r="AB24" s="188">
        <v>-55171122.340000004</v>
      </c>
      <c r="AC24" s="188">
        <v>-52942881.479999997</v>
      </c>
      <c r="AD24" s="188">
        <v>-2661850366.8699999</v>
      </c>
      <c r="AE24" s="188">
        <v>-2429434494.6599998</v>
      </c>
      <c r="AF24" s="188">
        <v>-220195976.41</v>
      </c>
      <c r="AG24" s="188">
        <v>25385.15</v>
      </c>
      <c r="AH24" s="188">
        <v>-1292845230.8</v>
      </c>
      <c r="AI24" s="188">
        <v>-1254440727.04</v>
      </c>
      <c r="AJ24" s="188">
        <v>-139400387.33000001</v>
      </c>
      <c r="AK24" s="188">
        <v>-137180771.31999999</v>
      </c>
      <c r="AL24" s="188">
        <v>-1234985747.28</v>
      </c>
      <c r="AM24" s="188">
        <v>-1234562872.4200001</v>
      </c>
      <c r="AN24" s="188">
        <v>-174163995.50999999</v>
      </c>
      <c r="AO24" s="188">
        <v>-1757047.92</v>
      </c>
      <c r="AP24" s="188">
        <v>-883910258.55999994</v>
      </c>
      <c r="AQ24" s="188">
        <v>-768599888.52999997</v>
      </c>
      <c r="AR24" s="188">
        <v>-765854695.45000005</v>
      </c>
      <c r="AS24" s="188">
        <v>593163.85</v>
      </c>
      <c r="AT24" s="188">
        <v>-705361407.20000005</v>
      </c>
      <c r="AU24" s="188">
        <v>-706511053.74000001</v>
      </c>
      <c r="AV24" s="188">
        <v>-666067.11</v>
      </c>
      <c r="AW24" s="188">
        <v>380084.65</v>
      </c>
      <c r="AX24" s="188">
        <v>-755992791.29999995</v>
      </c>
      <c r="AY24" s="188">
        <v>-753897232.23000002</v>
      </c>
      <c r="AZ24" s="188">
        <v>-755816503.44000006</v>
      </c>
      <c r="BA24" s="188">
        <v>-33670958.609999999</v>
      </c>
      <c r="BB24" s="188">
        <v>-159201747.91999999</v>
      </c>
      <c r="BC24" s="188">
        <v>-176408943</v>
      </c>
      <c r="BD24" s="188">
        <v>-27037107.960000001</v>
      </c>
      <c r="BE24" s="188">
        <v>-13693935.66</v>
      </c>
      <c r="BF24" s="188">
        <v>-62314427.450000003</v>
      </c>
      <c r="BG24" s="188">
        <v>-65242641.060000002</v>
      </c>
      <c r="BH24" s="188">
        <v>9054041.3900000006</v>
      </c>
      <c r="BI24" s="188">
        <v>5959082.6799999997</v>
      </c>
      <c r="BJ24" s="188">
        <v>-47085988.25</v>
      </c>
      <c r="BK24" s="188">
        <v>-51029499.060000002</v>
      </c>
      <c r="BL24" s="188">
        <v>-8858203.8399999999</v>
      </c>
      <c r="BM24" s="188">
        <v>2188358.4300000002</v>
      </c>
      <c r="BN24" s="188">
        <v>-139259336.87</v>
      </c>
      <c r="BO24" s="188">
        <v>2240036.12</v>
      </c>
      <c r="BP24" s="188">
        <v>1784861497.47</v>
      </c>
      <c r="BQ24" s="188">
        <v>-37060123.060000002</v>
      </c>
      <c r="BR24" s="188">
        <v>-146707692.88</v>
      </c>
      <c r="BS24" s="188">
        <v>0</v>
      </c>
      <c r="BT24" s="191">
        <v>-237866348.78</v>
      </c>
      <c r="BU24" s="191">
        <v>1108113819.7</v>
      </c>
      <c r="BV24" s="191">
        <v>0</v>
      </c>
    </row>
    <row r="25" spans="1:74" s="240" customFormat="1" ht="138.6" customHeight="1">
      <c r="A25" s="275" t="s">
        <v>741</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c r="A26" s="17" t="s">
        <v>629</v>
      </c>
      <c r="E26" s="26">
        <f>现金流量表!E15</f>
        <v>0</v>
      </c>
      <c r="F26" s="26">
        <f>现金流量表!F15</f>
        <v>72249917.090000004</v>
      </c>
      <c r="G26" s="26">
        <f>现金流量表!G15</f>
        <v>0</v>
      </c>
      <c r="H26" s="26">
        <f>现金流量表!H15</f>
        <v>0</v>
      </c>
      <c r="I26" s="26">
        <f>现金流量表!I15</f>
        <v>18646792.640000001</v>
      </c>
      <c r="J26" s="26">
        <f>现金流量表!J15</f>
        <v>228260900</v>
      </c>
      <c r="K26" s="26">
        <f>现金流量表!K15</f>
        <v>100000000</v>
      </c>
      <c r="L26" s="26">
        <f>现金流量表!L15</f>
        <v>0</v>
      </c>
      <c r="M26" s="26">
        <f>现金流量表!M15</f>
        <v>0</v>
      </c>
      <c r="N26" s="26">
        <f>现金流量表!N15</f>
        <v>0</v>
      </c>
      <c r="O26" s="26">
        <f>现金流量表!O15</f>
        <v>0</v>
      </c>
      <c r="P26" s="26">
        <f>现金流量表!P15</f>
        <v>0</v>
      </c>
      <c r="Q26" s="26">
        <f>现金流量表!Q15</f>
        <v>0</v>
      </c>
      <c r="R26" s="26">
        <f>现金流量表!R15</f>
        <v>139350000</v>
      </c>
      <c r="S26" s="26">
        <f>现金流量表!S15</f>
        <v>139350000</v>
      </c>
      <c r="T26" s="26">
        <f>现金流量表!T15</f>
        <v>0</v>
      </c>
      <c r="U26" s="26">
        <f>现金流量表!U15</f>
        <v>0</v>
      </c>
      <c r="V26" s="26">
        <f>现金流量表!V15</f>
        <v>9973583.3800000008</v>
      </c>
      <c r="W26" s="26">
        <f>现金流量表!W15</f>
        <v>4142881.31</v>
      </c>
      <c r="X26" s="26">
        <f>现金流量表!X15</f>
        <v>4142881.31</v>
      </c>
      <c r="Y26" s="26">
        <f>现金流量表!Y15</f>
        <v>3985608.51</v>
      </c>
      <c r="Z26" s="26">
        <f>现金流量表!Z15</f>
        <v>34576267.049999997</v>
      </c>
      <c r="AA26" s="26">
        <f>现金流量表!AA15</f>
        <v>5890410.7000000002</v>
      </c>
      <c r="AB26" s="26">
        <f>现金流量表!AB15</f>
        <v>0</v>
      </c>
      <c r="AC26" s="26">
        <f>现金流量表!AC15</f>
        <v>4200000</v>
      </c>
      <c r="AD26" s="26">
        <f>现金流量表!AD15</f>
        <v>17106275.600000001</v>
      </c>
      <c r="AE26" s="26">
        <f>现金流量表!AE15</f>
        <v>507446.54</v>
      </c>
      <c r="AF26" s="26">
        <f>现金流量表!AF15</f>
        <v>0</v>
      </c>
      <c r="AG26" s="26">
        <f>现金流量表!AG15</f>
        <v>0</v>
      </c>
      <c r="AH26" s="26">
        <f>现金流量表!AH15</f>
        <v>19914522.329999998</v>
      </c>
      <c r="AI26" s="26">
        <f>现金流量表!AI15</f>
        <v>19426925.760000002</v>
      </c>
      <c r="AJ26" s="26">
        <f>现金流量表!AJ15</f>
        <v>11519743.26</v>
      </c>
      <c r="AK26" s="26">
        <f>现金流量表!AK15</f>
        <v>11519743.26</v>
      </c>
      <c r="AL26" s="26">
        <f>现金流量表!AL15</f>
        <v>239917935.53</v>
      </c>
      <c r="AM26" s="26">
        <f>现金流量表!AM15</f>
        <v>259000000</v>
      </c>
      <c r="AN26" s="26">
        <f>现金流量表!AN15</f>
        <v>230000000</v>
      </c>
      <c r="AO26" s="26">
        <f>现金流量表!AO15</f>
        <v>229930940.88</v>
      </c>
      <c r="AP26" s="26">
        <f>现金流量表!AP15</f>
        <v>661883.51</v>
      </c>
      <c r="AQ26" s="26">
        <f>现金流量表!AQ15</f>
        <v>8596096.5099999998</v>
      </c>
      <c r="AR26" s="26">
        <f>现金流量表!AR15</f>
        <v>22165691.16</v>
      </c>
      <c r="AS26" s="26">
        <f>现金流量表!AS15</f>
        <v>8501597.6699999999</v>
      </c>
      <c r="AT26" s="26">
        <f>现金流量表!AT15</f>
        <v>11311370.23</v>
      </c>
      <c r="AU26" s="26">
        <f>现金流量表!AU15</f>
        <v>29882250.57</v>
      </c>
      <c r="AV26" s="26">
        <f>现金流量表!AV15</f>
        <v>4429898</v>
      </c>
      <c r="AW26" s="26">
        <f>现金流量表!AW15</f>
        <v>0</v>
      </c>
      <c r="AX26" s="26">
        <f>现金流量表!AX15</f>
        <v>331336099.61000001</v>
      </c>
      <c r="AY26" s="26">
        <f>现金流量表!AY15</f>
        <v>402582117.86000001</v>
      </c>
      <c r="AZ26" s="26">
        <f>现金流量表!AZ15</f>
        <v>131037707.78</v>
      </c>
      <c r="BA26" s="26">
        <f>现金流量表!BA15</f>
        <v>56269433.299999997</v>
      </c>
      <c r="BB26" s="26">
        <f>现金流量表!BB15</f>
        <v>48620029.68</v>
      </c>
      <c r="BC26" s="26">
        <f>现金流量表!BC15</f>
        <v>48410938.68</v>
      </c>
      <c r="BD26" s="26">
        <f>现金流量表!BD15</f>
        <v>41576569.200000003</v>
      </c>
      <c r="BE26" s="26">
        <f>现金流量表!BE15</f>
        <v>37472012.280000001</v>
      </c>
      <c r="BF26" s="26">
        <f>现金流量表!BF15</f>
        <v>17835477.789999999</v>
      </c>
      <c r="BG26" s="26">
        <f>现金流量表!BG15</f>
        <v>2941000</v>
      </c>
      <c r="BH26" s="26">
        <f>现金流量表!BH15</f>
        <v>2706000</v>
      </c>
      <c r="BI26" s="26">
        <f>现金流量表!BI15</f>
        <v>0</v>
      </c>
      <c r="BJ26" s="26">
        <f>现金流量表!BJ15</f>
        <v>114306933.04000001</v>
      </c>
      <c r="BK26" s="26">
        <f>现金流量表!BK15</f>
        <v>33491223.620000001</v>
      </c>
      <c r="BL26" s="26">
        <f>现金流量表!BL15</f>
        <v>28305500.989999998</v>
      </c>
      <c r="BM26" s="26">
        <f>现金流量表!BM15</f>
        <v>0</v>
      </c>
      <c r="BN26" s="26">
        <f>现金流量表!BN15</f>
        <v>2766191</v>
      </c>
      <c r="BO26" s="26">
        <f>现金流量表!BO15</f>
        <v>399800</v>
      </c>
      <c r="BP26" s="26">
        <f>现金流量表!BP15</f>
        <v>770000</v>
      </c>
      <c r="BQ26" s="26">
        <f>现金流量表!BQ15</f>
        <v>770000</v>
      </c>
      <c r="BR26" s="26">
        <f>现金流量表!BR15</f>
        <v>421702685.23000002</v>
      </c>
      <c r="BS26" s="26">
        <f>现金流量表!BS15</f>
        <v>200420280</v>
      </c>
      <c r="BT26" s="26">
        <f>现金流量表!BT15</f>
        <v>253449858.5</v>
      </c>
      <c r="BU26" s="26">
        <f>现金流量表!BU15</f>
        <v>0</v>
      </c>
      <c r="BV26" s="26">
        <f>现金流量表!BV15</f>
        <v>82049426.939999998</v>
      </c>
    </row>
    <row r="27" spans="1:74" s="26" customFormat="1">
      <c r="A27" s="17" t="s">
        <v>630</v>
      </c>
      <c r="E27" s="26">
        <f>现金流量表!E22</f>
        <v>0</v>
      </c>
      <c r="F27" s="26">
        <f>现金流量表!F22</f>
        <v>22767200</v>
      </c>
      <c r="G27" s="26">
        <f>现金流量表!G22</f>
        <v>0</v>
      </c>
      <c r="H27" s="26">
        <f>现金流量表!H22</f>
        <v>0</v>
      </c>
      <c r="I27" s="26">
        <f>现金流量表!I22</f>
        <v>0</v>
      </c>
      <c r="J27" s="26">
        <f>现金流量表!J22</f>
        <v>40013760</v>
      </c>
      <c r="K27" s="26">
        <f>现金流量表!K22</f>
        <v>40013760</v>
      </c>
      <c r="L27" s="26">
        <f>现金流量表!L22</f>
        <v>21638760</v>
      </c>
      <c r="M27" s="26">
        <f>现金流量表!M22</f>
        <v>21638760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6060916</v>
      </c>
      <c r="W27" s="26">
        <f>现金流量表!W22</f>
        <v>23146876</v>
      </c>
      <c r="X27" s="26">
        <f>现金流量表!X22</f>
        <v>4000000</v>
      </c>
      <c r="Y27" s="26">
        <f>现金流量表!Y22</f>
        <v>0</v>
      </c>
      <c r="Z27" s="26">
        <f>现金流量表!Z22</f>
        <v>621095392</v>
      </c>
      <c r="AA27" s="26">
        <f>现金流量表!AA22</f>
        <v>50035392</v>
      </c>
      <c r="AB27" s="26">
        <f>现金流量表!AB22</f>
        <v>24934140</v>
      </c>
      <c r="AC27" s="26">
        <f>现金流量表!AC22</f>
        <v>24934140</v>
      </c>
      <c r="AD27" s="26">
        <f>现金流量表!AD22</f>
        <v>178886363.59999999</v>
      </c>
      <c r="AE27" s="26">
        <f>现金流量表!AE22</f>
        <v>145513067.59999999</v>
      </c>
      <c r="AF27" s="26">
        <f>现金流量表!AF22</f>
        <v>145513067.59999999</v>
      </c>
      <c r="AG27" s="26">
        <f>现金流量表!AG22</f>
        <v>0</v>
      </c>
      <c r="AH27" s="26">
        <f>现金流量表!AH22</f>
        <v>1065249</v>
      </c>
      <c r="AI27" s="26">
        <f>现金流量表!AI22</f>
        <v>1065249</v>
      </c>
      <c r="AJ27" s="26">
        <f>现金流量表!AJ22</f>
        <v>1065249</v>
      </c>
      <c r="AK27" s="26">
        <f>现金流量表!AK22</f>
        <v>0</v>
      </c>
      <c r="AL27" s="26">
        <f>现金流量表!AL22</f>
        <v>48600448.390000001</v>
      </c>
      <c r="AM27" s="26">
        <f>现金流量表!AM22</f>
        <v>332318527.56</v>
      </c>
      <c r="AN27" s="26">
        <f>现金流量表!AN22</f>
        <v>135300612.93000001</v>
      </c>
      <c r="AO27" s="26">
        <f>现金流量表!AO22</f>
        <v>0</v>
      </c>
      <c r="AP27" s="26">
        <f>现金流量表!AP22</f>
        <v>0</v>
      </c>
      <c r="AQ27" s="26">
        <f>现金流量表!AQ22</f>
        <v>0</v>
      </c>
      <c r="AR27" s="26">
        <f>现金流量表!AR22</f>
        <v>0</v>
      </c>
      <c r="AS27" s="26">
        <f>现金流量表!AS22</f>
        <v>0</v>
      </c>
      <c r="AT27" s="26">
        <f>现金流量表!AT22</f>
        <v>233337646.5</v>
      </c>
      <c r="AU27" s="26">
        <f>现金流量表!AU22</f>
        <v>236246014.47999999</v>
      </c>
      <c r="AV27" s="26">
        <f>现金流量表!AV22</f>
        <v>0</v>
      </c>
      <c r="AW27" s="26">
        <f>现金流量表!AW22</f>
        <v>0</v>
      </c>
      <c r="AX27" s="26">
        <f>现金流量表!AX22</f>
        <v>459535927.75</v>
      </c>
      <c r="AY27" s="26">
        <f>现金流量表!AY22</f>
        <v>194245268.24000001</v>
      </c>
      <c r="AZ27" s="26">
        <f>现金流量表!AZ22</f>
        <v>50479268.240000002</v>
      </c>
      <c r="BA27" s="26">
        <f>现金流量表!BA22</f>
        <v>0</v>
      </c>
      <c r="BB27" s="26">
        <f>现金流量表!BB22</f>
        <v>20471041.780000001</v>
      </c>
      <c r="BC27" s="26">
        <f>现金流量表!BC22</f>
        <v>14071041.779999999</v>
      </c>
      <c r="BD27" s="26">
        <f>现金流量表!BD22</f>
        <v>14071041.779999999</v>
      </c>
      <c r="BE27" s="26">
        <f>现金流量表!BE22</f>
        <v>0</v>
      </c>
      <c r="BF27" s="26">
        <f>现金流量表!BF22</f>
        <v>188048678.69</v>
      </c>
      <c r="BG27" s="26">
        <f>现金流量表!BG22</f>
        <v>161945142</v>
      </c>
      <c r="BH27" s="26">
        <f>现金流量表!BH22</f>
        <v>0</v>
      </c>
      <c r="BI27" s="26">
        <f>现金流量表!BI22</f>
        <v>0</v>
      </c>
      <c r="BJ27" s="26">
        <f>现金流量表!BJ22</f>
        <v>63797217</v>
      </c>
      <c r="BK27" s="26">
        <f>现金流量表!BK22</f>
        <v>63797217</v>
      </c>
      <c r="BL27" s="26">
        <f>现金流量表!BL22</f>
        <v>33000000</v>
      </c>
      <c r="BM27" s="26">
        <f>现金流量表!BM22</f>
        <v>0</v>
      </c>
      <c r="BN27" s="26">
        <f>现金流量表!BN22</f>
        <v>14550000</v>
      </c>
      <c r="BO27" s="26">
        <f>现金流量表!BO22</f>
        <v>1833035.57</v>
      </c>
      <c r="BP27" s="26">
        <f>现金流量表!BP22</f>
        <v>344618028</v>
      </c>
      <c r="BQ27" s="26">
        <f>现金流量表!BQ22</f>
        <v>160456190</v>
      </c>
      <c r="BR27" s="26">
        <f>现金流量表!BR22</f>
        <v>58479259.020000003</v>
      </c>
      <c r="BS27" s="26">
        <f>现金流量表!BS22</f>
        <v>261740000</v>
      </c>
      <c r="BT27" s="26">
        <f>现金流量表!BT22</f>
        <v>1862251764.1800001</v>
      </c>
      <c r="BU27" s="26">
        <f>现金流量表!BU22</f>
        <v>0</v>
      </c>
      <c r="BV27" s="26">
        <f>现金流量表!BV22</f>
        <v>110863264.86</v>
      </c>
    </row>
    <row r="28" spans="1:74" s="26" customFormat="1">
      <c r="A28" s="17" t="s">
        <v>631</v>
      </c>
      <c r="E28" s="26">
        <f>E27-E26</f>
        <v>0</v>
      </c>
      <c r="F28" s="26">
        <f t="shared" ref="F28:BQ28" si="79">F27-F26</f>
        <v>-49482717.090000004</v>
      </c>
      <c r="G28" s="26">
        <f t="shared" si="79"/>
        <v>0</v>
      </c>
      <c r="H28" s="26">
        <f t="shared" si="79"/>
        <v>0</v>
      </c>
      <c r="I28" s="26">
        <f t="shared" si="79"/>
        <v>-18646792.640000001</v>
      </c>
      <c r="J28" s="26">
        <f t="shared" si="79"/>
        <v>-188247140</v>
      </c>
      <c r="K28" s="26">
        <f t="shared" si="79"/>
        <v>-59986240</v>
      </c>
      <c r="L28" s="26">
        <f t="shared" si="79"/>
        <v>21638760</v>
      </c>
      <c r="M28" s="26">
        <f t="shared" si="79"/>
        <v>21638760</v>
      </c>
      <c r="N28" s="26">
        <f t="shared" si="79"/>
        <v>0</v>
      </c>
      <c r="O28" s="26">
        <f t="shared" si="79"/>
        <v>0</v>
      </c>
      <c r="P28" s="26">
        <f t="shared" si="79"/>
        <v>0</v>
      </c>
      <c r="Q28" s="26">
        <f t="shared" si="79"/>
        <v>0</v>
      </c>
      <c r="R28" s="26">
        <f t="shared" si="79"/>
        <v>-139350000</v>
      </c>
      <c r="S28" s="26">
        <f t="shared" si="79"/>
        <v>-139350000</v>
      </c>
      <c r="T28" s="26">
        <f t="shared" si="79"/>
        <v>0</v>
      </c>
      <c r="U28" s="26">
        <f t="shared" si="79"/>
        <v>0</v>
      </c>
      <c r="V28" s="26">
        <f t="shared" si="79"/>
        <v>-3912667.3800000008</v>
      </c>
      <c r="W28" s="26">
        <f t="shared" si="79"/>
        <v>19003994.690000001</v>
      </c>
      <c r="X28" s="26">
        <f t="shared" si="79"/>
        <v>-142881.31000000006</v>
      </c>
      <c r="Y28" s="26">
        <f t="shared" si="79"/>
        <v>-3985608.51</v>
      </c>
      <c r="Z28" s="26">
        <f t="shared" si="79"/>
        <v>586519124.95000005</v>
      </c>
      <c r="AA28" s="26">
        <f t="shared" si="79"/>
        <v>44144981.299999997</v>
      </c>
      <c r="AB28" s="26">
        <f t="shared" si="79"/>
        <v>24934140</v>
      </c>
      <c r="AC28" s="26">
        <f t="shared" si="79"/>
        <v>20734140</v>
      </c>
      <c r="AD28" s="26">
        <f t="shared" si="79"/>
        <v>161780088</v>
      </c>
      <c r="AE28" s="26">
        <f t="shared" si="79"/>
        <v>145005621.06</v>
      </c>
      <c r="AF28" s="26">
        <f t="shared" si="79"/>
        <v>145513067.59999999</v>
      </c>
      <c r="AG28" s="26">
        <f t="shared" si="79"/>
        <v>0</v>
      </c>
      <c r="AH28" s="26">
        <f t="shared" si="79"/>
        <v>-18849273.329999998</v>
      </c>
      <c r="AI28" s="26">
        <f t="shared" si="79"/>
        <v>-18361676.760000002</v>
      </c>
      <c r="AJ28" s="26">
        <f t="shared" si="79"/>
        <v>-10454494.26</v>
      </c>
      <c r="AK28" s="26">
        <f t="shared" si="79"/>
        <v>-11519743.26</v>
      </c>
      <c r="AL28" s="26">
        <f t="shared" si="79"/>
        <v>-191317487.13999999</v>
      </c>
      <c r="AM28" s="26">
        <f t="shared" si="79"/>
        <v>73318527.560000002</v>
      </c>
      <c r="AN28" s="26">
        <f t="shared" si="79"/>
        <v>-94699387.069999993</v>
      </c>
      <c r="AO28" s="26">
        <f t="shared" si="79"/>
        <v>-229930940.88</v>
      </c>
      <c r="AP28" s="26">
        <f t="shared" si="79"/>
        <v>-661883.51</v>
      </c>
      <c r="AQ28" s="26">
        <f t="shared" si="79"/>
        <v>-8596096.5099999998</v>
      </c>
      <c r="AR28" s="26">
        <f t="shared" si="79"/>
        <v>-22165691.16</v>
      </c>
      <c r="AS28" s="26">
        <f t="shared" si="79"/>
        <v>-8501597.6699999999</v>
      </c>
      <c r="AT28" s="26">
        <f t="shared" si="79"/>
        <v>222026276.27000001</v>
      </c>
      <c r="AU28" s="26">
        <f t="shared" si="79"/>
        <v>206363763.91</v>
      </c>
      <c r="AV28" s="26">
        <f t="shared" si="79"/>
        <v>-4429898</v>
      </c>
      <c r="AW28" s="26">
        <f t="shared" si="79"/>
        <v>0</v>
      </c>
      <c r="AX28" s="26">
        <f t="shared" si="79"/>
        <v>128199828.13999999</v>
      </c>
      <c r="AY28" s="26">
        <f t="shared" si="79"/>
        <v>-208336849.62</v>
      </c>
      <c r="AZ28" s="26">
        <f t="shared" si="79"/>
        <v>-80558439.539999992</v>
      </c>
      <c r="BA28" s="26">
        <f t="shared" si="79"/>
        <v>-56269433.299999997</v>
      </c>
      <c r="BB28" s="26">
        <f t="shared" si="79"/>
        <v>-28148987.899999999</v>
      </c>
      <c r="BC28" s="26">
        <f t="shared" si="79"/>
        <v>-34339896.899999999</v>
      </c>
      <c r="BD28" s="26">
        <f t="shared" si="79"/>
        <v>-27505527.420000002</v>
      </c>
      <c r="BE28" s="26">
        <f t="shared" si="79"/>
        <v>-37472012.280000001</v>
      </c>
      <c r="BF28" s="26">
        <f t="shared" si="79"/>
        <v>170213200.90000001</v>
      </c>
      <c r="BG28" s="26">
        <f t="shared" si="79"/>
        <v>159004142</v>
      </c>
      <c r="BH28" s="26">
        <f t="shared" si="79"/>
        <v>-2706000</v>
      </c>
      <c r="BI28" s="26">
        <f t="shared" si="79"/>
        <v>0</v>
      </c>
      <c r="BJ28" s="26">
        <f t="shared" si="79"/>
        <v>-50509716.040000007</v>
      </c>
      <c r="BK28" s="26">
        <f t="shared" si="79"/>
        <v>30305993.379999999</v>
      </c>
      <c r="BL28" s="26">
        <f t="shared" si="79"/>
        <v>4694499.0100000016</v>
      </c>
      <c r="BM28" s="26">
        <f t="shared" si="79"/>
        <v>0</v>
      </c>
      <c r="BN28" s="26">
        <f t="shared" si="79"/>
        <v>11783809</v>
      </c>
      <c r="BO28" s="26">
        <f t="shared" si="79"/>
        <v>1433235.57</v>
      </c>
      <c r="BP28" s="26">
        <f t="shared" si="79"/>
        <v>343848028</v>
      </c>
      <c r="BQ28" s="26">
        <f t="shared" si="79"/>
        <v>159686190</v>
      </c>
      <c r="BR28" s="26">
        <f t="shared" ref="BR28:BV28" si="80">BR27-BR26</f>
        <v>-363223426.21000004</v>
      </c>
      <c r="BS28" s="26">
        <f t="shared" si="80"/>
        <v>61319720</v>
      </c>
      <c r="BT28" s="26">
        <f t="shared" si="80"/>
        <v>1608801905.6800001</v>
      </c>
      <c r="BU28" s="26">
        <f t="shared" si="80"/>
        <v>0</v>
      </c>
      <c r="BV28" s="26">
        <f t="shared" si="80"/>
        <v>28813837.920000002</v>
      </c>
    </row>
    <row r="29" spans="1:74" s="26" customFormat="1" ht="16.149999999999999" customHeight="1">
      <c r="A29" s="179" t="s">
        <v>632</v>
      </c>
      <c r="E29" s="180" t="e">
        <f>POWER(E28/U28,1/5)-1</f>
        <v>#DIV/0!</v>
      </c>
    </row>
    <row r="30" spans="1:74" s="30" customFormat="1" ht="15" customHeight="1" thickBot="1">
      <c r="A30" s="136" t="s">
        <v>315</v>
      </c>
      <c r="B30" s="1">
        <v>43465</v>
      </c>
      <c r="C30" s="1">
        <v>43373</v>
      </c>
      <c r="D30" s="1">
        <v>43281</v>
      </c>
      <c r="E30" s="1">
        <v>43190</v>
      </c>
      <c r="F30" s="1">
        <v>43100</v>
      </c>
      <c r="G30" s="1">
        <v>43008</v>
      </c>
      <c r="H30" s="1">
        <v>42916</v>
      </c>
      <c r="I30" s="1">
        <v>42825</v>
      </c>
      <c r="J30" s="1">
        <v>42735</v>
      </c>
      <c r="K30" s="1">
        <v>42643</v>
      </c>
      <c r="L30" s="1">
        <v>42551</v>
      </c>
      <c r="M30" s="1">
        <v>42460</v>
      </c>
      <c r="N30" s="1">
        <v>42369</v>
      </c>
      <c r="O30" s="1">
        <v>42277</v>
      </c>
      <c r="P30" s="1">
        <v>42185</v>
      </c>
      <c r="Q30" s="1">
        <v>42094</v>
      </c>
      <c r="R30" s="1">
        <v>42004</v>
      </c>
      <c r="S30" s="1">
        <v>41912</v>
      </c>
      <c r="T30" s="1">
        <v>41820</v>
      </c>
      <c r="U30" s="1">
        <v>41729</v>
      </c>
      <c r="V30" s="1">
        <v>41639</v>
      </c>
      <c r="W30" s="1">
        <v>41547</v>
      </c>
      <c r="X30" s="1">
        <v>41455</v>
      </c>
      <c r="Y30" s="1">
        <v>41364</v>
      </c>
      <c r="Z30" s="1">
        <v>41274</v>
      </c>
      <c r="AA30" s="1">
        <v>41182</v>
      </c>
      <c r="AB30" s="1">
        <v>41090</v>
      </c>
      <c r="AC30" s="1">
        <v>40999</v>
      </c>
      <c r="AD30" s="1">
        <v>40908</v>
      </c>
      <c r="AE30" s="1">
        <v>40816</v>
      </c>
      <c r="AF30" s="1">
        <v>40724</v>
      </c>
      <c r="AG30" s="1">
        <v>40633</v>
      </c>
      <c r="AH30" s="1">
        <v>40543</v>
      </c>
      <c r="AI30" s="1">
        <v>40451</v>
      </c>
      <c r="AJ30" s="1">
        <v>40359</v>
      </c>
      <c r="AK30" s="1">
        <v>40268</v>
      </c>
      <c r="AL30" s="1">
        <v>40178</v>
      </c>
      <c r="AM30" s="1">
        <v>40086</v>
      </c>
      <c r="AN30" s="1">
        <v>39994</v>
      </c>
      <c r="AO30" s="1">
        <v>39903</v>
      </c>
      <c r="AP30" s="1">
        <v>39813</v>
      </c>
      <c r="AQ30" s="1">
        <v>39721</v>
      </c>
      <c r="AR30" s="1">
        <v>39629</v>
      </c>
      <c r="AS30" s="1">
        <v>39538</v>
      </c>
      <c r="AT30" s="1">
        <v>39447</v>
      </c>
      <c r="AU30" s="1">
        <v>39355</v>
      </c>
      <c r="AV30" s="1">
        <v>39263</v>
      </c>
      <c r="AW30" s="1">
        <v>39172</v>
      </c>
      <c r="AX30" s="1">
        <v>39082</v>
      </c>
      <c r="AY30" s="1">
        <v>38990</v>
      </c>
      <c r="AZ30" s="1">
        <v>38898</v>
      </c>
      <c r="BA30" s="1">
        <v>38807</v>
      </c>
      <c r="BB30" s="1">
        <v>38717</v>
      </c>
      <c r="BC30" s="1">
        <v>38625</v>
      </c>
      <c r="BD30" s="1">
        <v>38533</v>
      </c>
      <c r="BE30" s="1">
        <v>38442</v>
      </c>
      <c r="BF30" s="1">
        <v>38352</v>
      </c>
      <c r="BG30" s="1">
        <v>38260</v>
      </c>
      <c r="BH30" s="1">
        <v>38168</v>
      </c>
      <c r="BI30" s="1">
        <v>38077</v>
      </c>
      <c r="BJ30" s="1">
        <v>37986</v>
      </c>
      <c r="BK30" s="1">
        <v>37894</v>
      </c>
      <c r="BL30" s="1">
        <v>37802</v>
      </c>
      <c r="BM30" s="1">
        <v>37711</v>
      </c>
      <c r="BN30" s="1">
        <v>37621</v>
      </c>
      <c r="BO30" s="1">
        <v>37437</v>
      </c>
      <c r="BP30" s="1">
        <v>37256</v>
      </c>
      <c r="BQ30" s="1">
        <v>37072</v>
      </c>
      <c r="BR30" s="1">
        <v>36891</v>
      </c>
      <c r="BS30" s="1">
        <v>25569</v>
      </c>
      <c r="BT30" s="1">
        <v>36341</v>
      </c>
      <c r="BU30" s="1">
        <v>36160</v>
      </c>
      <c r="BV30" s="1">
        <v>25569</v>
      </c>
    </row>
    <row r="31" spans="1:74" s="51" customFormat="1" ht="17.45" customHeight="1">
      <c r="A31" s="175" t="s">
        <v>310</v>
      </c>
      <c r="B31" s="188">
        <v>21984839428.439999</v>
      </c>
      <c r="C31" s="188">
        <v>22316773408.830002</v>
      </c>
      <c r="D31" s="188">
        <v>22175928347.880001</v>
      </c>
      <c r="E31" s="188">
        <v>22623555929.689999</v>
      </c>
      <c r="F31" s="188">
        <v>22360930913.48</v>
      </c>
      <c r="G31" s="188">
        <v>22976741343</v>
      </c>
      <c r="H31" s="188">
        <v>22984949774.959999</v>
      </c>
      <c r="I31" s="188">
        <v>23089295953.759998</v>
      </c>
      <c r="J31" s="188">
        <v>22753989474.84</v>
      </c>
      <c r="K31" s="188">
        <v>21643145955.470001</v>
      </c>
      <c r="L31" s="188">
        <v>21593032140.220001</v>
      </c>
      <c r="M31" s="188">
        <v>21576653404.439999</v>
      </c>
      <c r="N31" s="188">
        <v>21296949399.18</v>
      </c>
      <c r="O31" s="188">
        <v>20261592117.09</v>
      </c>
      <c r="P31" s="188">
        <v>19097774757.830002</v>
      </c>
      <c r="Q31" s="188">
        <v>18315646536.52</v>
      </c>
      <c r="R31" s="188">
        <v>18302236150.310001</v>
      </c>
      <c r="S31" s="188">
        <v>16660795222.92</v>
      </c>
      <c r="T31" s="188">
        <v>16579774564.629999</v>
      </c>
      <c r="U31" s="188">
        <v>15583608259.01</v>
      </c>
      <c r="V31" s="188">
        <v>13522567242.82</v>
      </c>
      <c r="W31" s="188">
        <v>9433590713.1000004</v>
      </c>
      <c r="X31" s="188">
        <v>8937733311.7900009</v>
      </c>
      <c r="Y31" s="188">
        <v>9046122215.5200005</v>
      </c>
      <c r="Z31" s="188">
        <v>8773132339.5799999</v>
      </c>
      <c r="AA31" s="188">
        <v>7348983711.5200005</v>
      </c>
      <c r="AB31" s="188">
        <v>7287172510.8199997</v>
      </c>
      <c r="AC31" s="188">
        <v>7174957543.2700005</v>
      </c>
      <c r="AD31" s="188">
        <v>7071236794.9799995</v>
      </c>
      <c r="AE31" s="188">
        <v>5907593182.6300001</v>
      </c>
      <c r="AF31" s="188">
        <v>5450664776.8999996</v>
      </c>
      <c r="AG31" s="188">
        <v>5404910754.6800003</v>
      </c>
      <c r="AH31" s="188">
        <v>5287295112.3800001</v>
      </c>
      <c r="AI31" s="188">
        <v>4854322092.2399998</v>
      </c>
      <c r="AJ31" s="188">
        <v>4750522574.4799995</v>
      </c>
      <c r="AK31" s="188">
        <v>4223497907.46</v>
      </c>
      <c r="AL31" s="188">
        <v>4114037784.3299999</v>
      </c>
      <c r="AM31" s="188">
        <v>3893081948.3499999</v>
      </c>
      <c r="AN31" s="188">
        <v>3756937589.1599998</v>
      </c>
      <c r="AO31" s="188">
        <v>3728677824.9000001</v>
      </c>
      <c r="AP31" s="188">
        <v>3513436953.5100002</v>
      </c>
      <c r="AQ31" s="188">
        <v>3739014271</v>
      </c>
      <c r="AR31" s="188">
        <v>3526080172.4299998</v>
      </c>
      <c r="AS31" s="188">
        <v>3338338900.5300002</v>
      </c>
      <c r="AT31" s="188">
        <v>3209968937.0300002</v>
      </c>
      <c r="AU31" s="188">
        <v>3086136003.2399998</v>
      </c>
      <c r="AV31" s="188">
        <v>2952999545.0700002</v>
      </c>
      <c r="AW31" s="188">
        <v>2845284852.9899998</v>
      </c>
      <c r="AX31" s="188">
        <v>2638340763.6999998</v>
      </c>
      <c r="AY31" s="188">
        <v>2450389777.1900001</v>
      </c>
      <c r="AZ31" s="188">
        <v>2263427977.0500002</v>
      </c>
      <c r="BA31" s="188">
        <v>2115638921.48</v>
      </c>
      <c r="BB31" s="188">
        <v>2038076176.98</v>
      </c>
      <c r="BC31" s="188">
        <v>1904956898.72</v>
      </c>
      <c r="BD31" s="188">
        <v>1780876639.3299999</v>
      </c>
      <c r="BE31" s="188">
        <v>1685409788.29</v>
      </c>
      <c r="BF31" s="188">
        <v>1601014475.77</v>
      </c>
      <c r="BG31" s="188">
        <v>1463570659.45</v>
      </c>
      <c r="BH31" s="188">
        <v>1398793760.26</v>
      </c>
      <c r="BI31" s="188">
        <v>1332300138.5599999</v>
      </c>
      <c r="BJ31" s="188">
        <v>1200336776.9300001</v>
      </c>
      <c r="BK31" s="188">
        <v>1165910893.28</v>
      </c>
      <c r="BL31" s="188">
        <v>1092933336.0799999</v>
      </c>
      <c r="BM31" s="188">
        <v>1019774319.86</v>
      </c>
      <c r="BN31" s="188">
        <v>939648707.25</v>
      </c>
      <c r="BO31" s="188">
        <v>859601030.65999997</v>
      </c>
      <c r="BP31" s="188">
        <v>748821426.96000004</v>
      </c>
      <c r="BQ31" s="188">
        <v>611201680.95000005</v>
      </c>
      <c r="BR31" s="188">
        <v>593463444.27999997</v>
      </c>
      <c r="BS31" s="188">
        <v>203349614.99000001</v>
      </c>
      <c r="BT31" s="191">
        <v>1786934979.5599999</v>
      </c>
      <c r="BU31" s="191">
        <v>1665815375.1099999</v>
      </c>
      <c r="BV31" s="191">
        <v>1686369507.6900001</v>
      </c>
    </row>
    <row r="32" spans="1:74" s="54" customFormat="1" ht="15" customHeight="1">
      <c r="A32" s="273" t="s">
        <v>311</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91">
        <v>0</v>
      </c>
      <c r="BU32" s="191">
        <v>0</v>
      </c>
      <c r="BV32" s="191">
        <v>0</v>
      </c>
    </row>
    <row r="33" spans="1:74" s="54" customFormat="1" ht="19.149999999999999" customHeight="1">
      <c r="A33" s="273" t="s">
        <v>312</v>
      </c>
      <c r="B33" s="188">
        <v>29000000</v>
      </c>
      <c r="C33" s="188">
        <v>29000000</v>
      </c>
      <c r="D33" s="188">
        <v>29000000</v>
      </c>
      <c r="E33" s="188">
        <v>29000000</v>
      </c>
      <c r="F33" s="188">
        <v>29000000</v>
      </c>
      <c r="G33" s="188">
        <v>29000000</v>
      </c>
      <c r="H33" s="188">
        <v>29000000</v>
      </c>
      <c r="I33" s="188">
        <v>29000000</v>
      </c>
      <c r="J33" s="188">
        <v>29000000</v>
      </c>
      <c r="K33" s="188">
        <v>29000000</v>
      </c>
      <c r="L33" s="188">
        <v>29000000</v>
      </c>
      <c r="M33" s="188">
        <v>29000000</v>
      </c>
      <c r="N33" s="188">
        <v>29000000</v>
      </c>
      <c r="O33" s="188">
        <v>29000000</v>
      </c>
      <c r="P33" s="188">
        <v>29000000</v>
      </c>
      <c r="Q33" s="188">
        <v>4000000</v>
      </c>
      <c r="R33" s="188">
        <v>4000000</v>
      </c>
      <c r="S33" s="188">
        <v>4000000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91">
        <v>0</v>
      </c>
      <c r="BU33" s="191">
        <v>0</v>
      </c>
      <c r="BV33" s="191">
        <v>0</v>
      </c>
    </row>
    <row r="34" spans="1:74" s="44" customFormat="1" ht="14.25" thickBot="1">
      <c r="A34" s="137" t="s">
        <v>315</v>
      </c>
      <c r="B34" s="49"/>
      <c r="C34" s="49"/>
      <c r="D34" s="49"/>
      <c r="E34" s="49">
        <f>E31-E32-E33</f>
        <v>22594555929.689999</v>
      </c>
      <c r="F34" s="49">
        <f t="shared" ref="F34:BP34" si="81">F31-F32-F33</f>
        <v>22331930913.48</v>
      </c>
      <c r="G34" s="49">
        <f t="shared" si="81"/>
        <v>22947741343</v>
      </c>
      <c r="H34" s="49">
        <f t="shared" si="81"/>
        <v>22955949774.959999</v>
      </c>
      <c r="I34" s="49">
        <f t="shared" si="81"/>
        <v>23060295953.759998</v>
      </c>
      <c r="J34" s="49">
        <f t="shared" si="81"/>
        <v>22724989474.84</v>
      </c>
      <c r="K34" s="49">
        <f t="shared" si="81"/>
        <v>21614145955.470001</v>
      </c>
      <c r="L34" s="49">
        <f t="shared" si="81"/>
        <v>21564032140.220001</v>
      </c>
      <c r="M34" s="49">
        <f t="shared" si="81"/>
        <v>21547653404.439999</v>
      </c>
      <c r="N34" s="49">
        <f t="shared" si="81"/>
        <v>21267949399.18</v>
      </c>
      <c r="O34" s="49">
        <f t="shared" si="81"/>
        <v>20232592117.09</v>
      </c>
      <c r="P34" s="49">
        <f t="shared" si="81"/>
        <v>19068774757.830002</v>
      </c>
      <c r="Q34" s="49">
        <f t="shared" si="81"/>
        <v>18311646536.52</v>
      </c>
      <c r="R34" s="49">
        <f t="shared" si="81"/>
        <v>18298236150.310001</v>
      </c>
      <c r="S34" s="49">
        <f t="shared" si="81"/>
        <v>16656795222.92</v>
      </c>
      <c r="T34" s="49">
        <f t="shared" si="81"/>
        <v>16579774564.629999</v>
      </c>
      <c r="U34" s="49">
        <f t="shared" si="81"/>
        <v>15583608259.01</v>
      </c>
      <c r="V34" s="49">
        <f t="shared" si="81"/>
        <v>13522567242.82</v>
      </c>
      <c r="W34" s="49">
        <f t="shared" si="81"/>
        <v>9433590713.1000004</v>
      </c>
      <c r="X34" s="49">
        <f t="shared" si="81"/>
        <v>8937733311.7900009</v>
      </c>
      <c r="Y34" s="49">
        <f t="shared" si="81"/>
        <v>9046122215.5200005</v>
      </c>
      <c r="Z34" s="49">
        <f t="shared" si="81"/>
        <v>8773132339.5799999</v>
      </c>
      <c r="AA34" s="49">
        <f t="shared" si="81"/>
        <v>7348983711.5200005</v>
      </c>
      <c r="AB34" s="49">
        <f t="shared" si="81"/>
        <v>7287172510.8199997</v>
      </c>
      <c r="AC34" s="49">
        <f t="shared" si="81"/>
        <v>7174957543.2700005</v>
      </c>
      <c r="AD34" s="49">
        <f t="shared" si="81"/>
        <v>7071236794.9799995</v>
      </c>
      <c r="AE34" s="49">
        <f t="shared" si="81"/>
        <v>5907593182.6300001</v>
      </c>
      <c r="AF34" s="49">
        <f t="shared" si="81"/>
        <v>5450664776.8999996</v>
      </c>
      <c r="AG34" s="49">
        <f t="shared" si="81"/>
        <v>5404910754.6800003</v>
      </c>
      <c r="AH34" s="49">
        <f t="shared" si="81"/>
        <v>5287295112.3800001</v>
      </c>
      <c r="AI34" s="49">
        <f t="shared" si="81"/>
        <v>4854322092.2399998</v>
      </c>
      <c r="AJ34" s="49">
        <f t="shared" si="81"/>
        <v>4750522574.4799995</v>
      </c>
      <c r="AK34" s="49">
        <f t="shared" si="81"/>
        <v>4223497907.46</v>
      </c>
      <c r="AL34" s="49">
        <f t="shared" si="81"/>
        <v>4114037784.3299999</v>
      </c>
      <c r="AM34" s="49">
        <f t="shared" si="81"/>
        <v>3893081948.3499999</v>
      </c>
      <c r="AN34" s="49">
        <f t="shared" si="81"/>
        <v>3756937589.1599998</v>
      </c>
      <c r="AO34" s="49">
        <f t="shared" si="81"/>
        <v>3728677824.9000001</v>
      </c>
      <c r="AP34" s="49">
        <f t="shared" si="81"/>
        <v>3513436953.5100002</v>
      </c>
      <c r="AQ34" s="49">
        <f t="shared" si="81"/>
        <v>3739014271</v>
      </c>
      <c r="AR34" s="49">
        <f t="shared" si="81"/>
        <v>3526080172.4299998</v>
      </c>
      <c r="AS34" s="49">
        <f t="shared" si="81"/>
        <v>3338338900.5300002</v>
      </c>
      <c r="AT34" s="49">
        <f t="shared" si="81"/>
        <v>3209968937.0300002</v>
      </c>
      <c r="AU34" s="49">
        <f t="shared" si="81"/>
        <v>3086136003.2399998</v>
      </c>
      <c r="AV34" s="49">
        <f t="shared" si="81"/>
        <v>2952999545.0700002</v>
      </c>
      <c r="AW34" s="49">
        <f t="shared" si="81"/>
        <v>2845284852.9899998</v>
      </c>
      <c r="AX34" s="49">
        <f t="shared" si="81"/>
        <v>2638340763.6999998</v>
      </c>
      <c r="AY34" s="49">
        <f t="shared" si="81"/>
        <v>2450389777.1900001</v>
      </c>
      <c r="AZ34" s="49">
        <f t="shared" si="81"/>
        <v>2263427977.0500002</v>
      </c>
      <c r="BA34" s="49">
        <f t="shared" si="81"/>
        <v>2115638921.48</v>
      </c>
      <c r="BB34" s="49">
        <f t="shared" si="81"/>
        <v>2038076176.98</v>
      </c>
      <c r="BC34" s="49">
        <f t="shared" si="81"/>
        <v>1904956898.72</v>
      </c>
      <c r="BD34" s="49">
        <f t="shared" si="81"/>
        <v>1780876639.3299999</v>
      </c>
      <c r="BE34" s="49">
        <f t="shared" si="81"/>
        <v>1685409788.29</v>
      </c>
      <c r="BF34" s="49">
        <f t="shared" si="81"/>
        <v>1601014475.77</v>
      </c>
      <c r="BG34" s="49">
        <f t="shared" si="81"/>
        <v>1463570659.45</v>
      </c>
      <c r="BH34" s="49">
        <f t="shared" si="81"/>
        <v>1398793760.26</v>
      </c>
      <c r="BI34" s="49">
        <f t="shared" si="81"/>
        <v>1332300138.5599999</v>
      </c>
      <c r="BJ34" s="49">
        <f t="shared" si="81"/>
        <v>1200336776.9300001</v>
      </c>
      <c r="BK34" s="49">
        <f t="shared" si="81"/>
        <v>1165910893.28</v>
      </c>
      <c r="BL34" s="49">
        <f t="shared" si="81"/>
        <v>1092933336.0799999</v>
      </c>
      <c r="BM34" s="49">
        <f t="shared" si="81"/>
        <v>1019774319.86</v>
      </c>
      <c r="BN34" s="49">
        <f t="shared" si="81"/>
        <v>939648707.25</v>
      </c>
      <c r="BO34" s="49">
        <f t="shared" si="81"/>
        <v>859601030.65999997</v>
      </c>
      <c r="BP34" s="49">
        <f t="shared" si="81"/>
        <v>748821426.96000004</v>
      </c>
      <c r="BQ34" s="49">
        <f>AP31-AP32-AP33</f>
        <v>3513436953.5100002</v>
      </c>
      <c r="BR34" s="49">
        <f>AQ31-AQ32-AQ33</f>
        <v>3739014271</v>
      </c>
      <c r="BS34" s="49">
        <f>AR31-AR32-AR33</f>
        <v>3526080172.4299998</v>
      </c>
      <c r="BT34" s="49"/>
      <c r="BU34" s="50"/>
    </row>
    <row r="35" spans="1:74" s="106" customFormat="1" ht="14.25" thickBot="1">
      <c r="A35" s="138" t="s">
        <v>317</v>
      </c>
      <c r="B35" s="33">
        <f>SUM(B22:B31)</f>
        <v>5543789733.3799992</v>
      </c>
      <c r="C35" s="33">
        <f>SUM(C22:C31)</f>
        <v>5881423621.7700024</v>
      </c>
      <c r="D35" s="33">
        <f>SUM(D22:D31)</f>
        <v>8321052018.0500011</v>
      </c>
      <c r="E35" s="33">
        <f>资产资本表!E17</f>
        <v>88098584431.25</v>
      </c>
      <c r="F35" s="33">
        <f>资产资本表!F17</f>
        <v>88172478529.229996</v>
      </c>
      <c r="G35" s="33">
        <f>资产资本表!G17</f>
        <v>81265615624.639999</v>
      </c>
      <c r="H35" s="33">
        <f>资产资本表!H17</f>
        <v>74045487984.549988</v>
      </c>
      <c r="I35" s="33">
        <f>资产资本表!I17</f>
        <v>73219258579.670013</v>
      </c>
      <c r="J35" s="33">
        <f>资产资本表!J17</f>
        <v>67085700492.129997</v>
      </c>
      <c r="K35" s="33">
        <f>资产资本表!K17</f>
        <v>62324058442.190002</v>
      </c>
      <c r="L35" s="33">
        <f>资产资本表!L17</f>
        <v>47808867372.299995</v>
      </c>
      <c r="M35" s="33">
        <f>资产资本表!M17</f>
        <v>44074809231.059998</v>
      </c>
      <c r="N35" s="33">
        <f>资产资本表!N17</f>
        <v>36934596946.529999</v>
      </c>
      <c r="O35" s="33">
        <f>资产资本表!O17</f>
        <v>30722903270.879997</v>
      </c>
      <c r="P35" s="33">
        <f>资产资本表!P17</f>
        <v>30482844449.870003</v>
      </c>
      <c r="Q35" s="33">
        <f>资产资本表!Q17</f>
        <v>28623123952.73</v>
      </c>
      <c r="R35" s="33">
        <f>资产资本表!R17</f>
        <v>27886130602.540001</v>
      </c>
      <c r="S35" s="33">
        <f>资产资本表!S17</f>
        <v>22910725708.920002</v>
      </c>
      <c r="T35" s="33">
        <f>资产资本表!T17</f>
        <v>21200304356.759998</v>
      </c>
      <c r="U35" s="33">
        <f>资产资本表!U17</f>
        <v>23500579727.43</v>
      </c>
      <c r="V35" s="33">
        <f>资产资本表!V17</f>
        <v>25514135978.91</v>
      </c>
      <c r="W35" s="33">
        <f>资产资本表!W17</f>
        <v>22377192030.630001</v>
      </c>
      <c r="X35" s="33">
        <f>资产资本表!X17</f>
        <v>18562670939.949997</v>
      </c>
      <c r="Y35" s="33">
        <f>资产资本表!Y17</f>
        <v>21955036844.350002</v>
      </c>
      <c r="Z35" s="33">
        <f>资产资本表!Z17</f>
        <v>22376612663.389999</v>
      </c>
      <c r="AA35" s="33">
        <f>资产资本表!AA17</f>
        <v>19005987757.170002</v>
      </c>
      <c r="AB35" s="33">
        <f>资产资本表!AB17</f>
        <v>21245645480.619999</v>
      </c>
      <c r="AC35" s="33">
        <f>资产资本表!AC17</f>
        <v>19056013006.079998</v>
      </c>
      <c r="AD35" s="33">
        <f>资产资本表!AD17</f>
        <v>18539872922.09</v>
      </c>
      <c r="AE35" s="33">
        <f>资产资本表!AE17</f>
        <v>18524435542.09</v>
      </c>
      <c r="AF35" s="33">
        <f>资产资本表!AF17</f>
        <v>17479293577.549999</v>
      </c>
      <c r="AG35" s="33">
        <f>资产资本表!AG17</f>
        <v>16097936940.57</v>
      </c>
      <c r="AH35" s="33">
        <f>资产资本表!AH17</f>
        <v>12991122314.630001</v>
      </c>
      <c r="AI35" s="33">
        <f>资产资本表!AI17</f>
        <v>11163366118.51</v>
      </c>
      <c r="AJ35" s="33">
        <f>资产资本表!AJ17</f>
        <v>10378305344.280001</v>
      </c>
      <c r="AK35" s="33">
        <f>资产资本表!AK17</f>
        <v>9990618883.5699997</v>
      </c>
      <c r="AL35" s="33">
        <f>资产资本表!AL17</f>
        <v>9755064755.2399998</v>
      </c>
      <c r="AM35" s="33">
        <f>资产资本表!AM17</f>
        <v>7923955837.8000002</v>
      </c>
      <c r="AN35" s="33">
        <f>资产资本表!AN17</f>
        <v>7824246321.21</v>
      </c>
      <c r="AO35" s="33">
        <f>资产资本表!AO17</f>
        <v>7717405756.3000002</v>
      </c>
      <c r="AP35" s="33">
        <f>资产资本表!AP17</f>
        <v>8138505441.1599998</v>
      </c>
      <c r="AQ35" s="33">
        <f>资产资本表!AQ17</f>
        <v>6441498269.54</v>
      </c>
      <c r="AR35" s="33">
        <f>资产资本表!AR17</f>
        <v>5105053230.8000002</v>
      </c>
      <c r="AS35" s="33">
        <f>资产资本表!AS17</f>
        <v>5603323644.29</v>
      </c>
      <c r="AT35" s="33">
        <f>资产资本表!AT17</f>
        <v>4784290700.0200005</v>
      </c>
      <c r="AU35" s="33">
        <f>资产资本表!AU17</f>
        <v>4814014936.3500004</v>
      </c>
      <c r="AV35" s="33">
        <f>资产资本表!AV17</f>
        <v>4870494456.1599998</v>
      </c>
      <c r="AW35" s="33">
        <f>资产资本表!AW17</f>
        <v>4715254931.29</v>
      </c>
      <c r="AX35" s="33">
        <f>资产资本表!AX17</f>
        <v>4505867488.6400003</v>
      </c>
      <c r="AY35" s="33">
        <f>资产资本表!AY17</f>
        <v>4083907788.3400002</v>
      </c>
      <c r="AZ35" s="33">
        <f>资产资本表!AZ17</f>
        <v>3419099920.6599998</v>
      </c>
      <c r="BA35" s="33">
        <f>资产资本表!BA17</f>
        <v>3975708186.8800001</v>
      </c>
      <c r="BB35" s="33">
        <f>资产资本表!BB17</f>
        <v>3891989433.5300002</v>
      </c>
      <c r="BC35" s="33">
        <f>资产资本表!BC17</f>
        <v>3217007276.75</v>
      </c>
      <c r="BD35" s="33">
        <f>资产资本表!BD17</f>
        <v>3065214770.1900001</v>
      </c>
      <c r="BE35" s="33">
        <f>资产资本表!BE17</f>
        <v>3024925341.3800001</v>
      </c>
      <c r="BF35" s="33">
        <f>资产资本表!BF17</f>
        <v>2898327418.8499999</v>
      </c>
      <c r="BG35" s="33">
        <f>资产资本表!BG17</f>
        <v>2419288966.46</v>
      </c>
      <c r="BH35" s="33">
        <f>资产资本表!BH17</f>
        <v>2172790156.5900002</v>
      </c>
      <c r="BI35" s="33">
        <f>资产资本表!BI17</f>
        <v>2101448845.7199998</v>
      </c>
      <c r="BJ35" s="33">
        <f>资产资本表!BJ17</f>
        <v>2340047386.8499999</v>
      </c>
      <c r="BK35" s="33">
        <f>资产资本表!BK17</f>
        <v>1868792963.71</v>
      </c>
      <c r="BL35" s="33">
        <f>资产资本表!BL17</f>
        <v>1536249315.6400001</v>
      </c>
      <c r="BM35" s="33">
        <f>资产资本表!BM17</f>
        <v>1684957738.5599999</v>
      </c>
      <c r="BN35" s="33">
        <f>资产资本表!BN17</f>
        <v>1780307690.6400001</v>
      </c>
      <c r="BO35" s="33">
        <f>资产资本表!BO17</f>
        <v>1677224920.04</v>
      </c>
      <c r="BP35" s="33">
        <f>资产资本表!BP17</f>
        <v>1513800289.8299999</v>
      </c>
      <c r="BQ35" s="33">
        <f>资产资本表!BQ17</f>
        <v>1877929846.0899999</v>
      </c>
      <c r="BR35" s="33">
        <f>资产资本表!BR17</f>
        <v>1956436570.0999999</v>
      </c>
      <c r="BS35" s="33">
        <f>资产资本表!BS17</f>
        <v>336439213.5</v>
      </c>
      <c r="BT35" s="33">
        <f>资产资本表!BT17</f>
        <v>460983583.45999998</v>
      </c>
      <c r="BU35" s="33">
        <f>资产资本表!BU17</f>
        <v>198390615.12</v>
      </c>
      <c r="BV35" s="33">
        <f>资产资本表!BV17</f>
        <v>124765368.73999999</v>
      </c>
    </row>
    <row r="36" spans="1:74" s="26" customFormat="1">
      <c r="A36" s="17"/>
    </row>
    <row r="37" spans="1:74" s="26" customFormat="1">
      <c r="A37" s="17"/>
    </row>
    <row r="38" spans="1:74" s="18" customFormat="1">
      <c r="A38" s="18" t="s">
        <v>318</v>
      </c>
      <c r="B38" s="1">
        <v>43465</v>
      </c>
      <c r="C38" s="1">
        <v>43373</v>
      </c>
      <c r="D38" s="1">
        <v>43281</v>
      </c>
      <c r="E38" s="1">
        <v>43190</v>
      </c>
      <c r="F38" s="1">
        <v>43100</v>
      </c>
      <c r="G38" s="1">
        <v>43008</v>
      </c>
      <c r="H38" s="1">
        <v>42916</v>
      </c>
      <c r="I38" s="1">
        <v>42825</v>
      </c>
      <c r="J38" s="1">
        <v>42735</v>
      </c>
      <c r="K38" s="1">
        <v>42643</v>
      </c>
      <c r="L38" s="1">
        <v>42551</v>
      </c>
      <c r="M38" s="1">
        <v>42460</v>
      </c>
      <c r="N38" s="1">
        <v>42369</v>
      </c>
      <c r="O38" s="1">
        <v>42277</v>
      </c>
      <c r="P38" s="1">
        <v>42185</v>
      </c>
      <c r="Q38" s="1">
        <v>42094</v>
      </c>
      <c r="R38" s="1">
        <v>42004</v>
      </c>
      <c r="S38" s="1">
        <v>41912</v>
      </c>
      <c r="T38" s="1">
        <v>41820</v>
      </c>
      <c r="U38" s="1">
        <v>41729</v>
      </c>
      <c r="V38" s="1">
        <v>41639</v>
      </c>
      <c r="W38" s="1">
        <v>41547</v>
      </c>
      <c r="X38" s="1">
        <v>41455</v>
      </c>
      <c r="Y38" s="1">
        <v>41364</v>
      </c>
      <c r="Z38" s="1">
        <v>41274</v>
      </c>
      <c r="AA38" s="1">
        <v>41182</v>
      </c>
      <c r="AB38" s="1">
        <v>41090</v>
      </c>
      <c r="AC38" s="1">
        <v>40999</v>
      </c>
      <c r="AD38" s="1">
        <v>40908</v>
      </c>
      <c r="AE38" s="1">
        <v>40816</v>
      </c>
      <c r="AF38" s="1">
        <v>40724</v>
      </c>
      <c r="AG38" s="1">
        <v>40633</v>
      </c>
      <c r="AH38" s="1">
        <v>40543</v>
      </c>
      <c r="AI38" s="1">
        <v>40451</v>
      </c>
      <c r="AJ38" s="1">
        <v>40359</v>
      </c>
      <c r="AK38" s="1">
        <v>40268</v>
      </c>
      <c r="AL38" s="1">
        <v>40178</v>
      </c>
      <c r="AM38" s="1">
        <v>40086</v>
      </c>
      <c r="AN38" s="1">
        <v>39994</v>
      </c>
      <c r="AO38" s="1">
        <v>39903</v>
      </c>
      <c r="AP38" s="1">
        <v>39813</v>
      </c>
      <c r="AQ38" s="1">
        <v>39721</v>
      </c>
      <c r="AR38" s="1">
        <v>39629</v>
      </c>
      <c r="AS38" s="1">
        <v>39538</v>
      </c>
      <c r="AT38" s="1">
        <v>39447</v>
      </c>
      <c r="AU38" s="1">
        <v>39355</v>
      </c>
      <c r="AV38" s="1">
        <v>39263</v>
      </c>
      <c r="AW38" s="1">
        <v>39172</v>
      </c>
      <c r="AX38" s="1">
        <v>39082</v>
      </c>
      <c r="AY38" s="1">
        <v>38990</v>
      </c>
      <c r="AZ38" s="1">
        <v>38898</v>
      </c>
      <c r="BA38" s="1">
        <v>38807</v>
      </c>
      <c r="BB38" s="1">
        <v>38717</v>
      </c>
      <c r="BC38" s="1">
        <v>38625</v>
      </c>
      <c r="BD38" s="1">
        <v>38533</v>
      </c>
      <c r="BE38" s="1">
        <v>38442</v>
      </c>
      <c r="BF38" s="1">
        <v>38352</v>
      </c>
      <c r="BG38" s="1">
        <v>38260</v>
      </c>
      <c r="BH38" s="1">
        <v>38168</v>
      </c>
      <c r="BI38" s="1">
        <v>38077</v>
      </c>
      <c r="BJ38" s="1">
        <v>37986</v>
      </c>
      <c r="BK38" s="1">
        <v>37894</v>
      </c>
      <c r="BL38" s="1">
        <v>37802</v>
      </c>
      <c r="BM38" s="1">
        <v>37711</v>
      </c>
      <c r="BN38" s="1">
        <v>37621</v>
      </c>
      <c r="BO38" s="1">
        <v>37437</v>
      </c>
      <c r="BP38" s="1">
        <v>37256</v>
      </c>
      <c r="BQ38" s="1">
        <v>37072</v>
      </c>
      <c r="BR38" s="1">
        <v>36891</v>
      </c>
      <c r="BS38" s="1">
        <v>25569</v>
      </c>
      <c r="BT38" s="1">
        <v>36341</v>
      </c>
      <c r="BU38" s="1">
        <v>36160</v>
      </c>
      <c r="BV38" s="1">
        <v>25569</v>
      </c>
    </row>
    <row r="39" spans="1:74" s="48" customFormat="1">
      <c r="A39" s="46" t="s">
        <v>319</v>
      </c>
    </row>
    <row r="40" spans="1:74" s="191" customFormat="1">
      <c r="A40" s="191" t="s">
        <v>742</v>
      </c>
      <c r="B40" s="188">
        <v>0</v>
      </c>
      <c r="C40" s="188">
        <v>0</v>
      </c>
      <c r="D40" s="188">
        <v>0</v>
      </c>
      <c r="E40" s="188">
        <v>0</v>
      </c>
      <c r="F40" s="188">
        <v>6000000</v>
      </c>
      <c r="G40" s="188">
        <v>6000000</v>
      </c>
      <c r="H40" s="188">
        <v>6000000</v>
      </c>
      <c r="I40" s="188">
        <v>0</v>
      </c>
      <c r="J40" s="188">
        <v>16000000</v>
      </c>
      <c r="K40" s="188">
        <v>0</v>
      </c>
      <c r="L40" s="188">
        <v>0</v>
      </c>
      <c r="M40" s="188">
        <v>0</v>
      </c>
      <c r="N40" s="188">
        <v>0</v>
      </c>
      <c r="O40" s="188">
        <v>0</v>
      </c>
      <c r="P40" s="188">
        <v>0</v>
      </c>
      <c r="Q40" s="188">
        <v>0</v>
      </c>
      <c r="R40" s="188">
        <v>34800000</v>
      </c>
      <c r="S40" s="188">
        <v>6000000</v>
      </c>
      <c r="T40" s="188">
        <v>0</v>
      </c>
      <c r="U40" s="188">
        <v>0</v>
      </c>
      <c r="V40" s="188">
        <v>6000000</v>
      </c>
      <c r="W40" s="188">
        <v>0</v>
      </c>
      <c r="X40" s="188">
        <v>0</v>
      </c>
      <c r="Y40" s="188">
        <v>0</v>
      </c>
      <c r="Z40" s="188">
        <v>392000000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0</v>
      </c>
      <c r="BP40" s="188">
        <v>2016922206.52</v>
      </c>
      <c r="BQ40" s="188">
        <v>0</v>
      </c>
      <c r="BR40" s="188">
        <v>500000</v>
      </c>
      <c r="BS40" s="188">
        <v>0</v>
      </c>
      <c r="BT40" s="191">
        <v>0</v>
      </c>
      <c r="BU40" s="191">
        <v>1165397962.47</v>
      </c>
      <c r="BV40" s="191">
        <v>0</v>
      </c>
    </row>
    <row r="41" spans="1:74" s="53" customFormat="1" ht="21.75" customHeight="1">
      <c r="A41" s="139" t="s">
        <v>633</v>
      </c>
      <c r="B41" s="53">
        <v>1419647033.29</v>
      </c>
      <c r="C41" s="53">
        <v>682396282.87</v>
      </c>
      <c r="D41" s="53">
        <v>73246783.790000007</v>
      </c>
      <c r="E41" s="53">
        <v>8525814475.1899996</v>
      </c>
      <c r="I41" s="53">
        <v>7751996623.8100004</v>
      </c>
      <c r="M41" s="53">
        <v>4995099252</v>
      </c>
      <c r="Q41" s="53">
        <v>4540999320</v>
      </c>
      <c r="U41" s="53">
        <v>6664077420.2200003</v>
      </c>
      <c r="Y41" s="53">
        <v>4149605460.23</v>
      </c>
      <c r="AC41" s="53">
        <v>2170740000</v>
      </c>
      <c r="AG41" s="53">
        <v>1118403000.27</v>
      </c>
      <c r="AK41" s="53">
        <v>1091032798.3900001</v>
      </c>
    </row>
    <row r="42" spans="1:74" s="26" customFormat="1">
      <c r="A42" s="17" t="s">
        <v>322</v>
      </c>
      <c r="E42" s="26">
        <f>E40-E41</f>
        <v>-8525814475.1899996</v>
      </c>
      <c r="F42" s="26">
        <f t="shared" ref="F42:Y42" si="82">F40-F41</f>
        <v>6000000</v>
      </c>
      <c r="G42" s="26">
        <f t="shared" si="82"/>
        <v>6000000</v>
      </c>
      <c r="H42" s="26">
        <f t="shared" si="82"/>
        <v>6000000</v>
      </c>
      <c r="I42" s="26">
        <f>I40-I41</f>
        <v>-7751996623.8100004</v>
      </c>
      <c r="J42" s="26">
        <f t="shared" si="82"/>
        <v>16000000</v>
      </c>
      <c r="K42" s="26">
        <f t="shared" si="82"/>
        <v>0</v>
      </c>
      <c r="L42" s="26">
        <f t="shared" si="82"/>
        <v>0</v>
      </c>
      <c r="M42" s="26">
        <f t="shared" si="82"/>
        <v>-4995099252</v>
      </c>
      <c r="N42" s="26">
        <f t="shared" si="82"/>
        <v>0</v>
      </c>
      <c r="O42" s="26">
        <f t="shared" si="82"/>
        <v>0</v>
      </c>
      <c r="P42" s="26">
        <f t="shared" si="82"/>
        <v>0</v>
      </c>
      <c r="Q42" s="26">
        <f t="shared" si="82"/>
        <v>-4540999320</v>
      </c>
      <c r="R42" s="26">
        <f t="shared" si="82"/>
        <v>34800000</v>
      </c>
      <c r="S42" s="26">
        <f t="shared" si="82"/>
        <v>6000000</v>
      </c>
      <c r="T42" s="26">
        <f t="shared" si="82"/>
        <v>0</v>
      </c>
      <c r="U42" s="26">
        <f t="shared" si="82"/>
        <v>-6664077420.2200003</v>
      </c>
      <c r="V42" s="26">
        <f t="shared" si="82"/>
        <v>6000000</v>
      </c>
      <c r="W42" s="26">
        <f t="shared" si="82"/>
        <v>0</v>
      </c>
      <c r="X42" s="26">
        <f t="shared" si="82"/>
        <v>0</v>
      </c>
      <c r="Y42" s="26">
        <f t="shared" si="82"/>
        <v>-4149605460.23</v>
      </c>
      <c r="Z42" s="26">
        <f t="shared" ref="Z42:BQ42" si="83">Z40-Z41</f>
        <v>392000000</v>
      </c>
      <c r="AA42" s="26">
        <f t="shared" si="83"/>
        <v>0</v>
      </c>
      <c r="AB42" s="26">
        <f t="shared" si="83"/>
        <v>0</v>
      </c>
      <c r="AC42" s="26">
        <f t="shared" si="83"/>
        <v>-2170740000</v>
      </c>
      <c r="AD42" s="26">
        <f t="shared" si="83"/>
        <v>0</v>
      </c>
      <c r="AE42" s="26">
        <f t="shared" si="83"/>
        <v>0</v>
      </c>
      <c r="AF42" s="26">
        <f t="shared" si="83"/>
        <v>0</v>
      </c>
      <c r="AG42" s="26">
        <f t="shared" si="83"/>
        <v>-1118403000.27</v>
      </c>
      <c r="AH42" s="26">
        <f t="shared" si="83"/>
        <v>0</v>
      </c>
      <c r="AI42" s="26">
        <f t="shared" si="83"/>
        <v>0</v>
      </c>
      <c r="AJ42" s="26">
        <f t="shared" si="83"/>
        <v>0</v>
      </c>
      <c r="AK42" s="26">
        <f t="shared" si="83"/>
        <v>-1091032798.3900001</v>
      </c>
      <c r="AL42" s="191">
        <f t="shared" si="83"/>
        <v>0</v>
      </c>
      <c r="AM42" s="191">
        <f t="shared" si="83"/>
        <v>0</v>
      </c>
      <c r="AN42" s="191">
        <f t="shared" si="83"/>
        <v>0</v>
      </c>
      <c r="AO42" s="191">
        <f t="shared" si="83"/>
        <v>0</v>
      </c>
      <c r="AP42" s="191">
        <f t="shared" si="83"/>
        <v>0</v>
      </c>
      <c r="AQ42" s="191">
        <f t="shared" si="83"/>
        <v>0</v>
      </c>
      <c r="AR42" s="191">
        <f t="shared" si="83"/>
        <v>0</v>
      </c>
      <c r="AS42" s="191">
        <f t="shared" si="83"/>
        <v>0</v>
      </c>
      <c r="AT42" s="191">
        <f t="shared" si="83"/>
        <v>0</v>
      </c>
      <c r="AU42" s="191">
        <f t="shared" si="83"/>
        <v>0</v>
      </c>
      <c r="AV42" s="191">
        <f t="shared" si="83"/>
        <v>0</v>
      </c>
      <c r="AW42" s="191">
        <f t="shared" si="83"/>
        <v>0</v>
      </c>
      <c r="AX42" s="191">
        <f t="shared" si="83"/>
        <v>0</v>
      </c>
      <c r="AY42" s="191">
        <f t="shared" si="83"/>
        <v>0</v>
      </c>
      <c r="AZ42" s="191">
        <f t="shared" si="83"/>
        <v>0</v>
      </c>
      <c r="BA42" s="26">
        <f t="shared" si="83"/>
        <v>0</v>
      </c>
      <c r="BB42" s="26">
        <f t="shared" si="83"/>
        <v>0</v>
      </c>
      <c r="BC42" s="26">
        <f t="shared" si="83"/>
        <v>0</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2016922206.52</v>
      </c>
      <c r="BQ42" s="26">
        <f t="shared" si="83"/>
        <v>0</v>
      </c>
      <c r="BR42" s="26">
        <f t="shared" ref="BR42:BV42" si="84">BR40-BR41</f>
        <v>500000</v>
      </c>
      <c r="BS42" s="26">
        <f t="shared" si="84"/>
        <v>0</v>
      </c>
      <c r="BT42" s="26">
        <f t="shared" si="84"/>
        <v>0</v>
      </c>
      <c r="BU42" s="26">
        <f t="shared" si="84"/>
        <v>1165397962.47</v>
      </c>
      <c r="BV42" s="26">
        <f t="shared" si="84"/>
        <v>0</v>
      </c>
    </row>
    <row r="43" spans="1:74" s="52" customFormat="1" ht="15" customHeight="1">
      <c r="A43" s="140" t="s">
        <v>321</v>
      </c>
    </row>
    <row r="44" spans="1:74" s="191" customFormat="1">
      <c r="A44" s="191" t="s">
        <v>324</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0</v>
      </c>
      <c r="R44" s="188">
        <v>67382607</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v>0</v>
      </c>
      <c r="BI44" s="188">
        <v>0</v>
      </c>
      <c r="BJ44" s="188">
        <v>0</v>
      </c>
      <c r="BK44" s="188">
        <v>0</v>
      </c>
      <c r="BL44" s="188">
        <v>0</v>
      </c>
      <c r="BM44" s="188">
        <v>0</v>
      </c>
      <c r="BN44" s="188">
        <v>0</v>
      </c>
      <c r="BO44" s="188">
        <v>0</v>
      </c>
      <c r="BP44" s="188">
        <v>0</v>
      </c>
      <c r="BQ44" s="188">
        <v>0</v>
      </c>
      <c r="BR44" s="188">
        <v>129000000</v>
      </c>
      <c r="BS44" s="188">
        <v>0</v>
      </c>
      <c r="BT44" s="188">
        <v>0</v>
      </c>
      <c r="BU44" s="188">
        <v>0</v>
      </c>
      <c r="BV44" s="188">
        <v>0</v>
      </c>
    </row>
    <row r="45" spans="1:74" s="191" customFormat="1">
      <c r="A45" s="191" t="s">
        <v>323</v>
      </c>
      <c r="E45" s="191">
        <f>股权价值增加表!E53</f>
        <v>880974.99</v>
      </c>
      <c r="F45" s="191">
        <f>股权价值增加表!F53</f>
        <v>0</v>
      </c>
      <c r="G45" s="191">
        <f>股权价值增加表!G53</f>
        <v>0</v>
      </c>
      <c r="H45" s="191">
        <f>股权价值增加表!H53</f>
        <v>0</v>
      </c>
      <c r="I45" s="191">
        <f>股权价值增加表!I53</f>
        <v>37529578.909999996</v>
      </c>
      <c r="J45" s="191">
        <f>股权价值增加表!J53</f>
        <v>0</v>
      </c>
      <c r="K45" s="191">
        <f>股权价值增加表!K53</f>
        <v>0</v>
      </c>
      <c r="L45" s="191">
        <f>股权价值增加表!L53</f>
        <v>0</v>
      </c>
      <c r="M45" s="191">
        <f>股权价值增加表!M53</f>
        <v>41360986.93</v>
      </c>
      <c r="N45" s="191">
        <f>股权价值增加表!N53</f>
        <v>0</v>
      </c>
      <c r="O45" s="191">
        <f>股权价值增加表!O53</f>
        <v>0</v>
      </c>
      <c r="P45" s="191">
        <f>股权价值增加表!P53</f>
        <v>0</v>
      </c>
      <c r="Q45" s="191">
        <f>股权价值增加表!Q53</f>
        <v>10292572.550000001</v>
      </c>
      <c r="R45" s="191">
        <f>股权价值增加表!R53</f>
        <v>0</v>
      </c>
      <c r="S45" s="191">
        <f>股权价值增加表!S53</f>
        <v>0</v>
      </c>
      <c r="T45" s="191">
        <f>股权价值增加表!T53</f>
        <v>0</v>
      </c>
      <c r="U45" s="191">
        <f>股权价值增加表!U53</f>
        <v>0</v>
      </c>
      <c r="V45" s="191">
        <f>股权价值增加表!V53</f>
        <v>0</v>
      </c>
      <c r="W45" s="191">
        <f>股权价值增加表!W53</f>
        <v>0</v>
      </c>
      <c r="X45" s="191">
        <f>股权价值增加表!X53</f>
        <v>0</v>
      </c>
      <c r="Y45" s="191">
        <f>股权价值增加表!Y53</f>
        <v>132222.22</v>
      </c>
      <c r="Z45" s="191">
        <f>股权价值增加表!Z53</f>
        <v>0</v>
      </c>
      <c r="AA45" s="191">
        <f>股权价值增加表!AA53</f>
        <v>0</v>
      </c>
      <c r="AB45" s="191">
        <f>股权价值增加表!AB53</f>
        <v>0</v>
      </c>
      <c r="AC45" s="191">
        <f>股权价值增加表!AC53</f>
        <v>0</v>
      </c>
      <c r="AD45" s="191">
        <f>股权价值增加表!AD53</f>
        <v>0</v>
      </c>
      <c r="AE45" s="191">
        <f>股权价值增加表!AE53</f>
        <v>0</v>
      </c>
      <c r="AF45" s="191">
        <f>股权价值增加表!AF53</f>
        <v>0</v>
      </c>
      <c r="AG45" s="191">
        <f>股权价值增加表!AG53</f>
        <v>0</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c r="A46" s="191" t="s">
        <v>325</v>
      </c>
      <c r="B46" s="188">
        <v>42770451.840000004</v>
      </c>
      <c r="C46" s="188">
        <v>33820916.549999997</v>
      </c>
      <c r="D46" s="188">
        <v>30777833.539999999</v>
      </c>
      <c r="E46" s="188">
        <v>14307389.24</v>
      </c>
      <c r="F46" s="188">
        <v>23414593.670000002</v>
      </c>
      <c r="G46" s="188">
        <v>24740964.149999999</v>
      </c>
      <c r="H46" s="188">
        <v>39370998.079999998</v>
      </c>
      <c r="I46" s="188">
        <v>39606282.75</v>
      </c>
      <c r="J46" s="188">
        <v>34481635.329999998</v>
      </c>
      <c r="K46" s="188">
        <v>21599948.09</v>
      </c>
      <c r="L46" s="188">
        <v>46904631.719999999</v>
      </c>
      <c r="M46" s="188">
        <v>40428159.979999997</v>
      </c>
      <c r="N46" s="188">
        <v>27409447.399999999</v>
      </c>
      <c r="O46" s="188">
        <v>15831375.970000001</v>
      </c>
      <c r="P46" s="188">
        <v>33124441.800000001</v>
      </c>
      <c r="Q46" s="188">
        <v>23734467.609999999</v>
      </c>
      <c r="R46" s="188">
        <v>15365197.91</v>
      </c>
      <c r="S46" s="188">
        <v>7473820.4900000002</v>
      </c>
      <c r="T46" s="188">
        <v>33684820.810000002</v>
      </c>
      <c r="U46" s="188">
        <v>24308411.109999999</v>
      </c>
      <c r="V46" s="188">
        <v>27383888.890000001</v>
      </c>
      <c r="W46" s="188">
        <v>13514111.109999999</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0</v>
      </c>
      <c r="BB46" s="188">
        <v>0</v>
      </c>
      <c r="BC46" s="188">
        <v>0</v>
      </c>
      <c r="BD46" s="188">
        <v>0</v>
      </c>
      <c r="BE46" s="188">
        <v>0</v>
      </c>
      <c r="BF46" s="188">
        <v>0</v>
      </c>
      <c r="BG46" s="188">
        <v>0</v>
      </c>
      <c r="BH46" s="188">
        <v>0</v>
      </c>
      <c r="BI46" s="188">
        <v>0</v>
      </c>
      <c r="BJ46" s="188">
        <v>0</v>
      </c>
      <c r="BK46" s="188">
        <v>0</v>
      </c>
      <c r="BL46" s="188">
        <v>0</v>
      </c>
      <c r="BM46" s="188">
        <v>0</v>
      </c>
      <c r="BN46" s="188">
        <v>0</v>
      </c>
      <c r="BO46" s="188">
        <v>0</v>
      </c>
      <c r="BP46" s="188">
        <v>0</v>
      </c>
      <c r="BQ46" s="188">
        <v>0</v>
      </c>
      <c r="BR46" s="188">
        <v>0</v>
      </c>
      <c r="BS46" s="188">
        <v>0</v>
      </c>
      <c r="BT46" s="188">
        <v>0</v>
      </c>
      <c r="BU46" s="188">
        <v>0</v>
      </c>
      <c r="BV46" s="188">
        <v>0</v>
      </c>
    </row>
    <row r="47" spans="1:74" s="191" customFormat="1">
      <c r="A47" s="191" t="s">
        <v>326</v>
      </c>
      <c r="B47" s="188">
        <v>0</v>
      </c>
      <c r="C47" s="188">
        <v>0</v>
      </c>
      <c r="D47" s="188">
        <v>0</v>
      </c>
      <c r="E47" s="188">
        <v>0</v>
      </c>
      <c r="F47" s="188">
        <v>0</v>
      </c>
      <c r="G47" s="188">
        <v>0</v>
      </c>
      <c r="H47" s="188">
        <v>0</v>
      </c>
      <c r="I47" s="188">
        <v>0</v>
      </c>
      <c r="J47" s="188">
        <v>0</v>
      </c>
      <c r="K47" s="188">
        <v>0</v>
      </c>
      <c r="L47" s="188">
        <v>0</v>
      </c>
      <c r="M47" s="188">
        <v>0</v>
      </c>
      <c r="N47" s="188">
        <v>55917672</v>
      </c>
      <c r="O47" s="188">
        <v>55917672</v>
      </c>
      <c r="P47" s="188">
        <v>55917672</v>
      </c>
      <c r="Q47" s="188">
        <v>55917672</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191703825.81999999</v>
      </c>
      <c r="BC47" s="188">
        <v>0</v>
      </c>
      <c r="BD47" s="188">
        <v>0</v>
      </c>
      <c r="BE47" s="188">
        <v>0</v>
      </c>
      <c r="BF47" s="188">
        <v>0</v>
      </c>
      <c r="BG47" s="188">
        <v>0</v>
      </c>
      <c r="BH47" s="188">
        <v>0</v>
      </c>
      <c r="BI47" s="188">
        <v>0</v>
      </c>
      <c r="BJ47" s="188">
        <v>0</v>
      </c>
      <c r="BK47" s="188">
        <v>0</v>
      </c>
      <c r="BL47" s="188">
        <v>0</v>
      </c>
      <c r="BM47" s="188">
        <v>0</v>
      </c>
      <c r="BN47" s="188">
        <v>0</v>
      </c>
      <c r="BO47" s="188">
        <v>0</v>
      </c>
      <c r="BP47" s="188">
        <v>129000000</v>
      </c>
      <c r="BQ47" s="188">
        <v>0</v>
      </c>
      <c r="BR47" s="188">
        <v>174460000</v>
      </c>
      <c r="BS47" s="188">
        <v>0</v>
      </c>
      <c r="BT47" s="188">
        <v>0</v>
      </c>
      <c r="BU47" s="188">
        <v>70000000</v>
      </c>
      <c r="BV47" s="188">
        <v>0</v>
      </c>
    </row>
    <row r="48" spans="1:74" s="191" customFormat="1">
      <c r="A48" s="191" t="s">
        <v>597</v>
      </c>
      <c r="B48" s="188">
        <v>0</v>
      </c>
      <c r="C48" s="188">
        <v>0</v>
      </c>
      <c r="D48" s="188">
        <v>0</v>
      </c>
      <c r="E48" s="188">
        <v>0</v>
      </c>
      <c r="F48" s="188">
        <v>0</v>
      </c>
      <c r="G48" s="188">
        <v>0</v>
      </c>
      <c r="H48" s="188">
        <v>0</v>
      </c>
      <c r="I48" s="188">
        <v>0</v>
      </c>
      <c r="J48" s="188">
        <v>0</v>
      </c>
      <c r="K48" s="188">
        <v>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88">
        <v>0</v>
      </c>
      <c r="BK48" s="188">
        <v>0</v>
      </c>
      <c r="BL48" s="188">
        <v>0</v>
      </c>
      <c r="BM48" s="188">
        <v>0</v>
      </c>
      <c r="BN48" s="188">
        <v>0</v>
      </c>
      <c r="BO48" s="188">
        <v>0</v>
      </c>
      <c r="BP48" s="188">
        <v>0</v>
      </c>
      <c r="BQ48" s="188">
        <v>0</v>
      </c>
      <c r="BR48" s="188">
        <v>0</v>
      </c>
      <c r="BS48" s="188">
        <v>0</v>
      </c>
      <c r="BT48" s="188">
        <v>0</v>
      </c>
      <c r="BU48" s="188">
        <v>0</v>
      </c>
      <c r="BV48" s="188">
        <v>0</v>
      </c>
    </row>
    <row r="49" spans="1:74" s="191" customFormat="1">
      <c r="A49" s="191" t="s">
        <v>598</v>
      </c>
      <c r="E49" s="191">
        <f>E44+E48-E45-E46-E47</f>
        <v>-15188364.23</v>
      </c>
      <c r="F49" s="191">
        <f t="shared" ref="F49:BQ49" si="85">F44+F48-F45-F46-F47</f>
        <v>-23414593.670000002</v>
      </c>
      <c r="G49" s="191">
        <f t="shared" si="85"/>
        <v>-24740964.149999999</v>
      </c>
      <c r="H49" s="191">
        <f t="shared" si="85"/>
        <v>-39370998.079999998</v>
      </c>
      <c r="I49" s="191">
        <f t="shared" si="85"/>
        <v>-77135861.659999996</v>
      </c>
      <c r="J49" s="191">
        <f t="shared" si="85"/>
        <v>-34481635.329999998</v>
      </c>
      <c r="K49" s="191">
        <f t="shared" si="85"/>
        <v>-21599948.09</v>
      </c>
      <c r="L49" s="191">
        <f t="shared" si="85"/>
        <v>-46904631.719999999</v>
      </c>
      <c r="M49" s="191">
        <f t="shared" si="85"/>
        <v>-81789146.909999996</v>
      </c>
      <c r="N49" s="191">
        <f t="shared" si="85"/>
        <v>-83327119.400000006</v>
      </c>
      <c r="O49" s="191">
        <f t="shared" si="85"/>
        <v>-71749047.969999999</v>
      </c>
      <c r="P49" s="191">
        <f t="shared" si="85"/>
        <v>-89042113.799999997</v>
      </c>
      <c r="Q49" s="191">
        <f t="shared" si="85"/>
        <v>-89944712.159999996</v>
      </c>
      <c r="R49" s="191">
        <f t="shared" si="85"/>
        <v>52017409.090000004</v>
      </c>
      <c r="S49" s="191">
        <f t="shared" si="85"/>
        <v>-7473820.4900000002</v>
      </c>
      <c r="T49" s="191">
        <f t="shared" si="85"/>
        <v>-33684820.810000002</v>
      </c>
      <c r="U49" s="191">
        <f t="shared" si="85"/>
        <v>-24308411.109999999</v>
      </c>
      <c r="V49" s="191">
        <f t="shared" si="85"/>
        <v>-27383888.890000001</v>
      </c>
      <c r="W49" s="191">
        <f t="shared" si="85"/>
        <v>-13514111.109999999</v>
      </c>
      <c r="X49" s="191">
        <f t="shared" si="85"/>
        <v>0</v>
      </c>
      <c r="Y49" s="191">
        <f t="shared" si="85"/>
        <v>-132222.22</v>
      </c>
      <c r="Z49" s="191">
        <f t="shared" si="85"/>
        <v>0</v>
      </c>
      <c r="AA49" s="191">
        <f t="shared" si="85"/>
        <v>0</v>
      </c>
      <c r="AB49" s="191">
        <f t="shared" si="85"/>
        <v>0</v>
      </c>
      <c r="AC49" s="191">
        <f t="shared" si="85"/>
        <v>0</v>
      </c>
      <c r="AD49" s="191">
        <f t="shared" si="85"/>
        <v>0</v>
      </c>
      <c r="AE49" s="191">
        <f t="shared" si="85"/>
        <v>0</v>
      </c>
      <c r="AF49" s="191">
        <f t="shared" si="85"/>
        <v>0</v>
      </c>
      <c r="AG49" s="191">
        <f t="shared" si="85"/>
        <v>0</v>
      </c>
      <c r="AH49" s="191">
        <f t="shared" si="85"/>
        <v>0</v>
      </c>
      <c r="AI49" s="191">
        <f t="shared" si="85"/>
        <v>0</v>
      </c>
      <c r="AJ49" s="191">
        <f t="shared" si="85"/>
        <v>0</v>
      </c>
      <c r="AK49" s="191">
        <f t="shared" si="85"/>
        <v>0</v>
      </c>
      <c r="AL49" s="191">
        <f t="shared" si="85"/>
        <v>0</v>
      </c>
      <c r="AM49" s="191">
        <f t="shared" si="85"/>
        <v>0</v>
      </c>
      <c r="AN49" s="191">
        <f t="shared" si="85"/>
        <v>0</v>
      </c>
      <c r="AO49" s="191">
        <f t="shared" si="85"/>
        <v>0</v>
      </c>
      <c r="AP49" s="191">
        <f t="shared" si="85"/>
        <v>0</v>
      </c>
      <c r="AQ49" s="191">
        <f t="shared" si="85"/>
        <v>0</v>
      </c>
      <c r="AR49" s="191">
        <f t="shared" si="85"/>
        <v>0</v>
      </c>
      <c r="AS49" s="191">
        <f t="shared" si="85"/>
        <v>0</v>
      </c>
      <c r="AT49" s="191">
        <f t="shared" si="85"/>
        <v>0</v>
      </c>
      <c r="AU49" s="191">
        <f t="shared" si="85"/>
        <v>0</v>
      </c>
      <c r="AV49" s="191">
        <f t="shared" si="85"/>
        <v>0</v>
      </c>
      <c r="AW49" s="191">
        <f t="shared" si="85"/>
        <v>0</v>
      </c>
      <c r="AX49" s="191">
        <f t="shared" si="85"/>
        <v>0</v>
      </c>
      <c r="AY49" s="191">
        <f t="shared" si="85"/>
        <v>0</v>
      </c>
      <c r="AZ49" s="191">
        <f t="shared" si="85"/>
        <v>0</v>
      </c>
      <c r="BA49" s="191">
        <f t="shared" si="85"/>
        <v>0</v>
      </c>
      <c r="BB49" s="191">
        <f t="shared" si="85"/>
        <v>-191703825.81999999</v>
      </c>
      <c r="BC49" s="191">
        <f t="shared" si="85"/>
        <v>0</v>
      </c>
      <c r="BD49" s="191">
        <f t="shared" si="85"/>
        <v>0</v>
      </c>
      <c r="BE49" s="191">
        <f t="shared" si="85"/>
        <v>0</v>
      </c>
      <c r="BF49" s="191">
        <f t="shared" si="85"/>
        <v>0</v>
      </c>
      <c r="BG49" s="191">
        <f t="shared" si="85"/>
        <v>0</v>
      </c>
      <c r="BH49" s="191">
        <f t="shared" si="85"/>
        <v>0</v>
      </c>
      <c r="BI49" s="191">
        <f t="shared" si="85"/>
        <v>0</v>
      </c>
      <c r="BJ49" s="191">
        <f t="shared" si="85"/>
        <v>0</v>
      </c>
      <c r="BK49" s="191">
        <f t="shared" si="85"/>
        <v>0</v>
      </c>
      <c r="BL49" s="191">
        <f t="shared" si="85"/>
        <v>0</v>
      </c>
      <c r="BM49" s="191">
        <f t="shared" si="85"/>
        <v>0</v>
      </c>
      <c r="BN49" s="191">
        <f t="shared" si="85"/>
        <v>0</v>
      </c>
      <c r="BO49" s="191">
        <f t="shared" si="85"/>
        <v>0</v>
      </c>
      <c r="BP49" s="191">
        <f t="shared" si="85"/>
        <v>-129000000</v>
      </c>
      <c r="BQ49" s="191">
        <f t="shared" si="85"/>
        <v>0</v>
      </c>
      <c r="BR49" s="191">
        <f t="shared" ref="BR49:BV49" si="86">BR44+BR48-BR45-BR46-BR47</f>
        <v>-45460000</v>
      </c>
      <c r="BS49" s="191">
        <f t="shared" si="86"/>
        <v>0</v>
      </c>
      <c r="BT49" s="191">
        <f t="shared" si="86"/>
        <v>0</v>
      </c>
      <c r="BU49" s="191">
        <f t="shared" si="86"/>
        <v>-70000000</v>
      </c>
      <c r="BV49" s="191">
        <f t="shared" si="86"/>
        <v>0</v>
      </c>
    </row>
    <row r="50" spans="1:74" s="26" customFormat="1"/>
    <row r="51" spans="1:74" s="16" customFormat="1" ht="120" customHeight="1">
      <c r="A51" s="277" t="s">
        <v>666</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E9" sqref="E9"/>
    </sheetView>
  </sheetViews>
  <sheetFormatPr defaultRowHeight="13.5"/>
  <cols>
    <col min="1" max="1" width="61.25" style="17" bestFit="1" customWidth="1"/>
    <col min="2" max="2" width="9.5" bestFit="1" customWidth="1"/>
    <col min="3" max="4" width="9.5" hidden="1" customWidth="1"/>
    <col min="5" max="5" width="21.625" hidden="1" customWidth="1"/>
    <col min="6" max="6" width="21.625" bestFit="1" customWidth="1"/>
    <col min="7" max="7" width="21.625" hidden="1" customWidth="1"/>
    <col min="8" max="9" width="20.5" hidden="1" customWidth="1"/>
    <col min="10" max="10" width="20.5" bestFit="1" customWidth="1"/>
    <col min="11" max="13" width="20.5" hidden="1" customWidth="1"/>
    <col min="14" max="14" width="20.5" bestFit="1" customWidth="1"/>
    <col min="15" max="17" width="20.5" hidden="1" customWidth="1"/>
    <col min="18" max="18" width="20.5" bestFit="1" customWidth="1"/>
    <col min="19" max="21" width="20.5" hidden="1" customWidth="1"/>
    <col min="22" max="22" width="20.5" bestFit="1" customWidth="1"/>
    <col min="23" max="25" width="20.5" hidden="1" customWidth="1"/>
    <col min="26" max="26" width="20.5" bestFit="1" customWidth="1"/>
    <col min="27" max="29" width="20.5" hidden="1" customWidth="1"/>
    <col min="30" max="30" width="20.5" bestFit="1" customWidth="1"/>
    <col min="31" max="33" width="20.5" hidden="1" customWidth="1"/>
    <col min="34" max="34" width="20.5" bestFit="1" customWidth="1"/>
    <col min="35" max="37" width="20.5" hidden="1" customWidth="1"/>
    <col min="38" max="38" width="20.5" bestFit="1" customWidth="1"/>
    <col min="39" max="41" width="20.5" hidden="1" customWidth="1"/>
    <col min="42" max="42" width="20.5" bestFit="1" customWidth="1"/>
    <col min="43" max="43" width="20.5" hidden="1" customWidth="1"/>
    <col min="44" max="45" width="19.375" hidden="1" customWidth="1"/>
    <col min="46" max="46" width="19.375" bestFit="1" customWidth="1"/>
    <col min="47" max="49" width="19.375" hidden="1" customWidth="1"/>
    <col min="50" max="50" width="19.375" bestFit="1" customWidth="1"/>
    <col min="51" max="53" width="19.375" hidden="1" customWidth="1"/>
    <col min="54" max="54" width="19.375" bestFit="1" customWidth="1"/>
    <col min="55" max="57" width="19.375" hidden="1" customWidth="1"/>
    <col min="58" max="58" width="19.375" bestFit="1" customWidth="1"/>
    <col min="59" max="61" width="19.375" hidden="1" customWidth="1"/>
    <col min="62" max="62" width="19.375" bestFit="1" customWidth="1"/>
    <col min="63" max="65" width="19.375" hidden="1" customWidth="1"/>
    <col min="66" max="66" width="19.375" bestFit="1" customWidth="1"/>
    <col min="67" max="67" width="19.375" hidden="1" customWidth="1"/>
    <col min="68" max="68" width="19.375" bestFit="1" customWidth="1"/>
    <col min="69" max="69" width="19.375" hidden="1" customWidth="1"/>
    <col min="70" max="70" width="19.375" bestFit="1" customWidth="1"/>
    <col min="71" max="72" width="17.25" hidden="1" customWidth="1"/>
    <col min="73" max="73" width="17.25" bestFit="1" customWidth="1"/>
    <col min="74" max="74" width="17.25" hidden="1" customWidth="1"/>
  </cols>
  <sheetData>
    <row r="1" spans="1:74">
      <c r="A1" s="17">
        <v>600519</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25569</v>
      </c>
      <c r="BT1" s="1">
        <v>36341</v>
      </c>
      <c r="BU1" s="1">
        <v>36160</v>
      </c>
      <c r="BV1" s="1">
        <v>25569</v>
      </c>
    </row>
    <row r="2" spans="1:74" s="48" customFormat="1">
      <c r="A2" s="46" t="s">
        <v>327</v>
      </c>
    </row>
    <row r="3" spans="1:74" s="26" customFormat="1">
      <c r="A3" s="17" t="s">
        <v>328</v>
      </c>
      <c r="B3" s="26">
        <f>平均资本成本表!E53</f>
        <v>0</v>
      </c>
      <c r="E3" s="26">
        <f>股权价值增加表!E53</f>
        <v>880974.99</v>
      </c>
      <c r="F3" s="26">
        <f>股权价值增加表!F53</f>
        <v>0</v>
      </c>
      <c r="G3" s="26">
        <f>股权价值增加表!G53</f>
        <v>0</v>
      </c>
      <c r="H3" s="26">
        <f>股权价值增加表!H53</f>
        <v>0</v>
      </c>
      <c r="I3" s="26">
        <f>股权价值增加表!I53</f>
        <v>37529578.909999996</v>
      </c>
      <c r="J3" s="26">
        <f>股权价值增加表!J53</f>
        <v>0</v>
      </c>
      <c r="K3" s="26">
        <f>股权价值增加表!K53</f>
        <v>0</v>
      </c>
      <c r="L3" s="26">
        <f>股权价值增加表!L53</f>
        <v>0</v>
      </c>
      <c r="M3" s="26">
        <f>股权价值增加表!M53</f>
        <v>41360986.93</v>
      </c>
      <c r="N3" s="26">
        <f>股权价值增加表!N53</f>
        <v>0</v>
      </c>
      <c r="O3" s="26">
        <f>股权价值增加表!O53</f>
        <v>0</v>
      </c>
      <c r="P3" s="26">
        <f>股权价值增加表!P53</f>
        <v>0</v>
      </c>
      <c r="Q3" s="26">
        <f>股权价值增加表!Q53</f>
        <v>10292572.550000001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132222.22</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329</v>
      </c>
      <c r="E4" s="26">
        <f>资产资本表!E89</f>
        <v>14307389.24</v>
      </c>
      <c r="F4" s="26">
        <f>资产资本表!F89</f>
        <v>23414593.670000002</v>
      </c>
      <c r="G4" s="26">
        <f>资产资本表!G89</f>
        <v>24740964.149999999</v>
      </c>
      <c r="H4" s="26">
        <f>资产资本表!H89</f>
        <v>39370998.079999998</v>
      </c>
      <c r="I4" s="26">
        <f>资产资本表!I89</f>
        <v>39606282.75</v>
      </c>
      <c r="J4" s="26">
        <f>资产资本表!J89</f>
        <v>34481635.329999998</v>
      </c>
      <c r="K4" s="26">
        <f>资产资本表!K89</f>
        <v>21599948.09</v>
      </c>
      <c r="L4" s="26">
        <f>资产资本表!L89</f>
        <v>46904631.719999999</v>
      </c>
      <c r="M4" s="26">
        <f>资产资本表!M89</f>
        <v>40428159.979999997</v>
      </c>
      <c r="N4" s="26">
        <f>资产资本表!N89</f>
        <v>27409447.399999999</v>
      </c>
      <c r="O4" s="26">
        <f>资产资本表!O89</f>
        <v>15831375.970000001</v>
      </c>
      <c r="P4" s="26">
        <f>资产资本表!P89</f>
        <v>33124441.800000001</v>
      </c>
      <c r="Q4" s="26">
        <f>资产资本表!Q89</f>
        <v>23734467.609999999</v>
      </c>
      <c r="R4" s="26">
        <f>资产资本表!R89</f>
        <v>77917681.909999996</v>
      </c>
      <c r="S4" s="26">
        <f>资产资本表!S89</f>
        <v>7473820.4900000002</v>
      </c>
      <c r="T4" s="26">
        <f>资产资本表!T89</f>
        <v>33684820.810000002</v>
      </c>
      <c r="U4" s="26">
        <f>资产资本表!U89</f>
        <v>24308411.109999999</v>
      </c>
      <c r="V4" s="26">
        <f>资产资本表!V89</f>
        <v>27383888.890000001</v>
      </c>
      <c r="W4" s="26">
        <f>资产资本表!W89</f>
        <v>13514111.109999999</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300000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109000000</v>
      </c>
      <c r="BT4" s="26">
        <f>资产资本表!BT89</f>
        <v>129000000</v>
      </c>
      <c r="BU4" s="26">
        <f>资产资本表!BU89</f>
        <v>174460000</v>
      </c>
      <c r="BV4" s="26">
        <f>资产资本表!BV89</f>
        <v>207360000</v>
      </c>
    </row>
    <row r="5" spans="1:74" s="63" customFormat="1">
      <c r="A5" s="63" t="s">
        <v>333</v>
      </c>
      <c r="E5" s="63">
        <f>IF(E4+I4=0,0,E3/((E4+I4)/2))</f>
        <v>3.268094928364014E-2</v>
      </c>
      <c r="F5" s="63">
        <f t="shared" ref="F5:BQ5" si="0">IF(F4+J4=0,0,F3/((F4+J4)/2))</f>
        <v>0</v>
      </c>
      <c r="G5" s="63">
        <f t="shared" si="0"/>
        <v>0</v>
      </c>
      <c r="H5" s="63">
        <f t="shared" si="0"/>
        <v>0</v>
      </c>
      <c r="I5" s="63">
        <f t="shared" si="0"/>
        <v>0.93783570247644055</v>
      </c>
      <c r="J5" s="63">
        <f t="shared" si="0"/>
        <v>0</v>
      </c>
      <c r="K5" s="63">
        <f t="shared" si="0"/>
        <v>0</v>
      </c>
      <c r="L5" s="63">
        <f t="shared" si="0"/>
        <v>0</v>
      </c>
      <c r="M5" s="63">
        <f t="shared" si="0"/>
        <v>1.2892547728655139</v>
      </c>
      <c r="N5" s="63">
        <f t="shared" si="0"/>
        <v>0</v>
      </c>
      <c r="O5" s="63">
        <f t="shared" si="0"/>
        <v>0</v>
      </c>
      <c r="P5" s="63">
        <f t="shared" si="0"/>
        <v>0</v>
      </c>
      <c r="Q5" s="63">
        <f t="shared" si="0"/>
        <v>0.42847443051805539</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c r="A6" s="63" t="s">
        <v>346</v>
      </c>
      <c r="E6" s="63">
        <f>股权价值增加表!E41</f>
        <v>0.27005943484647654</v>
      </c>
      <c r="F6" s="63">
        <f>股权价值增加表!F41</f>
        <v>0.27012195660987987</v>
      </c>
      <c r="G6" s="63">
        <f>股权价值增加表!G41</f>
        <v>0.26842466218472749</v>
      </c>
      <c r="H6" s="63">
        <f>股权价值增加表!H41</f>
        <v>0.27195265433953092</v>
      </c>
      <c r="I6" s="63">
        <f>股权价值增加表!I41</f>
        <v>0.27009285673454037</v>
      </c>
      <c r="J6" s="63">
        <f>股权价值增加表!J41</f>
        <v>0.26447068578200839</v>
      </c>
      <c r="K6" s="63">
        <f>股权价值增加表!K41</f>
        <v>0.27325120557859628</v>
      </c>
      <c r="L6" s="63">
        <f>股权价值增加表!L41</f>
        <v>0.27636836454168473</v>
      </c>
      <c r="M6" s="63">
        <f>股权价值增加表!M41</f>
        <v>0.28601994096837835</v>
      </c>
      <c r="N6" s="63">
        <f>股权价值增加表!N41</f>
        <v>0.26070004226331162</v>
      </c>
      <c r="O6" s="63">
        <f>股权价值增加表!O41</f>
        <v>0.2584616934710926</v>
      </c>
      <c r="P6" s="63">
        <f>股权价值增加表!P41</f>
        <v>0.25891842499913231</v>
      </c>
      <c r="Q6" s="63">
        <f>股权价值增加表!Q41</f>
        <v>0.26276722721790552</v>
      </c>
      <c r="R6" s="63">
        <f>股权价值增加表!R41</f>
        <v>0.26354782384446324</v>
      </c>
      <c r="S6" s="63">
        <f>股权价值增加表!S41</f>
        <v>0.25754979486674218</v>
      </c>
      <c r="T6" s="63">
        <f>股权价值增加表!T41</f>
        <v>0.2569430847288533</v>
      </c>
      <c r="U6" s="63">
        <f>股权价值增加表!U41</f>
        <v>0.26168113354566025</v>
      </c>
      <c r="V6" s="63">
        <f>股权价值增加表!V41</f>
        <v>0.25645755433829942</v>
      </c>
      <c r="W6" s="63">
        <f>股权价值增加表!W41</f>
        <v>0.25648098221904508</v>
      </c>
      <c r="X6" s="63">
        <f>股权价值增加表!X41</f>
        <v>0.2475780198818984</v>
      </c>
      <c r="Y6" s="63">
        <f>股权价值增加表!Y41</f>
        <v>0.26274185924887872</v>
      </c>
      <c r="Z6" s="63">
        <f>股权价值增加表!Z41</f>
        <v>0.25090463668468471</v>
      </c>
      <c r="AA6" s="63">
        <f>股权价值增加表!AA41</f>
        <v>0.2500660062639079</v>
      </c>
      <c r="AB6" s="63">
        <f>股权价值增加表!AB41</f>
        <v>0.25012169137886026</v>
      </c>
      <c r="AC6" s="63">
        <f>股权价值增加表!AC41</f>
        <v>0.25049665116398201</v>
      </c>
      <c r="AD6" s="63">
        <f>股权价值增加表!AD41</f>
        <v>0.2500544439574503</v>
      </c>
      <c r="AE6" s="63">
        <f>股权价值增加表!AE41</f>
        <v>0.25311991022275282</v>
      </c>
      <c r="AF6" s="63">
        <f>股权价值增加表!AF41</f>
        <v>0.24988442210872872</v>
      </c>
      <c r="AG6" s="63">
        <f>股权价值增加表!AG41</f>
        <v>0.24975855918900405</v>
      </c>
      <c r="AH6" s="63">
        <f>股权价值增加表!AH41</f>
        <v>0.25447489342767821</v>
      </c>
      <c r="AI6" s="63">
        <f>股权价值增加表!AI41</f>
        <v>0.25182058693039916</v>
      </c>
      <c r="AJ6" s="63">
        <f>股权价值增加表!AJ41</f>
        <v>0.25195878916323433</v>
      </c>
      <c r="AK6" s="63">
        <f>股权价值增加表!AK41</f>
        <v>0.25011306763887708</v>
      </c>
      <c r="AL6" s="63">
        <f>股权价值增加表!AL41</f>
        <v>0.25123606943175986</v>
      </c>
      <c r="AM6" s="63">
        <f>股权价值增加表!AM41</f>
        <v>0.24985477491233496</v>
      </c>
      <c r="AN6" s="63">
        <f>股权价值增加表!AN41</f>
        <v>0.25012983582665527</v>
      </c>
      <c r="AO6" s="63">
        <f>股权价值增加表!AO41</f>
        <v>0.24996586739042509</v>
      </c>
      <c r="AP6" s="63">
        <f>股权价值增加表!AP41</f>
        <v>0.25709637921404088</v>
      </c>
      <c r="AQ6" s="63">
        <f>股权价值增加表!AQ41</f>
        <v>0.24970921366505683</v>
      </c>
      <c r="AR6" s="63">
        <f>股权价值增加表!AR41</f>
        <v>0.24990558516436456</v>
      </c>
      <c r="AS6" s="63">
        <f>股权价值增加表!AS41</f>
        <v>0.24989332923575591</v>
      </c>
      <c r="AT6" s="63">
        <f>股权价值增加表!AT41</f>
        <v>0.34408754960414539</v>
      </c>
      <c r="AU6" s="63">
        <f>股权价值增加表!AU41</f>
        <v>0.33445341676662876</v>
      </c>
      <c r="AV6" s="63">
        <f>股权价值增加表!AV41</f>
        <v>0.34319720586610747</v>
      </c>
      <c r="AW6" s="63">
        <f>股权价值增加表!AW41</f>
        <v>0.35774308387671933</v>
      </c>
      <c r="AX6" s="63">
        <f>股权价值增加表!AX41</f>
        <v>0.36740844790858573</v>
      </c>
      <c r="AY6" s="63">
        <f>股权价值增加表!AY41</f>
        <v>0.36585176937088781</v>
      </c>
      <c r="AZ6" s="63">
        <f>股权价值增加表!AZ41</f>
        <v>0.34772903410157363</v>
      </c>
      <c r="BA6" s="63">
        <f>股权价值增加表!BA41</f>
        <v>0.30327802402172394</v>
      </c>
      <c r="BB6" s="63">
        <f>股权价值增加表!BB41</f>
        <v>0.39117032365857002</v>
      </c>
      <c r="BC6" s="63">
        <f>股权价值增加表!BC41</f>
        <v>0.36163662255362922</v>
      </c>
      <c r="BD6" s="63">
        <f>股权价值增加表!BD41</f>
        <v>0.33576402618666223</v>
      </c>
      <c r="BE6" s="63">
        <f>股权价值增加表!BE41</f>
        <v>0.31132739665602677</v>
      </c>
      <c r="BF6" s="63">
        <f>股权价值增加表!BF41</f>
        <v>0.42698925270265475</v>
      </c>
      <c r="BG6" s="63">
        <f>股权价值增加表!BG41</f>
        <v>0.38569251683415934</v>
      </c>
      <c r="BH6" s="63">
        <f>股权价值增加表!BH41</f>
        <v>0.36098947524892333</v>
      </c>
      <c r="BI6" s="63">
        <f>股权价值增加表!BI41</f>
        <v>0.32365170120879005</v>
      </c>
      <c r="BJ6" s="63">
        <f>股权价值增加表!BJ41</f>
        <v>0.3777548579993012</v>
      </c>
      <c r="BK6" s="63">
        <f>股权价值增加表!BK41</f>
        <v>0.38133975423386446</v>
      </c>
      <c r="BL6" s="63">
        <f>股权价值增加表!BL41</f>
        <v>0.36324726933368362</v>
      </c>
      <c r="BM6" s="63">
        <f>股权价值增加表!BM41</f>
        <v>0.3420065120058261</v>
      </c>
      <c r="BN6" s="63">
        <f>股权价值增加表!BN41</f>
        <v>0.39748630107203714</v>
      </c>
      <c r="BO6" s="63">
        <f>股权价值增加表!BO41</f>
        <v>0.39606301251284176</v>
      </c>
      <c r="BP6" s="63">
        <f>股权价值增加表!BP41</f>
        <v>0.38772317734543194</v>
      </c>
      <c r="BQ6" s="63">
        <f>股权价值增加表!BQ41</f>
        <v>0.36831802662574331</v>
      </c>
      <c r="BR6" s="63">
        <f>股权价值增加表!BR41</f>
        <v>0.43711037137826497</v>
      </c>
      <c r="BS6" s="63">
        <f>股权价值增加表!BS41</f>
        <v>0.38417695546277741</v>
      </c>
      <c r="BT6" s="63">
        <f>股权价值增加表!BT41</f>
        <v>0.42521931437011395</v>
      </c>
      <c r="BU6" s="63">
        <f>股权价值增加表!BU41</f>
        <v>0.39042253233306584</v>
      </c>
    </row>
    <row r="7" spans="1:74" s="63" customFormat="1">
      <c r="A7" s="63" t="s">
        <v>330</v>
      </c>
      <c r="E7" s="63">
        <f>E5*(1-E6)</f>
        <v>2.3855150589853921E-2</v>
      </c>
      <c r="F7" s="63">
        <f t="shared" ref="F7:BQ7" si="2">F5*(1-F6)</f>
        <v>0</v>
      </c>
      <c r="G7" s="63">
        <f t="shared" si="2"/>
        <v>0</v>
      </c>
      <c r="H7" s="63">
        <f t="shared" si="2"/>
        <v>0</v>
      </c>
      <c r="I7" s="63">
        <f t="shared" si="2"/>
        <v>0.68453297844693417</v>
      </c>
      <c r="J7" s="63">
        <f t="shared" si="2"/>
        <v>0</v>
      </c>
      <c r="K7" s="63">
        <f t="shared" si="2"/>
        <v>0</v>
      </c>
      <c r="L7" s="63">
        <f t="shared" si="2"/>
        <v>0</v>
      </c>
      <c r="M7" s="63">
        <f t="shared" si="2"/>
        <v>0.92050219883731965</v>
      </c>
      <c r="N7" s="63">
        <f t="shared" si="2"/>
        <v>0</v>
      </c>
      <c r="O7" s="63">
        <f t="shared" si="2"/>
        <v>0</v>
      </c>
      <c r="P7" s="63">
        <f t="shared" si="2"/>
        <v>0</v>
      </c>
      <c r="Q7" s="63">
        <f t="shared" si="2"/>
        <v>0.31588539247705483</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c r="A8" s="17" t="s">
        <v>331</v>
      </c>
      <c r="E8" s="26">
        <f>资产资本表!E107</f>
        <v>105149681155.38</v>
      </c>
      <c r="F8" s="26">
        <f>资产资本表!F107</f>
        <v>96019627475.080002</v>
      </c>
      <c r="G8" s="26">
        <f>资产资本表!G107</f>
        <v>88380845274.130005</v>
      </c>
      <c r="H8" s="26">
        <f>资产资本表!H107</f>
        <v>79063250670.459991</v>
      </c>
      <c r="I8" s="26">
        <f>资产资本表!I107</f>
        <v>82453887315.580002</v>
      </c>
      <c r="J8" s="26">
        <f>资产资本表!J107</f>
        <v>75898542854.720001</v>
      </c>
      <c r="K8" s="26">
        <f>资产资本表!K107</f>
        <v>71283503461.069992</v>
      </c>
      <c r="L8" s="26">
        <f>资产资本表!L107</f>
        <v>67353161683.379997</v>
      </c>
      <c r="M8" s="26">
        <f>资产资本表!M107</f>
        <v>70941258989.619995</v>
      </c>
      <c r="N8" s="26">
        <f>资产资本表!N107</f>
        <v>66234170421.290001</v>
      </c>
      <c r="O8" s="26">
        <f>资产资本表!O107</f>
        <v>61918842558.079994</v>
      </c>
      <c r="P8" s="26">
        <f>资产资本表!P107</f>
        <v>63661782189.540001</v>
      </c>
      <c r="Q8" s="26">
        <f>资产资本表!Q107</f>
        <v>59930148126.959999</v>
      </c>
      <c r="R8" s="26">
        <f>资产资本表!R107</f>
        <v>55311550841.119995</v>
      </c>
      <c r="S8" s="26">
        <f>资产资本表!S107</f>
        <v>50341328571.509995</v>
      </c>
      <c r="T8" s="26">
        <f>资产资本表!T107</f>
        <v>46624176881.220001</v>
      </c>
      <c r="U8" s="26">
        <f>资产资本表!U107</f>
        <v>47453571644.629997</v>
      </c>
      <c r="V8" s="26">
        <f>资产资本表!V107</f>
        <v>44129092273.259995</v>
      </c>
      <c r="W8" s="26">
        <f>资产资本表!W107</f>
        <v>39820367702.190002</v>
      </c>
      <c r="X8" s="26">
        <f>资产资本表!X107</f>
        <v>35779107183.520004</v>
      </c>
      <c r="Y8" s="26">
        <f>资产资本表!Y107</f>
        <v>38595633055.419998</v>
      </c>
      <c r="Z8" s="26">
        <f>资产资本表!Z107</f>
        <v>35454036397.25</v>
      </c>
      <c r="AA8" s="26">
        <f>资产资本表!AA107</f>
        <v>31991565468.779999</v>
      </c>
      <c r="AB8" s="26">
        <f>资产资本表!AB107</f>
        <v>28404775233.629997</v>
      </c>
      <c r="AC8" s="26">
        <f>资产资本表!AC107</f>
        <v>28530620402.029999</v>
      </c>
      <c r="AD8" s="26">
        <f>资产资本表!AD107</f>
        <v>25403379611.289997</v>
      </c>
      <c r="AE8" s="26">
        <f>资产资本表!AE107</f>
        <v>23083770116.279999</v>
      </c>
      <c r="AF8" s="26">
        <f>资产资本表!AF107</f>
        <v>21544955887.150002</v>
      </c>
      <c r="AG8" s="26">
        <f>资产资本表!AG107</f>
        <v>20540681024.259998</v>
      </c>
      <c r="AH8" s="26">
        <f>资产资本表!AH107</f>
        <v>18549389694.619999</v>
      </c>
      <c r="AI8" s="26">
        <f>资产资本表!AI107</f>
        <v>17721770193.439999</v>
      </c>
      <c r="AJ8" s="26">
        <f>资产资本表!AJ107</f>
        <v>16737213296.220001</v>
      </c>
      <c r="AK8" s="26">
        <f>资产资本表!AK107</f>
        <v>15995948192.019999</v>
      </c>
      <c r="AL8" s="26">
        <f>资产资本表!AL107</f>
        <v>14651565394.209999</v>
      </c>
      <c r="AM8" s="26">
        <f>资产资本表!AM107</f>
        <v>14215679731.030001</v>
      </c>
      <c r="AN8" s="26">
        <f>资产资本表!AN107</f>
        <v>13166976369.08</v>
      </c>
      <c r="AO8" s="26">
        <f>资产资本表!AO107</f>
        <v>12608007479.039999</v>
      </c>
      <c r="AP8" s="26">
        <f>资产资本表!AP107</f>
        <v>11503418295.949999</v>
      </c>
      <c r="AQ8" s="26">
        <f>资产资本表!AQ107</f>
        <v>10807004733.84</v>
      </c>
      <c r="AR8" s="26">
        <f>资产资本表!AR107</f>
        <v>9854634976.4699993</v>
      </c>
      <c r="AS8" s="26">
        <f>资产资本表!AS107</f>
        <v>9285941265.0299988</v>
      </c>
      <c r="AT8" s="26">
        <f>资产资本表!AT107</f>
        <v>8368855770.4400005</v>
      </c>
      <c r="AU8" s="26">
        <f>资产资本表!AU107</f>
        <v>6952899324.3299999</v>
      </c>
      <c r="AV8" s="26">
        <f>资产资本表!AV107</f>
        <v>6219411895.4899998</v>
      </c>
      <c r="AW8" s="26">
        <f>资产资本表!AW107</f>
        <v>5888376793.5900002</v>
      </c>
      <c r="AX8" s="26">
        <f>资产资本表!AX107</f>
        <v>5995028649.4300003</v>
      </c>
      <c r="AY8" s="26">
        <f>资产资本表!AY107</f>
        <v>5415044428.1099997</v>
      </c>
      <c r="AZ8" s="26">
        <f>资产资本表!AZ107</f>
        <v>5058474356.1400003</v>
      </c>
      <c r="BA8" s="26">
        <f>资产资本表!BA107</f>
        <v>5588295571.7399998</v>
      </c>
      <c r="BB8" s="26">
        <f>资产资本表!BB107</f>
        <v>5162395081.5200005</v>
      </c>
      <c r="BC8" s="26">
        <f>资产资本表!BC107</f>
        <v>4765503347.0299997</v>
      </c>
      <c r="BD8" s="26">
        <f>资产资本表!BD107</f>
        <v>4691837330.75</v>
      </c>
      <c r="BE8" s="26">
        <f>资产资本表!BE107</f>
        <v>4600649163.9900007</v>
      </c>
      <c r="BF8" s="26">
        <f>资产资本表!BF107</f>
        <v>4216707746.73</v>
      </c>
      <c r="BG8" s="26">
        <f>资产资本表!BG107</f>
        <v>3900474366.1300001</v>
      </c>
      <c r="BH8" s="26">
        <f>资产资本表!BH107</f>
        <v>3817145295.6799998</v>
      </c>
      <c r="BI8" s="26">
        <f>资产资本表!BI107</f>
        <v>3727794494.04</v>
      </c>
      <c r="BJ8" s="26">
        <f>资产资本表!BJ107</f>
        <v>3470524090.9299998</v>
      </c>
      <c r="BK8" s="26">
        <f>资产资本表!BK107</f>
        <v>3231516625.3400002</v>
      </c>
      <c r="BL8" s="26">
        <f>资产资本表!BL107</f>
        <v>3124773172.54</v>
      </c>
      <c r="BM8" s="26">
        <f>资产资本表!BM107</f>
        <v>3100472676.3099999</v>
      </c>
      <c r="BN8" s="26">
        <f>资产资本表!BN107</f>
        <v>2874733972.6900001</v>
      </c>
      <c r="BO8" s="26">
        <f>资产资本表!BO107</f>
        <v>2857804350.4700003</v>
      </c>
      <c r="BP8" s="26">
        <f>资产资本表!BP107</f>
        <v>2784052740.7799997</v>
      </c>
      <c r="BQ8" s="26">
        <f>资产资本表!BQ107</f>
        <v>2751462376.5999999</v>
      </c>
      <c r="BR8" s="26">
        <f>资产资本表!BR107</f>
        <v>2537631703.8100004</v>
      </c>
      <c r="BS8" s="26">
        <f>资产资本表!BS107</f>
        <v>561545403.24000001</v>
      </c>
      <c r="BT8" s="26">
        <f>资产资本表!BT107</f>
        <v>443779623.04000002</v>
      </c>
      <c r="BU8" s="26">
        <f>资产资本表!BU107</f>
        <v>285361855.23000002</v>
      </c>
    </row>
    <row r="9" spans="1:74" s="63" customFormat="1">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股东权益回报率分析表!BV14</f>
        <v>0.62308330792074496</v>
      </c>
    </row>
    <row r="10" spans="1:74" s="26" customFormat="1">
      <c r="A10" s="17" t="s">
        <v>332</v>
      </c>
      <c r="E10" s="26">
        <f>资产资本表!E70</f>
        <v>113719127962.05</v>
      </c>
      <c r="F10" s="26">
        <f>资产资本表!F70</f>
        <v>106505655822.89</v>
      </c>
      <c r="G10" s="26">
        <f>资产资本表!G70</f>
        <v>100304234156.42999</v>
      </c>
      <c r="H10" s="26">
        <f>资产资本表!H70</f>
        <v>96420957735.519989</v>
      </c>
      <c r="I10" s="26">
        <f>资产资本表!I70</f>
        <v>93038921689.440018</v>
      </c>
      <c r="J10" s="26">
        <f>资产资本表!J70</f>
        <v>86321842822.179993</v>
      </c>
      <c r="K10" s="26">
        <f>资产资本表!K70</f>
        <v>83786221873.680008</v>
      </c>
      <c r="L10" s="26">
        <f>资产资本表!L70</f>
        <v>80057188116.410004</v>
      </c>
      <c r="M10" s="26">
        <f>资产资本表!M70</f>
        <v>77540333161.610001</v>
      </c>
      <c r="N10" s="26">
        <f>资产资本表!N70</f>
        <v>72229202167.820007</v>
      </c>
      <c r="O10" s="26">
        <f>资产资本表!O70</f>
        <v>68301112590.480003</v>
      </c>
      <c r="P10" s="26">
        <f>资产资本表!P70</f>
        <v>66743865893.57</v>
      </c>
      <c r="Q10" s="26">
        <f>资产资本表!Q70</f>
        <v>62788380577.899994</v>
      </c>
      <c r="R10" s="26">
        <f>资产资本表!R70</f>
        <v>59345919232.220001</v>
      </c>
      <c r="S10" s="26">
        <f>资产资本表!S70</f>
        <v>54427056884.389999</v>
      </c>
      <c r="T10" s="26">
        <f>资产资本表!T70</f>
        <v>50807882716.389999</v>
      </c>
      <c r="U10" s="26">
        <f>资产资本表!U70</f>
        <v>50513113858.5</v>
      </c>
      <c r="V10" s="26">
        <f>资产资本表!V70</f>
        <v>46929665261.690002</v>
      </c>
      <c r="W10" s="26">
        <f>资产资本表!W70</f>
        <v>43046712748.440002</v>
      </c>
      <c r="X10" s="26">
        <f>资产资本表!X70</f>
        <v>39430754998.509995</v>
      </c>
      <c r="Y10" s="26">
        <f>资产资本表!Y70</f>
        <v>39225149640.240005</v>
      </c>
      <c r="Z10" s="26">
        <f>资产资本表!Z70</f>
        <v>35454036397.25</v>
      </c>
      <c r="AA10" s="26">
        <f>资产资本表!AA70</f>
        <v>32187253924.760002</v>
      </c>
      <c r="AB10" s="26">
        <f>资产资本表!AB70</f>
        <v>32638540497.200001</v>
      </c>
      <c r="AC10" s="26">
        <f>资产资本表!AC70</f>
        <v>28532870402.029999</v>
      </c>
      <c r="AD10" s="26">
        <f>资产资本表!AD70</f>
        <v>25403379611.290001</v>
      </c>
      <c r="AE10" s="26">
        <f>资产资本表!AE70</f>
        <v>23309364007.230003</v>
      </c>
      <c r="AF10" s="26">
        <f>资产资本表!AF70</f>
        <v>23814033405.110001</v>
      </c>
      <c r="AG10" s="26">
        <f>资产资本表!AG70</f>
        <v>20859265220.550003</v>
      </c>
      <c r="AH10" s="26">
        <f>资产资本表!AH70</f>
        <v>18867973890.910004</v>
      </c>
      <c r="AI10" s="26">
        <f>资产资本表!AI70</f>
        <v>17942016871.77</v>
      </c>
      <c r="AJ10" s="26">
        <f>资产资本表!AJ70</f>
        <v>17923877994.279999</v>
      </c>
      <c r="AK10" s="26">
        <f>资产资本表!AK70</f>
        <v>15995948192.019999</v>
      </c>
      <c r="AL10" s="26">
        <f>资产资本表!AL70</f>
        <v>14788773056.830002</v>
      </c>
      <c r="AM10" s="26">
        <f>资产资本表!AM70</f>
        <v>14215679731.029999</v>
      </c>
      <c r="AN10" s="26">
        <f>资产资本表!AN70</f>
        <v>14225618797.950001</v>
      </c>
      <c r="AO10" s="26">
        <f>资产资本表!AO70</f>
        <v>12780458863.77</v>
      </c>
      <c r="AP10" s="26">
        <f>资产资本表!AP70</f>
        <v>11503418295.949999</v>
      </c>
      <c r="AQ10" s="26">
        <f>资产资本表!AQ70</f>
        <v>10922391711.51</v>
      </c>
      <c r="AR10" s="26">
        <f>资产资本表!AR70</f>
        <v>9972821285.0900002</v>
      </c>
      <c r="AS10" s="26">
        <f>资产资本表!AS70</f>
        <v>9327748223.0699997</v>
      </c>
      <c r="AT10" s="26">
        <f>资产资本表!AT70</f>
        <v>8410662728.4800005</v>
      </c>
      <c r="AU10" s="26">
        <f>资产资本表!AU70</f>
        <v>6994706282.3699999</v>
      </c>
      <c r="AV10" s="26">
        <f>资产资本表!AV70</f>
        <v>6942283668.4399996</v>
      </c>
      <c r="AW10" s="26">
        <f>资产资本表!AW70</f>
        <v>6611065299.210001</v>
      </c>
      <c r="AX10" s="26">
        <f>资产资本表!AX70</f>
        <v>6003989385.0299997</v>
      </c>
      <c r="AY10" s="26">
        <f>资产资本表!AY70</f>
        <v>5472067233.3999996</v>
      </c>
      <c r="AZ10" s="26">
        <f>资产资本表!AZ70</f>
        <v>5060632616.039999</v>
      </c>
      <c r="BA10" s="26">
        <f>资产资本表!BA70</f>
        <v>5674270668.8800001</v>
      </c>
      <c r="BB10" s="26">
        <f>资产资本表!BB70</f>
        <v>5209296403.71</v>
      </c>
      <c r="BC10" s="26">
        <f>资产资本表!BC70</f>
        <v>4815192644.5100002</v>
      </c>
      <c r="BD10" s="26">
        <f>资产资本表!BD70</f>
        <v>4730662106.0300007</v>
      </c>
      <c r="BE10" s="26">
        <f>资产资本表!BE70</f>
        <v>4669283111.6100006</v>
      </c>
      <c r="BF10" s="26">
        <f>资产资本表!BF70</f>
        <v>4249197059.9699998</v>
      </c>
      <c r="BG10" s="26">
        <f>资产资本表!BG70</f>
        <v>4028965574.3800001</v>
      </c>
      <c r="BH10" s="26">
        <f>资产资本表!BH70</f>
        <v>3889604003.73</v>
      </c>
      <c r="BI10" s="26">
        <f>资产资本表!BI70</f>
        <v>3808412072.9599991</v>
      </c>
      <c r="BJ10" s="26">
        <f>资产资本表!BJ70</f>
        <v>3485998413.9099998</v>
      </c>
      <c r="BK10" s="26">
        <f>资产资本表!BK70</f>
        <v>3301456325.0599999</v>
      </c>
      <c r="BL10" s="26">
        <f>资产资本表!BL70</f>
        <v>3197373661.6199999</v>
      </c>
      <c r="BM10" s="26">
        <f>资产资本表!BM70</f>
        <v>3170177508.0599999</v>
      </c>
      <c r="BN10" s="26">
        <f>资产资本表!BN70</f>
        <v>2940818296.5799999</v>
      </c>
      <c r="BO10" s="26">
        <f>资产资本表!BO70</f>
        <v>3005997323.8400002</v>
      </c>
      <c r="BP10" s="26">
        <f>资产资本表!BP70</f>
        <v>2956017232.4400001</v>
      </c>
      <c r="BQ10" s="26">
        <f>资产资本表!BQ70</f>
        <v>2927390204.21</v>
      </c>
      <c r="BR10" s="26">
        <f>资产资本表!BR70</f>
        <v>2680638605.27</v>
      </c>
      <c r="BS10" s="26">
        <f>资产资本表!BS70</f>
        <v>837537565.01999998</v>
      </c>
      <c r="BT10" s="26">
        <f>资产资本表!BT70</f>
        <v>556380029.31999993</v>
      </c>
      <c r="BU10" s="26">
        <f>资产资本表!BU70</f>
        <v>457127839.95000005</v>
      </c>
    </row>
    <row r="11" spans="1:74" s="63" customFormat="1">
      <c r="A11" s="17" t="s">
        <v>347</v>
      </c>
      <c r="E11" s="63">
        <f>E4/E10</f>
        <v>1.2581339213904821E-4</v>
      </c>
      <c r="F11" s="63">
        <f t="shared" ref="F11:BQ11" si="3">F4/F10</f>
        <v>2.198436645368065E-4</v>
      </c>
      <c r="G11" s="63">
        <f t="shared" si="3"/>
        <v>2.4665921990307105E-4</v>
      </c>
      <c r="H11" s="63">
        <f t="shared" si="3"/>
        <v>4.083240719096937E-4</v>
      </c>
      <c r="I11" s="63">
        <f t="shared" si="3"/>
        <v>4.2569584890723576E-4</v>
      </c>
      <c r="J11" s="63">
        <f t="shared" si="3"/>
        <v>3.9945434669450897E-4</v>
      </c>
      <c r="K11" s="63">
        <f t="shared" si="3"/>
        <v>2.5779833016656466E-4</v>
      </c>
      <c r="L11" s="63">
        <f t="shared" si="3"/>
        <v>5.8588907284373574E-4</v>
      </c>
      <c r="M11" s="63">
        <f t="shared" si="3"/>
        <v>5.2138233525176366E-4</v>
      </c>
      <c r="N11" s="63">
        <f t="shared" si="3"/>
        <v>3.7947875066259034E-4</v>
      </c>
      <c r="O11" s="63">
        <f t="shared" si="3"/>
        <v>2.3178796610418058E-4</v>
      </c>
      <c r="P11" s="63">
        <f t="shared" si="3"/>
        <v>4.962919267041012E-4</v>
      </c>
      <c r="Q11" s="63">
        <f t="shared" si="3"/>
        <v>3.7800732223939476E-4</v>
      </c>
      <c r="R11" s="63">
        <f t="shared" si="3"/>
        <v>1.312940854536415E-3</v>
      </c>
      <c r="S11" s="63">
        <f t="shared" si="3"/>
        <v>1.3731810826874853E-4</v>
      </c>
      <c r="T11" s="63">
        <f t="shared" si="3"/>
        <v>6.6298414751956767E-4</v>
      </c>
      <c r="U11" s="63">
        <f t="shared" si="3"/>
        <v>4.8122970953827959E-4</v>
      </c>
      <c r="V11" s="63">
        <f t="shared" si="3"/>
        <v>5.8350914581004336E-4</v>
      </c>
      <c r="W11" s="63">
        <f t="shared" si="3"/>
        <v>3.1394060654468315E-4</v>
      </c>
      <c r="X11" s="63">
        <f t="shared" si="3"/>
        <v>0</v>
      </c>
      <c r="Y11" s="63">
        <f t="shared" si="3"/>
        <v>0</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0</v>
      </c>
      <c r="AP11" s="63">
        <f t="shared" si="3"/>
        <v>0</v>
      </c>
      <c r="AQ11" s="63">
        <f t="shared" si="3"/>
        <v>0</v>
      </c>
      <c r="AR11" s="63">
        <f t="shared" si="3"/>
        <v>0</v>
      </c>
      <c r="AS11" s="63">
        <f t="shared" si="3"/>
        <v>0</v>
      </c>
      <c r="AT11" s="63">
        <f t="shared" si="3"/>
        <v>0</v>
      </c>
      <c r="AU11" s="63">
        <f t="shared" si="3"/>
        <v>0</v>
      </c>
      <c r="AV11" s="63">
        <f t="shared" si="3"/>
        <v>0</v>
      </c>
      <c r="AW11" s="63">
        <f t="shared" si="3"/>
        <v>0</v>
      </c>
      <c r="AX11" s="63">
        <f t="shared" si="3"/>
        <v>0</v>
      </c>
      <c r="AY11" s="63">
        <f t="shared" si="3"/>
        <v>0</v>
      </c>
      <c r="AZ11" s="63">
        <f t="shared" si="3"/>
        <v>0</v>
      </c>
      <c r="BA11" s="63">
        <f t="shared" si="3"/>
        <v>0</v>
      </c>
      <c r="BB11" s="63">
        <f t="shared" si="3"/>
        <v>0</v>
      </c>
      <c r="BC11" s="63">
        <f t="shared" si="3"/>
        <v>0</v>
      </c>
      <c r="BD11" s="63">
        <f t="shared" si="3"/>
        <v>0</v>
      </c>
      <c r="BE11" s="63">
        <f t="shared" si="3"/>
        <v>0</v>
      </c>
      <c r="BF11" s="63">
        <f t="shared" si="3"/>
        <v>7.060157384231035E-5</v>
      </c>
      <c r="BG11" s="63">
        <f t="shared" si="3"/>
        <v>0</v>
      </c>
      <c r="BH11" s="63">
        <f t="shared" si="3"/>
        <v>0</v>
      </c>
      <c r="BI11" s="63">
        <f t="shared" si="3"/>
        <v>0</v>
      </c>
      <c r="BJ11" s="63">
        <f t="shared" si="3"/>
        <v>0</v>
      </c>
      <c r="BK11" s="63">
        <f t="shared" si="3"/>
        <v>0</v>
      </c>
      <c r="BL11" s="63">
        <f t="shared" si="3"/>
        <v>0</v>
      </c>
      <c r="BM11" s="63">
        <f t="shared" si="3"/>
        <v>0</v>
      </c>
      <c r="BN11" s="63">
        <f t="shared" si="3"/>
        <v>0</v>
      </c>
      <c r="BO11" s="63">
        <f t="shared" si="3"/>
        <v>0</v>
      </c>
      <c r="BP11" s="63">
        <f t="shared" si="3"/>
        <v>0</v>
      </c>
      <c r="BQ11" s="63">
        <f t="shared" si="3"/>
        <v>0</v>
      </c>
      <c r="BR11" s="63">
        <f>BR4/BR10</f>
        <v>0</v>
      </c>
      <c r="BS11" s="63">
        <f>BS4/BS10</f>
        <v>0.1301434163104041</v>
      </c>
      <c r="BT11" s="63">
        <f>BT4/BT10</f>
        <v>0.23185591358780802</v>
      </c>
      <c r="BU11" s="63">
        <f>BU4/BU10</f>
        <v>0.38164378704014651</v>
      </c>
      <c r="BV11" s="63" t="e">
        <f>BV4/BV10*100</f>
        <v>#DIV/0!</v>
      </c>
    </row>
    <row r="12" spans="1:74" s="63" customFormat="1">
      <c r="A12" s="17" t="s">
        <v>348</v>
      </c>
      <c r="E12" s="63">
        <f>E8/E10</f>
        <v>0.92464375202094617</v>
      </c>
      <c r="F12" s="63">
        <f t="shared" ref="F12:BQ12" si="4">F8/F10</f>
        <v>0.9015448685162093</v>
      </c>
      <c r="G12" s="63">
        <f t="shared" si="4"/>
        <v>0.88112776113015523</v>
      </c>
      <c r="H12" s="63">
        <f t="shared" si="4"/>
        <v>0.81997993514364687</v>
      </c>
      <c r="I12" s="63">
        <f t="shared" si="4"/>
        <v>0.88623004027075447</v>
      </c>
      <c r="J12" s="63">
        <f t="shared" si="4"/>
        <v>0.87925072465225718</v>
      </c>
      <c r="K12" s="63">
        <f t="shared" si="4"/>
        <v>0.85077834836066846</v>
      </c>
      <c r="L12" s="63">
        <f t="shared" si="4"/>
        <v>0.84131310714339269</v>
      </c>
      <c r="M12" s="63">
        <f t="shared" si="4"/>
        <v>0.91489494688865758</v>
      </c>
      <c r="N12" s="63">
        <f t="shared" si="4"/>
        <v>0.91699988970387725</v>
      </c>
      <c r="O12" s="63">
        <f t="shared" si="4"/>
        <v>0.9065568657619556</v>
      </c>
      <c r="P12" s="63">
        <f t="shared" si="4"/>
        <v>0.95382221777586718</v>
      </c>
      <c r="Q12" s="63">
        <f t="shared" si="4"/>
        <v>0.95447832187049553</v>
      </c>
      <c r="R12" s="63">
        <f t="shared" si="4"/>
        <v>0.93201944727970998</v>
      </c>
      <c r="S12" s="63">
        <f t="shared" si="4"/>
        <v>0.9249320366236482</v>
      </c>
      <c r="T12" s="63">
        <f t="shared" si="4"/>
        <v>0.91765636331426215</v>
      </c>
      <c r="U12" s="63">
        <f t="shared" si="4"/>
        <v>0.93943073431504232</v>
      </c>
      <c r="V12" s="63">
        <f t="shared" si="4"/>
        <v>0.94032403655953212</v>
      </c>
      <c r="W12" s="63">
        <f t="shared" si="4"/>
        <v>0.92505014110823314</v>
      </c>
      <c r="X12" s="63">
        <f t="shared" si="4"/>
        <v>0.9073908725529608</v>
      </c>
      <c r="Y12" s="63">
        <f t="shared" si="4"/>
        <v>0.98395119991654023</v>
      </c>
      <c r="Z12" s="63">
        <f t="shared" si="4"/>
        <v>1</v>
      </c>
      <c r="AA12" s="63">
        <f t="shared" si="4"/>
        <v>0.99392031216961096</v>
      </c>
      <c r="AB12" s="63">
        <f t="shared" si="4"/>
        <v>0.87028325411998098</v>
      </c>
      <c r="AC12" s="63">
        <f t="shared" si="4"/>
        <v>0.99992114358042861</v>
      </c>
      <c r="AD12" s="63">
        <f t="shared" si="4"/>
        <v>0.99999999999999989</v>
      </c>
      <c r="AE12" s="63">
        <f t="shared" si="4"/>
        <v>0.99032174833770537</v>
      </c>
      <c r="AF12" s="63">
        <f t="shared" si="4"/>
        <v>0.90471679117267456</v>
      </c>
      <c r="AG12" s="63">
        <f t="shared" si="4"/>
        <v>0.98472696938643156</v>
      </c>
      <c r="AH12" s="63">
        <f t="shared" si="4"/>
        <v>0.98311508177126061</v>
      </c>
      <c r="AI12" s="63">
        <f t="shared" si="4"/>
        <v>0.98772453064200727</v>
      </c>
      <c r="AJ12" s="63">
        <f t="shared" si="4"/>
        <v>0.93379419908801575</v>
      </c>
      <c r="AK12" s="63">
        <f t="shared" si="4"/>
        <v>1</v>
      </c>
      <c r="AL12" s="63">
        <f t="shared" si="4"/>
        <v>0.99072217403751184</v>
      </c>
      <c r="AM12" s="63">
        <f t="shared" si="4"/>
        <v>1.0000000000000002</v>
      </c>
      <c r="AN12" s="63">
        <f t="shared" si="4"/>
        <v>0.92558197686117116</v>
      </c>
      <c r="AO12" s="63">
        <f t="shared" si="4"/>
        <v>0.98650663590656629</v>
      </c>
      <c r="AP12" s="63">
        <f t="shared" si="4"/>
        <v>1</v>
      </c>
      <c r="AQ12" s="63">
        <f t="shared" si="4"/>
        <v>0.98943574075004059</v>
      </c>
      <c r="AR12" s="63">
        <f t="shared" si="4"/>
        <v>0.98814916007803155</v>
      </c>
      <c r="AS12" s="63">
        <f t="shared" si="4"/>
        <v>0.99551800101801624</v>
      </c>
      <c r="AT12" s="63">
        <f t="shared" si="4"/>
        <v>0.99502929086688563</v>
      </c>
      <c r="AU12" s="63">
        <f t="shared" si="4"/>
        <v>0.99402305738764563</v>
      </c>
      <c r="AV12" s="63">
        <f t="shared" si="4"/>
        <v>0.89587406572908934</v>
      </c>
      <c r="AW12" s="63">
        <f t="shared" si="4"/>
        <v>0.89068501475755213</v>
      </c>
      <c r="AX12" s="63">
        <f t="shared" si="4"/>
        <v>0.99850753640198942</v>
      </c>
      <c r="AY12" s="63">
        <f t="shared" si="4"/>
        <v>0.9895792937371185</v>
      </c>
      <c r="AZ12" s="63">
        <f t="shared" si="4"/>
        <v>0.99957351974273767</v>
      </c>
      <c r="BA12" s="63">
        <f t="shared" si="4"/>
        <v>0.98484825589806235</v>
      </c>
      <c r="BB12" s="63">
        <f t="shared" si="4"/>
        <v>0.99099661095179825</v>
      </c>
      <c r="BC12" s="63">
        <f t="shared" si="4"/>
        <v>0.98968072491623915</v>
      </c>
      <c r="BD12" s="63">
        <f t="shared" si="4"/>
        <v>0.99179295109018417</v>
      </c>
      <c r="BE12" s="63">
        <f t="shared" si="4"/>
        <v>0.98530096676953594</v>
      </c>
      <c r="BF12" s="63">
        <f t="shared" si="4"/>
        <v>0.99235401117400068</v>
      </c>
      <c r="BG12" s="63">
        <f t="shared" si="4"/>
        <v>0.96810813945220342</v>
      </c>
      <c r="BH12" s="63">
        <f t="shared" si="4"/>
        <v>0.9813711863777097</v>
      </c>
      <c r="BI12" s="63">
        <f t="shared" si="4"/>
        <v>0.97883170797288721</v>
      </c>
      <c r="BJ12" s="63">
        <f t="shared" si="4"/>
        <v>0.99556100687876004</v>
      </c>
      <c r="BK12" s="63">
        <f t="shared" si="4"/>
        <v>0.97881550054467892</v>
      </c>
      <c r="BL12" s="63">
        <f t="shared" si="4"/>
        <v>0.97729371141338051</v>
      </c>
      <c r="BM12" s="63">
        <f t="shared" si="4"/>
        <v>0.97801232531213811</v>
      </c>
      <c r="BN12" s="63">
        <f t="shared" si="4"/>
        <v>0.97752859332830866</v>
      </c>
      <c r="BO12" s="63">
        <f t="shared" si="4"/>
        <v>0.95070089643969102</v>
      </c>
      <c r="BP12" s="63">
        <f t="shared" si="4"/>
        <v>0.94182561259358599</v>
      </c>
      <c r="BQ12" s="63">
        <f t="shared" si="4"/>
        <v>0.93990284337325747</v>
      </c>
      <c r="BR12" s="63">
        <f>BR8/BR10</f>
        <v>0.94665192794774533</v>
      </c>
      <c r="BS12" s="63">
        <f>BS8/BS10</f>
        <v>0.67047190083538588</v>
      </c>
      <c r="BT12" s="63">
        <f>BT8/BT10</f>
        <v>0.79761961187280828</v>
      </c>
      <c r="BU12" s="63">
        <f>BU8/BU10</f>
        <v>0.62424956498211193</v>
      </c>
      <c r="BV12" s="63" t="e">
        <f>BV8/BV10*100</f>
        <v>#DIV/0!</v>
      </c>
    </row>
    <row r="13" spans="1:74" s="63" customFormat="1">
      <c r="A13" s="63" t="s">
        <v>349</v>
      </c>
      <c r="E13" s="63">
        <f>E5*E11*(1-E6)+E9*E12</f>
        <v>7.3974501459091388E-2</v>
      </c>
      <c r="F13" s="63">
        <f t="shared" ref="F13:J13" si="5">F5*F11*(1-F6)+F9*F12</f>
        <v>7.212358948129674E-2</v>
      </c>
      <c r="G13" s="63">
        <f t="shared" si="5"/>
        <v>7.0490220890412417E-2</v>
      </c>
      <c r="H13" s="63">
        <f t="shared" si="5"/>
        <v>6.5598394811491753E-2</v>
      </c>
      <c r="I13" s="63">
        <f t="shared" si="5"/>
        <v>7.1189806069025321E-2</v>
      </c>
      <c r="J13" s="63">
        <f t="shared" si="5"/>
        <v>7.034005797218057E-2</v>
      </c>
      <c r="K13" s="63">
        <f t="shared" ref="K13" si="6">K5*K11*(1-K6)+K9*K12</f>
        <v>6.8062267868853485E-2</v>
      </c>
      <c r="L13" s="63">
        <f t="shared" ref="L13" si="7">L5*L11*(1-L6)+L9*L12</f>
        <v>6.7305048571471418E-2</v>
      </c>
      <c r="M13" s="63">
        <f t="shared" ref="M13" si="8">M5*M11*(1-M6)+M9*M12</f>
        <v>7.3671529337126784E-2</v>
      </c>
      <c r="N13" s="63">
        <f t="shared" ref="N13:O13" si="9">N5*N11*(1-N6)+N9*N12</f>
        <v>7.3359991176310188E-2</v>
      </c>
      <c r="O13" s="63">
        <f t="shared" si="9"/>
        <v>7.2524549260956445E-2</v>
      </c>
      <c r="P13" s="63">
        <f t="shared" ref="P13" si="10">P5*P11*(1-P6)+P9*P12</f>
        <v>7.6305777422069371E-2</v>
      </c>
      <c r="Q13" s="63">
        <f t="shared" ref="Q13" si="11">Q5*Q11*(1-Q6)+Q9*Q12</f>
        <v>7.6477672740984437E-2</v>
      </c>
      <c r="R13" s="63">
        <f t="shared" ref="R13" si="12">R5*R11*(1-R6)+R9*R12</f>
        <v>7.4561555782376804E-2</v>
      </c>
      <c r="S13" s="63">
        <f t="shared" ref="S13:T13" si="13">S5*S11*(1-S6)+S9*S12</f>
        <v>7.3994562929891858E-2</v>
      </c>
      <c r="T13" s="63">
        <f t="shared" si="13"/>
        <v>7.3412509065140977E-2</v>
      </c>
      <c r="U13" s="63">
        <f t="shared" ref="U13" si="14">U5*U11*(1-U6)+U9*U12</f>
        <v>7.5154458745203392E-2</v>
      </c>
      <c r="V13" s="63">
        <f t="shared" ref="V13" si="15">V5*V11*(1-V6)+V9*V12</f>
        <v>7.5225922924762573E-2</v>
      </c>
      <c r="W13" s="63">
        <f t="shared" ref="W13" si="16">W5*W11*(1-W6)+W9*W12</f>
        <v>7.4004011288658647E-2</v>
      </c>
      <c r="X13" s="63">
        <f t="shared" ref="X13:Y13" si="17">X5*X11*(1-X6)+X9*X12</f>
        <v>7.2591269804236871E-2</v>
      </c>
      <c r="Y13" s="63">
        <f t="shared" si="17"/>
        <v>7.8716095993323215E-2</v>
      </c>
      <c r="Z13" s="63">
        <f t="shared" ref="Z13" si="18">Z5*Z11*(1-Z6)+Z9*Z12</f>
        <v>0.08</v>
      </c>
      <c r="AA13" s="63">
        <f t="shared" ref="AA13" si="19">AA5*AA11*(1-AA6)+AA9*AA12</f>
        <v>7.9513624973568883E-2</v>
      </c>
      <c r="AB13" s="63">
        <f t="shared" ref="AB13" si="20">AB5*AB11*(1-AB6)+AB9*AB12</f>
        <v>6.9622660329598476E-2</v>
      </c>
      <c r="AC13" s="63">
        <f t="shared" ref="AC13:AD13" si="21">AC5*AC11*(1-AC6)+AC9*AC12</f>
        <v>7.9993691486434287E-2</v>
      </c>
      <c r="AD13" s="63">
        <f t="shared" si="21"/>
        <v>7.9999999999999988E-2</v>
      </c>
      <c r="AE13" s="63">
        <f t="shared" ref="AE13" si="22">AE5*AE11*(1-AE6)+AE9*AE12</f>
        <v>7.9225739867016434E-2</v>
      </c>
      <c r="AF13" s="63">
        <f t="shared" ref="AF13" si="23">AF5*AF11*(1-AF6)+AF9*AF12</f>
        <v>7.237734329381397E-2</v>
      </c>
      <c r="AG13" s="63">
        <f t="shared" ref="AG13" si="24">AG5*AG11*(1-AG6)+AG9*AG12</f>
        <v>7.8778157550914524E-2</v>
      </c>
      <c r="AH13" s="63">
        <f t="shared" ref="AH13:AI13" si="25">AH5*AH11*(1-AH6)+AH9*AH12</f>
        <v>7.864920654170085E-2</v>
      </c>
      <c r="AI13" s="63">
        <f t="shared" si="25"/>
        <v>7.9017962451360585E-2</v>
      </c>
      <c r="AJ13" s="63">
        <f t="shared" ref="AJ13" si="26">AJ5*AJ11*(1-AJ6)+AJ9*AJ12</f>
        <v>7.4703535927041265E-2</v>
      </c>
      <c r="AK13" s="63">
        <f t="shared" ref="AK13" si="27">AK5*AK11*(1-AK6)+AK9*AK12</f>
        <v>0.08</v>
      </c>
      <c r="AL13" s="63">
        <f t="shared" ref="AL13" si="28">AL5*AL11*(1-AL6)+AL9*AL12</f>
        <v>7.9257773923000943E-2</v>
      </c>
      <c r="AM13" s="63">
        <f t="shared" ref="AM13:AN13" si="29">AM5*AM11*(1-AM6)+AM9*AM12</f>
        <v>8.0000000000000016E-2</v>
      </c>
      <c r="AN13" s="63">
        <f t="shared" si="29"/>
        <v>7.4046558148893701E-2</v>
      </c>
      <c r="AO13" s="63">
        <f t="shared" ref="AO13" si="30">AO5*AO11*(1-AO6)+AO9*AO12</f>
        <v>7.8920530872525305E-2</v>
      </c>
      <c r="AP13" s="63">
        <f t="shared" ref="AP13" si="31">AP5*AP11*(1-AP6)+AP9*AP12</f>
        <v>0.08</v>
      </c>
      <c r="AQ13" s="63">
        <f t="shared" ref="AQ13" si="32">AQ5*AQ11*(1-AQ6)+AQ9*AQ12</f>
        <v>7.9154859260003249E-2</v>
      </c>
      <c r="AR13" s="63">
        <f t="shared" ref="AR13:AS13" si="33">AR5*AR11*(1-AR6)+AR9*AR12</f>
        <v>7.9051932806242523E-2</v>
      </c>
      <c r="AS13" s="63">
        <f t="shared" si="33"/>
        <v>7.9641440081441306E-2</v>
      </c>
      <c r="AT13" s="63">
        <f t="shared" ref="AT13" si="34">AT5*AT11*(1-AT6)+AT9*AT12</f>
        <v>7.9602343269350853E-2</v>
      </c>
      <c r="AU13" s="63">
        <f t="shared" ref="AU13" si="35">AU5*AU11*(1-AU6)+AU9*AU12</f>
        <v>7.9521844591011651E-2</v>
      </c>
      <c r="AV13" s="63">
        <f t="shared" ref="AV13" si="36">AV5*AV11*(1-AV6)+AV9*AV12</f>
        <v>7.1669925258327147E-2</v>
      </c>
      <c r="AW13" s="63">
        <f t="shared" ref="AW13:AX13" si="37">AW5*AW11*(1-AW6)+AW9*AW12</f>
        <v>7.1254801180604177E-2</v>
      </c>
      <c r="AX13" s="63">
        <f t="shared" si="37"/>
        <v>7.9880602912159149E-2</v>
      </c>
      <c r="AY13" s="63">
        <f t="shared" ref="AY13" si="38">AY5*AY11*(1-AY6)+AY9*AY12</f>
        <v>7.9166343498969477E-2</v>
      </c>
      <c r="AZ13" s="63">
        <f t="shared" ref="AZ13" si="39">AZ5*AZ11*(1-AZ6)+AZ9*AZ12</f>
        <v>7.9965881579419015E-2</v>
      </c>
      <c r="BA13" s="63">
        <f t="shared" ref="BA13" si="40">BA5*BA11*(1-BA6)+BA9*BA12</f>
        <v>7.8787860471844995E-2</v>
      </c>
      <c r="BB13" s="63">
        <f t="shared" ref="BB13:BC13" si="41">BB5*BB11*(1-BB6)+BB9*BB12</f>
        <v>7.927972887614386E-2</v>
      </c>
      <c r="BC13" s="63">
        <f t="shared" si="41"/>
        <v>7.9174457993299127E-2</v>
      </c>
      <c r="BD13" s="63">
        <f t="shared" ref="BD13" si="42">BD5*BD11*(1-BD6)+BD9*BD12</f>
        <v>7.9343436087214739E-2</v>
      </c>
      <c r="BE13" s="63">
        <f t="shared" ref="BE13" si="43">BE5*BE11*(1-BE6)+BE9*BE12</f>
        <v>7.8824077341562881E-2</v>
      </c>
      <c r="BF13" s="63">
        <f t="shared" ref="BF13" si="44">BF5*BF11*(1-BF6)+BF9*BF12</f>
        <v>7.9388320893920061E-2</v>
      </c>
      <c r="BG13" s="63">
        <f t="shared" ref="BG13:BH13" si="45">BG5*BG11*(1-BG6)+BG9*BG12</f>
        <v>7.7448651156176274E-2</v>
      </c>
      <c r="BH13" s="63">
        <f t="shared" si="45"/>
        <v>7.8509694910216782E-2</v>
      </c>
      <c r="BI13" s="63">
        <f t="shared" ref="BI13" si="46">BI5*BI11*(1-BI6)+BI9*BI12</f>
        <v>7.8306536637830979E-2</v>
      </c>
      <c r="BJ13" s="63">
        <f t="shared" ref="BJ13" si="47">BJ5*BJ11*(1-BJ6)+BJ9*BJ12</f>
        <v>7.9644880550300806E-2</v>
      </c>
      <c r="BK13" s="63">
        <f t="shared" ref="BK13" si="48">BK5*BK11*(1-BK6)+BK9*BK12</f>
        <v>7.8305240043574309E-2</v>
      </c>
      <c r="BL13" s="63">
        <f t="shared" ref="BL13:BM13" si="49">BL5*BL11*(1-BL6)+BL9*BL12</f>
        <v>7.8183496913070444E-2</v>
      </c>
      <c r="BM13" s="63">
        <f t="shared" si="49"/>
        <v>7.8240986024971051E-2</v>
      </c>
      <c r="BN13" s="63">
        <f t="shared" ref="BN13" si="50">BN5*BN11*(1-BN6)+BN9*BN12</f>
        <v>7.8202287466264689E-2</v>
      </c>
      <c r="BO13" s="63">
        <f t="shared" ref="BO13" si="51">BO5*BO11*(1-BO6)+BO9*BO12</f>
        <v>7.6056071715175283E-2</v>
      </c>
      <c r="BP13" s="63">
        <f t="shared" ref="BP13" si="52">BP5*BP11*(1-BP6)+BP9*BP12</f>
        <v>7.5346049007486884E-2</v>
      </c>
      <c r="BQ13" s="63">
        <f t="shared" ref="BQ13:BR13" si="53">BQ5*BQ11*(1-BQ6)+BQ9*BQ12</f>
        <v>7.5192227469860595E-2</v>
      </c>
      <c r="BR13" s="63">
        <f t="shared" si="53"/>
        <v>7.5732154235819624E-2</v>
      </c>
      <c r="BS13" s="63">
        <f t="shared" ref="BS13" si="54">BS5*BS11*(1-BS6)+BS9*BS12</f>
        <v>5.3637752066830871E-2</v>
      </c>
      <c r="BT13" s="63">
        <f t="shared" ref="BT13" si="55">BT5*BT11*(1-BT6)+BT9*BT12</f>
        <v>6.380956894982466E-2</v>
      </c>
      <c r="BU13" s="63">
        <f t="shared" ref="BU13" si="56">BU5*BU11*(1-BU6)+BU9*BU12</f>
        <v>4.9939965198568956E-2</v>
      </c>
      <c r="BV13" s="63" t="e">
        <f t="shared" ref="BV13" si="57">BV5*BV11*(1-BV6)+BV9*BV12</f>
        <v>#DIV/0!</v>
      </c>
    </row>
    <row r="14" spans="1:74" s="16" customFormat="1" ht="56.45" customHeight="1">
      <c r="A14" s="279" t="s">
        <v>667</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87"/>
  <sheetViews>
    <sheetView topLeftCell="A31" workbookViewId="0">
      <selection activeCell="E45" sqref="E45"/>
    </sheetView>
  </sheetViews>
  <sheetFormatPr defaultRowHeight="13.5"/>
  <cols>
    <col min="1" max="1" width="36.75" style="17" bestFit="1" customWidth="1"/>
    <col min="2" max="2" width="9.5" bestFit="1" customWidth="1"/>
    <col min="3" max="4" width="9.5" hidden="1" customWidth="1"/>
    <col min="5" max="5" width="24.5" hidden="1" customWidth="1"/>
    <col min="6" max="6" width="24.5" bestFit="1" customWidth="1"/>
    <col min="7" max="7" width="24.5" hidden="1" customWidth="1"/>
    <col min="8" max="9" width="23.25" hidden="1" customWidth="1"/>
    <col min="10" max="10" width="23.25" bestFit="1" customWidth="1"/>
    <col min="11" max="13" width="23.25" hidden="1" customWidth="1"/>
    <col min="14" max="14" width="23.25" bestFit="1" customWidth="1"/>
    <col min="15" max="17" width="23.25" hidden="1" customWidth="1"/>
    <col min="18" max="18" width="23.25" bestFit="1" customWidth="1"/>
    <col min="19" max="21" width="23.25" hidden="1" customWidth="1"/>
    <col min="22" max="22" width="23.25" bestFit="1" customWidth="1"/>
    <col min="23" max="25" width="23.25" hidden="1" customWidth="1"/>
    <col min="26" max="26" width="23.25" bestFit="1" customWidth="1"/>
    <col min="27" max="29" width="23.25" hidden="1" customWidth="1"/>
    <col min="30" max="30" width="23.25" bestFit="1" customWidth="1"/>
    <col min="31" max="33" width="23.25" hidden="1" customWidth="1"/>
    <col min="34" max="34" width="23.25" bestFit="1" customWidth="1"/>
    <col min="35" max="37" width="23.25" hidden="1" customWidth="1"/>
    <col min="38" max="38" width="23.25" bestFit="1" customWidth="1"/>
    <col min="39" max="41" width="23.25" hidden="1" customWidth="1"/>
    <col min="42" max="42" width="23.25" bestFit="1" customWidth="1"/>
    <col min="43" max="43" width="23.25" hidden="1" customWidth="1"/>
    <col min="44" max="45" width="22" hidden="1" customWidth="1"/>
    <col min="46" max="46" width="22" bestFit="1" customWidth="1"/>
    <col min="47" max="49" width="22" hidden="1" customWidth="1"/>
    <col min="50" max="50" width="22" bestFit="1" customWidth="1"/>
    <col min="51" max="53" width="22" hidden="1" customWidth="1"/>
    <col min="54" max="54" width="22" bestFit="1" customWidth="1"/>
    <col min="55" max="57" width="22" hidden="1" customWidth="1"/>
    <col min="58" max="58" width="22" bestFit="1" customWidth="1"/>
    <col min="59" max="61" width="22" hidden="1" customWidth="1"/>
    <col min="62" max="62" width="22" bestFit="1" customWidth="1"/>
    <col min="63" max="65" width="22" hidden="1" customWidth="1"/>
    <col min="66" max="66" width="22" bestFit="1" customWidth="1"/>
    <col min="67" max="69" width="22" hidden="1" customWidth="1"/>
    <col min="70" max="70" width="22" bestFit="1" customWidth="1"/>
    <col min="71" max="71" width="19.5" hidden="1" customWidth="1"/>
    <col min="72" max="74" width="19.5" bestFit="1" customWidth="1"/>
    <col min="75" max="75" width="9.5" hidden="1" customWidth="1"/>
    <col min="76" max="90" width="8.5" bestFit="1" customWidth="1"/>
  </cols>
  <sheetData>
    <row r="1" spans="1:90" s="26" customFormat="1">
      <c r="A1" s="17">
        <v>600519</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37529</v>
      </c>
      <c r="BP1" s="1">
        <v>37437</v>
      </c>
      <c r="BQ1" s="1">
        <v>37346</v>
      </c>
      <c r="BR1" s="1">
        <v>37256</v>
      </c>
      <c r="BS1" s="1">
        <v>37072</v>
      </c>
      <c r="BT1" s="1">
        <v>36891</v>
      </c>
      <c r="BU1" s="1">
        <v>36525</v>
      </c>
      <c r="BV1" s="1">
        <v>36160</v>
      </c>
      <c r="BW1" s="1">
        <v>25569</v>
      </c>
      <c r="BX1" s="188"/>
      <c r="BY1" s="188"/>
      <c r="BZ1" s="188"/>
      <c r="CA1" s="188"/>
      <c r="CB1" s="188"/>
      <c r="CC1" s="188"/>
      <c r="CD1" s="188"/>
      <c r="CE1" s="188"/>
      <c r="CF1" s="188"/>
      <c r="CG1" s="188"/>
      <c r="CH1" s="188"/>
      <c r="CI1" s="188"/>
      <c r="CJ1" s="188"/>
      <c r="CK1" s="188"/>
      <c r="CL1" s="188"/>
    </row>
    <row r="2" spans="1:90" s="26" customFormat="1">
      <c r="A2" s="41" t="s">
        <v>551</v>
      </c>
      <c r="E2" s="26">
        <f>资产资本表!E17</f>
        <v>88098584431.25</v>
      </c>
      <c r="F2" s="26">
        <f>资产资本表!F17</f>
        <v>88172478529.229996</v>
      </c>
      <c r="G2" s="26">
        <f>资产资本表!G17</f>
        <v>81265615624.639999</v>
      </c>
      <c r="H2" s="26">
        <f>资产资本表!H17</f>
        <v>74045487984.549988</v>
      </c>
      <c r="I2" s="26">
        <f>资产资本表!I17</f>
        <v>73219258579.670013</v>
      </c>
      <c r="J2" s="26">
        <f>资产资本表!J17</f>
        <v>67085700492.129997</v>
      </c>
      <c r="K2" s="26">
        <f>资产资本表!K17</f>
        <v>62324058442.190002</v>
      </c>
      <c r="L2" s="26">
        <f>资产资本表!L17</f>
        <v>47808867372.299995</v>
      </c>
      <c r="M2" s="26">
        <f>资产资本表!M17</f>
        <v>44074809231.059998</v>
      </c>
      <c r="N2" s="26">
        <f>资产资本表!N17</f>
        <v>36934596946.529999</v>
      </c>
      <c r="O2" s="26">
        <f>资产资本表!O17</f>
        <v>30722903270.879997</v>
      </c>
      <c r="P2" s="26">
        <f>资产资本表!P17</f>
        <v>30482844449.870003</v>
      </c>
      <c r="Q2" s="26">
        <f>资产资本表!Q17</f>
        <v>28623123952.73</v>
      </c>
      <c r="R2" s="26">
        <f>资产资本表!R17</f>
        <v>27886130602.540001</v>
      </c>
      <c r="S2" s="26">
        <f>资产资本表!S17</f>
        <v>22910725708.920002</v>
      </c>
      <c r="T2" s="26">
        <f>资产资本表!T17</f>
        <v>21200304356.759998</v>
      </c>
      <c r="U2" s="26">
        <f>资产资本表!U17</f>
        <v>23500579727.43</v>
      </c>
      <c r="V2" s="26">
        <f>资产资本表!V17</f>
        <v>25514135978.91</v>
      </c>
      <c r="W2" s="26">
        <f>资产资本表!W17</f>
        <v>22377192030.630001</v>
      </c>
      <c r="X2" s="26">
        <f>资产资本表!X17</f>
        <v>18562670939.949997</v>
      </c>
      <c r="Y2" s="26">
        <f>资产资本表!Y17</f>
        <v>21955036844.350002</v>
      </c>
      <c r="Z2" s="26">
        <f>资产资本表!Z17</f>
        <v>22376612663.389999</v>
      </c>
      <c r="AA2" s="26">
        <f>资产资本表!AA17</f>
        <v>19005987757.170002</v>
      </c>
      <c r="AB2" s="26">
        <f>资产资本表!AB17</f>
        <v>21245645480.619999</v>
      </c>
      <c r="AC2" s="26">
        <f>资产资本表!AC17</f>
        <v>19056013006.079998</v>
      </c>
      <c r="AD2" s="26">
        <f>资产资本表!AD17</f>
        <v>18539872922.09</v>
      </c>
      <c r="AE2" s="26">
        <f>资产资本表!AE17</f>
        <v>18524435542.09</v>
      </c>
      <c r="AF2" s="26">
        <f>资产资本表!AF17</f>
        <v>17479293577.549999</v>
      </c>
      <c r="AG2" s="26">
        <f>资产资本表!AG17</f>
        <v>16097936940.57</v>
      </c>
      <c r="AH2" s="26">
        <f>资产资本表!AH17</f>
        <v>12991122314.630001</v>
      </c>
      <c r="AI2" s="26">
        <f>资产资本表!AI17</f>
        <v>11163366118.51</v>
      </c>
      <c r="AJ2" s="26">
        <f>资产资本表!AJ17</f>
        <v>10378305344.280001</v>
      </c>
      <c r="AK2" s="26">
        <f>资产资本表!AK17</f>
        <v>9990618883.5699997</v>
      </c>
      <c r="AL2" s="26">
        <f>资产资本表!AL17</f>
        <v>9755064755.2399998</v>
      </c>
      <c r="AM2" s="26">
        <f>资产资本表!AM17</f>
        <v>7923955837.8000002</v>
      </c>
      <c r="AN2" s="26">
        <f>资产资本表!AN17</f>
        <v>7824246321.21</v>
      </c>
      <c r="AO2" s="26">
        <f>资产资本表!AO17</f>
        <v>7717405756.3000002</v>
      </c>
      <c r="AP2" s="26">
        <f>资产资本表!AP17</f>
        <v>8138505441.1599998</v>
      </c>
      <c r="AQ2" s="26">
        <f>资产资本表!AQ17</f>
        <v>6441498269.54</v>
      </c>
      <c r="AR2" s="26">
        <f>资产资本表!AR17</f>
        <v>5105053230.8000002</v>
      </c>
      <c r="AS2" s="26">
        <f>资产资本表!AS17</f>
        <v>5603323644.29</v>
      </c>
      <c r="AT2" s="26">
        <f>资产资本表!AT17</f>
        <v>4784290700.0200005</v>
      </c>
      <c r="AU2" s="26">
        <f>资产资本表!AU17</f>
        <v>4814014936.3500004</v>
      </c>
      <c r="AV2" s="26">
        <f>资产资本表!AV17</f>
        <v>4870494456.1599998</v>
      </c>
      <c r="AW2" s="26">
        <f>资产资本表!AW17</f>
        <v>4715254931.29</v>
      </c>
      <c r="AX2" s="26">
        <f>资产资本表!AX17</f>
        <v>4505867488.6400003</v>
      </c>
      <c r="AY2" s="26">
        <f>资产资本表!AY17</f>
        <v>4083907788.3400002</v>
      </c>
      <c r="AZ2" s="26">
        <f>资产资本表!AZ17</f>
        <v>3419099920.6599998</v>
      </c>
      <c r="BA2" s="26">
        <f>资产资本表!BA17</f>
        <v>3975708186.8800001</v>
      </c>
      <c r="BB2" s="26">
        <f>资产资本表!BB17</f>
        <v>3891989433.5300002</v>
      </c>
      <c r="BC2" s="26">
        <f>资产资本表!BC17</f>
        <v>3217007276.75</v>
      </c>
      <c r="BD2" s="26">
        <f>资产资本表!BD17</f>
        <v>3065214770.1900001</v>
      </c>
      <c r="BE2" s="26">
        <f>资产资本表!BE17</f>
        <v>3024925341.3800001</v>
      </c>
      <c r="BF2" s="26">
        <f>资产资本表!BF17</f>
        <v>2898327418.8499999</v>
      </c>
      <c r="BG2" s="26">
        <f>资产资本表!BG17</f>
        <v>2419288966.46</v>
      </c>
      <c r="BH2" s="26">
        <f>资产资本表!BH17</f>
        <v>2172790156.5900002</v>
      </c>
      <c r="BI2" s="26">
        <f>资产资本表!BI17</f>
        <v>2101448845.7199998</v>
      </c>
      <c r="BJ2" s="26">
        <f>资产资本表!BJ17</f>
        <v>2340047386.8499999</v>
      </c>
      <c r="BK2" s="26">
        <f>资产资本表!BK17</f>
        <v>1868792963.71</v>
      </c>
      <c r="BL2" s="26">
        <f>资产资本表!BL17</f>
        <v>1536249315.6400001</v>
      </c>
      <c r="BM2" s="26">
        <f>资产资本表!BM17</f>
        <v>1684957738.5599999</v>
      </c>
      <c r="BN2" s="26">
        <f>资产资本表!BN17</f>
        <v>1780307690.6400001</v>
      </c>
      <c r="BO2" s="26">
        <f>资产资本表!BO17</f>
        <v>1677224920.04</v>
      </c>
      <c r="BP2" s="26">
        <f>资产资本表!BP17</f>
        <v>1513800289.8299999</v>
      </c>
      <c r="BQ2" s="26">
        <f>资产资本表!BQ17</f>
        <v>1877929846.0899999</v>
      </c>
      <c r="BR2" s="26">
        <f>资产资本表!BR17</f>
        <v>1956436570.0999999</v>
      </c>
      <c r="BS2" s="26">
        <f>资产资本表!BS17</f>
        <v>336439213.5</v>
      </c>
      <c r="BT2" s="26">
        <f>资产资本表!BT17</f>
        <v>460983583.45999998</v>
      </c>
      <c r="BU2" s="26">
        <f>资产资本表!BU17</f>
        <v>198390615.12</v>
      </c>
      <c r="BV2" s="26">
        <f>资产资本表!BV17</f>
        <v>124765368.73999999</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41" t="s">
        <v>552</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0</v>
      </c>
      <c r="O3" s="26">
        <f>资产资本表!O19</f>
        <v>0</v>
      </c>
      <c r="P3" s="26">
        <f>资产资本表!P19</f>
        <v>0</v>
      </c>
      <c r="Q3" s="26">
        <f>资产资本表!Q19</f>
        <v>0</v>
      </c>
      <c r="R3" s="26">
        <f>资产资本表!R19</f>
        <v>0</v>
      </c>
      <c r="S3" s="26">
        <f>资产资本表!S19</f>
        <v>2750000</v>
      </c>
      <c r="T3" s="26">
        <f>资产资本表!T19</f>
        <v>6750000</v>
      </c>
      <c r="U3" s="26">
        <f>资产资本表!U19</f>
        <v>6750000</v>
      </c>
      <c r="V3" s="26">
        <f>资产资本表!V19</f>
        <v>4000000</v>
      </c>
      <c r="W3" s="26">
        <f>资产资本表!W19</f>
        <v>4000000</v>
      </c>
      <c r="X3" s="26">
        <f>资产资本表!X19</f>
        <v>4000000</v>
      </c>
      <c r="Y3" s="26">
        <f>资产资本表!Y19</f>
        <v>4000000</v>
      </c>
      <c r="Z3" s="26">
        <f>资产资本表!Z19</f>
        <v>4000000</v>
      </c>
      <c r="AA3" s="26">
        <f>资产资本表!AA19</f>
        <v>4000000</v>
      </c>
      <c r="AB3" s="26">
        <f>资产资本表!AB19</f>
        <v>4000000</v>
      </c>
      <c r="AC3" s="26">
        <f>资产资本表!AC19</f>
        <v>4000000</v>
      </c>
      <c r="AD3" s="26">
        <f>资产资本表!AD19</f>
        <v>4000000</v>
      </c>
      <c r="AE3" s="26">
        <f>资产资本表!AE19</f>
        <v>4000000</v>
      </c>
      <c r="AF3" s="26">
        <f>资产资本表!AF19</f>
        <v>4000000</v>
      </c>
      <c r="AG3" s="26">
        <f>资产资本表!AG19</f>
        <v>4000000</v>
      </c>
      <c r="AH3" s="26">
        <f>资产资本表!AH19</f>
        <v>4000000</v>
      </c>
      <c r="AI3" s="26">
        <f>资产资本表!AI19</f>
        <v>4000000</v>
      </c>
      <c r="AJ3" s="26">
        <f>资产资本表!AJ19</f>
        <v>4000000</v>
      </c>
      <c r="AK3" s="26">
        <f>资产资本表!AK19</f>
        <v>4000000</v>
      </c>
      <c r="AL3" s="26">
        <f>资产资本表!AL19</f>
        <v>4000000</v>
      </c>
      <c r="AM3" s="26">
        <f>资产资本表!AM19</f>
        <v>4000000</v>
      </c>
      <c r="AN3" s="26">
        <f>资产资本表!AN19</f>
        <v>4000000</v>
      </c>
      <c r="AO3" s="26">
        <f>资产资本表!AO19</f>
        <v>4000000</v>
      </c>
      <c r="AP3" s="26">
        <f>资产资本表!AP19</f>
        <v>4000000</v>
      </c>
      <c r="AQ3" s="26">
        <f>资产资本表!AQ19</f>
        <v>4000000</v>
      </c>
      <c r="AR3" s="26">
        <f>资产资本表!AR19</f>
        <v>4000000</v>
      </c>
      <c r="AS3" s="26">
        <f>资产资本表!AS19</f>
        <v>4000000</v>
      </c>
      <c r="AT3" s="26">
        <f>资产资本表!AT19</f>
        <v>4000000</v>
      </c>
      <c r="AU3" s="26">
        <f>资产资本表!AU19</f>
        <v>4000000</v>
      </c>
      <c r="AV3" s="26">
        <f>资产资本表!AV19</f>
        <v>4000000</v>
      </c>
      <c r="AW3" s="26">
        <f>资产资本表!AW19</f>
        <v>4000000</v>
      </c>
      <c r="AX3" s="26">
        <f>资产资本表!AX19</f>
        <v>11486496.289999999</v>
      </c>
      <c r="AY3" s="26">
        <f>资产资本表!AY19</f>
        <v>10767452.710000001</v>
      </c>
      <c r="AZ3" s="26">
        <f>资产资本表!AZ19</f>
        <v>10387452.699999999</v>
      </c>
      <c r="BA3" s="26">
        <f>资产资本表!BA19</f>
        <v>10243017.33</v>
      </c>
      <c r="BB3" s="26">
        <f>资产资本表!BB19</f>
        <v>10243017.33</v>
      </c>
      <c r="BC3" s="26">
        <f>资产资本表!BC19</f>
        <v>9838781.9600000009</v>
      </c>
      <c r="BD3" s="26">
        <f>资产资本表!BD19</f>
        <v>9838781.9600000009</v>
      </c>
      <c r="BE3" s="26">
        <f>资产资本表!BE19</f>
        <v>9627405.1300000008</v>
      </c>
      <c r="BF3" s="26">
        <f>资产资本表!BF19</f>
        <v>9815063.7300000004</v>
      </c>
      <c r="BG3" s="26">
        <f>资产资本表!BG19</f>
        <v>4000000</v>
      </c>
      <c r="BH3" s="26">
        <f>资产资本表!BH19</f>
        <v>4000000</v>
      </c>
      <c r="BI3" s="26">
        <f>资产资本表!BI19</f>
        <v>4000000</v>
      </c>
      <c r="BJ3" s="26">
        <f>资产资本表!BJ19</f>
        <v>4000000</v>
      </c>
      <c r="BK3" s="26">
        <f>资产资本表!BK19</f>
        <v>4000000</v>
      </c>
      <c r="BL3" s="26">
        <f>资产资本表!BL19</f>
        <v>4000000</v>
      </c>
      <c r="BM3" s="26">
        <f>资产资本表!BM19</f>
        <v>4000000</v>
      </c>
      <c r="BN3" s="26">
        <f>资产资本表!BN19</f>
        <v>4000000</v>
      </c>
      <c r="BO3" s="26">
        <f>资产资本表!BO19</f>
        <v>4000000</v>
      </c>
      <c r="BP3" s="26">
        <f>资产资本表!BP19</f>
        <v>4000000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557</v>
      </c>
      <c r="E4" s="26">
        <f>资产资本表!E50</f>
        <v>3051581351.1100006</v>
      </c>
      <c r="F4" s="26">
        <f>资产资本表!F50</f>
        <v>-3965603619.8199997</v>
      </c>
      <c r="G4" s="26">
        <f>资产资本表!G50</f>
        <v>-3879872811.2099953</v>
      </c>
      <c r="H4" s="26">
        <f>资产资本表!H50</f>
        <v>-356230023.98999786</v>
      </c>
      <c r="I4" s="26">
        <f>资产资本表!I50</f>
        <v>-2997931597.6099968</v>
      </c>
      <c r="J4" s="26">
        <f>资产资本表!J50</f>
        <v>-3428013627.7599945</v>
      </c>
      <c r="K4" s="26">
        <f>资产资本表!K50</f>
        <v>17890197.009998322</v>
      </c>
      <c r="L4" s="26">
        <f>资产资本表!L50</f>
        <v>10855927043.779999</v>
      </c>
      <c r="M4" s="26">
        <f>资产资本表!M50</f>
        <v>12054370526.109999</v>
      </c>
      <c r="N4" s="26">
        <f>资产资本表!N50</f>
        <v>14046155822.110003</v>
      </c>
      <c r="O4" s="26">
        <f>资产资本表!O50</f>
        <v>17366677202.509998</v>
      </c>
      <c r="P4" s="26">
        <f>资产资本表!P50</f>
        <v>17273056685.869999</v>
      </c>
      <c r="Q4" s="26">
        <f>资产资本表!Q50</f>
        <v>15934420088.649998</v>
      </c>
      <c r="R4" s="26">
        <f>资产资本表!R50</f>
        <v>13252362479.369999</v>
      </c>
      <c r="S4" s="26">
        <f>资产资本表!S50</f>
        <v>14934385952.550001</v>
      </c>
      <c r="T4" s="26">
        <f>资产资本表!T50</f>
        <v>13092803795</v>
      </c>
      <c r="U4" s="26">
        <f>资产资本表!U50</f>
        <v>11495522122.059999</v>
      </c>
      <c r="V4" s="26">
        <f>资产资本表!V50</f>
        <v>8033489539.96</v>
      </c>
      <c r="W4" s="26">
        <f>资产资本表!W50</f>
        <v>11310680004.709999</v>
      </c>
      <c r="X4" s="26">
        <f>资产资本表!X50</f>
        <v>11980350746.769999</v>
      </c>
      <c r="Y4" s="26">
        <f>资产资本表!Y50</f>
        <v>8273990580.3700008</v>
      </c>
      <c r="Z4" s="26">
        <f>资产资本表!Z50</f>
        <v>4354291394.2799988</v>
      </c>
      <c r="AA4" s="26">
        <f>资产资本表!AA50</f>
        <v>5882282456.0699997</v>
      </c>
      <c r="AB4" s="26">
        <f>资产资本表!AB50</f>
        <v>4155722505.7600012</v>
      </c>
      <c r="AC4" s="26">
        <f>资产资本表!AC50</f>
        <v>2351899852.6799994</v>
      </c>
      <c r="AD4" s="26">
        <f>资产资本表!AD50</f>
        <v>-147730105.78000069</v>
      </c>
      <c r="AE4" s="26">
        <f>资产资本表!AE50</f>
        <v>-1062664717.4899979</v>
      </c>
      <c r="AF4" s="26">
        <f>资产资本表!AF50</f>
        <v>944075050.65999985</v>
      </c>
      <c r="AG4" s="26">
        <f>资产资本表!AG50</f>
        <v>-583582474.69999886</v>
      </c>
      <c r="AH4" s="26">
        <f>资产资本表!AH50</f>
        <v>649556463.90000057</v>
      </c>
      <c r="AI4" s="26">
        <f>资产资本表!AI50</f>
        <v>1984328661.0199995</v>
      </c>
      <c r="AJ4" s="26">
        <f>资产资本表!AJ50</f>
        <v>2855050075.5199995</v>
      </c>
      <c r="AK4" s="26">
        <f>资产资本表!AK50</f>
        <v>1791831400.9899998</v>
      </c>
      <c r="AL4" s="26">
        <f>资产资本表!AL50</f>
        <v>929670517.26000118</v>
      </c>
      <c r="AM4" s="26">
        <f>资产资本表!AM50</f>
        <v>2425641944.8799996</v>
      </c>
      <c r="AN4" s="26">
        <f>资产资本表!AN50</f>
        <v>2671434887.5800009</v>
      </c>
      <c r="AO4" s="26">
        <f>资产资本表!AO50</f>
        <v>1386375282.5700002</v>
      </c>
      <c r="AP4" s="26">
        <f>资产资本表!AP50</f>
        <v>-106524098.72000027</v>
      </c>
      <c r="AQ4" s="26">
        <f>资产资本表!AQ50</f>
        <v>778879170.97000027</v>
      </c>
      <c r="AR4" s="26">
        <f>资产资本表!AR50</f>
        <v>1378687881.8600001</v>
      </c>
      <c r="AS4" s="26">
        <f>资产资本表!AS50</f>
        <v>423085678.25</v>
      </c>
      <c r="AT4" s="26">
        <f>资产资本表!AT50</f>
        <v>474403091.43000007</v>
      </c>
      <c r="AU4" s="26">
        <f>资产资本表!AU50</f>
        <v>-847444657.22000027</v>
      </c>
      <c r="AV4" s="26">
        <f>资产资本表!AV50</f>
        <v>-823210332.78999996</v>
      </c>
      <c r="AW4" s="26">
        <f>资产资本表!AW50</f>
        <v>-889705035.06999922</v>
      </c>
      <c r="AX4" s="26">
        <f>资产资本表!AX50</f>
        <v>-1097449417.3099999</v>
      </c>
      <c r="AY4" s="26">
        <f>资产资本表!AY50</f>
        <v>-1062230332.1300006</v>
      </c>
      <c r="AZ4" s="26">
        <f>资产资本表!AZ50</f>
        <v>-621895281.67000008</v>
      </c>
      <c r="BA4" s="26">
        <f>资产资本表!BA50</f>
        <v>-417076439.48000026</v>
      </c>
      <c r="BB4" s="26">
        <f>资产资本表!BB50</f>
        <v>-720769206.80000019</v>
      </c>
      <c r="BC4" s="26">
        <f>资产资本表!BC50</f>
        <v>-306771530.96000004</v>
      </c>
      <c r="BD4" s="26">
        <f>资产资本表!BD50</f>
        <v>-115429303.48999977</v>
      </c>
      <c r="BE4" s="26">
        <f>资产资本表!BE50</f>
        <v>-41052018.059999943</v>
      </c>
      <c r="BF4" s="26">
        <f>资产资本表!BF50</f>
        <v>-250144834.6500001</v>
      </c>
      <c r="BG4" s="26">
        <f>资产资本表!BG50</f>
        <v>146105948.47000003</v>
      </c>
      <c r="BH4" s="26">
        <f>资产资本表!BH50</f>
        <v>318020086.88000011</v>
      </c>
      <c r="BI4" s="26">
        <f>资产资本表!BI50</f>
        <v>374663088.67999983</v>
      </c>
      <c r="BJ4" s="26">
        <f>资产资本表!BJ50</f>
        <v>-54385749.870000124</v>
      </c>
      <c r="BK4" s="26">
        <f>资产资本表!BK50</f>
        <v>266752468.06999993</v>
      </c>
      <c r="BL4" s="26">
        <f>资产资本表!BL50</f>
        <v>568191009.9000001</v>
      </c>
      <c r="BM4" s="26">
        <f>资产资本表!BM50</f>
        <v>465445449.63999999</v>
      </c>
      <c r="BN4" s="26">
        <f>资产资本表!BN50</f>
        <v>220861898.69000006</v>
      </c>
      <c r="BO4" s="26">
        <f>资产资本表!BO50</f>
        <v>469171373.13999999</v>
      </c>
      <c r="BP4" s="26">
        <f>资产资本表!BP50</f>
        <v>693395515.64999998</v>
      </c>
      <c r="BQ4" s="26">
        <f>资产资本表!BQ50</f>
        <v>438258677.16999996</v>
      </c>
      <c r="BR4" s="26">
        <f>资产资本表!BR50</f>
        <v>130738590.88999999</v>
      </c>
      <c r="BS4" s="26">
        <f>资产资本表!BS50</f>
        <v>306413823.19999993</v>
      </c>
      <c r="BT4" s="26">
        <f>资产资本表!BT50</f>
        <v>-103489887.68000007</v>
      </c>
      <c r="BU4" s="26">
        <f>资产资本表!BU50</f>
        <v>64397571.980000019</v>
      </c>
      <c r="BV4" s="26">
        <f>资产资本表!BV50</f>
        <v>103717141.55000001</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334</v>
      </c>
      <c r="E5" s="26">
        <f>资产资本表!E33</f>
        <v>23639895337.360001</v>
      </c>
      <c r="F5" s="26">
        <f>资产资本表!F33</f>
        <v>24138857432.369999</v>
      </c>
      <c r="G5" s="26">
        <f>资产资本表!G33</f>
        <v>23595929165.560001</v>
      </c>
      <c r="H5" s="26">
        <f>资产资本表!H33</f>
        <v>23605552208.440002</v>
      </c>
      <c r="I5" s="26">
        <f>资产资本表!I33</f>
        <v>22941865733.029999</v>
      </c>
      <c r="J5" s="26">
        <f>资产资本表!J33</f>
        <v>22794681830.470001</v>
      </c>
      <c r="K5" s="26">
        <f>资产资本表!K33</f>
        <v>21377700608.459999</v>
      </c>
      <c r="L5" s="26">
        <f>资产资本表!L33</f>
        <v>26345238100.209999</v>
      </c>
      <c r="M5" s="26">
        <f>资产资本表!M33</f>
        <v>24804486886.380001</v>
      </c>
      <c r="N5" s="26">
        <f>资产资本表!N33</f>
        <v>28118417077.060001</v>
      </c>
      <c r="O5" s="26">
        <f>资产资本表!O33</f>
        <v>26624598801.169998</v>
      </c>
      <c r="P5" s="26">
        <f>资产资本表!P33</f>
        <v>22866934997.23</v>
      </c>
      <c r="Q5" s="26">
        <f>资产资本表!Q33</f>
        <v>21915060149.169998</v>
      </c>
      <c r="R5" s="26">
        <f>资产资本表!R33</f>
        <v>19779608471.779999</v>
      </c>
      <c r="S5" s="26">
        <f>资产资本表!S33</f>
        <v>19158884184.810001</v>
      </c>
      <c r="T5" s="26">
        <f>资产资本表!T33</f>
        <v>17503052584.119999</v>
      </c>
      <c r="U5" s="26">
        <f>资产资本表!U33</f>
        <v>17012033967.67</v>
      </c>
      <c r="V5" s="26">
        <f>资产资本表!V33</f>
        <v>16557974955.32</v>
      </c>
      <c r="W5" s="26">
        <f>资产资本表!W33</f>
        <v>17538405136.98</v>
      </c>
      <c r="X5" s="26">
        <f>资产资本表!X33</f>
        <v>16170306129.949999</v>
      </c>
      <c r="Y5" s="26">
        <f>资产资本表!Y33</f>
        <v>14951060926.220001</v>
      </c>
      <c r="Z5" s="26">
        <f>资产资本表!Z33</f>
        <v>13898463950.49</v>
      </c>
      <c r="AA5" s="26">
        <f>资产资本表!AA33</f>
        <v>12529904994.02</v>
      </c>
      <c r="AB5" s="26">
        <f>资产资本表!AB33</f>
        <v>11228633973.92</v>
      </c>
      <c r="AC5" s="26">
        <f>资产资本表!AC33</f>
        <v>10226614186.25</v>
      </c>
      <c r="AD5" s="26">
        <f>资产资本表!AD33</f>
        <v>9349759258.3400002</v>
      </c>
      <c r="AE5" s="26">
        <f>资产资本表!AE33</f>
        <v>8522229530.6100006</v>
      </c>
      <c r="AF5" s="26">
        <f>资产资本表!AF33</f>
        <v>8050190746.9799995</v>
      </c>
      <c r="AG5" s="26">
        <f>资产资本表!AG33</f>
        <v>7718852488.3199997</v>
      </c>
      <c r="AH5" s="26">
        <f>资产资本表!AH33</f>
        <v>7369162513.6800003</v>
      </c>
      <c r="AI5" s="26">
        <f>资产资本表!AI33</f>
        <v>6852340552.8899994</v>
      </c>
      <c r="AJ5" s="26">
        <f>资产资本表!AJ33</f>
        <v>6265000796.7699995</v>
      </c>
      <c r="AK5" s="26">
        <f>资产资本表!AK33</f>
        <v>6225982686.7600002</v>
      </c>
      <c r="AL5" s="26">
        <f>资产资本表!AL33</f>
        <v>5910520608.1500006</v>
      </c>
      <c r="AM5" s="26">
        <f>资产资本表!AM33</f>
        <v>4947902543.1499996</v>
      </c>
      <c r="AN5" s="26">
        <f>资产资本表!AN33</f>
        <v>4419566105.1100006</v>
      </c>
      <c r="AO5" s="26">
        <f>资产资本表!AO33</f>
        <v>4231419903.0100002</v>
      </c>
      <c r="AP5" s="26">
        <f>资产资本表!AP33</f>
        <v>4144245441.6799998</v>
      </c>
      <c r="AQ5" s="26">
        <f>资产资本表!AQ33</f>
        <v>2845937380.8200002</v>
      </c>
      <c r="AR5" s="26">
        <f>资产资本表!AR33</f>
        <v>2681963679.4700003</v>
      </c>
      <c r="AS5" s="26">
        <f>资产资本表!AS33</f>
        <v>2652214381.6599998</v>
      </c>
      <c r="AT5" s="26">
        <f>资产资本表!AT33</f>
        <v>2545212203.4000001</v>
      </c>
      <c r="AU5" s="26">
        <f>资产资本表!AU33</f>
        <v>2352044590.3999996</v>
      </c>
      <c r="AV5" s="26">
        <f>资产资本表!AV33</f>
        <v>2461437688.46</v>
      </c>
      <c r="AW5" s="26">
        <f>资产资本表!AW33</f>
        <v>2382534278.9700003</v>
      </c>
      <c r="AX5" s="26">
        <f>资产资本表!AX33</f>
        <v>2287476201.6500001</v>
      </c>
      <c r="AY5" s="26">
        <f>资产资本表!AY33</f>
        <v>2270041289.4899998</v>
      </c>
      <c r="AZ5" s="26">
        <f>资产资本表!AZ33</f>
        <v>2113171578.8499999</v>
      </c>
      <c r="BA5" s="26">
        <f>资产资本表!BA33</f>
        <v>2005804055.6600001</v>
      </c>
      <c r="BB5" s="26">
        <f>资产资本表!BB33</f>
        <v>2127530854.0799999</v>
      </c>
      <c r="BC5" s="26">
        <f>资产资本表!BC33</f>
        <v>1947680656.1199999</v>
      </c>
      <c r="BD5" s="26">
        <f>资产资本表!BD33</f>
        <v>1879141876.6300001</v>
      </c>
      <c r="BE5" s="26">
        <f>资产资本表!BE33</f>
        <v>1858021468.49</v>
      </c>
      <c r="BF5" s="26">
        <f>资产资本表!BF33</f>
        <v>1874311088.9499998</v>
      </c>
      <c r="BG5" s="26">
        <f>资产资本表!BG33</f>
        <v>1743815485.75</v>
      </c>
      <c r="BH5" s="26">
        <f>资产资本表!BH33</f>
        <v>1466840688.1500001</v>
      </c>
      <c r="BI5" s="26">
        <f>资产资本表!BI33</f>
        <v>1417365449.8499999</v>
      </c>
      <c r="BJ5" s="26">
        <f>资产资本表!BJ33</f>
        <v>1415075638.6099999</v>
      </c>
      <c r="BK5" s="26">
        <f>资产资本表!BK33</f>
        <v>1423630802.76</v>
      </c>
      <c r="BL5" s="26">
        <f>资产资本表!BL33</f>
        <v>1298905532.2</v>
      </c>
      <c r="BM5" s="26">
        <f>资产资本表!BM33</f>
        <v>1183525092.25</v>
      </c>
      <c r="BN5" s="26">
        <f>资产资本表!BN33</f>
        <v>1207680923.6900001</v>
      </c>
      <c r="BO5" s="26">
        <f>资产资本表!BO33</f>
        <v>1148546126.73</v>
      </c>
      <c r="BP5" s="26">
        <f>资产资本表!BP33</f>
        <v>1143347443.8099999</v>
      </c>
      <c r="BQ5" s="26">
        <f>资产资本表!BQ33</f>
        <v>938818463.08999991</v>
      </c>
      <c r="BR5" s="26">
        <f>资产资本表!BR33</f>
        <v>881141752.38999999</v>
      </c>
      <c r="BS5" s="26">
        <f>资产资本表!BS33</f>
        <v>678350402.54999995</v>
      </c>
      <c r="BT5" s="26">
        <f>资产资本表!BT33</f>
        <v>587757000.11000001</v>
      </c>
      <c r="BU5" s="26">
        <f>资产资本表!BU33</f>
        <v>521239540.63</v>
      </c>
      <c r="BV5" s="26">
        <f>资产资本表!BV33</f>
        <v>399771676.87</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335</v>
      </c>
      <c r="E6" s="26">
        <f>资产资本表!E49</f>
        <v>20588313986.25</v>
      </c>
      <c r="F6" s="26">
        <f>资产资本表!F49</f>
        <v>28104461052.189999</v>
      </c>
      <c r="G6" s="26">
        <f>资产资本表!G49</f>
        <v>27475801976.769997</v>
      </c>
      <c r="H6" s="26">
        <f>资产资本表!H49</f>
        <v>23961782232.43</v>
      </c>
      <c r="I6" s="26">
        <f>资产资本表!I49</f>
        <v>25939797330.639996</v>
      </c>
      <c r="J6" s="26">
        <f>资产资本表!J49</f>
        <v>26222695458.229996</v>
      </c>
      <c r="K6" s="26">
        <f>资产资本表!K49</f>
        <v>21359810411.450001</v>
      </c>
      <c r="L6" s="26">
        <f>资产资本表!L49</f>
        <v>15489311056.43</v>
      </c>
      <c r="M6" s="26">
        <f>资产资本表!M49</f>
        <v>12750116360.270002</v>
      </c>
      <c r="N6" s="26">
        <f>资产资本表!N49</f>
        <v>14072261254.949999</v>
      </c>
      <c r="O6" s="26">
        <f>资产资本表!O49</f>
        <v>9257921598.6599998</v>
      </c>
      <c r="P6" s="26">
        <f>资产资本表!P49</f>
        <v>5593878311.3600006</v>
      </c>
      <c r="Q6" s="26">
        <f>资产资本表!Q49</f>
        <v>5980640060.5200005</v>
      </c>
      <c r="R6" s="26">
        <f>资产资本表!R49</f>
        <v>6527245992.4099998</v>
      </c>
      <c r="S6" s="26">
        <f>资产资本表!S49</f>
        <v>4224498232.2599998</v>
      </c>
      <c r="T6" s="26">
        <f>资产资本表!T49</f>
        <v>4410248789.1199999</v>
      </c>
      <c r="U6" s="26">
        <f>资产资本表!U49</f>
        <v>5516511845.6100006</v>
      </c>
      <c r="V6" s="26">
        <f>资产资本表!V49</f>
        <v>8524485415.3599997</v>
      </c>
      <c r="W6" s="26">
        <f>资产资本表!W49</f>
        <v>6227725132.2700005</v>
      </c>
      <c r="X6" s="26">
        <f>资产资本表!X49</f>
        <v>4189955383.1799998</v>
      </c>
      <c r="Y6" s="26">
        <f>资产资本表!Y49</f>
        <v>6677070345.8500004</v>
      </c>
      <c r="Z6" s="26">
        <f>资产资本表!Z49</f>
        <v>9544172556.210001</v>
      </c>
      <c r="AA6" s="26">
        <f>资产资本表!AA49</f>
        <v>6647622537.9500008</v>
      </c>
      <c r="AB6" s="26">
        <f>资产资本表!AB49</f>
        <v>7072911468.1599989</v>
      </c>
      <c r="AC6" s="26">
        <f>资产资本表!AC49</f>
        <v>7874714333.5700006</v>
      </c>
      <c r="AD6" s="26">
        <f>资产资本表!AD49</f>
        <v>9497489364.1200008</v>
      </c>
      <c r="AE6" s="26">
        <f>资产资本表!AE49</f>
        <v>9584894248.0999985</v>
      </c>
      <c r="AF6" s="26">
        <f>资产资本表!AF49</f>
        <v>7106115696.3199997</v>
      </c>
      <c r="AG6" s="26">
        <f>资产资本表!AG49</f>
        <v>8302434963.0199986</v>
      </c>
      <c r="AH6" s="26">
        <f>资产资本表!AH49</f>
        <v>6719606049.7799997</v>
      </c>
      <c r="AI6" s="26">
        <f>资产资本表!AI49</f>
        <v>4868011891.8699999</v>
      </c>
      <c r="AJ6" s="26">
        <f>资产资本表!AJ49</f>
        <v>3409950721.25</v>
      </c>
      <c r="AK6" s="26">
        <f>资产资本表!AK49</f>
        <v>4434151285.7700005</v>
      </c>
      <c r="AL6" s="26">
        <f>资产资本表!AL49</f>
        <v>4980850090.8899994</v>
      </c>
      <c r="AM6" s="26">
        <f>资产资本表!AM49</f>
        <v>2522260598.27</v>
      </c>
      <c r="AN6" s="26">
        <f>资产资本表!AN49</f>
        <v>1748131217.53</v>
      </c>
      <c r="AO6" s="26">
        <f>资产资本表!AO49</f>
        <v>2845044620.4400001</v>
      </c>
      <c r="AP6" s="26">
        <f>资产资本表!AP49</f>
        <v>4250769540.4000001</v>
      </c>
      <c r="AQ6" s="26">
        <f>资产资本表!AQ49</f>
        <v>2067058209.8499999</v>
      </c>
      <c r="AR6" s="26">
        <f>资产资本表!AR49</f>
        <v>1303275797.6100001</v>
      </c>
      <c r="AS6" s="26">
        <f>资产资本表!AS49</f>
        <v>2229128703.4099998</v>
      </c>
      <c r="AT6" s="26">
        <f>资产资本表!AT49</f>
        <v>2070809111.97</v>
      </c>
      <c r="AU6" s="26">
        <f>资产资本表!AU49</f>
        <v>3199489247.6199999</v>
      </c>
      <c r="AV6" s="26">
        <f>资产资本表!AV49</f>
        <v>3284648021.25</v>
      </c>
      <c r="AW6" s="26">
        <f>资产资本表!AW49</f>
        <v>3272239314.0399995</v>
      </c>
      <c r="AX6" s="26">
        <f>资产资本表!AX49</f>
        <v>3384925618.96</v>
      </c>
      <c r="AY6" s="26">
        <f>资产资本表!AY49</f>
        <v>3332271621.6200004</v>
      </c>
      <c r="AZ6" s="26">
        <f>资产资本表!AZ49</f>
        <v>2735066860.52</v>
      </c>
      <c r="BA6" s="26">
        <f>资产资本表!BA49</f>
        <v>2422880495.1400003</v>
      </c>
      <c r="BB6" s="26">
        <f>资产资本表!BB49</f>
        <v>2848300060.8800001</v>
      </c>
      <c r="BC6" s="26">
        <f>资产资本表!BC49</f>
        <v>2254452187.0799999</v>
      </c>
      <c r="BD6" s="26">
        <f>资产资本表!BD49</f>
        <v>1994571180.1199999</v>
      </c>
      <c r="BE6" s="26">
        <f>资产资本表!BE49</f>
        <v>1899073486.55</v>
      </c>
      <c r="BF6" s="26">
        <f>资产资本表!BF49</f>
        <v>2124455923.5999999</v>
      </c>
      <c r="BG6" s="26">
        <f>资产资本表!BG49</f>
        <v>1597709537.28</v>
      </c>
      <c r="BH6" s="26">
        <f>资产资本表!BH49</f>
        <v>1148820601.27</v>
      </c>
      <c r="BI6" s="26">
        <f>资产资本表!BI49</f>
        <v>1042702361.1700001</v>
      </c>
      <c r="BJ6" s="26">
        <f>资产资本表!BJ49</f>
        <v>1469461388.48</v>
      </c>
      <c r="BK6" s="26">
        <f>资产资本表!BK49</f>
        <v>1156878334.6900001</v>
      </c>
      <c r="BL6" s="26">
        <f>资产资本表!BL49</f>
        <v>730714522.29999995</v>
      </c>
      <c r="BM6" s="26">
        <f>资产资本表!BM49</f>
        <v>718079642.61000001</v>
      </c>
      <c r="BN6" s="26">
        <f>资产资本表!BN49</f>
        <v>986819025</v>
      </c>
      <c r="BO6" s="26">
        <f>资产资本表!BO49</f>
        <v>679374753.59000003</v>
      </c>
      <c r="BP6" s="26">
        <f>资产资本表!BP49</f>
        <v>449951928.15999997</v>
      </c>
      <c r="BQ6" s="26">
        <f>资产资本表!BQ49</f>
        <v>500559785.91999996</v>
      </c>
      <c r="BR6" s="26">
        <f>资产资本表!BR49</f>
        <v>750403161.5</v>
      </c>
      <c r="BS6" s="26">
        <f>资产资本表!BS49</f>
        <v>371936579.35000002</v>
      </c>
      <c r="BT6" s="26">
        <f>资产资本表!BT49</f>
        <v>691246887.79000008</v>
      </c>
      <c r="BU6" s="26">
        <f>资产资本表!BU49</f>
        <v>456841968.64999998</v>
      </c>
      <c r="BV6" s="26">
        <f>资产资本表!BV49</f>
        <v>296054535.31999999</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336</v>
      </c>
      <c r="E7" s="26">
        <f>资产资本表!E68</f>
        <v>22568962179.689999</v>
      </c>
      <c r="F7" s="26">
        <f>资产资本表!F68</f>
        <v>22298780913.480003</v>
      </c>
      <c r="G7" s="26">
        <f>资产资本表!G68</f>
        <v>22918491342.999996</v>
      </c>
      <c r="H7" s="26">
        <f>资产资本表!H68</f>
        <v>22731699774.959999</v>
      </c>
      <c r="I7" s="26">
        <f>资产资本表!I68</f>
        <v>22817594707.380001</v>
      </c>
      <c r="J7" s="26">
        <f>资产资本表!J68</f>
        <v>22664155957.809998</v>
      </c>
      <c r="K7" s="26">
        <f>资产资本表!K68</f>
        <v>21444273234.480003</v>
      </c>
      <c r="L7" s="26">
        <f>资产资本表!L68</f>
        <v>21392393700.330002</v>
      </c>
      <c r="M7" s="26">
        <f>资产资本表!M68</f>
        <v>21411153404.440002</v>
      </c>
      <c r="N7" s="26">
        <f>资产资本表!N68</f>
        <v>21248449399.18</v>
      </c>
      <c r="O7" s="26">
        <f>资产资本表!O68</f>
        <v>20211532117.090004</v>
      </c>
      <c r="P7" s="26">
        <f>资产资本表!P68</f>
        <v>18987964757.829998</v>
      </c>
      <c r="Q7" s="26">
        <f>资产资本表!Q68</f>
        <v>18230836536.52</v>
      </c>
      <c r="R7" s="26">
        <f>资产资本表!R68</f>
        <v>18207426150.310001</v>
      </c>
      <c r="S7" s="26">
        <f>资产资本表!S68</f>
        <v>16579195222.92</v>
      </c>
      <c r="T7" s="26">
        <f>资产资本表!T68</f>
        <v>16508024564.630001</v>
      </c>
      <c r="U7" s="26">
        <f>资产资本表!U68</f>
        <v>15510262009.01</v>
      </c>
      <c r="V7" s="26">
        <f>资产资本表!V68</f>
        <v>13378039742.819998</v>
      </c>
      <c r="W7" s="26">
        <f>资产资本表!W68</f>
        <v>9354840713.1000004</v>
      </c>
      <c r="X7" s="26">
        <f>资产资本表!X68</f>
        <v>8883733311.7900009</v>
      </c>
      <c r="Y7" s="26">
        <f>资产资本表!Y68</f>
        <v>8992122215.5200005</v>
      </c>
      <c r="Z7" s="26">
        <f>资产资本表!Z68</f>
        <v>8719132339.5799999</v>
      </c>
      <c r="AA7" s="26">
        <f>资产资本表!AA68</f>
        <v>7294983711.5200014</v>
      </c>
      <c r="AB7" s="26">
        <f>资产资本表!AB68</f>
        <v>7233172510.8199997</v>
      </c>
      <c r="AC7" s="26">
        <f>资产资本表!AC68</f>
        <v>7120957543.2699995</v>
      </c>
      <c r="AD7" s="26">
        <f>资产资本表!AD68</f>
        <v>7007236794.9799995</v>
      </c>
      <c r="AE7" s="26">
        <f>资产资本表!AE68</f>
        <v>5843593182.6300001</v>
      </c>
      <c r="AF7" s="26">
        <f>资产资本表!AF68</f>
        <v>5386664776.8999996</v>
      </c>
      <c r="AG7" s="26">
        <f>资产资本表!AG68</f>
        <v>5340910754.6800003</v>
      </c>
      <c r="AH7" s="26">
        <f>资产资本表!AH68</f>
        <v>5223295112.3800001</v>
      </c>
      <c r="AI7" s="26">
        <f>资产资本表!AI68</f>
        <v>4790322092.2399998</v>
      </c>
      <c r="AJ7" s="26">
        <f>资产资本表!AJ68</f>
        <v>4686522574.4800005</v>
      </c>
      <c r="AK7" s="26">
        <f>资产资本表!AK68</f>
        <v>4209497907.4599996</v>
      </c>
      <c r="AL7" s="26">
        <f>资产资本表!AL68</f>
        <v>4100037784.3299999</v>
      </c>
      <c r="AM7" s="26">
        <f>资产资本表!AM68</f>
        <v>3862081948.3500004</v>
      </c>
      <c r="AN7" s="26">
        <f>资产资本表!AN68</f>
        <v>3725937589.1599998</v>
      </c>
      <c r="AO7" s="26">
        <f>资产资本表!AO68</f>
        <v>3672677824.8999996</v>
      </c>
      <c r="AP7" s="26">
        <f>资产资本表!AP68</f>
        <v>3467436953.5099998</v>
      </c>
      <c r="AQ7" s="26">
        <f>资产资本表!AQ68</f>
        <v>3698014271</v>
      </c>
      <c r="AR7" s="26">
        <f>资产资本表!AR68</f>
        <v>3485080172.4299998</v>
      </c>
      <c r="AS7" s="26">
        <f>资产资本表!AS68</f>
        <v>3297338900.5300002</v>
      </c>
      <c r="AT7" s="26">
        <f>资产资本表!AT68</f>
        <v>3147968937.0299997</v>
      </c>
      <c r="AU7" s="26">
        <f>资产资本表!AU68</f>
        <v>3024136003.2399998</v>
      </c>
      <c r="AV7" s="26">
        <f>资产资本表!AV68</f>
        <v>2890999545.0699997</v>
      </c>
      <c r="AW7" s="26">
        <f>资产资本表!AW68</f>
        <v>2781515402.9900002</v>
      </c>
      <c r="AX7" s="26">
        <f>资产资本表!AX68</f>
        <v>2584084817.4099994</v>
      </c>
      <c r="AY7" s="26">
        <f>资产资本表!AY68</f>
        <v>2439622324.4800005</v>
      </c>
      <c r="AZ7" s="26">
        <f>资产资本表!AZ68</f>
        <v>2253040524.3499999</v>
      </c>
      <c r="BA7" s="26">
        <f>资产资本表!BA68</f>
        <v>2105395904.1500001</v>
      </c>
      <c r="BB7" s="26">
        <f>资产资本表!BB68</f>
        <v>2027833159.6499999</v>
      </c>
      <c r="BC7" s="26">
        <f>资产资本表!BC68</f>
        <v>1895118116.76</v>
      </c>
      <c r="BD7" s="26">
        <f>资产资本表!BD68</f>
        <v>1771037857.3700001</v>
      </c>
      <c r="BE7" s="26">
        <f>资产资本表!BE68</f>
        <v>1675782383.1600001</v>
      </c>
      <c r="BF7" s="26">
        <f>资产资本表!BF68</f>
        <v>1591199412.04</v>
      </c>
      <c r="BG7" s="26">
        <f>资产资本表!BG68</f>
        <v>1459570659.4500003</v>
      </c>
      <c r="BH7" s="26">
        <f>资产资本表!BH68</f>
        <v>1394793760.2599998</v>
      </c>
      <c r="BI7" s="26">
        <f>资产资本表!BI68</f>
        <v>1328300138.5599997</v>
      </c>
      <c r="BJ7" s="26">
        <f>资产资本表!BJ68</f>
        <v>1196336776.9300001</v>
      </c>
      <c r="BK7" s="26">
        <f>资产资本表!BK68</f>
        <v>1161910893.28</v>
      </c>
      <c r="BL7" s="26">
        <f>资产资本表!BL68</f>
        <v>1088933336.0799999</v>
      </c>
      <c r="BM7" s="26">
        <f>资产资本表!BM68</f>
        <v>1015774319.86</v>
      </c>
      <c r="BN7" s="26">
        <f>资产资本表!BN68</f>
        <v>935648707.24999988</v>
      </c>
      <c r="BO7" s="26">
        <f>资产资本表!BO68</f>
        <v>855601030.65999997</v>
      </c>
      <c r="BP7" s="26">
        <f>资产资本表!BP68</f>
        <v>744821426.96000004</v>
      </c>
      <c r="BQ7" s="26">
        <f>资产资本表!BQ68</f>
        <v>611201680.95000005</v>
      </c>
      <c r="BR7" s="26">
        <f>资产资本表!BR68</f>
        <v>593463444.28000009</v>
      </c>
      <c r="BS7" s="26">
        <f>资产资本表!BS68</f>
        <v>194684528.31999999</v>
      </c>
      <c r="BT7" s="26">
        <f>资产资本表!BT68</f>
        <v>198886333.54000002</v>
      </c>
      <c r="BU7" s="26">
        <f>资产资本表!BU68</f>
        <v>194339652.84999999</v>
      </c>
      <c r="BV7" s="26">
        <f>资产资本表!BV68</f>
        <v>220941379.79999998</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41" t="s">
        <v>636</v>
      </c>
      <c r="E8" s="26">
        <f>资产资本表!E69</f>
        <v>25620543530.799999</v>
      </c>
      <c r="F8" s="26">
        <f>资产资本表!F69</f>
        <v>18333177293.660004</v>
      </c>
      <c r="G8" s="26">
        <f>资产资本表!G69</f>
        <v>19038618531.790001</v>
      </c>
      <c r="H8" s="26">
        <f>资产资本表!H69</f>
        <v>22375469750.970001</v>
      </c>
      <c r="I8" s="26">
        <f>资产资本表!I69</f>
        <v>19819663109.770004</v>
      </c>
      <c r="J8" s="26">
        <f>资产资本表!J69</f>
        <v>19236142330.050003</v>
      </c>
      <c r="K8" s="26">
        <f>资产资本表!K69</f>
        <v>21462163431.490002</v>
      </c>
      <c r="L8" s="26">
        <f>资产资本表!L69</f>
        <v>32248320744.110001</v>
      </c>
      <c r="M8" s="26">
        <f>资产资本表!M69</f>
        <v>33465523930.550003</v>
      </c>
      <c r="N8" s="26">
        <f>资产资本表!N69</f>
        <v>35294605221.290001</v>
      </c>
      <c r="O8" s="26">
        <f>资产资本表!O69</f>
        <v>37578209319.600006</v>
      </c>
      <c r="P8" s="26">
        <f>资产资本表!P69</f>
        <v>36261021443.699997</v>
      </c>
      <c r="Q8" s="26">
        <f>资产资本表!Q69</f>
        <v>34165256625.169998</v>
      </c>
      <c r="R8" s="26">
        <f>资产资本表!R69</f>
        <v>31459788629.68</v>
      </c>
      <c r="S8" s="26">
        <f>资产资本表!S69</f>
        <v>31513581175.470001</v>
      </c>
      <c r="T8" s="26">
        <f>资产资本表!T69</f>
        <v>29600828359.630001</v>
      </c>
      <c r="U8" s="26">
        <f>资产资本表!U69</f>
        <v>27005784131.07</v>
      </c>
      <c r="V8" s="26">
        <f>资产资本表!V69</f>
        <v>21411529282.779999</v>
      </c>
      <c r="W8" s="26">
        <f>资产资本表!W69</f>
        <v>20665520717.809998</v>
      </c>
      <c r="X8" s="26">
        <f>资产资本表!X69</f>
        <v>20864084058.559998</v>
      </c>
      <c r="Y8" s="26">
        <f>资产资本表!Y69</f>
        <v>17266112795.889999</v>
      </c>
      <c r="Z8" s="26">
        <f>资产资本表!Z69</f>
        <v>13073423733.859999</v>
      </c>
      <c r="AA8" s="26">
        <f>资产资本表!AA69</f>
        <v>13177266167.59</v>
      </c>
      <c r="AB8" s="26">
        <f>资产资本表!AB69</f>
        <v>11388895016.580002</v>
      </c>
      <c r="AC8" s="26">
        <f>资产资本表!AC69</f>
        <v>9472857395.9499989</v>
      </c>
      <c r="AD8" s="26">
        <f>资产资本表!AD69</f>
        <v>6859506689.1999989</v>
      </c>
      <c r="AE8" s="26">
        <f>资产资本表!AE69</f>
        <v>4780928465.1400023</v>
      </c>
      <c r="AF8" s="26">
        <f>资产资本表!AF69</f>
        <v>6330739827.5599995</v>
      </c>
      <c r="AG8" s="26">
        <f>资产资本表!AG69</f>
        <v>4757328279.9800014</v>
      </c>
      <c r="AH8" s="26">
        <f>资产资本表!AH69</f>
        <v>5872851576.2800007</v>
      </c>
      <c r="AI8" s="26">
        <f>资产资本表!AI69</f>
        <v>6774650753.2599993</v>
      </c>
      <c r="AJ8" s="26">
        <f>资产资本表!AJ69</f>
        <v>7541572650</v>
      </c>
      <c r="AK8" s="26">
        <f>资产资本表!AK69</f>
        <v>6001329308.4499989</v>
      </c>
      <c r="AL8" s="26">
        <f>资产资本表!AL69</f>
        <v>5029708301.5900011</v>
      </c>
      <c r="AM8" s="26">
        <f>资产资本表!AM69</f>
        <v>6287723893.2299995</v>
      </c>
      <c r="AN8" s="26">
        <f>资产资本表!AN69</f>
        <v>6397372476.7400007</v>
      </c>
      <c r="AO8" s="26">
        <f>资产资本表!AO69</f>
        <v>5059053107.4699993</v>
      </c>
      <c r="AP8" s="26">
        <f>资产资本表!AP69</f>
        <v>3360912854.7899995</v>
      </c>
      <c r="AQ8" s="26">
        <f>资产资本表!AQ69</f>
        <v>4476893441.9700003</v>
      </c>
      <c r="AR8" s="26">
        <f>资产资本表!AR69</f>
        <v>4863768054.29</v>
      </c>
      <c r="AS8" s="26">
        <f>资产资本表!AS69</f>
        <v>3720424578.7800002</v>
      </c>
      <c r="AT8" s="26">
        <f>资产资本表!AT69</f>
        <v>3622372028.46</v>
      </c>
      <c r="AU8" s="26">
        <f>资产资本表!AU69</f>
        <v>2176691346.0199995</v>
      </c>
      <c r="AV8" s="26">
        <f>资产资本表!AV69</f>
        <v>2067789212.2799997</v>
      </c>
      <c r="AW8" s="26">
        <f>资产资本表!AW69</f>
        <v>1891810367.920001</v>
      </c>
      <c r="AX8" s="26">
        <f>资产资本表!AX69</f>
        <v>1486635400.0999994</v>
      </c>
      <c r="AY8" s="26">
        <f>资产资本表!AY69</f>
        <v>1377391992.3499999</v>
      </c>
      <c r="AZ8" s="26">
        <f>资产资本表!AZ69</f>
        <v>1631145242.6799998</v>
      </c>
      <c r="BA8" s="26">
        <f>资产资本表!BA69</f>
        <v>1688319464.6699998</v>
      </c>
      <c r="BB8" s="26">
        <f>资产资本表!BB69</f>
        <v>1307063952.8499997</v>
      </c>
      <c r="BC8" s="26">
        <f>资产资本表!BC69</f>
        <v>1588346585.8</v>
      </c>
      <c r="BD8" s="26">
        <f>资产资本表!BD69</f>
        <v>1655608553.8800004</v>
      </c>
      <c r="BE8" s="26">
        <f>资产资本表!BE69</f>
        <v>1634730365.1000001</v>
      </c>
      <c r="BF8" s="26">
        <f>资产资本表!BF69</f>
        <v>1341054577.3899999</v>
      </c>
      <c r="BG8" s="26">
        <f>资产资本表!BG69</f>
        <v>1605676607.9200003</v>
      </c>
      <c r="BH8" s="26">
        <f>资产资本表!BH69</f>
        <v>1712813847.1399999</v>
      </c>
      <c r="BI8" s="26">
        <f>资产资本表!BI69</f>
        <v>1702963227.2399995</v>
      </c>
      <c r="BJ8" s="26">
        <f>资产资本表!BJ69</f>
        <v>1141951027.0599999</v>
      </c>
      <c r="BK8" s="26">
        <f>资产资本表!BK69</f>
        <v>1428663361.3499999</v>
      </c>
      <c r="BL8" s="26">
        <f>资产资本表!BL69</f>
        <v>1657124345.98</v>
      </c>
      <c r="BM8" s="26">
        <f>资产资本表!BM69</f>
        <v>1481219769.5</v>
      </c>
      <c r="BN8" s="26">
        <f>资产资本表!BN69</f>
        <v>1156510605.9400001</v>
      </c>
      <c r="BO8" s="26">
        <f>资产资本表!BO69</f>
        <v>1324772403.8</v>
      </c>
      <c r="BP8" s="26">
        <f>资产资本表!BP69</f>
        <v>1438216942.6100001</v>
      </c>
      <c r="BQ8" s="26">
        <f>资产资本表!BQ69</f>
        <v>1049460358.12</v>
      </c>
      <c r="BR8" s="26">
        <f>资产资本表!BR69</f>
        <v>724202035.17000008</v>
      </c>
      <c r="BS8" s="26">
        <f>资产资本表!BS69</f>
        <v>501098351.51999992</v>
      </c>
      <c r="BT8" s="26">
        <f>资产资本表!BT69</f>
        <v>95396445.859999955</v>
      </c>
      <c r="BU8" s="26">
        <f>资产资本表!BU69</f>
        <v>258737224.83000001</v>
      </c>
      <c r="BV8" s="26">
        <f>资产资本表!BV69</f>
        <v>324658521.35000002</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638</v>
      </c>
      <c r="E9" s="48">
        <f>资产资本表!E70</f>
        <v>113719127962.05</v>
      </c>
      <c r="F9" s="48">
        <f>资产资本表!F70</f>
        <v>106505655822.89</v>
      </c>
      <c r="G9" s="48">
        <f>资产资本表!G70</f>
        <v>100304234156.42999</v>
      </c>
      <c r="H9" s="48">
        <f>资产资本表!H70</f>
        <v>96420957735.519989</v>
      </c>
      <c r="I9" s="48">
        <f>资产资本表!I70</f>
        <v>93038921689.440018</v>
      </c>
      <c r="J9" s="48">
        <f>资产资本表!J70</f>
        <v>86321842822.179993</v>
      </c>
      <c r="K9" s="48">
        <f>资产资本表!K70</f>
        <v>83786221873.680008</v>
      </c>
      <c r="L9" s="48">
        <f>资产资本表!L70</f>
        <v>80057188116.410004</v>
      </c>
      <c r="M9" s="48">
        <f>资产资本表!M70</f>
        <v>77540333161.610001</v>
      </c>
      <c r="N9" s="48">
        <f>资产资本表!N70</f>
        <v>72229202167.820007</v>
      </c>
      <c r="O9" s="48">
        <f>资产资本表!O70</f>
        <v>68301112590.480003</v>
      </c>
      <c r="P9" s="48">
        <f>资产资本表!P70</f>
        <v>66743865893.57</v>
      </c>
      <c r="Q9" s="48">
        <f>资产资本表!Q70</f>
        <v>62788380577.899994</v>
      </c>
      <c r="R9" s="48">
        <f>资产资本表!R70</f>
        <v>59345919232.220001</v>
      </c>
      <c r="S9" s="48">
        <f>资产资本表!S70</f>
        <v>54427056884.389999</v>
      </c>
      <c r="T9" s="48">
        <f>资产资本表!T70</f>
        <v>50807882716.389999</v>
      </c>
      <c r="U9" s="48">
        <f>资产资本表!U70</f>
        <v>50513113858.5</v>
      </c>
      <c r="V9" s="48">
        <f>资产资本表!V70</f>
        <v>46929665261.690002</v>
      </c>
      <c r="W9" s="48">
        <f>资产资本表!W70</f>
        <v>43046712748.440002</v>
      </c>
      <c r="X9" s="48">
        <f>资产资本表!X70</f>
        <v>39430754998.509995</v>
      </c>
      <c r="Y9" s="48">
        <f>资产资本表!Y70</f>
        <v>39225149640.240005</v>
      </c>
      <c r="Z9" s="48">
        <f>资产资本表!Z70</f>
        <v>35454036397.25</v>
      </c>
      <c r="AA9" s="48">
        <f>资产资本表!AA70</f>
        <v>32187253924.760002</v>
      </c>
      <c r="AB9" s="48">
        <f>资产资本表!AB70</f>
        <v>32638540497.200001</v>
      </c>
      <c r="AC9" s="48">
        <f>资产资本表!AC70</f>
        <v>28532870402.029999</v>
      </c>
      <c r="AD9" s="48">
        <f>资产资本表!AD70</f>
        <v>25403379611.290001</v>
      </c>
      <c r="AE9" s="48">
        <f>资产资本表!AE70</f>
        <v>23309364007.230003</v>
      </c>
      <c r="AF9" s="48">
        <f>资产资本表!AF70</f>
        <v>23814033405.110001</v>
      </c>
      <c r="AG9" s="48">
        <f>资产资本表!AG70</f>
        <v>20859265220.550003</v>
      </c>
      <c r="AH9" s="48">
        <f>资产资本表!AH70</f>
        <v>18867973890.910004</v>
      </c>
      <c r="AI9" s="48">
        <f>资产资本表!AI70</f>
        <v>17942016871.77</v>
      </c>
      <c r="AJ9" s="48">
        <f>资产资本表!AJ70</f>
        <v>17923877994.279999</v>
      </c>
      <c r="AK9" s="48">
        <f>资产资本表!AK70</f>
        <v>15995948192.019999</v>
      </c>
      <c r="AL9" s="48">
        <f>资产资本表!AL70</f>
        <v>14788773056.830002</v>
      </c>
      <c r="AM9" s="48">
        <f>资产资本表!AM70</f>
        <v>14215679731.029999</v>
      </c>
      <c r="AN9" s="48">
        <f>资产资本表!AN70</f>
        <v>14225618797.950001</v>
      </c>
      <c r="AO9" s="48">
        <f>资产资本表!AO70</f>
        <v>12780458863.77</v>
      </c>
      <c r="AP9" s="48">
        <f>资产资本表!AP70</f>
        <v>11503418295.949999</v>
      </c>
      <c r="AQ9" s="48">
        <f>资产资本表!AQ70</f>
        <v>10922391711.51</v>
      </c>
      <c r="AR9" s="48">
        <f>资产资本表!AR70</f>
        <v>9972821285.0900002</v>
      </c>
      <c r="AS9" s="48">
        <f>资产资本表!AS70</f>
        <v>9327748223.0699997</v>
      </c>
      <c r="AT9" s="48">
        <f>资产资本表!AT70</f>
        <v>8410662728.4800005</v>
      </c>
      <c r="AU9" s="48">
        <f>资产资本表!AU70</f>
        <v>6994706282.3699999</v>
      </c>
      <c r="AV9" s="48">
        <f>资产资本表!AV70</f>
        <v>6942283668.4399996</v>
      </c>
      <c r="AW9" s="48">
        <f>资产资本表!AW70</f>
        <v>6611065299.210001</v>
      </c>
      <c r="AX9" s="48">
        <f>资产资本表!AX70</f>
        <v>6003989385.0299997</v>
      </c>
      <c r="AY9" s="48">
        <f>资产资本表!AY70</f>
        <v>5472067233.3999996</v>
      </c>
      <c r="AZ9" s="48">
        <f>资产资本表!AZ70</f>
        <v>5060632616.039999</v>
      </c>
      <c r="BA9" s="48">
        <f>资产资本表!BA70</f>
        <v>5674270668.8800001</v>
      </c>
      <c r="BB9" s="48">
        <f>资产资本表!BB70</f>
        <v>5209296403.71</v>
      </c>
      <c r="BC9" s="48">
        <f>资产资本表!BC70</f>
        <v>4815192644.5100002</v>
      </c>
      <c r="BD9" s="48">
        <f>资产资本表!BD70</f>
        <v>4730662106.0300007</v>
      </c>
      <c r="BE9" s="48">
        <f>资产资本表!BE70</f>
        <v>4669283111.6100006</v>
      </c>
      <c r="BF9" s="48">
        <f>资产资本表!BF70</f>
        <v>4249197059.9699998</v>
      </c>
      <c r="BG9" s="48">
        <f>资产资本表!BG70</f>
        <v>4028965574.3800001</v>
      </c>
      <c r="BH9" s="48">
        <f>资产资本表!BH70</f>
        <v>3889604003.73</v>
      </c>
      <c r="BI9" s="48">
        <f>资产资本表!BI70</f>
        <v>3808412072.9599991</v>
      </c>
      <c r="BJ9" s="48">
        <f>资产资本表!BJ70</f>
        <v>3485998413.9099998</v>
      </c>
      <c r="BK9" s="48">
        <f>资产资本表!BK70</f>
        <v>3301456325.0599999</v>
      </c>
      <c r="BL9" s="48">
        <f>资产资本表!BL70</f>
        <v>3197373661.6199999</v>
      </c>
      <c r="BM9" s="48">
        <f>资产资本表!BM70</f>
        <v>3170177508.0599999</v>
      </c>
      <c r="BN9" s="48">
        <f>资产资本表!BN70</f>
        <v>2940818296.5799999</v>
      </c>
      <c r="BO9" s="48">
        <f>资产资本表!BO70</f>
        <v>3005997323.8400002</v>
      </c>
      <c r="BP9" s="48">
        <f>资产资本表!BP70</f>
        <v>2956017232.4400001</v>
      </c>
      <c r="BQ9" s="48">
        <f>资产资本表!BQ70</f>
        <v>2927390204.21</v>
      </c>
      <c r="BR9" s="48">
        <f>资产资本表!BR70</f>
        <v>2680638605.27</v>
      </c>
      <c r="BS9" s="48">
        <f>资产资本表!BS70</f>
        <v>837537565.01999998</v>
      </c>
      <c r="BT9" s="48">
        <f>资产资本表!BT70</f>
        <v>556380029.31999993</v>
      </c>
      <c r="BU9" s="48">
        <f>资产资本表!BU70</f>
        <v>457127839.95000005</v>
      </c>
      <c r="BV9" s="48">
        <f>资产资本表!BV70</f>
        <v>449423890.09000003</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339</v>
      </c>
      <c r="E10" s="26">
        <f>资产资本表!E72</f>
        <v>14307389.24</v>
      </c>
      <c r="F10" s="26">
        <f>资产资本表!F72</f>
        <v>23414593.670000002</v>
      </c>
      <c r="G10" s="26">
        <f>资产资本表!G72</f>
        <v>24740964.149999999</v>
      </c>
      <c r="H10" s="26">
        <f>资产资本表!H72</f>
        <v>39370998.079999998</v>
      </c>
      <c r="I10" s="26">
        <f>资产资本表!I72</f>
        <v>39606282.75</v>
      </c>
      <c r="J10" s="26">
        <f>资产资本表!J72</f>
        <v>34481635.329999998</v>
      </c>
      <c r="K10" s="26">
        <f>资产资本表!K72</f>
        <v>21599948.09</v>
      </c>
      <c r="L10" s="26">
        <f>资产资本表!L72</f>
        <v>46904631.719999999</v>
      </c>
      <c r="M10" s="26">
        <f>资产资本表!M72</f>
        <v>40428159.979999997</v>
      </c>
      <c r="N10" s="26">
        <f>资产资本表!N72</f>
        <v>27409447.399999999</v>
      </c>
      <c r="O10" s="26">
        <f>资产资本表!O72</f>
        <v>15831375.970000001</v>
      </c>
      <c r="P10" s="26">
        <f>资产资本表!P72</f>
        <v>33124441.800000001</v>
      </c>
      <c r="Q10" s="26">
        <f>资产资本表!Q72</f>
        <v>23734467.609999999</v>
      </c>
      <c r="R10" s="26">
        <f>资产资本表!R72</f>
        <v>77917681.909999996</v>
      </c>
      <c r="S10" s="26">
        <f>资产资本表!S72</f>
        <v>7473820.4900000002</v>
      </c>
      <c r="T10" s="26">
        <f>资产资本表!T72</f>
        <v>33684820.810000002</v>
      </c>
      <c r="U10" s="26">
        <f>资产资本表!U72</f>
        <v>24308411.109999999</v>
      </c>
      <c r="V10" s="26">
        <f>资产资本表!V72</f>
        <v>27383888.890000001</v>
      </c>
      <c r="W10" s="26">
        <f>资产资本表!W72</f>
        <v>13514111.109999999</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109000000</v>
      </c>
      <c r="BT10" s="26">
        <f>资产资本表!BT72</f>
        <v>129000000</v>
      </c>
      <c r="BU10" s="26">
        <f>资产资本表!BU72</f>
        <v>174460000</v>
      </c>
      <c r="BV10" s="26">
        <f>资产资本表!BV72</f>
        <v>147000000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300000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60360000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41" t="s">
        <v>637</v>
      </c>
      <c r="E12" s="26">
        <f>资产资本表!E89</f>
        <v>14307389.24</v>
      </c>
      <c r="F12" s="26">
        <f>资产资本表!F89</f>
        <v>23414593.670000002</v>
      </c>
      <c r="G12" s="26">
        <f>资产资本表!G89</f>
        <v>24740964.149999999</v>
      </c>
      <c r="H12" s="26">
        <f>资产资本表!H89</f>
        <v>39370998.079999998</v>
      </c>
      <c r="I12" s="26">
        <f>资产资本表!I89</f>
        <v>39606282.75</v>
      </c>
      <c r="J12" s="26">
        <f>资产资本表!J89</f>
        <v>34481635.329999998</v>
      </c>
      <c r="K12" s="26">
        <f>资产资本表!K89</f>
        <v>21599948.09</v>
      </c>
      <c r="L12" s="26">
        <f>资产资本表!L89</f>
        <v>46904631.719999999</v>
      </c>
      <c r="M12" s="26">
        <f>资产资本表!M89</f>
        <v>40428159.979999997</v>
      </c>
      <c r="N12" s="26">
        <f>资产资本表!N89</f>
        <v>27409447.399999999</v>
      </c>
      <c r="O12" s="26">
        <f>资产资本表!O89</f>
        <v>15831375.970000001</v>
      </c>
      <c r="P12" s="26">
        <f>资产资本表!P89</f>
        <v>33124441.800000001</v>
      </c>
      <c r="Q12" s="26">
        <f>资产资本表!Q89</f>
        <v>23734467.609999999</v>
      </c>
      <c r="R12" s="26">
        <f>资产资本表!R89</f>
        <v>77917681.909999996</v>
      </c>
      <c r="S12" s="26">
        <f>资产资本表!S89</f>
        <v>7473820.4900000002</v>
      </c>
      <c r="T12" s="26">
        <f>资产资本表!T89</f>
        <v>33684820.810000002</v>
      </c>
      <c r="U12" s="26">
        <f>资产资本表!U89</f>
        <v>24308411.109999999</v>
      </c>
      <c r="V12" s="26">
        <f>资产资本表!V89</f>
        <v>27383888.890000001</v>
      </c>
      <c r="W12" s="26">
        <f>资产资本表!W89</f>
        <v>13514111.109999999</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300000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109000000</v>
      </c>
      <c r="BT12" s="26">
        <f>资产资本表!BT89</f>
        <v>129000000</v>
      </c>
      <c r="BU12" s="26">
        <f>资产资本表!BU89</f>
        <v>174460000</v>
      </c>
      <c r="BV12" s="26">
        <f>资产资本表!BV89</f>
        <v>207360000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41" t="s">
        <v>345</v>
      </c>
      <c r="E13" s="26">
        <f>E9-E12</f>
        <v>113704820572.81</v>
      </c>
      <c r="F13" s="26">
        <f t="shared" ref="F13:BQ13" si="0">F9-F12</f>
        <v>106482241229.22</v>
      </c>
      <c r="G13" s="26">
        <f t="shared" si="0"/>
        <v>100279493192.28</v>
      </c>
      <c r="H13" s="26">
        <f t="shared" si="0"/>
        <v>96381586737.439987</v>
      </c>
      <c r="I13" s="26">
        <f t="shared" si="0"/>
        <v>92999315406.690018</v>
      </c>
      <c r="J13" s="26">
        <f t="shared" si="0"/>
        <v>86287361186.849991</v>
      </c>
      <c r="K13" s="26">
        <f t="shared" si="0"/>
        <v>83764621925.590012</v>
      </c>
      <c r="L13" s="26">
        <f t="shared" si="0"/>
        <v>80010283484.690002</v>
      </c>
      <c r="M13" s="26">
        <f t="shared" si="0"/>
        <v>77499905001.630005</v>
      </c>
      <c r="N13" s="26">
        <f t="shared" si="0"/>
        <v>72201792720.420013</v>
      </c>
      <c r="O13" s="26">
        <f t="shared" si="0"/>
        <v>68285281214.510002</v>
      </c>
      <c r="P13" s="26">
        <f t="shared" si="0"/>
        <v>66710741451.769997</v>
      </c>
      <c r="Q13" s="26">
        <f t="shared" si="0"/>
        <v>62764646110.289993</v>
      </c>
      <c r="R13" s="26">
        <f t="shared" si="0"/>
        <v>59268001550.309998</v>
      </c>
      <c r="S13" s="26">
        <f t="shared" si="0"/>
        <v>54419583063.900002</v>
      </c>
      <c r="T13" s="26">
        <f t="shared" si="0"/>
        <v>50774197895.580002</v>
      </c>
      <c r="U13" s="26">
        <f t="shared" si="0"/>
        <v>50488805447.389999</v>
      </c>
      <c r="V13" s="26">
        <f t="shared" si="0"/>
        <v>46902281372.800003</v>
      </c>
      <c r="W13" s="26">
        <f t="shared" si="0"/>
        <v>43033198637.330002</v>
      </c>
      <c r="X13" s="26">
        <f t="shared" si="0"/>
        <v>39430754998.509995</v>
      </c>
      <c r="Y13" s="26">
        <f t="shared" si="0"/>
        <v>39225149640.240005</v>
      </c>
      <c r="Z13" s="26">
        <f t="shared" si="0"/>
        <v>35454036397.25</v>
      </c>
      <c r="AA13" s="26">
        <f t="shared" si="0"/>
        <v>32187253924.760002</v>
      </c>
      <c r="AB13" s="26">
        <f t="shared" si="0"/>
        <v>32638540497.200001</v>
      </c>
      <c r="AC13" s="26">
        <f t="shared" si="0"/>
        <v>28532870402.029999</v>
      </c>
      <c r="AD13" s="26">
        <f t="shared" si="0"/>
        <v>25403379611.290001</v>
      </c>
      <c r="AE13" s="26">
        <f t="shared" si="0"/>
        <v>23309364007.230003</v>
      </c>
      <c r="AF13" s="26">
        <f t="shared" si="0"/>
        <v>23814033405.110001</v>
      </c>
      <c r="AG13" s="26">
        <f t="shared" si="0"/>
        <v>20859265220.550003</v>
      </c>
      <c r="AH13" s="26">
        <f t="shared" si="0"/>
        <v>18867973890.910004</v>
      </c>
      <c r="AI13" s="26">
        <f t="shared" si="0"/>
        <v>17942016871.77</v>
      </c>
      <c r="AJ13" s="26">
        <f t="shared" si="0"/>
        <v>17923877994.279999</v>
      </c>
      <c r="AK13" s="26">
        <f t="shared" si="0"/>
        <v>15995948192.019999</v>
      </c>
      <c r="AL13" s="26">
        <f t="shared" si="0"/>
        <v>14788773056.830002</v>
      </c>
      <c r="AM13" s="26">
        <f t="shared" si="0"/>
        <v>14215679731.029999</v>
      </c>
      <c r="AN13" s="26">
        <f t="shared" si="0"/>
        <v>14225618797.950001</v>
      </c>
      <c r="AO13" s="26">
        <f t="shared" si="0"/>
        <v>12780458863.77</v>
      </c>
      <c r="AP13" s="26">
        <f t="shared" si="0"/>
        <v>11503418295.949999</v>
      </c>
      <c r="AQ13" s="26">
        <f t="shared" si="0"/>
        <v>10922391711.51</v>
      </c>
      <c r="AR13" s="26">
        <f t="shared" si="0"/>
        <v>9972821285.0900002</v>
      </c>
      <c r="AS13" s="26">
        <f t="shared" si="0"/>
        <v>9327748223.0699997</v>
      </c>
      <c r="AT13" s="26">
        <f t="shared" si="0"/>
        <v>8410662728.4800005</v>
      </c>
      <c r="AU13" s="26">
        <f t="shared" si="0"/>
        <v>6994706282.3699999</v>
      </c>
      <c r="AV13" s="26">
        <f t="shared" si="0"/>
        <v>6942283668.4399996</v>
      </c>
      <c r="AW13" s="26">
        <f t="shared" si="0"/>
        <v>6611065299.210001</v>
      </c>
      <c r="AX13" s="26">
        <f t="shared" si="0"/>
        <v>6003989385.0299997</v>
      </c>
      <c r="AY13" s="26">
        <f t="shared" si="0"/>
        <v>5472067233.3999996</v>
      </c>
      <c r="AZ13" s="26">
        <f t="shared" si="0"/>
        <v>5060632616.039999</v>
      </c>
      <c r="BA13" s="26">
        <f t="shared" si="0"/>
        <v>5674270668.8800001</v>
      </c>
      <c r="BB13" s="26">
        <f t="shared" si="0"/>
        <v>5209296403.71</v>
      </c>
      <c r="BC13" s="26">
        <f t="shared" si="0"/>
        <v>4815192644.5100002</v>
      </c>
      <c r="BD13" s="26">
        <f t="shared" si="0"/>
        <v>4730662106.0300007</v>
      </c>
      <c r="BE13" s="26">
        <f t="shared" si="0"/>
        <v>4669283111.6100006</v>
      </c>
      <c r="BF13" s="26">
        <f t="shared" si="0"/>
        <v>4248897059.9699998</v>
      </c>
      <c r="BG13" s="26">
        <f t="shared" si="0"/>
        <v>4028965574.3800001</v>
      </c>
      <c r="BH13" s="26">
        <f t="shared" si="0"/>
        <v>3889604003.73</v>
      </c>
      <c r="BI13" s="26">
        <f t="shared" si="0"/>
        <v>3808412072.9599991</v>
      </c>
      <c r="BJ13" s="26">
        <f t="shared" si="0"/>
        <v>3485998413.9099998</v>
      </c>
      <c r="BK13" s="26">
        <f t="shared" si="0"/>
        <v>3301456325.0599999</v>
      </c>
      <c r="BL13" s="26">
        <f t="shared" si="0"/>
        <v>3197373661.6199999</v>
      </c>
      <c r="BM13" s="26">
        <f t="shared" si="0"/>
        <v>3170177508.0599999</v>
      </c>
      <c r="BN13" s="26">
        <f t="shared" si="0"/>
        <v>2940818296.5799999</v>
      </c>
      <c r="BO13" s="26">
        <f t="shared" si="0"/>
        <v>3005997323.8400002</v>
      </c>
      <c r="BP13" s="26">
        <f t="shared" si="0"/>
        <v>2956017232.4400001</v>
      </c>
      <c r="BQ13" s="26">
        <f t="shared" si="0"/>
        <v>2927390204.21</v>
      </c>
      <c r="BR13" s="26">
        <f t="shared" ref="BR13:CL13" si="1">BR9-BR12</f>
        <v>2680638605.27</v>
      </c>
      <c r="BS13" s="26">
        <f t="shared" si="1"/>
        <v>728537565.01999998</v>
      </c>
      <c r="BT13" s="26">
        <f t="shared" si="1"/>
        <v>427380029.31999993</v>
      </c>
      <c r="BU13" s="26">
        <f t="shared" si="1"/>
        <v>282667839.95000005</v>
      </c>
      <c r="BV13" s="26">
        <f t="shared" si="1"/>
        <v>242063890.09000003</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639</v>
      </c>
      <c r="E14" s="48">
        <f>E9</f>
        <v>113719127962.05</v>
      </c>
      <c r="F14" s="48">
        <f t="shared" ref="F14:BQ14" si="2">F9</f>
        <v>106505655822.89</v>
      </c>
      <c r="G14" s="48">
        <f t="shared" si="2"/>
        <v>100304234156.42999</v>
      </c>
      <c r="H14" s="48">
        <f t="shared" si="2"/>
        <v>96420957735.519989</v>
      </c>
      <c r="I14" s="48">
        <f t="shared" si="2"/>
        <v>93038921689.440018</v>
      </c>
      <c r="J14" s="48">
        <f t="shared" si="2"/>
        <v>86321842822.179993</v>
      </c>
      <c r="K14" s="48">
        <f t="shared" si="2"/>
        <v>83786221873.680008</v>
      </c>
      <c r="L14" s="48">
        <f t="shared" si="2"/>
        <v>80057188116.410004</v>
      </c>
      <c r="M14" s="48">
        <f t="shared" si="2"/>
        <v>77540333161.610001</v>
      </c>
      <c r="N14" s="48">
        <f t="shared" si="2"/>
        <v>72229202167.820007</v>
      </c>
      <c r="O14" s="48">
        <f t="shared" si="2"/>
        <v>68301112590.480003</v>
      </c>
      <c r="P14" s="48">
        <f t="shared" si="2"/>
        <v>66743865893.57</v>
      </c>
      <c r="Q14" s="48">
        <f t="shared" si="2"/>
        <v>62788380577.899994</v>
      </c>
      <c r="R14" s="48">
        <f t="shared" si="2"/>
        <v>59345919232.220001</v>
      </c>
      <c r="S14" s="48">
        <f t="shared" si="2"/>
        <v>54427056884.389999</v>
      </c>
      <c r="T14" s="48">
        <f t="shared" si="2"/>
        <v>50807882716.389999</v>
      </c>
      <c r="U14" s="48">
        <f t="shared" si="2"/>
        <v>50513113858.5</v>
      </c>
      <c r="V14" s="48">
        <f t="shared" si="2"/>
        <v>46929665261.690002</v>
      </c>
      <c r="W14" s="48">
        <f t="shared" si="2"/>
        <v>43046712748.440002</v>
      </c>
      <c r="X14" s="48">
        <f t="shared" si="2"/>
        <v>39430754998.509995</v>
      </c>
      <c r="Y14" s="48">
        <f t="shared" si="2"/>
        <v>39225149640.240005</v>
      </c>
      <c r="Z14" s="48">
        <f t="shared" si="2"/>
        <v>35454036397.25</v>
      </c>
      <c r="AA14" s="48">
        <f t="shared" si="2"/>
        <v>32187253924.760002</v>
      </c>
      <c r="AB14" s="48">
        <f t="shared" si="2"/>
        <v>32638540497.200001</v>
      </c>
      <c r="AC14" s="48">
        <f t="shared" si="2"/>
        <v>28532870402.029999</v>
      </c>
      <c r="AD14" s="48">
        <f t="shared" si="2"/>
        <v>25403379611.290001</v>
      </c>
      <c r="AE14" s="48">
        <f t="shared" si="2"/>
        <v>23309364007.230003</v>
      </c>
      <c r="AF14" s="48">
        <f t="shared" si="2"/>
        <v>23814033405.110001</v>
      </c>
      <c r="AG14" s="48">
        <f t="shared" si="2"/>
        <v>20859265220.550003</v>
      </c>
      <c r="AH14" s="48">
        <f t="shared" si="2"/>
        <v>18867973890.910004</v>
      </c>
      <c r="AI14" s="48">
        <f t="shared" si="2"/>
        <v>17942016871.77</v>
      </c>
      <c r="AJ14" s="48">
        <f t="shared" si="2"/>
        <v>17923877994.279999</v>
      </c>
      <c r="AK14" s="48">
        <f t="shared" si="2"/>
        <v>15995948192.019999</v>
      </c>
      <c r="AL14" s="48">
        <f t="shared" si="2"/>
        <v>14788773056.830002</v>
      </c>
      <c r="AM14" s="48">
        <f t="shared" si="2"/>
        <v>14215679731.029999</v>
      </c>
      <c r="AN14" s="48">
        <f t="shared" si="2"/>
        <v>14225618797.950001</v>
      </c>
      <c r="AO14" s="48">
        <f t="shared" si="2"/>
        <v>12780458863.77</v>
      </c>
      <c r="AP14" s="48">
        <f t="shared" si="2"/>
        <v>11503418295.949999</v>
      </c>
      <c r="AQ14" s="48">
        <f t="shared" si="2"/>
        <v>10922391711.51</v>
      </c>
      <c r="AR14" s="48">
        <f t="shared" si="2"/>
        <v>9972821285.0900002</v>
      </c>
      <c r="AS14" s="48">
        <f t="shared" si="2"/>
        <v>9327748223.0699997</v>
      </c>
      <c r="AT14" s="48">
        <f t="shared" si="2"/>
        <v>8410662728.4800005</v>
      </c>
      <c r="AU14" s="48">
        <f t="shared" si="2"/>
        <v>6994706282.3699999</v>
      </c>
      <c r="AV14" s="48">
        <f t="shared" si="2"/>
        <v>6942283668.4399996</v>
      </c>
      <c r="AW14" s="48">
        <f t="shared" si="2"/>
        <v>6611065299.210001</v>
      </c>
      <c r="AX14" s="48">
        <f t="shared" si="2"/>
        <v>6003989385.0299997</v>
      </c>
      <c r="AY14" s="48">
        <f t="shared" si="2"/>
        <v>5472067233.3999996</v>
      </c>
      <c r="AZ14" s="48">
        <f t="shared" si="2"/>
        <v>5060632616.039999</v>
      </c>
      <c r="BA14" s="48">
        <f t="shared" si="2"/>
        <v>5674270668.8800001</v>
      </c>
      <c r="BB14" s="48">
        <f t="shared" si="2"/>
        <v>5209296403.71</v>
      </c>
      <c r="BC14" s="48">
        <f t="shared" si="2"/>
        <v>4815192644.5100002</v>
      </c>
      <c r="BD14" s="48">
        <f t="shared" si="2"/>
        <v>4730662106.0300007</v>
      </c>
      <c r="BE14" s="48">
        <f t="shared" si="2"/>
        <v>4669283111.6100006</v>
      </c>
      <c r="BF14" s="48">
        <f t="shared" si="2"/>
        <v>4249197059.9699998</v>
      </c>
      <c r="BG14" s="48">
        <f t="shared" si="2"/>
        <v>4028965574.3800001</v>
      </c>
      <c r="BH14" s="48">
        <f t="shared" si="2"/>
        <v>3889604003.73</v>
      </c>
      <c r="BI14" s="48">
        <f t="shared" si="2"/>
        <v>3808412072.9599991</v>
      </c>
      <c r="BJ14" s="48">
        <f t="shared" si="2"/>
        <v>3485998413.9099998</v>
      </c>
      <c r="BK14" s="48">
        <f t="shared" si="2"/>
        <v>3301456325.0599999</v>
      </c>
      <c r="BL14" s="48">
        <f t="shared" si="2"/>
        <v>3197373661.6199999</v>
      </c>
      <c r="BM14" s="48">
        <f t="shared" si="2"/>
        <v>3170177508.0599999</v>
      </c>
      <c r="BN14" s="48">
        <f t="shared" si="2"/>
        <v>2940818296.5799999</v>
      </c>
      <c r="BO14" s="48">
        <f t="shared" si="2"/>
        <v>3005997323.8400002</v>
      </c>
      <c r="BP14" s="48">
        <f t="shared" si="2"/>
        <v>2956017232.4400001</v>
      </c>
      <c r="BQ14" s="48">
        <f t="shared" si="2"/>
        <v>2927390204.21</v>
      </c>
      <c r="BR14" s="48">
        <f t="shared" ref="BR14:CL14" si="3">BR9</f>
        <v>2680638605.27</v>
      </c>
      <c r="BS14" s="48">
        <f t="shared" si="3"/>
        <v>837537565.01999998</v>
      </c>
      <c r="BT14" s="48">
        <f t="shared" si="3"/>
        <v>556380029.31999993</v>
      </c>
      <c r="BU14" s="48">
        <f t="shared" si="3"/>
        <v>457127839.95000005</v>
      </c>
      <c r="BV14" s="48">
        <f t="shared" si="3"/>
        <v>449423890.09000003</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c r="A15" s="46" t="s">
        <v>343</v>
      </c>
      <c r="E15" s="58">
        <f>E11+E13-E3-E4-E7</f>
        <v>88084277042.009995</v>
      </c>
      <c r="F15" s="58">
        <f t="shared" ref="F15:BQ15" si="4">F11+F13-F3-F4-F7</f>
        <v>88149063935.559998</v>
      </c>
      <c r="G15" s="58">
        <f t="shared" si="4"/>
        <v>81240874660.48999</v>
      </c>
      <c r="H15" s="58">
        <f t="shared" si="4"/>
        <v>74006116986.470001</v>
      </c>
      <c r="I15" s="58">
        <f t="shared" si="4"/>
        <v>73179652296.920013</v>
      </c>
      <c r="J15" s="58">
        <f t="shared" si="4"/>
        <v>67051218856.799988</v>
      </c>
      <c r="K15" s="58">
        <f t="shared" si="4"/>
        <v>62302458494.100014</v>
      </c>
      <c r="L15" s="58">
        <f t="shared" si="4"/>
        <v>47761962740.580002</v>
      </c>
      <c r="M15" s="58">
        <f t="shared" si="4"/>
        <v>44034381071.080002</v>
      </c>
      <c r="N15" s="58">
        <f t="shared" si="4"/>
        <v>36907187499.130013</v>
      </c>
      <c r="O15" s="58">
        <f t="shared" si="4"/>
        <v>30707071894.909996</v>
      </c>
      <c r="P15" s="58">
        <f t="shared" si="4"/>
        <v>30449720008.069996</v>
      </c>
      <c r="Q15" s="58">
        <f t="shared" si="4"/>
        <v>28599389485.119999</v>
      </c>
      <c r="R15" s="58">
        <f t="shared" si="4"/>
        <v>27808212920.630001</v>
      </c>
      <c r="S15" s="58">
        <f t="shared" si="4"/>
        <v>22903251888.43</v>
      </c>
      <c r="T15" s="58">
        <f t="shared" si="4"/>
        <v>21166619535.950001</v>
      </c>
      <c r="U15" s="58">
        <f t="shared" si="4"/>
        <v>23476271316.32</v>
      </c>
      <c r="V15" s="58">
        <f t="shared" si="4"/>
        <v>25486752090.020004</v>
      </c>
      <c r="W15" s="58">
        <f t="shared" si="4"/>
        <v>22363677919.520004</v>
      </c>
      <c r="X15" s="58">
        <f t="shared" si="4"/>
        <v>18562670939.949997</v>
      </c>
      <c r="Y15" s="58">
        <f t="shared" si="4"/>
        <v>21955036844.350002</v>
      </c>
      <c r="Z15" s="58">
        <f t="shared" si="4"/>
        <v>22376612663.389999</v>
      </c>
      <c r="AA15" s="58">
        <f t="shared" si="4"/>
        <v>19005987757.170002</v>
      </c>
      <c r="AB15" s="58">
        <f t="shared" si="4"/>
        <v>21245645480.619999</v>
      </c>
      <c r="AC15" s="58">
        <f t="shared" si="4"/>
        <v>19056013006.079998</v>
      </c>
      <c r="AD15" s="58">
        <f t="shared" si="4"/>
        <v>18539872922.09</v>
      </c>
      <c r="AE15" s="58">
        <f t="shared" si="4"/>
        <v>18524435542.09</v>
      </c>
      <c r="AF15" s="58">
        <f t="shared" si="4"/>
        <v>17479293577.550003</v>
      </c>
      <c r="AG15" s="58">
        <f t="shared" si="4"/>
        <v>16097936940.57</v>
      </c>
      <c r="AH15" s="58">
        <f t="shared" si="4"/>
        <v>12991122314.630001</v>
      </c>
      <c r="AI15" s="58">
        <f t="shared" si="4"/>
        <v>11163366118.51</v>
      </c>
      <c r="AJ15" s="58">
        <f t="shared" si="4"/>
        <v>10378305344.279999</v>
      </c>
      <c r="AK15" s="58">
        <f t="shared" si="4"/>
        <v>9990618883.5699997</v>
      </c>
      <c r="AL15" s="58">
        <f t="shared" si="4"/>
        <v>9755064755.2399998</v>
      </c>
      <c r="AM15" s="58">
        <f t="shared" si="4"/>
        <v>7923955837.7999992</v>
      </c>
      <c r="AN15" s="58">
        <f t="shared" si="4"/>
        <v>7824246321.2099991</v>
      </c>
      <c r="AO15" s="58">
        <f t="shared" si="4"/>
        <v>7717405756.3000011</v>
      </c>
      <c r="AP15" s="58">
        <f t="shared" si="4"/>
        <v>8138505441.1599979</v>
      </c>
      <c r="AQ15" s="58">
        <f t="shared" si="4"/>
        <v>6441498269.5400009</v>
      </c>
      <c r="AR15" s="58">
        <f t="shared" si="4"/>
        <v>5105053230.7999992</v>
      </c>
      <c r="AS15" s="58">
        <f t="shared" si="4"/>
        <v>5603323644.289999</v>
      </c>
      <c r="AT15" s="58">
        <f t="shared" si="4"/>
        <v>4784290700.0200005</v>
      </c>
      <c r="AU15" s="58">
        <f t="shared" si="4"/>
        <v>4814014936.3500004</v>
      </c>
      <c r="AV15" s="58">
        <f t="shared" si="4"/>
        <v>4870494456.1599998</v>
      </c>
      <c r="AW15" s="58">
        <f t="shared" si="4"/>
        <v>4715254931.2900009</v>
      </c>
      <c r="AX15" s="58">
        <f t="shared" si="4"/>
        <v>4505867488.6399994</v>
      </c>
      <c r="AY15" s="58">
        <f t="shared" si="4"/>
        <v>4083907788.3399992</v>
      </c>
      <c r="AZ15" s="58">
        <f t="shared" si="4"/>
        <v>3419099920.6599994</v>
      </c>
      <c r="BA15" s="58">
        <f t="shared" si="4"/>
        <v>3975708186.8800006</v>
      </c>
      <c r="BB15" s="58">
        <f t="shared" si="4"/>
        <v>3891989433.5300007</v>
      </c>
      <c r="BC15" s="58">
        <f t="shared" si="4"/>
        <v>3217007276.75</v>
      </c>
      <c r="BD15" s="58">
        <f t="shared" si="4"/>
        <v>3065214770.1900005</v>
      </c>
      <c r="BE15" s="58">
        <f t="shared" si="4"/>
        <v>3024925341.3800011</v>
      </c>
      <c r="BF15" s="58">
        <f t="shared" si="4"/>
        <v>2898327418.8499994</v>
      </c>
      <c r="BG15" s="58">
        <f t="shared" si="4"/>
        <v>2419288966.4599996</v>
      </c>
      <c r="BH15" s="58">
        <f t="shared" si="4"/>
        <v>2172790156.5900002</v>
      </c>
      <c r="BI15" s="58">
        <f t="shared" si="4"/>
        <v>2101448845.7199996</v>
      </c>
      <c r="BJ15" s="58">
        <f t="shared" si="4"/>
        <v>2340047386.8499994</v>
      </c>
      <c r="BK15" s="58">
        <f t="shared" si="4"/>
        <v>1868792963.7099998</v>
      </c>
      <c r="BL15" s="58">
        <f t="shared" si="4"/>
        <v>1536249315.6399999</v>
      </c>
      <c r="BM15" s="58">
        <f t="shared" si="4"/>
        <v>1684957738.5599999</v>
      </c>
      <c r="BN15" s="58">
        <f t="shared" si="4"/>
        <v>1780307690.6399999</v>
      </c>
      <c r="BO15" s="58">
        <f t="shared" si="4"/>
        <v>1677224920.0400004</v>
      </c>
      <c r="BP15" s="58">
        <f t="shared" si="4"/>
        <v>1513800289.8299999</v>
      </c>
      <c r="BQ15" s="58">
        <f t="shared" si="4"/>
        <v>1877929846.0899999</v>
      </c>
      <c r="BR15" s="58">
        <f t="shared" ref="BR15:CL15" si="5">BR11+BR13-BR3-BR4-BR7</f>
        <v>1956436570.0999999</v>
      </c>
      <c r="BS15" s="58">
        <f t="shared" si="5"/>
        <v>227439213.50000006</v>
      </c>
      <c r="BT15" s="58">
        <f t="shared" si="5"/>
        <v>331983583.45999998</v>
      </c>
      <c r="BU15" s="58">
        <f t="shared" si="5"/>
        <v>23930615.120000035</v>
      </c>
      <c r="BV15" s="58">
        <f t="shared" si="5"/>
        <v>-22234631.259999961</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c r="A16" s="46" t="s">
        <v>344</v>
      </c>
      <c r="E16" s="58">
        <f>E10-E2</f>
        <v>-88084277042.009995</v>
      </c>
      <c r="F16" s="58">
        <f t="shared" ref="F16:BQ16" si="6">F10-F2</f>
        <v>-88149063935.559998</v>
      </c>
      <c r="G16" s="58">
        <f t="shared" si="6"/>
        <v>-81240874660.490005</v>
      </c>
      <c r="H16" s="58">
        <f t="shared" si="6"/>
        <v>-74006116986.469986</v>
      </c>
      <c r="I16" s="58">
        <f t="shared" si="6"/>
        <v>-73179652296.920013</v>
      </c>
      <c r="J16" s="58">
        <f t="shared" si="6"/>
        <v>-67051218856.799995</v>
      </c>
      <c r="K16" s="58">
        <f t="shared" si="6"/>
        <v>-62302458494.100006</v>
      </c>
      <c r="L16" s="58">
        <f t="shared" si="6"/>
        <v>-47761962740.579994</v>
      </c>
      <c r="M16" s="58">
        <f t="shared" si="6"/>
        <v>-44034381071.079994</v>
      </c>
      <c r="N16" s="58">
        <f t="shared" si="6"/>
        <v>-36907187499.129997</v>
      </c>
      <c r="O16" s="58">
        <f t="shared" si="6"/>
        <v>-30707071894.909996</v>
      </c>
      <c r="P16" s="58">
        <f t="shared" si="6"/>
        <v>-30449720008.070004</v>
      </c>
      <c r="Q16" s="58">
        <f t="shared" si="6"/>
        <v>-28599389485.119999</v>
      </c>
      <c r="R16" s="58">
        <f t="shared" si="6"/>
        <v>-27808212920.630001</v>
      </c>
      <c r="S16" s="58">
        <f t="shared" si="6"/>
        <v>-22903251888.43</v>
      </c>
      <c r="T16" s="58">
        <f t="shared" si="6"/>
        <v>-21166619535.949997</v>
      </c>
      <c r="U16" s="58">
        <f t="shared" si="6"/>
        <v>-23476271316.32</v>
      </c>
      <c r="V16" s="58">
        <f t="shared" si="6"/>
        <v>-25486752090.02</v>
      </c>
      <c r="W16" s="58">
        <f t="shared" si="6"/>
        <v>-22363677919.52</v>
      </c>
      <c r="X16" s="58">
        <f t="shared" si="6"/>
        <v>-18562670939.949997</v>
      </c>
      <c r="Y16" s="58">
        <f t="shared" si="6"/>
        <v>-21955036844.350002</v>
      </c>
      <c r="Z16" s="58">
        <f t="shared" si="6"/>
        <v>-22376612663.389999</v>
      </c>
      <c r="AA16" s="58">
        <f t="shared" si="6"/>
        <v>-19005987757.170002</v>
      </c>
      <c r="AB16" s="58">
        <f t="shared" si="6"/>
        <v>-21245645480.619999</v>
      </c>
      <c r="AC16" s="58">
        <f t="shared" si="6"/>
        <v>-19056013006.079998</v>
      </c>
      <c r="AD16" s="58">
        <f t="shared" si="6"/>
        <v>-18539872922.09</v>
      </c>
      <c r="AE16" s="58">
        <f t="shared" si="6"/>
        <v>-18524435542.09</v>
      </c>
      <c r="AF16" s="58">
        <f t="shared" si="6"/>
        <v>-17479293577.549999</v>
      </c>
      <c r="AG16" s="58">
        <f t="shared" si="6"/>
        <v>-16097936940.57</v>
      </c>
      <c r="AH16" s="58">
        <f t="shared" si="6"/>
        <v>-12991122314.630001</v>
      </c>
      <c r="AI16" s="58">
        <f t="shared" si="6"/>
        <v>-11163366118.51</v>
      </c>
      <c r="AJ16" s="58">
        <f t="shared" si="6"/>
        <v>-10378305344.280001</v>
      </c>
      <c r="AK16" s="58">
        <f t="shared" si="6"/>
        <v>-9990618883.5699997</v>
      </c>
      <c r="AL16" s="58">
        <f t="shared" si="6"/>
        <v>-9755064755.2399998</v>
      </c>
      <c r="AM16" s="58">
        <f t="shared" si="6"/>
        <v>-7923955837.8000002</v>
      </c>
      <c r="AN16" s="58">
        <f t="shared" si="6"/>
        <v>-7824246321.21</v>
      </c>
      <c r="AO16" s="58">
        <f t="shared" si="6"/>
        <v>-7717405756.3000002</v>
      </c>
      <c r="AP16" s="58">
        <f t="shared" si="6"/>
        <v>-8138505441.1599998</v>
      </c>
      <c r="AQ16" s="58">
        <f t="shared" si="6"/>
        <v>-6441498269.54</v>
      </c>
      <c r="AR16" s="58">
        <f t="shared" si="6"/>
        <v>-5105053230.8000002</v>
      </c>
      <c r="AS16" s="58">
        <f t="shared" si="6"/>
        <v>-5603323644.29</v>
      </c>
      <c r="AT16" s="58">
        <f t="shared" si="6"/>
        <v>-4784290700.0200005</v>
      </c>
      <c r="AU16" s="58">
        <f t="shared" si="6"/>
        <v>-4814014936.3500004</v>
      </c>
      <c r="AV16" s="58">
        <f t="shared" si="6"/>
        <v>-4870494456.1599998</v>
      </c>
      <c r="AW16" s="58">
        <f t="shared" si="6"/>
        <v>-4715254931.29</v>
      </c>
      <c r="AX16" s="58">
        <f t="shared" si="6"/>
        <v>-4505867488.6400003</v>
      </c>
      <c r="AY16" s="58">
        <f t="shared" si="6"/>
        <v>-4083907788.3400002</v>
      </c>
      <c r="AZ16" s="58">
        <f t="shared" si="6"/>
        <v>-3419099920.6599998</v>
      </c>
      <c r="BA16" s="58">
        <f t="shared" si="6"/>
        <v>-3975708186.8800001</v>
      </c>
      <c r="BB16" s="58">
        <f t="shared" si="6"/>
        <v>-3891989433.5300002</v>
      </c>
      <c r="BC16" s="58">
        <f t="shared" si="6"/>
        <v>-3217007276.75</v>
      </c>
      <c r="BD16" s="58">
        <f t="shared" si="6"/>
        <v>-3065214770.1900001</v>
      </c>
      <c r="BE16" s="58">
        <f t="shared" si="6"/>
        <v>-3024925341.3800001</v>
      </c>
      <c r="BF16" s="58">
        <f t="shared" si="6"/>
        <v>-2898327418.8499999</v>
      </c>
      <c r="BG16" s="58">
        <f t="shared" si="6"/>
        <v>-2419288966.46</v>
      </c>
      <c r="BH16" s="58">
        <f t="shared" si="6"/>
        <v>-2172790156.5900002</v>
      </c>
      <c r="BI16" s="58">
        <f t="shared" si="6"/>
        <v>-2101448845.7199998</v>
      </c>
      <c r="BJ16" s="58">
        <f t="shared" si="6"/>
        <v>-2340047386.8499999</v>
      </c>
      <c r="BK16" s="58">
        <f t="shared" si="6"/>
        <v>-1868792963.71</v>
      </c>
      <c r="BL16" s="58">
        <f t="shared" si="6"/>
        <v>-1536249315.6400001</v>
      </c>
      <c r="BM16" s="58">
        <f t="shared" si="6"/>
        <v>-1684957738.5599999</v>
      </c>
      <c r="BN16" s="58">
        <f t="shared" si="6"/>
        <v>-1780307690.6400001</v>
      </c>
      <c r="BO16" s="58">
        <f t="shared" si="6"/>
        <v>-1677224920.04</v>
      </c>
      <c r="BP16" s="58">
        <f t="shared" si="6"/>
        <v>-1513800289.8299999</v>
      </c>
      <c r="BQ16" s="58">
        <f t="shared" si="6"/>
        <v>-1877929846.0899999</v>
      </c>
      <c r="BR16" s="58">
        <f t="shared" ref="BR16:CL16" si="7">BR10-BR2</f>
        <v>-1956436570.0999999</v>
      </c>
      <c r="BS16" s="58">
        <f t="shared" si="7"/>
        <v>-227439213.5</v>
      </c>
      <c r="BT16" s="58">
        <f t="shared" si="7"/>
        <v>-331983583.45999998</v>
      </c>
      <c r="BU16" s="58">
        <f t="shared" si="7"/>
        <v>-23930615.120000005</v>
      </c>
      <c r="BV16" s="58">
        <f t="shared" si="7"/>
        <v>22234631.260000005</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c r="A17" s="66" t="s">
        <v>664</v>
      </c>
      <c r="E17" s="59">
        <f>(E11+E13-E7-E3)/E4</f>
        <v>29.865124965444455</v>
      </c>
      <c r="F17" s="59">
        <f t="shared" ref="F17:BQ17" si="8">(F11+F13-F7-F3)/F4</f>
        <v>-21.228410195863475</v>
      </c>
      <c r="G17" s="59">
        <f t="shared" si="8"/>
        <v>-19.939056153016995</v>
      </c>
      <c r="H17" s="59">
        <f t="shared" si="8"/>
        <v>-206.74811779634808</v>
      </c>
      <c r="I17" s="59">
        <f t="shared" si="8"/>
        <v>-23.4100473657438</v>
      </c>
      <c r="J17" s="59">
        <f t="shared" si="8"/>
        <v>-18.559787718992826</v>
      </c>
      <c r="K17" s="59">
        <f t="shared" si="8"/>
        <v>3483.4914705679844</v>
      </c>
      <c r="L17" s="59">
        <f t="shared" si="8"/>
        <v>5.3996208290608996</v>
      </c>
      <c r="M17" s="59">
        <f t="shared" si="8"/>
        <v>4.6529805497268137</v>
      </c>
      <c r="N17" s="59">
        <f t="shared" si="8"/>
        <v>3.6275650054397475</v>
      </c>
      <c r="O17" s="59">
        <f t="shared" si="8"/>
        <v>2.7681604567667049</v>
      </c>
      <c r="P17" s="59">
        <f t="shared" si="8"/>
        <v>2.7628449070614702</v>
      </c>
      <c r="Q17" s="59">
        <f t="shared" si="8"/>
        <v>2.7948183445653716</v>
      </c>
      <c r="R17" s="59">
        <f t="shared" si="8"/>
        <v>3.0983589125274191</v>
      </c>
      <c r="S17" s="59">
        <f t="shared" si="8"/>
        <v>2.5335918035866309</v>
      </c>
      <c r="T17" s="59">
        <f t="shared" si="8"/>
        <v>2.6166605615852352</v>
      </c>
      <c r="U17" s="59">
        <f t="shared" si="8"/>
        <v>3.0422100942478152</v>
      </c>
      <c r="V17" s="59">
        <f t="shared" si="8"/>
        <v>4.1725630516159118</v>
      </c>
      <c r="W17" s="59">
        <f t="shared" si="8"/>
        <v>2.9772178074357432</v>
      </c>
      <c r="X17" s="59">
        <f t="shared" si="8"/>
        <v>2.5494263341959869</v>
      </c>
      <c r="Y17" s="59">
        <f t="shared" si="8"/>
        <v>3.6535003431643025</v>
      </c>
      <c r="Z17" s="59">
        <f t="shared" si="8"/>
        <v>6.1389791442954333</v>
      </c>
      <c r="AA17" s="59">
        <f t="shared" si="8"/>
        <v>4.2310566347519556</v>
      </c>
      <c r="AB17" s="59">
        <f t="shared" si="8"/>
        <v>6.1123830937153931</v>
      </c>
      <c r="AC17" s="59">
        <f t="shared" si="8"/>
        <v>9.1023913430521262</v>
      </c>
      <c r="AD17" s="59">
        <f t="shared" si="8"/>
        <v>-124.49827148773274</v>
      </c>
      <c r="AE17" s="59">
        <f t="shared" si="8"/>
        <v>-16.432060401746007</v>
      </c>
      <c r="AF17" s="59">
        <f t="shared" si="8"/>
        <v>19.51472885056149</v>
      </c>
      <c r="AG17" s="59">
        <f t="shared" si="8"/>
        <v>-26.584681923228484</v>
      </c>
      <c r="AH17" s="59">
        <f t="shared" si="8"/>
        <v>20.999989279807998</v>
      </c>
      <c r="AI17" s="59">
        <f t="shared" si="8"/>
        <v>6.6257646920101045</v>
      </c>
      <c r="AJ17" s="59">
        <f t="shared" si="8"/>
        <v>4.6350694627973432</v>
      </c>
      <c r="AK17" s="59">
        <f t="shared" si="8"/>
        <v>6.5756467254955524</v>
      </c>
      <c r="AL17" s="59">
        <f t="shared" si="8"/>
        <v>11.493034439761415</v>
      </c>
      <c r="AM17" s="59">
        <f t="shared" si="8"/>
        <v>4.2667458833014242</v>
      </c>
      <c r="AN17" s="59">
        <f t="shared" si="8"/>
        <v>3.9288553344819972</v>
      </c>
      <c r="AO17" s="59">
        <f t="shared" si="8"/>
        <v>6.566606569899184</v>
      </c>
      <c r="AP17" s="59">
        <f t="shared" si="8"/>
        <v>-75.400603609443792</v>
      </c>
      <c r="AQ17" s="59">
        <f t="shared" si="8"/>
        <v>9.2702150855027856</v>
      </c>
      <c r="AR17" s="59">
        <f t="shared" si="8"/>
        <v>4.7028346284677038</v>
      </c>
      <c r="AS17" s="59">
        <f t="shared" si="8"/>
        <v>14.243945452058089</v>
      </c>
      <c r="AT17" s="59">
        <f t="shared" si="8"/>
        <v>11.084864088045135</v>
      </c>
      <c r="AU17" s="59">
        <f t="shared" si="8"/>
        <v>-4.680624563900297</v>
      </c>
      <c r="AV17" s="59">
        <f t="shared" si="8"/>
        <v>-4.9164641916641951</v>
      </c>
      <c r="AW17" s="59">
        <f t="shared" si="8"/>
        <v>-4.2997957136648308</v>
      </c>
      <c r="AX17" s="59">
        <f t="shared" si="8"/>
        <v>-3.1057632521091532</v>
      </c>
      <c r="AY17" s="59">
        <f t="shared" si="8"/>
        <v>-2.8446537109808236</v>
      </c>
      <c r="AZ17" s="59">
        <f t="shared" si="8"/>
        <v>-4.4978708175411057</v>
      </c>
      <c r="BA17" s="59">
        <f t="shared" si="8"/>
        <v>-8.5323250381556122</v>
      </c>
      <c r="BB17" s="59">
        <f t="shared" si="8"/>
        <v>-4.3997720724075746</v>
      </c>
      <c r="BC17" s="59">
        <f t="shared" si="8"/>
        <v>-9.4866552208505475</v>
      </c>
      <c r="BD17" s="59">
        <f t="shared" si="8"/>
        <v>-25.554910040287609</v>
      </c>
      <c r="BE17" s="59">
        <f t="shared" si="8"/>
        <v>-72.685180030830495</v>
      </c>
      <c r="BF17" s="59">
        <f t="shared" si="8"/>
        <v>-10.586597112450104</v>
      </c>
      <c r="BG17" s="59">
        <f t="shared" si="8"/>
        <v>17.55845632429369</v>
      </c>
      <c r="BH17" s="59">
        <f t="shared" si="8"/>
        <v>7.8322418810289438</v>
      </c>
      <c r="BI17" s="59">
        <f t="shared" si="8"/>
        <v>6.6089027961728295</v>
      </c>
      <c r="BJ17" s="59">
        <f t="shared" si="8"/>
        <v>-42.02684788650491</v>
      </c>
      <c r="BK17" s="59">
        <f t="shared" si="8"/>
        <v>8.0057194868000252</v>
      </c>
      <c r="BL17" s="59">
        <f t="shared" si="8"/>
        <v>3.7037550557344705</v>
      </c>
      <c r="BM17" s="59">
        <f t="shared" si="8"/>
        <v>4.6200971346120898</v>
      </c>
      <c r="BN17" s="59">
        <f t="shared" si="8"/>
        <v>9.0607279988062821</v>
      </c>
      <c r="BO17" s="59">
        <f t="shared" si="8"/>
        <v>4.5748662771450022</v>
      </c>
      <c r="BP17" s="59">
        <f t="shared" si="8"/>
        <v>3.1831700027810816</v>
      </c>
      <c r="BQ17" s="59">
        <f t="shared" si="8"/>
        <v>5.284980409781034</v>
      </c>
      <c r="BR17" s="59">
        <f t="shared" ref="BR17:CL17" si="9">(BR11+BR13-BR7-BR3)/BR4</f>
        <v>15.964491790691657</v>
      </c>
      <c r="BS17" s="59">
        <f t="shared" si="9"/>
        <v>1.7422615961798427</v>
      </c>
      <c r="BT17" s="59">
        <f t="shared" si="9"/>
        <v>-2.2078842764475959</v>
      </c>
      <c r="BU17" s="59">
        <f t="shared" si="9"/>
        <v>1.3716074128917808</v>
      </c>
      <c r="BV17" s="59">
        <f t="shared" si="9"/>
        <v>0.78562240601973132</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c r="A18" s="277" t="s">
        <v>743</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c r="A20" s="113" t="s">
        <v>574</v>
      </c>
      <c r="B20" s="115"/>
      <c r="C20" s="115"/>
      <c r="D20" s="115"/>
      <c r="E20" s="115">
        <f>POWER(E9/U9,1/5)-1</f>
        <v>0.1762127313301951</v>
      </c>
      <c r="F20" s="115"/>
      <c r="G20" s="115"/>
      <c r="H20" s="115"/>
      <c r="I20" s="115">
        <f>POWER(E9/Y9,1/6)-1</f>
        <v>0.19411132879651616</v>
      </c>
      <c r="M20" s="115">
        <f>POWER(E9/AC9,1/7)-1</f>
        <v>0.21838349778041821</v>
      </c>
    </row>
    <row r="21" spans="1:90" s="63" customFormat="1" ht="14.25" customHeight="1">
      <c r="A21" s="113" t="s">
        <v>572</v>
      </c>
      <c r="B21" s="115"/>
      <c r="C21" s="115"/>
      <c r="D21" s="115"/>
      <c r="E21" s="115">
        <f>POWER(E4/U4,1/5)-1</f>
        <v>-0.23299313666078358</v>
      </c>
      <c r="F21" s="115"/>
      <c r="G21" s="115"/>
      <c r="H21" s="115"/>
      <c r="I21" s="115">
        <f>POWER(E4/Y4,1/6)-1</f>
        <v>-0.15315943155249911</v>
      </c>
      <c r="M21" s="115">
        <f>POWER(E4/AC4,1/7)-1</f>
        <v>3.7905989533603135E-2</v>
      </c>
    </row>
    <row r="22" spans="1:90" s="63" customFormat="1" ht="14.25" customHeight="1">
      <c r="A22" s="113" t="s">
        <v>575</v>
      </c>
      <c r="B22" s="115"/>
      <c r="C22" s="115"/>
      <c r="D22" s="115"/>
      <c r="E22" s="115">
        <f>POWER(E5/U5,1/5)-1</f>
        <v>6.8016252607236316E-2</v>
      </c>
      <c r="F22" s="115"/>
      <c r="G22" s="115"/>
      <c r="H22" s="115"/>
      <c r="I22" s="115">
        <f>POWER(E5/Y5,1/6)-1</f>
        <v>7.9349901832872494E-2</v>
      </c>
      <c r="M22" s="115">
        <f>POWER(E5/AC5,1/7)-1</f>
        <v>0.12716544989510403</v>
      </c>
    </row>
    <row r="23" spans="1:90" s="63" customFormat="1" ht="14.25" customHeight="1">
      <c r="A23" s="113" t="s">
        <v>576</v>
      </c>
      <c r="B23" s="115"/>
      <c r="C23" s="115"/>
      <c r="D23" s="115"/>
      <c r="E23" s="115">
        <f>POWER(E6/U6,1/5)-1</f>
        <v>0.3013413976362096</v>
      </c>
      <c r="F23" s="115"/>
      <c r="G23" s="115"/>
      <c r="H23" s="115"/>
      <c r="I23" s="115">
        <f>POWER(E6/Y6,1/6)-1</f>
        <v>0.20644021452881933</v>
      </c>
      <c r="M23" s="115">
        <f>POWER(E6/AC6,1/7)-1</f>
        <v>0.14716679520514231</v>
      </c>
    </row>
    <row r="24" spans="1:90" s="63" customFormat="1" ht="14.25" customHeight="1">
      <c r="A24" s="113" t="s">
        <v>577</v>
      </c>
      <c r="B24" s="115"/>
      <c r="C24" s="115"/>
      <c r="D24" s="115"/>
      <c r="E24" s="115">
        <f>POWER(E7/U7,1/5)-1</f>
        <v>7.7900047104164871E-2</v>
      </c>
      <c r="F24" s="115"/>
      <c r="G24" s="115"/>
      <c r="H24" s="115"/>
      <c r="I24" s="115">
        <f>POWER(E7/Y7,1/6)-1</f>
        <v>0.16575753516049452</v>
      </c>
      <c r="M24" s="115">
        <f>POWER(E7/AC7,1/7)-1</f>
        <v>0.1791460456774534</v>
      </c>
    </row>
    <row r="25" spans="1:90" s="107" customFormat="1">
      <c r="A25" s="141" t="s">
        <v>553</v>
      </c>
      <c r="B25" s="108"/>
      <c r="C25" s="108"/>
      <c r="D25" s="108"/>
      <c r="E25" s="108">
        <f>(E2-I2)/I2</f>
        <v>0.20321601365834324</v>
      </c>
      <c r="F25" s="108">
        <f t="shared" ref="F25:BQ25" si="10">(F2-J2)/J2</f>
        <v>0.31432597233703691</v>
      </c>
      <c r="G25" s="108">
        <f t="shared" si="10"/>
        <v>0.30392047077646006</v>
      </c>
      <c r="H25" s="108">
        <f t="shared" si="10"/>
        <v>0.54878147202146943</v>
      </c>
      <c r="I25" s="108">
        <f t="shared" si="10"/>
        <v>0.66124958580811288</v>
      </c>
      <c r="J25" s="107">
        <f t="shared" si="10"/>
        <v>0.81633768981558341</v>
      </c>
      <c r="K25" s="107">
        <f t="shared" si="10"/>
        <v>1.0285862274371198</v>
      </c>
      <c r="L25" s="107">
        <f t="shared" si="10"/>
        <v>0.56838602942462224</v>
      </c>
      <c r="M25" s="108">
        <f t="shared" si="10"/>
        <v>0.53983224555949483</v>
      </c>
      <c r="N25" s="108">
        <f t="shared" si="10"/>
        <v>0.32447909223970356</v>
      </c>
      <c r="O25" s="108">
        <f t="shared" si="10"/>
        <v>0.34098341803805987</v>
      </c>
      <c r="P25" s="108">
        <f t="shared" si="10"/>
        <v>0.43784937880621244</v>
      </c>
      <c r="Q25" s="108">
        <f t="shared" si="10"/>
        <v>0.21797522804601022</v>
      </c>
      <c r="R25" s="108">
        <f t="shared" si="10"/>
        <v>9.2967860075320333E-2</v>
      </c>
      <c r="S25" s="108">
        <f t="shared" si="10"/>
        <v>2.3842744771537805E-2</v>
      </c>
      <c r="T25" s="108">
        <f t="shared" si="10"/>
        <v>0.14209342100297484</v>
      </c>
      <c r="U25" s="108">
        <f t="shared" si="10"/>
        <v>7.0395822791695026E-2</v>
      </c>
      <c r="V25" s="107">
        <f t="shared" si="10"/>
        <v>0.14021439986103212</v>
      </c>
      <c r="W25" s="107">
        <f t="shared" si="10"/>
        <v>0.17737590471656561</v>
      </c>
      <c r="X25" s="107">
        <f t="shared" si="10"/>
        <v>-0.12628350327681861</v>
      </c>
      <c r="Y25" s="107">
        <f t="shared" si="10"/>
        <v>0.15213170967846443</v>
      </c>
      <c r="Z25" s="107">
        <f t="shared" si="10"/>
        <v>0.20694530957267659</v>
      </c>
      <c r="AA25" s="107">
        <f t="shared" si="10"/>
        <v>2.5995513546734024E-2</v>
      </c>
      <c r="AB25" s="107">
        <f t="shared" si="10"/>
        <v>0.21547506404420227</v>
      </c>
      <c r="AC25" s="107">
        <f t="shared" si="10"/>
        <v>0.1837549790653645</v>
      </c>
      <c r="AD25" s="107">
        <f t="shared" si="10"/>
        <v>0.42711864864910498</v>
      </c>
      <c r="AE25" s="107">
        <f t="shared" si="10"/>
        <v>0.65939514528459253</v>
      </c>
      <c r="AF25" s="107">
        <f t="shared" si="10"/>
        <v>0.68421461864038391</v>
      </c>
      <c r="AG25" s="107">
        <f t="shared" si="10"/>
        <v>0.61130527829899961</v>
      </c>
      <c r="AH25" s="107">
        <f t="shared" si="10"/>
        <v>0.33173101774149993</v>
      </c>
      <c r="AI25" s="107">
        <f t="shared" si="10"/>
        <v>0.40881225829867662</v>
      </c>
      <c r="AJ25" s="107">
        <f t="shared" si="10"/>
        <v>0.3264287598086536</v>
      </c>
      <c r="AK25" s="107">
        <f t="shared" si="10"/>
        <v>0.29455664235540457</v>
      </c>
      <c r="AL25" s="107">
        <f t="shared" si="10"/>
        <v>0.19863098031542115</v>
      </c>
      <c r="AM25" s="107">
        <f t="shared" si="10"/>
        <v>0.23014173197408394</v>
      </c>
      <c r="AN25" s="107">
        <f t="shared" si="10"/>
        <v>0.53264735301964361</v>
      </c>
      <c r="AO25" s="107">
        <f t="shared" si="10"/>
        <v>0.37729073782206574</v>
      </c>
      <c r="AP25" s="107">
        <f t="shared" si="10"/>
        <v>0.70108924215787671</v>
      </c>
      <c r="AQ25" s="107">
        <f t="shared" si="10"/>
        <v>0.33807193261929552</v>
      </c>
      <c r="AR25" s="107">
        <f t="shared" si="10"/>
        <v>4.8159129786779678E-2</v>
      </c>
      <c r="AS25" s="107">
        <f t="shared" si="10"/>
        <v>0.1883394908527336</v>
      </c>
      <c r="AT25" s="107">
        <f t="shared" si="10"/>
        <v>6.1791255975003428E-2</v>
      </c>
      <c r="AU25" s="107">
        <f t="shared" si="10"/>
        <v>0.1787765997299291</v>
      </c>
      <c r="AV25" s="107">
        <f t="shared" si="10"/>
        <v>0.42449608644950998</v>
      </c>
      <c r="AW25" s="107">
        <f t="shared" si="10"/>
        <v>0.18601635473411615</v>
      </c>
      <c r="AX25" s="107">
        <f t="shared" si="10"/>
        <v>0.15772860270928796</v>
      </c>
      <c r="AY25" s="107">
        <f t="shared" si="10"/>
        <v>0.26947421532281746</v>
      </c>
      <c r="AZ25" s="107">
        <f t="shared" si="10"/>
        <v>0.11545199178590149</v>
      </c>
      <c r="BA25" s="107">
        <f t="shared" si="10"/>
        <v>0.31431613616825455</v>
      </c>
      <c r="BB25" s="107">
        <f t="shared" si="10"/>
        <v>0.34283980761368432</v>
      </c>
      <c r="BC25" s="107">
        <f t="shared" si="10"/>
        <v>0.32973254594603191</v>
      </c>
      <c r="BD25" s="107">
        <f t="shared" si="10"/>
        <v>0.4107274744840434</v>
      </c>
      <c r="BE25" s="107">
        <f t="shared" si="10"/>
        <v>0.43944752571105206</v>
      </c>
      <c r="BF25" s="107">
        <f t="shared" si="10"/>
        <v>0.23857637889611955</v>
      </c>
      <c r="BG25" s="107">
        <f t="shared" si="10"/>
        <v>0.29457302838787131</v>
      </c>
      <c r="BH25" s="107">
        <f t="shared" si="10"/>
        <v>0.41434735525647259</v>
      </c>
      <c r="BI25" s="107">
        <f t="shared" si="10"/>
        <v>0.24718193081563092</v>
      </c>
      <c r="BJ25" s="107">
        <f t="shared" si="10"/>
        <v>0.31440615526902532</v>
      </c>
      <c r="BK25" s="107">
        <f t="shared" si="10"/>
        <v>0.11421726530597422</v>
      </c>
      <c r="BL25" s="107">
        <f t="shared" si="10"/>
        <v>1.482958218519116E-2</v>
      </c>
      <c r="BM25" s="107">
        <f t="shared" si="10"/>
        <v>-0.10275788945565956</v>
      </c>
      <c r="BN25" s="107">
        <f t="shared" si="10"/>
        <v>-9.0025346158294967E-2</v>
      </c>
      <c r="BO25" s="107">
        <f t="shared" si="10"/>
        <v>3.9852242329058947</v>
      </c>
      <c r="BP25" s="107">
        <f t="shared" si="10"/>
        <v>2.2838485884201858</v>
      </c>
      <c r="BQ25" s="107">
        <f t="shared" si="10"/>
        <v>8.4658199681174509</v>
      </c>
      <c r="BR25" s="107">
        <f t="shared" ref="BR25:CK25" si="11">(BR2-BV2)/BV2</f>
        <v>14.680926445038132</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c r="A26" s="141" t="s">
        <v>561</v>
      </c>
      <c r="E26" s="108">
        <f>E2/E9</f>
        <v>0.77470330638351348</v>
      </c>
      <c r="F26" s="108">
        <f t="shared" ref="F26:BQ26" si="12">F2/F9</f>
        <v>0.82786663156981499</v>
      </c>
      <c r="G26" s="108">
        <f t="shared" si="12"/>
        <v>0.81019127764738008</v>
      </c>
      <c r="H26" s="108">
        <f t="shared" si="12"/>
        <v>0.76793976873424874</v>
      </c>
      <c r="I26" s="108">
        <f t="shared" si="12"/>
        <v>0.78697449680331422</v>
      </c>
      <c r="J26" s="108">
        <f t="shared" si="12"/>
        <v>0.77715788146835807</v>
      </c>
      <c r="K26" s="108">
        <f t="shared" si="12"/>
        <v>0.74384614854877507</v>
      </c>
      <c r="L26" s="108">
        <f t="shared" si="12"/>
        <v>0.5971839443421596</v>
      </c>
      <c r="M26" s="108">
        <f t="shared" si="12"/>
        <v>0.56841139873875746</v>
      </c>
      <c r="N26" s="108">
        <f t="shared" si="12"/>
        <v>0.51135269168161079</v>
      </c>
      <c r="O26" s="108">
        <f t="shared" si="12"/>
        <v>0.44981556091316499</v>
      </c>
      <c r="P26" s="108">
        <f t="shared" si="12"/>
        <v>0.45671379746684215</v>
      </c>
      <c r="Q26" s="108">
        <f t="shared" si="12"/>
        <v>0.45586657418593551</v>
      </c>
      <c r="R26" s="108">
        <f t="shared" si="12"/>
        <v>0.46989129098197713</v>
      </c>
      <c r="S26" s="108">
        <f t="shared" si="12"/>
        <v>0.42094368169833801</v>
      </c>
      <c r="T26" s="108">
        <f t="shared" si="12"/>
        <v>0.41726407839311597</v>
      </c>
      <c r="U26" s="108">
        <f t="shared" si="12"/>
        <v>0.46523720143765168</v>
      </c>
      <c r="V26" s="108">
        <f t="shared" si="12"/>
        <v>0.54366754667090933</v>
      </c>
      <c r="W26" s="108">
        <f t="shared" si="12"/>
        <v>0.51983509545548146</v>
      </c>
      <c r="X26" s="108">
        <f t="shared" si="12"/>
        <v>0.47076630768676486</v>
      </c>
      <c r="Y26" s="108">
        <f t="shared" si="12"/>
        <v>0.55971837062992191</v>
      </c>
      <c r="Z26" s="108">
        <f t="shared" si="12"/>
        <v>0.63114429095372748</v>
      </c>
      <c r="AA26" s="108">
        <f t="shared" si="12"/>
        <v>0.5904818038096028</v>
      </c>
      <c r="AB26" s="108">
        <f t="shared" si="12"/>
        <v>0.65093736291433202</v>
      </c>
      <c r="AC26" s="108">
        <f t="shared" si="12"/>
        <v>0.66786175865167208</v>
      </c>
      <c r="AD26" s="108">
        <f t="shared" si="12"/>
        <v>0.7298191502775615</v>
      </c>
      <c r="AE26" s="108">
        <f t="shared" si="12"/>
        <v>0.79472076270910552</v>
      </c>
      <c r="AF26" s="108">
        <f t="shared" si="12"/>
        <v>0.73399131009026397</v>
      </c>
      <c r="AG26" s="108">
        <f t="shared" si="12"/>
        <v>0.77174036431114235</v>
      </c>
      <c r="AH26" s="108">
        <f t="shared" si="12"/>
        <v>0.68852768133671816</v>
      </c>
      <c r="AI26" s="108">
        <f t="shared" si="12"/>
        <v>0.62219126190180207</v>
      </c>
      <c r="AJ26" s="108">
        <f t="shared" si="12"/>
        <v>0.5790211999653202</v>
      </c>
      <c r="AK26" s="108">
        <f t="shared" si="12"/>
        <v>0.624571845547367</v>
      </c>
      <c r="AL26" s="108">
        <f t="shared" si="12"/>
        <v>0.65962637453110085</v>
      </c>
      <c r="AM26" s="108">
        <f t="shared" si="12"/>
        <v>0.55740956378635786</v>
      </c>
      <c r="AN26" s="108">
        <f t="shared" si="12"/>
        <v>0.55001096488945156</v>
      </c>
      <c r="AO26" s="108">
        <f t="shared" si="12"/>
        <v>0.60384418420040264</v>
      </c>
      <c r="AP26" s="108">
        <f t="shared" si="12"/>
        <v>0.70748583001848397</v>
      </c>
      <c r="AQ26" s="108">
        <f t="shared" si="12"/>
        <v>0.58975162580480966</v>
      </c>
      <c r="AR26" s="108">
        <f t="shared" si="12"/>
        <v>0.51189659223437389</v>
      </c>
      <c r="AS26" s="108">
        <f t="shared" si="12"/>
        <v>0.6007155757518724</v>
      </c>
      <c r="AT26" s="108">
        <f t="shared" si="12"/>
        <v>0.56883635148268885</v>
      </c>
      <c r="AU26" s="108">
        <f t="shared" si="12"/>
        <v>0.68823689544815014</v>
      </c>
      <c r="AV26" s="108">
        <f t="shared" si="12"/>
        <v>0.70156949625978748</v>
      </c>
      <c r="AW26" s="108">
        <f t="shared" si="12"/>
        <v>0.71323678074295471</v>
      </c>
      <c r="AX26" s="108">
        <f t="shared" si="12"/>
        <v>0.75047892320973619</v>
      </c>
      <c r="AY26" s="108">
        <f t="shared" si="12"/>
        <v>0.74631900781718208</v>
      </c>
      <c r="AZ26" s="108">
        <f t="shared" si="12"/>
        <v>0.67562697790449044</v>
      </c>
      <c r="BA26" s="108">
        <f t="shared" si="12"/>
        <v>0.70065536504707027</v>
      </c>
      <c r="BB26" s="108">
        <f t="shared" si="12"/>
        <v>0.74712382093638807</v>
      </c>
      <c r="BC26" s="108">
        <f t="shared" si="12"/>
        <v>0.66809523818695871</v>
      </c>
      <c r="BD26" s="108">
        <f t="shared" si="12"/>
        <v>0.64794624969787706</v>
      </c>
      <c r="BE26" s="108">
        <f t="shared" si="12"/>
        <v>0.64783506784127842</v>
      </c>
      <c r="BF26" s="108">
        <f t="shared" si="12"/>
        <v>0.68208825760377012</v>
      </c>
      <c r="BG26" s="108">
        <f t="shared" si="12"/>
        <v>0.60047397323127882</v>
      </c>
      <c r="BH26" s="108">
        <f t="shared" si="12"/>
        <v>0.55861474702986913</v>
      </c>
      <c r="BI26" s="108">
        <f t="shared" si="12"/>
        <v>0.55179135173959726</v>
      </c>
      <c r="BJ26" s="108">
        <f t="shared" si="12"/>
        <v>0.6712703532831884</v>
      </c>
      <c r="BK26" s="108">
        <f t="shared" si="12"/>
        <v>0.56605109373241125</v>
      </c>
      <c r="BL26" s="108">
        <f t="shared" si="12"/>
        <v>0.48047224948417044</v>
      </c>
      <c r="BM26" s="108">
        <f t="shared" si="12"/>
        <v>0.53150264749405629</v>
      </c>
      <c r="BN26" s="108">
        <f t="shared" si="12"/>
        <v>0.60537833728469181</v>
      </c>
      <c r="BO26" s="108">
        <f t="shared" si="12"/>
        <v>0.55795955197239999</v>
      </c>
      <c r="BP26" s="108">
        <f t="shared" si="12"/>
        <v>0.51210807339592412</v>
      </c>
      <c r="BQ26" s="108">
        <f t="shared" si="12"/>
        <v>0.64150308468931538</v>
      </c>
      <c r="BR26" s="108">
        <f t="shared" ref="BR26:CK26" si="13">BR2/BR9</f>
        <v>0.72983973529805346</v>
      </c>
      <c r="BS26" s="108">
        <f t="shared" si="13"/>
        <v>0.40170044610711403</v>
      </c>
      <c r="BT26" s="108">
        <f t="shared" si="13"/>
        <v>0.82854085187674298</v>
      </c>
      <c r="BU26" s="108">
        <f t="shared" si="13"/>
        <v>0.43399372731641039</v>
      </c>
      <c r="BV26" s="108">
        <f t="shared" si="13"/>
        <v>0.27761178586882623</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c r="A27" s="142" t="s">
        <v>554</v>
      </c>
      <c r="E27" s="109" t="e">
        <f>(E3-I3)/I3</f>
        <v>#DIV/0!</v>
      </c>
      <c r="F27" s="109" t="e">
        <f t="shared" ref="F27:BQ27" si="14">(F3-J3)/J3</f>
        <v>#DIV/0!</v>
      </c>
      <c r="G27" s="109" t="e">
        <f t="shared" si="14"/>
        <v>#DIV/0!</v>
      </c>
      <c r="H27" s="109" t="e">
        <f t="shared" si="14"/>
        <v>#DIV/0!</v>
      </c>
      <c r="I27" s="109" t="e">
        <f t="shared" si="14"/>
        <v>#DIV/0!</v>
      </c>
      <c r="J27" s="109" t="e">
        <f t="shared" si="14"/>
        <v>#DIV/0!</v>
      </c>
      <c r="K27" s="109" t="e">
        <f t="shared" si="14"/>
        <v>#DIV/0!</v>
      </c>
      <c r="L27" s="109" t="e">
        <f t="shared" si="14"/>
        <v>#DIV/0!</v>
      </c>
      <c r="M27" s="109" t="e">
        <f t="shared" si="14"/>
        <v>#DIV/0!</v>
      </c>
      <c r="N27" s="109" t="e">
        <f t="shared" si="14"/>
        <v>#DIV/0!</v>
      </c>
      <c r="O27" s="109">
        <f t="shared" si="14"/>
        <v>-1</v>
      </c>
      <c r="P27" s="109">
        <f t="shared" si="14"/>
        <v>-1</v>
      </c>
      <c r="Q27" s="109">
        <f t="shared" si="14"/>
        <v>-1</v>
      </c>
      <c r="R27" s="109">
        <f t="shared" si="14"/>
        <v>-1</v>
      </c>
      <c r="S27" s="109">
        <f t="shared" si="14"/>
        <v>-0.3125</v>
      </c>
      <c r="T27" s="109">
        <f t="shared" si="14"/>
        <v>0.6875</v>
      </c>
      <c r="U27" s="109">
        <f t="shared" si="14"/>
        <v>0.6875</v>
      </c>
      <c r="V27" s="109">
        <f t="shared" si="14"/>
        <v>0</v>
      </c>
      <c r="W27" s="109">
        <f t="shared" si="14"/>
        <v>0</v>
      </c>
      <c r="X27" s="109">
        <f t="shared" si="14"/>
        <v>0</v>
      </c>
      <c r="Y27" s="109">
        <f t="shared" si="14"/>
        <v>0</v>
      </c>
      <c r="Z27" s="109">
        <f t="shared" si="14"/>
        <v>0</v>
      </c>
      <c r="AA27" s="109">
        <f t="shared" si="14"/>
        <v>0</v>
      </c>
      <c r="AB27" s="109">
        <f t="shared" si="14"/>
        <v>0</v>
      </c>
      <c r="AC27" s="109">
        <f t="shared" si="14"/>
        <v>0</v>
      </c>
      <c r="AD27" s="109">
        <f t="shared" si="14"/>
        <v>0</v>
      </c>
      <c r="AE27" s="109">
        <f t="shared" si="14"/>
        <v>0</v>
      </c>
      <c r="AF27" s="109">
        <f t="shared" si="14"/>
        <v>0</v>
      </c>
      <c r="AG27" s="109">
        <f t="shared" si="14"/>
        <v>0</v>
      </c>
      <c r="AH27" s="109">
        <f t="shared" si="14"/>
        <v>0</v>
      </c>
      <c r="AI27" s="109">
        <f t="shared" si="14"/>
        <v>0</v>
      </c>
      <c r="AJ27" s="109">
        <f t="shared" si="14"/>
        <v>0</v>
      </c>
      <c r="AK27" s="109">
        <f t="shared" si="14"/>
        <v>0</v>
      </c>
      <c r="AL27" s="109">
        <f t="shared" si="14"/>
        <v>0</v>
      </c>
      <c r="AM27" s="109">
        <f t="shared" si="14"/>
        <v>0</v>
      </c>
      <c r="AN27" s="109">
        <f t="shared" si="14"/>
        <v>0</v>
      </c>
      <c r="AO27" s="109">
        <f t="shared" si="14"/>
        <v>0</v>
      </c>
      <c r="AP27" s="109">
        <f t="shared" si="14"/>
        <v>0</v>
      </c>
      <c r="AQ27" s="109">
        <f t="shared" si="14"/>
        <v>0</v>
      </c>
      <c r="AR27" s="109">
        <f t="shared" si="14"/>
        <v>0</v>
      </c>
      <c r="AS27" s="109">
        <f t="shared" si="14"/>
        <v>0</v>
      </c>
      <c r="AT27" s="109">
        <f t="shared" si="14"/>
        <v>-0.65176500309477747</v>
      </c>
      <c r="AU27" s="109">
        <f t="shared" si="14"/>
        <v>-0.62851009354467835</v>
      </c>
      <c r="AV27" s="109">
        <f t="shared" si="14"/>
        <v>-0.61492002750587738</v>
      </c>
      <c r="AW27" s="109">
        <f t="shared" si="14"/>
        <v>-0.60949006809890849</v>
      </c>
      <c r="AX27" s="109">
        <f t="shared" si="14"/>
        <v>0.12139772099750992</v>
      </c>
      <c r="AY27" s="109">
        <f t="shared" si="14"/>
        <v>9.4388792614324785E-2</v>
      </c>
      <c r="AZ27" s="109">
        <f t="shared" si="14"/>
        <v>5.5766124529504087E-2</v>
      </c>
      <c r="BA27" s="109">
        <f t="shared" si="14"/>
        <v>6.3943730598984283E-2</v>
      </c>
      <c r="BB27" s="109">
        <f t="shared" si="14"/>
        <v>4.3601713832172907E-2</v>
      </c>
      <c r="BC27" s="109">
        <f t="shared" si="14"/>
        <v>1.4596954900000003</v>
      </c>
      <c r="BD27" s="109">
        <f t="shared" si="14"/>
        <v>1.4596954900000003</v>
      </c>
      <c r="BE27" s="109">
        <f t="shared" si="14"/>
        <v>1.4068512825000001</v>
      </c>
      <c r="BF27" s="109">
        <f t="shared" si="14"/>
        <v>1.4537659325000001</v>
      </c>
      <c r="BG27" s="109">
        <f t="shared" si="14"/>
        <v>0</v>
      </c>
      <c r="BH27" s="109">
        <f t="shared" si="14"/>
        <v>0</v>
      </c>
      <c r="BI27" s="109">
        <f t="shared" si="14"/>
        <v>0</v>
      </c>
      <c r="BJ27" s="109">
        <f t="shared" si="14"/>
        <v>0</v>
      </c>
      <c r="BK27" s="109">
        <f t="shared" si="14"/>
        <v>0</v>
      </c>
      <c r="BL27" s="109">
        <f t="shared" si="14"/>
        <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c r="A28" s="142" t="s">
        <v>562</v>
      </c>
      <c r="E28" s="109">
        <f>E3/E9</f>
        <v>0</v>
      </c>
      <c r="F28" s="109">
        <f t="shared" ref="F28:BQ28" si="16">F3/F9</f>
        <v>0</v>
      </c>
      <c r="G28" s="109">
        <f t="shared" si="16"/>
        <v>0</v>
      </c>
      <c r="H28" s="109">
        <f t="shared" si="16"/>
        <v>0</v>
      </c>
      <c r="I28" s="109">
        <f t="shared" si="16"/>
        <v>0</v>
      </c>
      <c r="J28" s="109">
        <f t="shared" si="16"/>
        <v>0</v>
      </c>
      <c r="K28" s="109">
        <f t="shared" si="16"/>
        <v>0</v>
      </c>
      <c r="L28" s="109">
        <f t="shared" si="16"/>
        <v>0</v>
      </c>
      <c r="M28" s="109">
        <f t="shared" si="16"/>
        <v>0</v>
      </c>
      <c r="N28" s="109">
        <f t="shared" si="16"/>
        <v>0</v>
      </c>
      <c r="O28" s="109">
        <f t="shared" si="16"/>
        <v>0</v>
      </c>
      <c r="P28" s="109">
        <f t="shared" si="16"/>
        <v>0</v>
      </c>
      <c r="Q28" s="109">
        <f t="shared" si="16"/>
        <v>0</v>
      </c>
      <c r="R28" s="109">
        <f t="shared" si="16"/>
        <v>0</v>
      </c>
      <c r="S28" s="109">
        <f t="shared" si="16"/>
        <v>5.052634034284364E-5</v>
      </c>
      <c r="T28" s="109">
        <f t="shared" si="16"/>
        <v>1.3285340067561077E-4</v>
      </c>
      <c r="U28" s="109">
        <f t="shared" si="16"/>
        <v>1.3362866559579867E-4</v>
      </c>
      <c r="V28" s="109">
        <f t="shared" si="16"/>
        <v>8.5233934179907992E-5</v>
      </c>
      <c r="W28" s="109">
        <f t="shared" si="16"/>
        <v>9.2922310313810403E-5</v>
      </c>
      <c r="X28" s="109">
        <f t="shared" si="16"/>
        <v>1.0144365737230118E-4</v>
      </c>
      <c r="Y28" s="109">
        <f t="shared" si="16"/>
        <v>1.0197539172410217E-4</v>
      </c>
      <c r="Z28" s="109">
        <f t="shared" si="16"/>
        <v>1.1282213272365967E-4</v>
      </c>
      <c r="AA28" s="109">
        <f t="shared" si="16"/>
        <v>1.2427279473266916E-4</v>
      </c>
      <c r="AB28" s="109">
        <f t="shared" si="16"/>
        <v>1.2255449965181968E-4</v>
      </c>
      <c r="AC28" s="109">
        <f t="shared" si="16"/>
        <v>1.4018919034922671E-4</v>
      </c>
      <c r="AD28" s="109">
        <f t="shared" si="16"/>
        <v>1.5745936411635101E-4</v>
      </c>
      <c r="AE28" s="109">
        <f t="shared" si="16"/>
        <v>1.7160485368709745E-4</v>
      </c>
      <c r="AF28" s="109">
        <f t="shared" si="16"/>
        <v>1.6796818631915089E-4</v>
      </c>
      <c r="AG28" s="109">
        <f t="shared" si="16"/>
        <v>1.9176130883360667E-4</v>
      </c>
      <c r="AH28" s="109">
        <f t="shared" si="16"/>
        <v>2.1199944536318626E-4</v>
      </c>
      <c r="AI28" s="109">
        <f t="shared" si="16"/>
        <v>2.2294037669163085E-4</v>
      </c>
      <c r="AJ28" s="109">
        <f t="shared" si="16"/>
        <v>2.231659912702212E-4</v>
      </c>
      <c r="AK28" s="109">
        <f t="shared" si="16"/>
        <v>2.5006332553611957E-4</v>
      </c>
      <c r="AL28" s="109">
        <f t="shared" si="16"/>
        <v>2.7047544678851179E-4</v>
      </c>
      <c r="AM28" s="109">
        <f t="shared" si="16"/>
        <v>2.8137943986377215E-4</v>
      </c>
      <c r="AN28" s="109">
        <f t="shared" si="16"/>
        <v>2.8118284742568983E-4</v>
      </c>
      <c r="AO28" s="109">
        <f t="shared" si="16"/>
        <v>3.1297780796737945E-4</v>
      </c>
      <c r="AP28" s="109">
        <f t="shared" si="16"/>
        <v>3.47722728765612E-4</v>
      </c>
      <c r="AQ28" s="109">
        <f t="shared" si="16"/>
        <v>3.662201563220632E-4</v>
      </c>
      <c r="AR28" s="109">
        <f t="shared" si="16"/>
        <v>4.0109011137903907E-4</v>
      </c>
      <c r="AS28" s="109">
        <f t="shared" si="16"/>
        <v>4.288280412744136E-4</v>
      </c>
      <c r="AT28" s="109">
        <f t="shared" si="16"/>
        <v>4.7558677944073164E-4</v>
      </c>
      <c r="AU28" s="109">
        <f t="shared" si="16"/>
        <v>5.7186103869463539E-4</v>
      </c>
      <c r="AV28" s="109">
        <f t="shared" si="16"/>
        <v>5.761792791879448E-4</v>
      </c>
      <c r="AW28" s="109">
        <f t="shared" si="16"/>
        <v>6.0504620949334534E-4</v>
      </c>
      <c r="AX28" s="109">
        <f t="shared" si="16"/>
        <v>1.913144003658595E-3</v>
      </c>
      <c r="AY28" s="109">
        <f t="shared" si="16"/>
        <v>1.9677120639670542E-3</v>
      </c>
      <c r="AZ28" s="109">
        <f t="shared" si="16"/>
        <v>2.0525996427949154E-3</v>
      </c>
      <c r="BA28" s="109">
        <f t="shared" si="16"/>
        <v>1.8051689684415054E-3</v>
      </c>
      <c r="BB28" s="109">
        <f t="shared" si="16"/>
        <v>1.9662957405735338E-3</v>
      </c>
      <c r="BC28" s="109">
        <f t="shared" si="16"/>
        <v>2.0432789893084758E-3</v>
      </c>
      <c r="BD28" s="109">
        <f t="shared" si="16"/>
        <v>2.0797896234142081E-3</v>
      </c>
      <c r="BE28" s="109">
        <f t="shared" si="16"/>
        <v>2.0618593689600471E-3</v>
      </c>
      <c r="BF28" s="109">
        <f t="shared" si="16"/>
        <v>2.3098631556685905E-3</v>
      </c>
      <c r="BG28" s="109">
        <f t="shared" si="16"/>
        <v>9.9281066719353697E-4</v>
      </c>
      <c r="BH28" s="109">
        <f t="shared" si="16"/>
        <v>1.0283823227670822E-3</v>
      </c>
      <c r="BI28" s="109">
        <f t="shared" si="16"/>
        <v>1.0503065118400105E-3</v>
      </c>
      <c r="BJ28" s="109">
        <f t="shared" si="16"/>
        <v>1.1474474526548854E-3</v>
      </c>
      <c r="BK28" s="109">
        <f t="shared" si="16"/>
        <v>1.2115865261150486E-3</v>
      </c>
      <c r="BL28" s="109">
        <f t="shared" si="16"/>
        <v>1.2510267561200016E-3</v>
      </c>
      <c r="BM28" s="109">
        <f t="shared" si="16"/>
        <v>1.2617589992453806E-3</v>
      </c>
      <c r="BN28" s="109">
        <f t="shared" si="16"/>
        <v>1.3601656398328883E-3</v>
      </c>
      <c r="BO28" s="109">
        <f t="shared" si="16"/>
        <v>1.3306731740167404E-3</v>
      </c>
      <c r="BP28" s="109">
        <f t="shared" si="16"/>
        <v>1.3531720844192306E-3</v>
      </c>
      <c r="BQ28" s="109">
        <f t="shared" si="16"/>
        <v>0</v>
      </c>
      <c r="BR28" s="109">
        <f t="shared" ref="BR28:CK28" si="17">BR3/BR9</f>
        <v>0</v>
      </c>
      <c r="BS28" s="109">
        <f t="shared" si="17"/>
        <v>0</v>
      </c>
      <c r="BT28" s="109">
        <f t="shared" si="17"/>
        <v>0</v>
      </c>
      <c r="BU28" s="109">
        <f t="shared" si="17"/>
        <v>0</v>
      </c>
      <c r="BV28" s="109">
        <f t="shared" si="17"/>
        <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c r="A29" s="141" t="s">
        <v>571</v>
      </c>
      <c r="E29" s="108">
        <f>(E4-I4)/I4</f>
        <v>-2.0178955895934299</v>
      </c>
      <c r="F29" s="108">
        <f t="shared" ref="F29:BQ29" si="18">(F4-J4)/J4</f>
        <v>0.15682259478393284</v>
      </c>
      <c r="G29" s="108">
        <f t="shared" si="18"/>
        <v>-217.87144132854684</v>
      </c>
      <c r="H29" s="108">
        <f t="shared" si="18"/>
        <v>-1.0328143347457464</v>
      </c>
      <c r="I29" s="108">
        <f t="shared" si="18"/>
        <v>-1.2487008003542299</v>
      </c>
      <c r="J29" s="108">
        <f t="shared" si="18"/>
        <v>-1.2440535098125545</v>
      </c>
      <c r="K29" s="108">
        <f t="shared" si="18"/>
        <v>-0.99896985492380708</v>
      </c>
      <c r="L29" s="108">
        <f t="shared" si="18"/>
        <v>-0.37151094671850698</v>
      </c>
      <c r="M29" s="108">
        <f t="shared" si="18"/>
        <v>-0.24350114663436906</v>
      </c>
      <c r="N29" s="108">
        <f t="shared" si="18"/>
        <v>5.9898251649523213E-2</v>
      </c>
      <c r="O29" s="108">
        <f t="shared" si="18"/>
        <v>0.16286516618011274</v>
      </c>
      <c r="P29" s="108">
        <f t="shared" si="18"/>
        <v>0.31927866302146773</v>
      </c>
      <c r="Q29" s="108">
        <f t="shared" si="18"/>
        <v>0.38614148356704192</v>
      </c>
      <c r="R29" s="108">
        <f t="shared" si="18"/>
        <v>0.64963960100407181</v>
      </c>
      <c r="S29" s="108">
        <f t="shared" si="18"/>
        <v>0.32037914133641981</v>
      </c>
      <c r="T29" s="108">
        <f t="shared" si="18"/>
        <v>9.2856467372620793E-2</v>
      </c>
      <c r="U29" s="108">
        <f t="shared" si="18"/>
        <v>0.3893564429881109</v>
      </c>
      <c r="V29" s="108">
        <f t="shared" si="18"/>
        <v>0.84495910184448575</v>
      </c>
      <c r="W29" s="108">
        <f t="shared" si="18"/>
        <v>0.92283864115337899</v>
      </c>
      <c r="X29" s="108">
        <f t="shared" si="18"/>
        <v>1.8828562855591882</v>
      </c>
      <c r="Y29" s="108">
        <f t="shared" si="18"/>
        <v>2.5180029332208833</v>
      </c>
      <c r="Z29" s="108">
        <f t="shared" si="18"/>
        <v>-30.474638031901222</v>
      </c>
      <c r="AA29" s="108">
        <f t="shared" si="18"/>
        <v>-6.5354076965723342</v>
      </c>
      <c r="AB29" s="108">
        <f t="shared" si="18"/>
        <v>3.4018984537879153</v>
      </c>
      <c r="AC29" s="108">
        <f t="shared" si="18"/>
        <v>-5.0301070622263566</v>
      </c>
      <c r="AD29" s="108">
        <f t="shared" si="18"/>
        <v>-1.2274322772388633</v>
      </c>
      <c r="AE29" s="108">
        <f t="shared" si="18"/>
        <v>-1.5355285837295516</v>
      </c>
      <c r="AF29" s="108">
        <f t="shared" si="18"/>
        <v>-0.6693315263522821</v>
      </c>
      <c r="AG29" s="108">
        <f t="shared" si="18"/>
        <v>-1.325690505466957</v>
      </c>
      <c r="AH29" s="108">
        <f t="shared" si="18"/>
        <v>-0.30130465380958299</v>
      </c>
      <c r="AI29" s="108">
        <f t="shared" si="18"/>
        <v>-0.18193669712527691</v>
      </c>
      <c r="AJ29" s="108">
        <f t="shared" si="18"/>
        <v>6.8732795545068268E-2</v>
      </c>
      <c r="AK29" s="108">
        <f t="shared" si="18"/>
        <v>0.29245769418824552</v>
      </c>
      <c r="AL29" s="108">
        <f t="shared" si="18"/>
        <v>-9.7273258204573043</v>
      </c>
      <c r="AM29" s="108">
        <f t="shared" si="18"/>
        <v>2.1142724510903976</v>
      </c>
      <c r="AN29" s="108">
        <f t="shared" si="18"/>
        <v>0.93766473378727622</v>
      </c>
      <c r="AO29" s="108">
        <f t="shared" si="18"/>
        <v>2.2768192208831879</v>
      </c>
      <c r="AP29" s="108">
        <f t="shared" si="18"/>
        <v>-1.2245434328830007</v>
      </c>
      <c r="AQ29" s="108">
        <f t="shared" si="18"/>
        <v>-1.9190914879622634</v>
      </c>
      <c r="AR29" s="108">
        <f t="shared" si="18"/>
        <v>-2.6747698940893905</v>
      </c>
      <c r="AS29" s="108">
        <f t="shared" si="18"/>
        <v>-1.4755347689099152</v>
      </c>
      <c r="AT29" s="108">
        <f t="shared" si="18"/>
        <v>-1.4322778653369077</v>
      </c>
      <c r="AU29" s="108">
        <f t="shared" si="18"/>
        <v>-0.20220254347219477</v>
      </c>
      <c r="AV29" s="108">
        <f t="shared" si="18"/>
        <v>0.32371213780461655</v>
      </c>
      <c r="AW29" s="108">
        <f t="shared" si="18"/>
        <v>1.1331941842105961</v>
      </c>
      <c r="AX29" s="108">
        <f t="shared" si="18"/>
        <v>0.52260863388205403</v>
      </c>
      <c r="AY29" s="108">
        <f t="shared" si="18"/>
        <v>2.462610525839521</v>
      </c>
      <c r="AZ29" s="108">
        <f t="shared" si="18"/>
        <v>4.3876724788855546</v>
      </c>
      <c r="BA29" s="108">
        <f t="shared" si="18"/>
        <v>9.1597061287076915</v>
      </c>
      <c r="BB29" s="108">
        <f t="shared" si="18"/>
        <v>1.8814075166033013</v>
      </c>
      <c r="BC29" s="108">
        <f t="shared" si="18"/>
        <v>-3.0996512063503663</v>
      </c>
      <c r="BD29" s="108">
        <f t="shared" si="18"/>
        <v>-1.3629623041187182</v>
      </c>
      <c r="BE29" s="108">
        <f t="shared" si="18"/>
        <v>-1.1095704895954204</v>
      </c>
      <c r="BF29" s="108">
        <f t="shared" si="18"/>
        <v>3.5994554685359446</v>
      </c>
      <c r="BG29" s="108">
        <f t="shared" si="18"/>
        <v>-0.45227892537564229</v>
      </c>
      <c r="BH29" s="108">
        <f t="shared" si="18"/>
        <v>-0.44029370169730303</v>
      </c>
      <c r="BI29" s="108">
        <f t="shared" si="18"/>
        <v>-0.19504404013449056</v>
      </c>
      <c r="BJ29" s="108">
        <f t="shared" si="18"/>
        <v>-1.2462432415576374</v>
      </c>
      <c r="BK29" s="108">
        <f t="shared" si="18"/>
        <v>-0.43143916414865868</v>
      </c>
      <c r="BL29" s="108">
        <f t="shared" si="18"/>
        <v>-0.18056722739637449</v>
      </c>
      <c r="BM29" s="108">
        <f t="shared" si="18"/>
        <v>6.2033620521914537E-2</v>
      </c>
      <c r="BN29" s="108">
        <f t="shared" si="18"/>
        <v>0.68933975183981788</v>
      </c>
      <c r="BO29" s="108">
        <f t="shared" si="18"/>
        <v>0.53116908447621269</v>
      </c>
      <c r="BP29" s="108">
        <f t="shared" si="18"/>
        <v>-7.7001282076374507</v>
      </c>
      <c r="BQ29" s="108">
        <f t="shared" si="18"/>
        <v>5.8055155449977232</v>
      </c>
      <c r="BR29" s="108">
        <f t="shared" ref="BR29:CK29" si="19">(BR4-BV4)/BV4</f>
        <v>0.26053021647317054</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c r="A30" s="141" t="s">
        <v>555</v>
      </c>
      <c r="E30" s="108">
        <f>(E5-I5)/I5</f>
        <v>3.0426017328007919E-2</v>
      </c>
      <c r="F30" s="108">
        <f t="shared" ref="F30:BQ30" si="20">(F5-J5)/J5</f>
        <v>5.8968824917012774E-2</v>
      </c>
      <c r="G30" s="108">
        <f t="shared" si="20"/>
        <v>0.10376366465821688</v>
      </c>
      <c r="H30" s="108">
        <f t="shared" si="20"/>
        <v>-0.10399169221204185</v>
      </c>
      <c r="I30" s="108">
        <f t="shared" si="20"/>
        <v>-7.5092105790455055E-2</v>
      </c>
      <c r="J30" s="108">
        <f t="shared" si="20"/>
        <v>-0.18933267943213244</v>
      </c>
      <c r="K30" s="108">
        <f t="shared" si="20"/>
        <v>-0.19706956833014994</v>
      </c>
      <c r="L30" s="108">
        <f t="shared" si="20"/>
        <v>0.1521105956439438</v>
      </c>
      <c r="M30" s="108">
        <f t="shared" si="20"/>
        <v>0.13184662590667978</v>
      </c>
      <c r="N30" s="108">
        <f t="shared" si="20"/>
        <v>0.421586130846683</v>
      </c>
      <c r="O30" s="108">
        <f t="shared" si="20"/>
        <v>0.38967376932520637</v>
      </c>
      <c r="P30" s="108">
        <f t="shared" si="20"/>
        <v>0.30645411063762057</v>
      </c>
      <c r="Q30" s="108">
        <f t="shared" si="20"/>
        <v>0.28820928707395038</v>
      </c>
      <c r="R30" s="108">
        <f t="shared" si="20"/>
        <v>0.1945668794132886</v>
      </c>
      <c r="S30" s="108">
        <f t="shared" si="20"/>
        <v>9.2396032317282745E-2</v>
      </c>
      <c r="T30" s="108">
        <f t="shared" si="20"/>
        <v>8.2419370632788452E-2</v>
      </c>
      <c r="U30" s="108">
        <f t="shared" si="20"/>
        <v>0.13784794615047188</v>
      </c>
      <c r="V30" s="108">
        <f t="shared" si="20"/>
        <v>0.19135287282852845</v>
      </c>
      <c r="W30" s="108">
        <f t="shared" si="20"/>
        <v>0.39972371261796052</v>
      </c>
      <c r="X30" s="108">
        <f t="shared" si="20"/>
        <v>0.44009557774415758</v>
      </c>
      <c r="Y30" s="108">
        <f t="shared" si="20"/>
        <v>0.46197565038897881</v>
      </c>
      <c r="Z30" s="108">
        <f t="shared" si="20"/>
        <v>0.48650500686341713</v>
      </c>
      <c r="AA30" s="108">
        <f t="shared" si="20"/>
        <v>0.47026138512408033</v>
      </c>
      <c r="AB30" s="108">
        <f t="shared" si="20"/>
        <v>0.39482831237662069</v>
      </c>
      <c r="AC30" s="108">
        <f t="shared" si="20"/>
        <v>0.32488788997129964</v>
      </c>
      <c r="AD30" s="108">
        <f t="shared" si="20"/>
        <v>0.2687682271877232</v>
      </c>
      <c r="AE30" s="108">
        <f t="shared" si="20"/>
        <v>0.24369614510996823</v>
      </c>
      <c r="AF30" s="108">
        <f t="shared" si="20"/>
        <v>0.28494648414576057</v>
      </c>
      <c r="AG30" s="108">
        <f t="shared" si="20"/>
        <v>0.23978058993557666</v>
      </c>
      <c r="AH30" s="108">
        <f t="shared" si="20"/>
        <v>0.24678738172720055</v>
      </c>
      <c r="AI30" s="108">
        <f t="shared" si="20"/>
        <v>0.38489804379363768</v>
      </c>
      <c r="AJ30" s="108">
        <f t="shared" si="20"/>
        <v>0.4175601513293955</v>
      </c>
      <c r="AK30" s="108">
        <f t="shared" si="20"/>
        <v>0.4713696181112107</v>
      </c>
      <c r="AL30" s="108">
        <f t="shared" si="20"/>
        <v>0.42619945930470415</v>
      </c>
      <c r="AM30" s="108">
        <f t="shared" si="20"/>
        <v>0.73858447360649937</v>
      </c>
      <c r="AN30" s="108">
        <f t="shared" si="20"/>
        <v>0.64788439863711311</v>
      </c>
      <c r="AO30" s="108">
        <f t="shared" si="20"/>
        <v>0.59542906194543299</v>
      </c>
      <c r="AP30" s="108">
        <f t="shared" si="20"/>
        <v>0.62825144250995846</v>
      </c>
      <c r="AQ30" s="108">
        <f t="shared" si="20"/>
        <v>0.20998445031010524</v>
      </c>
      <c r="AR30" s="108">
        <f t="shared" si="20"/>
        <v>8.9592351674753323E-2</v>
      </c>
      <c r="AS30" s="108">
        <f t="shared" si="20"/>
        <v>0.11319043972227158</v>
      </c>
      <c r="AT30" s="108">
        <f t="shared" si="20"/>
        <v>0.11267264838169251</v>
      </c>
      <c r="AU30" s="108">
        <f t="shared" si="20"/>
        <v>3.612414509360011E-2</v>
      </c>
      <c r="AV30" s="108">
        <f t="shared" si="20"/>
        <v>0.16480730343701128</v>
      </c>
      <c r="AW30" s="108">
        <f t="shared" si="20"/>
        <v>0.18782005263522061</v>
      </c>
      <c r="AX30" s="108">
        <f t="shared" si="20"/>
        <v>7.5178861572451669E-2</v>
      </c>
      <c r="AY30" s="108">
        <f t="shared" si="20"/>
        <v>0.16551000409491087</v>
      </c>
      <c r="AZ30" s="108">
        <f t="shared" si="20"/>
        <v>0.12454073060183302</v>
      </c>
      <c r="BA30" s="108">
        <f t="shared" si="20"/>
        <v>7.9537610127886127E-2</v>
      </c>
      <c r="BB30" s="108">
        <f t="shared" si="20"/>
        <v>0.13510017980625369</v>
      </c>
      <c r="BC30" s="108">
        <f t="shared" si="20"/>
        <v>0.1169075352501066</v>
      </c>
      <c r="BD30" s="108">
        <f t="shared" si="20"/>
        <v>0.28108109613457755</v>
      </c>
      <c r="BE30" s="108">
        <f t="shared" si="20"/>
        <v>0.31089795414911153</v>
      </c>
      <c r="BF30" s="108">
        <f t="shared" si="20"/>
        <v>0.32453067370384353</v>
      </c>
      <c r="BG30" s="108">
        <f t="shared" si="20"/>
        <v>0.22490710538803768</v>
      </c>
      <c r="BH30" s="108">
        <f t="shared" si="20"/>
        <v>0.12928973800393523</v>
      </c>
      <c r="BI30" s="108">
        <f t="shared" si="20"/>
        <v>0.1975795520781447</v>
      </c>
      <c r="BJ30" s="108">
        <f t="shared" si="20"/>
        <v>0.17172972666183808</v>
      </c>
      <c r="BK30" s="108">
        <f t="shared" si="20"/>
        <v>0.23950685969677804</v>
      </c>
      <c r="BL30" s="108">
        <f t="shared" si="20"/>
        <v>0.13605495795016667</v>
      </c>
      <c r="BM30" s="108">
        <f t="shared" si="20"/>
        <v>0.26065383115131735</v>
      </c>
      <c r="BN30" s="108">
        <f t="shared" si="20"/>
        <v>0.37058642427770394</v>
      </c>
      <c r="BO30" s="108">
        <f t="shared" si="20"/>
        <v>0.69314578780004898</v>
      </c>
      <c r="BP30" s="108">
        <f t="shared" si="20"/>
        <v>0.9452723550651374</v>
      </c>
      <c r="BQ30" s="108">
        <f t="shared" si="20"/>
        <v>0.80112671796788493</v>
      </c>
      <c r="BR30" s="108">
        <f t="shared" ref="BR30:CK30" si="21">(BR5-BV5)/BV5</f>
        <v>1.2041125056403998</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c r="A31" s="141" t="s">
        <v>556</v>
      </c>
      <c r="E31" s="108">
        <f>(E6-I6)/I6</f>
        <v>-0.20630397671106099</v>
      </c>
      <c r="F31" s="108">
        <f t="shared" ref="F31:BQ31" si="22">(F6-J6)/J6</f>
        <v>7.176095214763327E-2</v>
      </c>
      <c r="G31" s="108">
        <f t="shared" si="22"/>
        <v>0.28633173457576649</v>
      </c>
      <c r="H31" s="108">
        <f t="shared" si="22"/>
        <v>0.54698825177785204</v>
      </c>
      <c r="I31" s="108">
        <f t="shared" si="22"/>
        <v>1.0344753410619605</v>
      </c>
      <c r="J31" s="108">
        <f t="shared" si="22"/>
        <v>0.86343153976096143</v>
      </c>
      <c r="K31" s="108">
        <f t="shared" si="22"/>
        <v>1.3071928384597293</v>
      </c>
      <c r="L31" s="108">
        <f t="shared" si="22"/>
        <v>1.768975332369036</v>
      </c>
      <c r="M31" s="108">
        <f t="shared" si="22"/>
        <v>1.1318982970463891</v>
      </c>
      <c r="N31" s="108">
        <f t="shared" si="22"/>
        <v>1.1559262928520666</v>
      </c>
      <c r="O31" s="108">
        <f t="shared" si="22"/>
        <v>1.1914843111929165</v>
      </c>
      <c r="P31" s="108">
        <f t="shared" si="22"/>
        <v>0.26838157637727655</v>
      </c>
      <c r="Q31" s="108">
        <f t="shared" si="22"/>
        <v>8.4134363869688714E-2</v>
      </c>
      <c r="R31" s="108">
        <f t="shared" si="22"/>
        <v>-0.23429442665843941</v>
      </c>
      <c r="S31" s="108">
        <f t="shared" si="22"/>
        <v>-0.32166270306792205</v>
      </c>
      <c r="T31" s="108">
        <f t="shared" si="22"/>
        <v>5.2576551727576304E-2</v>
      </c>
      <c r="U31" s="108">
        <f t="shared" si="22"/>
        <v>-0.17381253156353546</v>
      </c>
      <c r="V31" s="108">
        <f t="shared" si="22"/>
        <v>-0.10683871596459484</v>
      </c>
      <c r="W31" s="108">
        <f t="shared" si="22"/>
        <v>-6.3165049351536828E-2</v>
      </c>
      <c r="X31" s="108">
        <f t="shared" si="22"/>
        <v>-0.4076052836173833</v>
      </c>
      <c r="Y31" s="108">
        <f t="shared" si="22"/>
        <v>-0.15208729320052028</v>
      </c>
      <c r="Z31" s="108">
        <f t="shared" si="22"/>
        <v>4.915319228085877E-3</v>
      </c>
      <c r="AA31" s="108">
        <f t="shared" si="22"/>
        <v>-0.30644800392369997</v>
      </c>
      <c r="AB31" s="108">
        <f t="shared" si="22"/>
        <v>-4.6726270129820811E-3</v>
      </c>
      <c r="AC31" s="108">
        <f t="shared" si="22"/>
        <v>-5.1517492320640249E-2</v>
      </c>
      <c r="AD31" s="108">
        <f t="shared" si="22"/>
        <v>0.41339972816277659</v>
      </c>
      <c r="AE31" s="108">
        <f t="shared" si="22"/>
        <v>0.96895456728600016</v>
      </c>
      <c r="AF31" s="108">
        <f t="shared" si="22"/>
        <v>1.0839350117397242</v>
      </c>
      <c r="AG31" s="108">
        <f t="shared" si="22"/>
        <v>0.87238423498630402</v>
      </c>
      <c r="AH31" s="108">
        <f t="shared" si="22"/>
        <v>0.34908819321227796</v>
      </c>
      <c r="AI31" s="108">
        <f t="shared" si="22"/>
        <v>0.93001940212241885</v>
      </c>
      <c r="AJ31" s="108">
        <f t="shared" si="22"/>
        <v>0.95062629570110135</v>
      </c>
      <c r="AK31" s="108">
        <f t="shared" si="22"/>
        <v>0.55855245781144802</v>
      </c>
      <c r="AL31" s="108">
        <f t="shared" si="22"/>
        <v>0.17175255998971384</v>
      </c>
      <c r="AM31" s="108">
        <f t="shared" si="22"/>
        <v>0.22021749859334283</v>
      </c>
      <c r="AN31" s="108">
        <f t="shared" si="22"/>
        <v>0.34133636236918824</v>
      </c>
      <c r="AO31" s="108">
        <f t="shared" si="22"/>
        <v>0.27630343465041096</v>
      </c>
      <c r="AP31" s="108">
        <f t="shared" si="22"/>
        <v>1.0527095017252279</v>
      </c>
      <c r="AQ31" s="108">
        <f t="shared" si="22"/>
        <v>-0.35394119189879447</v>
      </c>
      <c r="AR31" s="108">
        <f t="shared" si="22"/>
        <v>-0.60322208371232799</v>
      </c>
      <c r="AS31" s="108">
        <f t="shared" si="22"/>
        <v>-0.31877577112235894</v>
      </c>
      <c r="AT31" s="108">
        <f t="shared" si="22"/>
        <v>-0.38822611038459248</v>
      </c>
      <c r="AU31" s="108">
        <f t="shared" si="22"/>
        <v>-3.9847404136715503E-2</v>
      </c>
      <c r="AV31" s="108">
        <f t="shared" si="22"/>
        <v>0.20093883943499349</v>
      </c>
      <c r="AW31" s="108">
        <f t="shared" si="22"/>
        <v>0.35055745448597581</v>
      </c>
      <c r="AX31" s="108">
        <f t="shared" si="22"/>
        <v>0.18840204564479984</v>
      </c>
      <c r="AY31" s="108">
        <f t="shared" si="22"/>
        <v>0.47808484948887214</v>
      </c>
      <c r="AZ31" s="108">
        <f t="shared" si="22"/>
        <v>0.37125558003673226</v>
      </c>
      <c r="BA31" s="108">
        <f t="shared" si="22"/>
        <v>0.27582240092329852</v>
      </c>
      <c r="BB31" s="108">
        <f t="shared" si="22"/>
        <v>0.340719771702022</v>
      </c>
      <c r="BC31" s="108">
        <f t="shared" si="22"/>
        <v>0.41105259402661076</v>
      </c>
      <c r="BD31" s="108">
        <f t="shared" si="22"/>
        <v>0.73619029630478272</v>
      </c>
      <c r="BE31" s="108">
        <f t="shared" si="22"/>
        <v>0.82129968941384113</v>
      </c>
      <c r="BF31" s="108">
        <f t="shared" si="22"/>
        <v>0.44573783309646631</v>
      </c>
      <c r="BG31" s="108">
        <f t="shared" si="22"/>
        <v>0.38105234523916132</v>
      </c>
      <c r="BH31" s="108">
        <f t="shared" si="22"/>
        <v>0.57218799710448842</v>
      </c>
      <c r="BI31" s="108">
        <f t="shared" si="22"/>
        <v>0.45207063297337841</v>
      </c>
      <c r="BJ31" s="108">
        <f t="shared" si="22"/>
        <v>0.48908903380738938</v>
      </c>
      <c r="BK31" s="108">
        <f t="shared" si="22"/>
        <v>0.70285741202001084</v>
      </c>
      <c r="BL31" s="108">
        <f t="shared" si="22"/>
        <v>0.62398353372576865</v>
      </c>
      <c r="BM31" s="108">
        <f t="shared" si="22"/>
        <v>0.43455319985446123</v>
      </c>
      <c r="BN31" s="108">
        <f t="shared" si="22"/>
        <v>0.31505179566064501</v>
      </c>
      <c r="BO31" s="108">
        <f t="shared" si="22"/>
        <v>0.82658762624875981</v>
      </c>
      <c r="BP31" s="108">
        <f t="shared" si="22"/>
        <v>-0.34907203763542327</v>
      </c>
      <c r="BQ31" s="108">
        <f t="shared" si="22"/>
        <v>9.5695711580941645E-2</v>
      </c>
      <c r="BR31" s="108">
        <f t="shared" ref="BR31:CK31" si="23">(BR6-BV6)/BV6</f>
        <v>1.5346788242541287</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c r="A32" s="142" t="s">
        <v>558</v>
      </c>
      <c r="E32" s="109">
        <f>(E7-I7)/I7</f>
        <v>-1.0896526600570482E-2</v>
      </c>
      <c r="F32" s="109">
        <f t="shared" ref="F32:BQ32" si="24">(F7-J7)/J7</f>
        <v>-1.6121272947916116E-2</v>
      </c>
      <c r="G32" s="109">
        <f t="shared" si="24"/>
        <v>6.8746471022837666E-2</v>
      </c>
      <c r="H32" s="109">
        <f t="shared" si="24"/>
        <v>6.260664857758938E-2</v>
      </c>
      <c r="I32" s="109">
        <f t="shared" si="24"/>
        <v>6.5687320826366441E-2</v>
      </c>
      <c r="J32" s="109">
        <f t="shared" si="24"/>
        <v>6.6626346799904881E-2</v>
      </c>
      <c r="K32" s="109">
        <f t="shared" si="24"/>
        <v>6.0991967865100458E-2</v>
      </c>
      <c r="L32" s="109">
        <f t="shared" si="24"/>
        <v>0.12662910286414442</v>
      </c>
      <c r="M32" s="109">
        <f t="shared" si="24"/>
        <v>0.17444711665036286</v>
      </c>
      <c r="N32" s="109">
        <f t="shared" si="24"/>
        <v>0.16702103986390313</v>
      </c>
      <c r="O32" s="109">
        <f t="shared" si="24"/>
        <v>0.21909006108743201</v>
      </c>
      <c r="P32" s="109">
        <f t="shared" si="24"/>
        <v>0.15022634498094356</v>
      </c>
      <c r="Q32" s="109">
        <f t="shared" si="24"/>
        <v>0.17540480785750767</v>
      </c>
      <c r="R32" s="109">
        <f t="shared" si="24"/>
        <v>0.36099357606423155</v>
      </c>
      <c r="S32" s="109">
        <f t="shared" si="24"/>
        <v>0.77225842014641832</v>
      </c>
      <c r="T32" s="109">
        <f t="shared" si="24"/>
        <v>0.85823054173873736</v>
      </c>
      <c r="U32" s="109">
        <f t="shared" si="24"/>
        <v>0.72487224231005021</v>
      </c>
      <c r="V32" s="109">
        <f t="shared" si="24"/>
        <v>0.53433153917060705</v>
      </c>
      <c r="W32" s="109">
        <f t="shared" si="24"/>
        <v>0.28236622356361668</v>
      </c>
      <c r="X32" s="109">
        <f t="shared" si="24"/>
        <v>0.22819320270613633</v>
      </c>
      <c r="Y32" s="109">
        <f t="shared" si="24"/>
        <v>0.26276868818273386</v>
      </c>
      <c r="Z32" s="109">
        <f t="shared" si="24"/>
        <v>0.24430393815525206</v>
      </c>
      <c r="AA32" s="109">
        <f t="shared" si="24"/>
        <v>0.2483729588165445</v>
      </c>
      <c r="AB32" s="109">
        <f t="shared" si="24"/>
        <v>0.34279239759609781</v>
      </c>
      <c r="AC32" s="109">
        <f t="shared" si="24"/>
        <v>0.33328525233832529</v>
      </c>
      <c r="AD32" s="109">
        <f t="shared" si="24"/>
        <v>0.34153568661510003</v>
      </c>
      <c r="AE32" s="109">
        <f t="shared" si="24"/>
        <v>0.21987479549574104</v>
      </c>
      <c r="AF32" s="109">
        <f t="shared" si="24"/>
        <v>0.14939482127591894</v>
      </c>
      <c r="AG32" s="109">
        <f t="shared" si="24"/>
        <v>0.26877619898917882</v>
      </c>
      <c r="AH32" s="109">
        <f t="shared" si="24"/>
        <v>0.27396267720824313</v>
      </c>
      <c r="AI32" s="109">
        <f t="shared" si="24"/>
        <v>0.24034708644299274</v>
      </c>
      <c r="AJ32" s="109">
        <f t="shared" si="24"/>
        <v>0.25781027253775374</v>
      </c>
      <c r="AK32" s="109">
        <f t="shared" si="24"/>
        <v>0.14616585177182445</v>
      </c>
      <c r="AL32" s="109">
        <f t="shared" si="24"/>
        <v>0.18244047095928714</v>
      </c>
      <c r="AM32" s="109">
        <f t="shared" si="24"/>
        <v>4.4366426229510994E-2</v>
      </c>
      <c r="AN32" s="109">
        <f t="shared" si="24"/>
        <v>6.9111011745265044E-2</v>
      </c>
      <c r="AO32" s="109">
        <f t="shared" si="24"/>
        <v>0.11383086048864102</v>
      </c>
      <c r="AP32" s="109">
        <f t="shared" si="24"/>
        <v>0.10148385288115552</v>
      </c>
      <c r="AQ32" s="109">
        <f t="shared" si="24"/>
        <v>0.22283332067010886</v>
      </c>
      <c r="AR32" s="109">
        <f t="shared" si="24"/>
        <v>0.20549315836907739</v>
      </c>
      <c r="AS32" s="109">
        <f t="shared" si="24"/>
        <v>0.18544693190823736</v>
      </c>
      <c r="AT32" s="109">
        <f t="shared" si="24"/>
        <v>0.21821424584088359</v>
      </c>
      <c r="AU32" s="109">
        <f t="shared" si="24"/>
        <v>0.23959187161668022</v>
      </c>
      <c r="AV32" s="109">
        <f t="shared" si="24"/>
        <v>0.28315470308908464</v>
      </c>
      <c r="AW32" s="109">
        <f t="shared" si="24"/>
        <v>0.32113651285598288</v>
      </c>
      <c r="AX32" s="109">
        <f t="shared" si="24"/>
        <v>0.2743083942152359</v>
      </c>
      <c r="AY32" s="109">
        <f t="shared" si="24"/>
        <v>0.28731940394877092</v>
      </c>
      <c r="AZ32" s="109">
        <f t="shared" si="24"/>
        <v>0.27215830817742998</v>
      </c>
      <c r="BA32" s="109">
        <f t="shared" si="24"/>
        <v>0.2563659370734544</v>
      </c>
      <c r="BB32" s="109">
        <f t="shared" si="24"/>
        <v>0.27440542291943965</v>
      </c>
      <c r="BC32" s="109">
        <f t="shared" si="24"/>
        <v>0.29840792872208322</v>
      </c>
      <c r="BD32" s="109">
        <f t="shared" si="24"/>
        <v>0.26974891043380184</v>
      </c>
      <c r="BE32" s="109">
        <f t="shared" si="24"/>
        <v>0.26159919321901398</v>
      </c>
      <c r="BF32" s="109">
        <f t="shared" si="24"/>
        <v>0.33005976471214349</v>
      </c>
      <c r="BG32" s="109">
        <f t="shared" si="24"/>
        <v>0.2561812337689045</v>
      </c>
      <c r="BH32" s="109">
        <f t="shared" si="24"/>
        <v>0.28088076105838805</v>
      </c>
      <c r="BI32" s="109">
        <f t="shared" si="24"/>
        <v>0.30767249436181243</v>
      </c>
      <c r="BJ32" s="109">
        <f t="shared" si="24"/>
        <v>0.27861746364850781</v>
      </c>
      <c r="BK32" s="109">
        <f t="shared" si="24"/>
        <v>0.35800548578549091</v>
      </c>
      <c r="BL32" s="109">
        <f t="shared" si="24"/>
        <v>0.46200592070034541</v>
      </c>
      <c r="BM32" s="109">
        <f t="shared" si="24"/>
        <v>0.66192985313974684</v>
      </c>
      <c r="BN32" s="109">
        <f t="shared" si="24"/>
        <v>0.57659029594509359</v>
      </c>
      <c r="BO32" s="109">
        <f t="shared" si="24"/>
        <v>3.3948075280726036</v>
      </c>
      <c r="BP32" s="109">
        <f t="shared" si="24"/>
        <v>2.7449603183026228</v>
      </c>
      <c r="BQ32" s="109">
        <f t="shared" si="24"/>
        <v>2.145017869419334</v>
      </c>
      <c r="BR32" s="109">
        <f t="shared" ref="BR32:CK32" si="25">(BR7-BV7)/BV7</f>
        <v>1.6860674302713854</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c r="A33" s="142" t="s">
        <v>565</v>
      </c>
      <c r="E33" s="109">
        <f>E7/E9</f>
        <v>0.19846232189910604</v>
      </c>
      <c r="F33" s="109">
        <f t="shared" ref="F33:BQ33" si="26">F7/F9</f>
        <v>0.20936710582357251</v>
      </c>
      <c r="G33" s="109">
        <f t="shared" si="26"/>
        <v>0.22848976950721087</v>
      </c>
      <c r="H33" s="109">
        <f t="shared" si="26"/>
        <v>0.23575476025982256</v>
      </c>
      <c r="I33" s="109">
        <f t="shared" si="26"/>
        <v>0.24524784136626354</v>
      </c>
      <c r="J33" s="109">
        <f t="shared" si="26"/>
        <v>0.26255412554731222</v>
      </c>
      <c r="K33" s="109">
        <f t="shared" si="26"/>
        <v>0.25594032950680584</v>
      </c>
      <c r="L33" s="109">
        <f t="shared" si="26"/>
        <v>0.26721390300673104</v>
      </c>
      <c r="M33" s="109">
        <f t="shared" si="26"/>
        <v>0.27612924179490894</v>
      </c>
      <c r="N33" s="109">
        <f t="shared" si="26"/>
        <v>0.29418086814541528</v>
      </c>
      <c r="O33" s="109">
        <f t="shared" si="26"/>
        <v>0.29591805097340601</v>
      </c>
      <c r="P33" s="109">
        <f t="shared" si="26"/>
        <v>0.28449003520575616</v>
      </c>
      <c r="Q33" s="109">
        <f t="shared" si="26"/>
        <v>0.29035366685244335</v>
      </c>
      <c r="R33" s="109">
        <f t="shared" si="26"/>
        <v>0.30680165352337913</v>
      </c>
      <c r="S33" s="109">
        <f t="shared" si="26"/>
        <v>0.30461311288861936</v>
      </c>
      <c r="T33" s="109">
        <f t="shared" si="26"/>
        <v>0.32491069657001698</v>
      </c>
      <c r="U33" s="109">
        <f t="shared" si="26"/>
        <v>0.30705416523040263</v>
      </c>
      <c r="V33" s="109">
        <f t="shared" si="26"/>
        <v>0.28506573972392824</v>
      </c>
      <c r="W33" s="109">
        <f t="shared" si="26"/>
        <v>0.21731835291973639</v>
      </c>
      <c r="X33" s="109">
        <f t="shared" si="26"/>
        <v>0.22529959956703083</v>
      </c>
      <c r="Y33" s="109">
        <f t="shared" si="26"/>
        <v>0.22924379633966338</v>
      </c>
      <c r="Z33" s="109">
        <f t="shared" si="26"/>
        <v>0.245927776512812</v>
      </c>
      <c r="AA33" s="109">
        <f t="shared" si="26"/>
        <v>0.22664200333997256</v>
      </c>
      <c r="AB33" s="109">
        <f t="shared" si="26"/>
        <v>0.22161445948971034</v>
      </c>
      <c r="AC33" s="109">
        <f t="shared" si="26"/>
        <v>0.24957031812555991</v>
      </c>
      <c r="AD33" s="109">
        <f t="shared" si="26"/>
        <v>0.27583876248756206</v>
      </c>
      <c r="AE33" s="109">
        <f t="shared" si="26"/>
        <v>0.25069723827803531</v>
      </c>
      <c r="AF33" s="109">
        <f t="shared" si="26"/>
        <v>0.22619707822128662</v>
      </c>
      <c r="AG33" s="109">
        <f t="shared" si="26"/>
        <v>0.25604500917023071</v>
      </c>
      <c r="AH33" s="109">
        <f t="shared" si="26"/>
        <v>0.2768339166982004</v>
      </c>
      <c r="AI33" s="109">
        <f t="shared" si="26"/>
        <v>0.26698905292955671</v>
      </c>
      <c r="AJ33" s="109">
        <f t="shared" si="26"/>
        <v>0.2614681139860246</v>
      </c>
      <c r="AK33" s="109">
        <f t="shared" si="26"/>
        <v>0.26316026139419602</v>
      </c>
      <c r="AL33" s="109">
        <f t="shared" si="26"/>
        <v>0.27723988789160919</v>
      </c>
      <c r="AM33" s="109">
        <f t="shared" si="26"/>
        <v>0.27167761383367722</v>
      </c>
      <c r="AN33" s="109">
        <f t="shared" si="26"/>
        <v>0.26191743516260468</v>
      </c>
      <c r="AO33" s="109">
        <f t="shared" si="26"/>
        <v>0.28736666375190123</v>
      </c>
      <c r="AP33" s="109">
        <f t="shared" si="26"/>
        <v>0.30142665982430439</v>
      </c>
      <c r="AQ33" s="109">
        <f t="shared" si="26"/>
        <v>0.33857184110171018</v>
      </c>
      <c r="AR33" s="109">
        <f t="shared" si="26"/>
        <v>0.34945779863120735</v>
      </c>
      <c r="AS33" s="109">
        <f t="shared" si="26"/>
        <v>0.35349784553305214</v>
      </c>
      <c r="AT33" s="109">
        <f t="shared" si="26"/>
        <v>0.37428310213539023</v>
      </c>
      <c r="AU33" s="109">
        <f t="shared" si="26"/>
        <v>0.43234638899166739</v>
      </c>
      <c r="AV33" s="109">
        <f t="shared" si="26"/>
        <v>0.41643350850277716</v>
      </c>
      <c r="AW33" s="109">
        <f t="shared" si="26"/>
        <v>0.42073633780661363</v>
      </c>
      <c r="AX33" s="109">
        <f t="shared" si="26"/>
        <v>0.43039463458296701</v>
      </c>
      <c r="AY33" s="109">
        <f t="shared" si="26"/>
        <v>0.44583193524911646</v>
      </c>
      <c r="AZ33" s="109">
        <f t="shared" si="26"/>
        <v>0.44520926439292269</v>
      </c>
      <c r="BA33" s="109">
        <f t="shared" si="26"/>
        <v>0.37104255806774333</v>
      </c>
      <c r="BB33" s="109">
        <f t="shared" si="26"/>
        <v>0.38927198655960538</v>
      </c>
      <c r="BC33" s="109">
        <f t="shared" si="26"/>
        <v>0.39357057062310941</v>
      </c>
      <c r="BD33" s="109">
        <f t="shared" si="26"/>
        <v>0.37437420337261529</v>
      </c>
      <c r="BE33" s="109">
        <f t="shared" si="26"/>
        <v>0.35889500445865635</v>
      </c>
      <c r="BF33" s="109">
        <f t="shared" si="26"/>
        <v>0.37447060928994291</v>
      </c>
      <c r="BG33" s="109">
        <f t="shared" si="26"/>
        <v>0.36226933005616641</v>
      </c>
      <c r="BH33" s="109">
        <f t="shared" si="26"/>
        <v>0.35859531173930281</v>
      </c>
      <c r="BI33" s="109">
        <f t="shared" si="26"/>
        <v>0.34878057130188894</v>
      </c>
      <c r="BJ33" s="109">
        <f t="shared" si="26"/>
        <v>0.34318339680142113</v>
      </c>
      <c r="BK33" s="109">
        <f t="shared" si="26"/>
        <v>0.35193889571108705</v>
      </c>
      <c r="BL33" s="109">
        <f t="shared" si="26"/>
        <v>0.34057118476677345</v>
      </c>
      <c r="BM33" s="109">
        <f t="shared" si="26"/>
        <v>0.32041559732142766</v>
      </c>
      <c r="BN33" s="109">
        <f t="shared" si="26"/>
        <v>0.31815930563887768</v>
      </c>
      <c r="BO33" s="109">
        <f t="shared" si="26"/>
        <v>0.28463133479008412</v>
      </c>
      <c r="BP33" s="109">
        <f t="shared" si="26"/>
        <v>0.25196789070989223</v>
      </c>
      <c r="BQ33" s="109">
        <f t="shared" si="26"/>
        <v>0.20878722627103344</v>
      </c>
      <c r="BR33" s="109">
        <f t="shared" ref="BR33:CK33" si="27">BR7/BR9</f>
        <v>0.22138882992779443</v>
      </c>
      <c r="BS33" s="109">
        <f t="shared" si="27"/>
        <v>0.23244871209490289</v>
      </c>
      <c r="BT33" s="109">
        <f t="shared" si="27"/>
        <v>0.3574649035895055</v>
      </c>
      <c r="BU33" s="109">
        <f t="shared" si="27"/>
        <v>0.42513195624063627</v>
      </c>
      <c r="BV33" s="109">
        <f t="shared" si="27"/>
        <v>0.49161022516127267</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c r="A34" s="141" t="s">
        <v>559</v>
      </c>
      <c r="E34" s="108">
        <f>(E10-I10)/I10</f>
        <v>-0.63875960462358705</v>
      </c>
      <c r="F34" s="108">
        <f t="shared" ref="F34:BQ34" si="28">(F10-J10)/J10</f>
        <v>-0.3209546633761699</v>
      </c>
      <c r="G34" s="108">
        <f t="shared" si="28"/>
        <v>0.14541775965906956</v>
      </c>
      <c r="H34" s="108">
        <f t="shared" si="28"/>
        <v>-0.16061598532470048</v>
      </c>
      <c r="I34" s="108">
        <f t="shared" si="28"/>
        <v>-2.0329325658317948E-2</v>
      </c>
      <c r="J34" s="108">
        <f t="shared" si="28"/>
        <v>0.25802008434507878</v>
      </c>
      <c r="K34" s="108">
        <f t="shared" si="28"/>
        <v>0.36437591596152324</v>
      </c>
      <c r="L34" s="108">
        <f t="shared" si="28"/>
        <v>0.41601274379814601</v>
      </c>
      <c r="M34" s="108">
        <f t="shared" si="28"/>
        <v>0.70335229946200584</v>
      </c>
      <c r="N34" s="108">
        <f t="shared" si="28"/>
        <v>-0.64822557950761805</v>
      </c>
      <c r="O34" s="108">
        <f t="shared" si="28"/>
        <v>1.118244074925594</v>
      </c>
      <c r="P34" s="108">
        <f t="shared" si="28"/>
        <v>-1.6635950452603923E-2</v>
      </c>
      <c r="Q34" s="108">
        <f t="shared" si="28"/>
        <v>-2.3610901486024769E-2</v>
      </c>
      <c r="R34" s="108">
        <f t="shared" si="28"/>
        <v>1.8453840951149139</v>
      </c>
      <c r="S34" s="108">
        <f t="shared" si="28"/>
        <v>-0.44696174027534685</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f t="shared" si="28"/>
        <v>-1</v>
      </c>
      <c r="BP34" s="108">
        <f t="shared" si="28"/>
        <v>-1</v>
      </c>
      <c r="BQ34" s="108">
        <f t="shared" si="28"/>
        <v>-1</v>
      </c>
      <c r="BR34" s="108">
        <f t="shared" ref="BR34:CK34" si="29">(BR10-BV10)/BV10</f>
        <v>-1</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c r="A35" s="141" t="s">
        <v>563</v>
      </c>
      <c r="E35" s="108">
        <f>E10/E12</f>
        <v>1</v>
      </c>
      <c r="F35" s="108">
        <f t="shared" ref="F35:BQ35" si="30">F10/F12</f>
        <v>1</v>
      </c>
      <c r="G35" s="108">
        <f t="shared" si="30"/>
        <v>1</v>
      </c>
      <c r="H35" s="108">
        <f t="shared" si="30"/>
        <v>1</v>
      </c>
      <c r="I35" s="108">
        <f t="shared" si="30"/>
        <v>1</v>
      </c>
      <c r="J35" s="108">
        <f t="shared" si="30"/>
        <v>1</v>
      </c>
      <c r="K35" s="108">
        <f t="shared" si="30"/>
        <v>1</v>
      </c>
      <c r="L35" s="108">
        <f t="shared" si="30"/>
        <v>1</v>
      </c>
      <c r="M35" s="108">
        <f t="shared" si="30"/>
        <v>1</v>
      </c>
      <c r="N35" s="108">
        <f t="shared" si="30"/>
        <v>1</v>
      </c>
      <c r="O35" s="108">
        <f t="shared" si="30"/>
        <v>1</v>
      </c>
      <c r="P35" s="108">
        <f t="shared" si="30"/>
        <v>1</v>
      </c>
      <c r="Q35" s="108">
        <f t="shared" si="30"/>
        <v>1</v>
      </c>
      <c r="R35" s="108">
        <f t="shared" si="30"/>
        <v>1</v>
      </c>
      <c r="S35" s="108">
        <f t="shared" si="30"/>
        <v>1</v>
      </c>
      <c r="T35" s="108">
        <f t="shared" si="30"/>
        <v>1</v>
      </c>
      <c r="U35" s="108">
        <f t="shared" si="30"/>
        <v>1</v>
      </c>
      <c r="V35" s="108">
        <f t="shared" si="30"/>
        <v>1</v>
      </c>
      <c r="W35" s="108">
        <f t="shared" si="30"/>
        <v>1</v>
      </c>
      <c r="X35" s="108" t="e">
        <f t="shared" si="30"/>
        <v>#DIV/0!</v>
      </c>
      <c r="Y35" s="108" t="e">
        <f t="shared" si="30"/>
        <v>#DIV/0!</v>
      </c>
      <c r="Z35" s="108" t="e">
        <f t="shared" si="30"/>
        <v>#DIV/0!</v>
      </c>
      <c r="AA35" s="108" t="e">
        <f t="shared" si="30"/>
        <v>#DIV/0!</v>
      </c>
      <c r="AB35" s="108" t="e">
        <f t="shared" si="30"/>
        <v>#DIV/0!</v>
      </c>
      <c r="AC35" s="108" t="e">
        <f t="shared" si="30"/>
        <v>#DIV/0!</v>
      </c>
      <c r="AD35" s="108" t="e">
        <f t="shared" si="30"/>
        <v>#DIV/0!</v>
      </c>
      <c r="AE35" s="108" t="e">
        <f t="shared" si="30"/>
        <v>#DIV/0!</v>
      </c>
      <c r="AF35" s="108" t="e">
        <f t="shared" si="30"/>
        <v>#DIV/0!</v>
      </c>
      <c r="AG35" s="108" t="e">
        <f t="shared" si="30"/>
        <v>#DIV/0!</v>
      </c>
      <c r="AH35" s="108" t="e">
        <f t="shared" si="30"/>
        <v>#DIV/0!</v>
      </c>
      <c r="AI35" s="108" t="e">
        <f t="shared" si="30"/>
        <v>#DIV/0!</v>
      </c>
      <c r="AJ35" s="108" t="e">
        <f t="shared" si="30"/>
        <v>#DIV/0!</v>
      </c>
      <c r="AK35" s="108" t="e">
        <f t="shared" si="30"/>
        <v>#DIV/0!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f t="shared" si="30"/>
        <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f t="shared" si="31"/>
        <v>1</v>
      </c>
      <c r="BT35" s="108">
        <f t="shared" si="31"/>
        <v>1</v>
      </c>
      <c r="BU35" s="108">
        <f t="shared" si="31"/>
        <v>1</v>
      </c>
      <c r="BV35" s="108">
        <f t="shared" si="31"/>
        <v>0.70891203703703709</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c r="A36" s="141" t="s">
        <v>560</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t="e">
        <f t="shared" si="32"/>
        <v>#DIV/0!</v>
      </c>
      <c r="O36" s="108" t="e">
        <f t="shared" si="32"/>
        <v>#DIV/0!</v>
      </c>
      <c r="P36" s="108" t="e">
        <f t="shared" si="32"/>
        <v>#DIV/0!</v>
      </c>
      <c r="Q36" s="108" t="e">
        <f t="shared" si="32"/>
        <v>#DIV/0!</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f t="shared" si="32"/>
        <v>-1</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f t="shared" ref="BR36:CK36" si="33">(BR11-BV11)/BV11</f>
        <v>-1</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c r="A37" s="141" t="s">
        <v>564</v>
      </c>
      <c r="B37" s="108"/>
      <c r="C37" s="108"/>
      <c r="D37" s="108"/>
      <c r="E37" s="108">
        <f>E11/E12</f>
        <v>0</v>
      </c>
      <c r="F37" s="108">
        <f t="shared" ref="F37:BQ37" si="34">F11/F12</f>
        <v>0</v>
      </c>
      <c r="G37" s="108">
        <f t="shared" si="34"/>
        <v>0</v>
      </c>
      <c r="H37" s="108">
        <f t="shared" si="34"/>
        <v>0</v>
      </c>
      <c r="I37" s="108">
        <f t="shared" si="34"/>
        <v>0</v>
      </c>
      <c r="J37" s="108">
        <f t="shared" si="34"/>
        <v>0</v>
      </c>
      <c r="K37" s="108">
        <f t="shared" si="34"/>
        <v>0</v>
      </c>
      <c r="L37" s="108">
        <f t="shared" si="34"/>
        <v>0</v>
      </c>
      <c r="M37" s="108">
        <f t="shared" si="34"/>
        <v>0</v>
      </c>
      <c r="N37" s="108">
        <f t="shared" si="34"/>
        <v>0</v>
      </c>
      <c r="O37" s="110">
        <f t="shared" si="34"/>
        <v>0</v>
      </c>
      <c r="P37" s="110">
        <f t="shared" si="34"/>
        <v>0</v>
      </c>
      <c r="Q37" s="110">
        <f t="shared" si="34"/>
        <v>0</v>
      </c>
      <c r="R37" s="110">
        <f t="shared" si="34"/>
        <v>0</v>
      </c>
      <c r="S37" s="110">
        <f t="shared" si="34"/>
        <v>0</v>
      </c>
      <c r="T37" s="110">
        <f t="shared" si="34"/>
        <v>0</v>
      </c>
      <c r="U37" s="110">
        <f t="shared" si="34"/>
        <v>0</v>
      </c>
      <c r="V37" s="110">
        <f t="shared" si="34"/>
        <v>0</v>
      </c>
      <c r="W37" s="110">
        <f t="shared" si="34"/>
        <v>0</v>
      </c>
      <c r="X37" s="110" t="e">
        <f t="shared" si="34"/>
        <v>#DIV/0!</v>
      </c>
      <c r="Y37" s="110" t="e">
        <f t="shared" si="34"/>
        <v>#DIV/0!</v>
      </c>
      <c r="Z37" s="110" t="e">
        <f t="shared" si="34"/>
        <v>#DIV/0!</v>
      </c>
      <c r="AA37" s="110" t="e">
        <f t="shared" si="34"/>
        <v>#DIV/0!</v>
      </c>
      <c r="AB37" s="110" t="e">
        <f t="shared" si="34"/>
        <v>#DIV/0!</v>
      </c>
      <c r="AC37" s="110" t="e">
        <f t="shared" si="34"/>
        <v>#DIV/0!</v>
      </c>
      <c r="AD37" s="110" t="e">
        <f t="shared" si="34"/>
        <v>#DIV/0!</v>
      </c>
      <c r="AE37" s="110" t="e">
        <f t="shared" si="34"/>
        <v>#DIV/0!</v>
      </c>
      <c r="AF37" s="110" t="e">
        <f t="shared" si="34"/>
        <v>#DIV/0!</v>
      </c>
      <c r="AG37" s="110" t="e">
        <f t="shared" si="34"/>
        <v>#DIV/0!</v>
      </c>
      <c r="AH37" s="110" t="e">
        <f t="shared" si="34"/>
        <v>#DIV/0!</v>
      </c>
      <c r="AI37" s="110" t="e">
        <f t="shared" si="34"/>
        <v>#DIV/0!</v>
      </c>
      <c r="AJ37" s="110" t="e">
        <f t="shared" si="34"/>
        <v>#DIV/0!</v>
      </c>
      <c r="AK37" s="110" t="e">
        <f t="shared" si="34"/>
        <v>#DIV/0!</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f t="shared" si="34"/>
        <v>1</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f t="shared" si="35"/>
        <v>0</v>
      </c>
      <c r="BT37" s="110">
        <f t="shared" si="35"/>
        <v>0</v>
      </c>
      <c r="BU37" s="110">
        <f t="shared" si="35"/>
        <v>0</v>
      </c>
      <c r="BV37" s="110">
        <f t="shared" si="35"/>
        <v>0.29108796296296297</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7" customFormat="1">
      <c r="A38" s="184" t="s">
        <v>634</v>
      </c>
      <c r="B38" s="185"/>
      <c r="C38" s="185"/>
      <c r="D38" s="185"/>
      <c r="E38" s="186">
        <f>E1</f>
        <v>43190</v>
      </c>
      <c r="F38" s="186">
        <f t="shared" ref="F38:U38" si="36">F1</f>
        <v>43100</v>
      </c>
      <c r="G38" s="186">
        <f t="shared" si="36"/>
        <v>43008</v>
      </c>
      <c r="H38" s="186">
        <f t="shared" si="36"/>
        <v>42916</v>
      </c>
      <c r="I38" s="186">
        <f t="shared" si="36"/>
        <v>42825</v>
      </c>
      <c r="J38" s="186">
        <f t="shared" si="36"/>
        <v>42735</v>
      </c>
      <c r="K38" s="186">
        <f t="shared" si="36"/>
        <v>42643</v>
      </c>
      <c r="L38" s="186">
        <f t="shared" si="36"/>
        <v>42551</v>
      </c>
      <c r="M38" s="186">
        <f t="shared" si="36"/>
        <v>42460</v>
      </c>
      <c r="N38" s="186">
        <f t="shared" si="36"/>
        <v>42369</v>
      </c>
      <c r="O38" s="186">
        <f t="shared" si="36"/>
        <v>42277</v>
      </c>
      <c r="P38" s="186">
        <f t="shared" si="36"/>
        <v>42185</v>
      </c>
      <c r="Q38" s="186">
        <f t="shared" si="36"/>
        <v>42094</v>
      </c>
      <c r="R38" s="186">
        <f t="shared" si="36"/>
        <v>42004</v>
      </c>
      <c r="S38" s="186">
        <f t="shared" si="36"/>
        <v>41912</v>
      </c>
      <c r="T38" s="186">
        <f t="shared" si="36"/>
        <v>41820</v>
      </c>
      <c r="U38" s="186">
        <f t="shared" si="36"/>
        <v>41729</v>
      </c>
    </row>
    <row r="39" spans="1:89" s="223" customFormat="1">
      <c r="A39" s="220" t="s">
        <v>551</v>
      </c>
      <c r="B39" s="221"/>
      <c r="C39" s="221"/>
      <c r="D39" s="221"/>
      <c r="E39" s="222">
        <f>E2/E9</f>
        <v>0.77470330638351348</v>
      </c>
      <c r="F39" s="222">
        <f t="shared" ref="F39:U39" si="37">F2/F9</f>
        <v>0.82786663156981499</v>
      </c>
      <c r="G39" s="222">
        <f t="shared" si="37"/>
        <v>0.81019127764738008</v>
      </c>
      <c r="H39" s="222">
        <f t="shared" si="37"/>
        <v>0.76793976873424874</v>
      </c>
      <c r="I39" s="222">
        <f t="shared" si="37"/>
        <v>0.78697449680331422</v>
      </c>
      <c r="J39" s="222">
        <f t="shared" si="37"/>
        <v>0.77715788146835807</v>
      </c>
      <c r="K39" s="222">
        <f t="shared" si="37"/>
        <v>0.74384614854877507</v>
      </c>
      <c r="L39" s="222">
        <f t="shared" si="37"/>
        <v>0.5971839443421596</v>
      </c>
      <c r="M39" s="222">
        <f t="shared" si="37"/>
        <v>0.56841139873875746</v>
      </c>
      <c r="N39" s="222">
        <f t="shared" si="37"/>
        <v>0.51135269168161079</v>
      </c>
      <c r="O39" s="222">
        <f t="shared" si="37"/>
        <v>0.44981556091316499</v>
      </c>
      <c r="P39" s="222">
        <f t="shared" si="37"/>
        <v>0.45671379746684215</v>
      </c>
      <c r="Q39" s="222">
        <f t="shared" si="37"/>
        <v>0.45586657418593551</v>
      </c>
      <c r="R39" s="222">
        <f t="shared" si="37"/>
        <v>0.46989129098197713</v>
      </c>
      <c r="S39" s="222">
        <f t="shared" si="37"/>
        <v>0.42094368169833801</v>
      </c>
      <c r="T39" s="222">
        <f t="shared" si="37"/>
        <v>0.41726407839311597</v>
      </c>
      <c r="U39" s="222">
        <f t="shared" si="37"/>
        <v>0.46523720143765168</v>
      </c>
    </row>
    <row r="40" spans="1:89" s="223" customFormat="1">
      <c r="A40" s="220" t="s">
        <v>552</v>
      </c>
      <c r="B40" s="221"/>
      <c r="C40" s="221"/>
      <c r="D40" s="221"/>
      <c r="E40" s="222">
        <f>E3/E9</f>
        <v>0</v>
      </c>
      <c r="F40" s="222">
        <f t="shared" ref="F40:U40" si="38">F3/F9</f>
        <v>0</v>
      </c>
      <c r="G40" s="222">
        <f t="shared" si="38"/>
        <v>0</v>
      </c>
      <c r="H40" s="222">
        <f t="shared" si="38"/>
        <v>0</v>
      </c>
      <c r="I40" s="222">
        <f t="shared" si="38"/>
        <v>0</v>
      </c>
      <c r="J40" s="222">
        <f t="shared" si="38"/>
        <v>0</v>
      </c>
      <c r="K40" s="222">
        <f t="shared" si="38"/>
        <v>0</v>
      </c>
      <c r="L40" s="222">
        <f t="shared" si="38"/>
        <v>0</v>
      </c>
      <c r="M40" s="222">
        <f t="shared" si="38"/>
        <v>0</v>
      </c>
      <c r="N40" s="222">
        <f t="shared" si="38"/>
        <v>0</v>
      </c>
      <c r="O40" s="222">
        <f t="shared" si="38"/>
        <v>0</v>
      </c>
      <c r="P40" s="222">
        <f t="shared" si="38"/>
        <v>0</v>
      </c>
      <c r="Q40" s="222">
        <f t="shared" si="38"/>
        <v>0</v>
      </c>
      <c r="R40" s="222">
        <f t="shared" si="38"/>
        <v>0</v>
      </c>
      <c r="S40" s="222">
        <f t="shared" si="38"/>
        <v>5.052634034284364E-5</v>
      </c>
      <c r="T40" s="222">
        <f t="shared" si="38"/>
        <v>1.3285340067561077E-4</v>
      </c>
      <c r="U40" s="222">
        <f t="shared" si="38"/>
        <v>1.3362866559579867E-4</v>
      </c>
    </row>
    <row r="41" spans="1:89">
      <c r="A41" s="182" t="s">
        <v>557</v>
      </c>
      <c r="B41" s="64"/>
      <c r="C41" s="64"/>
      <c r="D41" s="64"/>
      <c r="E41" s="90">
        <f>E4/E9</f>
        <v>2.6834371717380429E-2</v>
      </c>
      <c r="F41" s="90">
        <f t="shared" ref="F41:U41" si="39">F4/F9</f>
        <v>-3.7233737393387513E-2</v>
      </c>
      <c r="G41" s="90">
        <f t="shared" si="39"/>
        <v>-3.8681047154590899E-2</v>
      </c>
      <c r="H41" s="90">
        <f t="shared" si="39"/>
        <v>-3.694528994071257E-3</v>
      </c>
      <c r="I41" s="90">
        <f t="shared" si="39"/>
        <v>-3.2222338169577737E-2</v>
      </c>
      <c r="J41" s="90">
        <f t="shared" si="39"/>
        <v>-3.971200701567023E-2</v>
      </c>
      <c r="K41" s="90">
        <f t="shared" si="39"/>
        <v>2.1352194441910045E-4</v>
      </c>
      <c r="L41" s="90">
        <f t="shared" si="39"/>
        <v>0.13560215265110925</v>
      </c>
      <c r="M41" s="90">
        <f t="shared" si="39"/>
        <v>0.15545935946633363</v>
      </c>
      <c r="N41" s="212">
        <f t="shared" si="39"/>
        <v>0.19446644017297385</v>
      </c>
      <c r="O41" s="212">
        <f t="shared" si="39"/>
        <v>0.25426638811342894</v>
      </c>
      <c r="P41" s="212">
        <f t="shared" si="39"/>
        <v>0.25879616732740168</v>
      </c>
      <c r="Q41" s="212">
        <f t="shared" si="39"/>
        <v>0.25377975896162119</v>
      </c>
      <c r="R41" s="212">
        <f t="shared" si="39"/>
        <v>0.22330705549464377</v>
      </c>
      <c r="S41" s="212">
        <f t="shared" si="39"/>
        <v>0.27439267907269982</v>
      </c>
      <c r="T41" s="212">
        <f t="shared" si="39"/>
        <v>0.25769237163619146</v>
      </c>
      <c r="U41" s="212">
        <f t="shared" si="39"/>
        <v>0.22757500466634986</v>
      </c>
    </row>
    <row r="42" spans="1:89">
      <c r="A42" s="182" t="s">
        <v>334</v>
      </c>
      <c r="B42" s="64"/>
      <c r="C42" s="64"/>
      <c r="D42" s="64"/>
      <c r="E42" s="90">
        <f>E5/E9</f>
        <v>0.2078796747830236</v>
      </c>
      <c r="F42" s="90">
        <f t="shared" ref="F42:U42" si="40">F5/F9</f>
        <v>0.22664390210892557</v>
      </c>
      <c r="G42" s="90">
        <f t="shared" si="40"/>
        <v>0.23524360027275465</v>
      </c>
      <c r="H42" s="90">
        <f t="shared" si="40"/>
        <v>0.24481764922092328</v>
      </c>
      <c r="I42" s="90">
        <f t="shared" si="40"/>
        <v>0.24658352995114213</v>
      </c>
      <c r="J42" s="90">
        <f t="shared" si="40"/>
        <v>0.26406620949261078</v>
      </c>
      <c r="K42" s="90">
        <f t="shared" si="40"/>
        <v>0.25514577612402684</v>
      </c>
      <c r="L42" s="90">
        <f t="shared" si="40"/>
        <v>0.32908023276937692</v>
      </c>
      <c r="M42" s="90">
        <f t="shared" si="40"/>
        <v>0.31989141489348966</v>
      </c>
      <c r="N42" s="212">
        <f t="shared" si="40"/>
        <v>0.38929430525521558</v>
      </c>
      <c r="O42" s="212">
        <f t="shared" si="40"/>
        <v>0.38981208052650385</v>
      </c>
      <c r="P42" s="212">
        <f t="shared" si="40"/>
        <v>0.34260728969001725</v>
      </c>
      <c r="Q42" s="212">
        <f t="shared" si="40"/>
        <v>0.34903050448929041</v>
      </c>
      <c r="R42" s="212">
        <f t="shared" si="40"/>
        <v>0.3332934888813936</v>
      </c>
      <c r="S42" s="212">
        <f t="shared" si="40"/>
        <v>0.35201029196757622</v>
      </c>
      <c r="T42" s="212">
        <f t="shared" si="40"/>
        <v>0.34449482340805609</v>
      </c>
      <c r="U42" s="212">
        <f t="shared" si="40"/>
        <v>0.33678450343261368</v>
      </c>
    </row>
    <row r="43" spans="1:89">
      <c r="A43" s="182" t="s">
        <v>335</v>
      </c>
      <c r="B43" s="64"/>
      <c r="C43" s="64"/>
      <c r="D43" s="64"/>
      <c r="E43" s="90">
        <f>E6/E9</f>
        <v>0.18104530306564318</v>
      </c>
      <c r="F43" s="90">
        <f t="shared" ref="F43:U43" si="41">F6/F9</f>
        <v>0.26387763950231308</v>
      </c>
      <c r="G43" s="90">
        <f t="shared" si="41"/>
        <v>0.27392464742734557</v>
      </c>
      <c r="H43" s="90">
        <f t="shared" si="41"/>
        <v>0.24851217821499455</v>
      </c>
      <c r="I43" s="90">
        <f t="shared" si="41"/>
        <v>0.27880586812071984</v>
      </c>
      <c r="J43" s="90">
        <f t="shared" si="41"/>
        <v>0.30377821650828102</v>
      </c>
      <c r="K43" s="90">
        <f t="shared" si="41"/>
        <v>0.25493225417960774</v>
      </c>
      <c r="L43" s="90">
        <f t="shared" si="41"/>
        <v>0.19347808011826767</v>
      </c>
      <c r="M43" s="90">
        <f t="shared" si="41"/>
        <v>0.16443205542715605</v>
      </c>
      <c r="N43" s="212">
        <f t="shared" si="41"/>
        <v>0.19482786508224173</v>
      </c>
      <c r="O43" s="212">
        <f t="shared" si="41"/>
        <v>0.1355456924130749</v>
      </c>
      <c r="P43" s="212">
        <f t="shared" si="41"/>
        <v>8.3811122362615592E-2</v>
      </c>
      <c r="Q43" s="212">
        <f t="shared" si="41"/>
        <v>9.5250745527669212E-2</v>
      </c>
      <c r="R43" s="212">
        <f t="shared" si="41"/>
        <v>0.10998643338674982</v>
      </c>
      <c r="S43" s="212">
        <f t="shared" si="41"/>
        <v>7.7617612894876384E-2</v>
      </c>
      <c r="T43" s="212">
        <f t="shared" si="41"/>
        <v>8.6802451771864672E-2</v>
      </c>
      <c r="U43" s="212">
        <f t="shared" si="41"/>
        <v>0.10920949876626385</v>
      </c>
    </row>
    <row r="44" spans="1:89">
      <c r="A44" s="182" t="s">
        <v>336</v>
      </c>
      <c r="B44" s="64"/>
      <c r="C44" s="64"/>
      <c r="D44" s="64"/>
      <c r="E44" s="90">
        <f>E7/E9</f>
        <v>0.19846232189910604</v>
      </c>
      <c r="F44" s="90">
        <f t="shared" ref="F44:U44" si="42">F7/F9</f>
        <v>0.20936710582357251</v>
      </c>
      <c r="G44" s="90">
        <f t="shared" si="42"/>
        <v>0.22848976950721087</v>
      </c>
      <c r="H44" s="90">
        <f t="shared" si="42"/>
        <v>0.23575476025982256</v>
      </c>
      <c r="I44" s="90">
        <f t="shared" si="42"/>
        <v>0.24524784136626354</v>
      </c>
      <c r="J44" s="90">
        <f t="shared" si="42"/>
        <v>0.26255412554731222</v>
      </c>
      <c r="K44" s="90">
        <f t="shared" si="42"/>
        <v>0.25594032950680584</v>
      </c>
      <c r="L44" s="90">
        <f t="shared" si="42"/>
        <v>0.26721390300673104</v>
      </c>
      <c r="M44" s="90">
        <f t="shared" si="42"/>
        <v>0.27612924179490894</v>
      </c>
      <c r="N44" s="212">
        <f t="shared" si="42"/>
        <v>0.29418086814541528</v>
      </c>
      <c r="O44" s="212">
        <f t="shared" si="42"/>
        <v>0.29591805097340601</v>
      </c>
      <c r="P44" s="212">
        <f t="shared" si="42"/>
        <v>0.28449003520575616</v>
      </c>
      <c r="Q44" s="212">
        <f t="shared" si="42"/>
        <v>0.29035366685244335</v>
      </c>
      <c r="R44" s="212">
        <f t="shared" si="42"/>
        <v>0.30680165352337913</v>
      </c>
      <c r="S44" s="212">
        <f t="shared" si="42"/>
        <v>0.30461311288861936</v>
      </c>
      <c r="T44" s="212">
        <f t="shared" si="42"/>
        <v>0.32491069657001698</v>
      </c>
      <c r="U44" s="212">
        <f t="shared" si="42"/>
        <v>0.30705416523040263</v>
      </c>
    </row>
    <row r="45" spans="1:89" s="223" customFormat="1">
      <c r="A45" s="220" t="s">
        <v>337</v>
      </c>
      <c r="B45" s="221"/>
      <c r="C45" s="221"/>
      <c r="D45" s="221"/>
      <c r="E45" s="222">
        <f>E8/E9</f>
        <v>0.22529669361648647</v>
      </c>
      <c r="F45" s="222">
        <f t="shared" ref="F45:U45" si="43">F8/F9</f>
        <v>0.17213336843018501</v>
      </c>
      <c r="G45" s="222">
        <f t="shared" si="43"/>
        <v>0.18980872235261997</v>
      </c>
      <c r="H45" s="222">
        <f t="shared" si="43"/>
        <v>0.23206023126575132</v>
      </c>
      <c r="I45" s="222">
        <f t="shared" si="43"/>
        <v>0.21302550319668581</v>
      </c>
      <c r="J45" s="222">
        <f t="shared" si="43"/>
        <v>0.22284211853164199</v>
      </c>
      <c r="K45" s="222">
        <f t="shared" si="43"/>
        <v>0.25615385145122493</v>
      </c>
      <c r="L45" s="222">
        <f t="shared" si="43"/>
        <v>0.40281605565784029</v>
      </c>
      <c r="M45" s="222">
        <f t="shared" si="43"/>
        <v>0.43158860126124254</v>
      </c>
      <c r="N45" s="222">
        <f t="shared" si="43"/>
        <v>0.4886473083183891</v>
      </c>
      <c r="O45" s="222">
        <f t="shared" si="43"/>
        <v>0.55018443908683501</v>
      </c>
      <c r="P45" s="222">
        <f t="shared" si="43"/>
        <v>0.54328620253315785</v>
      </c>
      <c r="Q45" s="222">
        <f t="shared" si="43"/>
        <v>0.54413342581406454</v>
      </c>
      <c r="R45" s="222">
        <f t="shared" si="43"/>
        <v>0.53010870901802287</v>
      </c>
      <c r="S45" s="222">
        <f t="shared" si="43"/>
        <v>0.57900579196131918</v>
      </c>
      <c r="T45" s="222">
        <f t="shared" si="43"/>
        <v>0.58260306820620844</v>
      </c>
      <c r="U45" s="222">
        <f t="shared" si="43"/>
        <v>0.53462916989675247</v>
      </c>
    </row>
    <row r="46" spans="1:89">
      <c r="A46" s="183"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c r="A47" s="182" t="s">
        <v>339</v>
      </c>
      <c r="B47" s="64"/>
      <c r="C47" s="64"/>
      <c r="D47" s="64"/>
      <c r="E47" s="90">
        <f>E10/E14</f>
        <v>1.2581339213904821E-4</v>
      </c>
      <c r="F47" s="90">
        <f t="shared" ref="F47:U47" si="45">F10/F14</f>
        <v>2.198436645368065E-4</v>
      </c>
      <c r="G47" s="90">
        <f t="shared" si="45"/>
        <v>2.4665921990307105E-4</v>
      </c>
      <c r="H47" s="90">
        <f t="shared" si="45"/>
        <v>4.083240719096937E-4</v>
      </c>
      <c r="I47" s="90">
        <f t="shared" si="45"/>
        <v>4.2569584890723576E-4</v>
      </c>
      <c r="J47" s="90">
        <f t="shared" si="45"/>
        <v>3.9945434669450897E-4</v>
      </c>
      <c r="K47" s="90">
        <f t="shared" si="45"/>
        <v>2.5779833016656466E-4</v>
      </c>
      <c r="L47" s="90">
        <f t="shared" si="45"/>
        <v>5.8588907284373574E-4</v>
      </c>
      <c r="M47" s="90">
        <f t="shared" si="45"/>
        <v>5.2138233525176366E-4</v>
      </c>
      <c r="N47" s="212">
        <f t="shared" si="45"/>
        <v>3.7947875066259034E-4</v>
      </c>
      <c r="O47" s="212">
        <f t="shared" si="45"/>
        <v>2.3178796610418058E-4</v>
      </c>
      <c r="P47" s="212">
        <f t="shared" si="45"/>
        <v>4.962919267041012E-4</v>
      </c>
      <c r="Q47" s="212">
        <f t="shared" si="45"/>
        <v>3.7800732223939476E-4</v>
      </c>
      <c r="R47" s="212">
        <f t="shared" si="45"/>
        <v>1.312940854536415E-3</v>
      </c>
      <c r="S47" s="212">
        <f t="shared" si="45"/>
        <v>1.3731810826874853E-4</v>
      </c>
      <c r="T47" s="212">
        <f t="shared" si="45"/>
        <v>6.6298414751956767E-4</v>
      </c>
      <c r="U47" s="212">
        <f t="shared" si="45"/>
        <v>4.8122970953827959E-4</v>
      </c>
    </row>
    <row r="48" spans="1:89">
      <c r="A48" s="182" t="s">
        <v>340</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2">
        <f t="shared" si="46"/>
        <v>0</v>
      </c>
      <c r="O48" s="212">
        <f t="shared" si="46"/>
        <v>0</v>
      </c>
      <c r="P48" s="212">
        <f t="shared" si="46"/>
        <v>0</v>
      </c>
      <c r="Q48" s="212">
        <f t="shared" si="46"/>
        <v>0</v>
      </c>
      <c r="R48" s="212">
        <f t="shared" si="46"/>
        <v>0</v>
      </c>
      <c r="S48" s="212">
        <f t="shared" si="46"/>
        <v>0</v>
      </c>
      <c r="T48" s="212">
        <f t="shared" si="46"/>
        <v>0</v>
      </c>
      <c r="U48" s="212">
        <f t="shared" si="46"/>
        <v>0</v>
      </c>
    </row>
    <row r="49" spans="1:21">
      <c r="A49" s="182" t="s">
        <v>341</v>
      </c>
      <c r="B49" s="64"/>
      <c r="C49" s="64"/>
      <c r="D49" s="64"/>
      <c r="E49" s="90">
        <f>E12/E14</f>
        <v>1.2581339213904821E-4</v>
      </c>
      <c r="F49" s="90">
        <f t="shared" ref="F49:U49" si="47">F12/F14</f>
        <v>2.198436645368065E-4</v>
      </c>
      <c r="G49" s="90">
        <f t="shared" si="47"/>
        <v>2.4665921990307105E-4</v>
      </c>
      <c r="H49" s="90">
        <f t="shared" si="47"/>
        <v>4.083240719096937E-4</v>
      </c>
      <c r="I49" s="90">
        <f t="shared" si="47"/>
        <v>4.2569584890723576E-4</v>
      </c>
      <c r="J49" s="90">
        <f t="shared" si="47"/>
        <v>3.9945434669450897E-4</v>
      </c>
      <c r="K49" s="90">
        <f t="shared" si="47"/>
        <v>2.5779833016656466E-4</v>
      </c>
      <c r="L49" s="90">
        <f t="shared" si="47"/>
        <v>5.8588907284373574E-4</v>
      </c>
      <c r="M49" s="90">
        <f t="shared" si="47"/>
        <v>5.2138233525176366E-4</v>
      </c>
      <c r="N49" s="212">
        <f t="shared" si="47"/>
        <v>3.7947875066259034E-4</v>
      </c>
      <c r="O49" s="212">
        <f t="shared" si="47"/>
        <v>2.3178796610418058E-4</v>
      </c>
      <c r="P49" s="212">
        <f t="shared" si="47"/>
        <v>4.962919267041012E-4</v>
      </c>
      <c r="Q49" s="212">
        <f t="shared" si="47"/>
        <v>3.7800732223939476E-4</v>
      </c>
      <c r="R49" s="212">
        <f t="shared" si="47"/>
        <v>1.312940854536415E-3</v>
      </c>
      <c r="S49" s="212">
        <f t="shared" si="47"/>
        <v>1.3731810826874853E-4</v>
      </c>
      <c r="T49" s="212">
        <f t="shared" si="47"/>
        <v>6.6298414751956767E-4</v>
      </c>
      <c r="U49" s="212">
        <f t="shared" si="47"/>
        <v>4.8122970953827959E-4</v>
      </c>
    </row>
    <row r="50" spans="1:21">
      <c r="A50" s="182" t="s">
        <v>345</v>
      </c>
      <c r="B50" s="64"/>
      <c r="C50" s="64"/>
      <c r="D50" s="64"/>
      <c r="E50" s="90">
        <f>E13/E14</f>
        <v>0.99987418660786087</v>
      </c>
      <c r="F50" s="90">
        <f t="shared" ref="F50:U50" si="48">F13/F14</f>
        <v>0.99978015633546324</v>
      </c>
      <c r="G50" s="90">
        <f t="shared" si="48"/>
        <v>0.99975334078009703</v>
      </c>
      <c r="H50" s="90">
        <f t="shared" si="48"/>
        <v>0.99959167592809028</v>
      </c>
      <c r="I50" s="90">
        <f t="shared" si="48"/>
        <v>0.99957430415109272</v>
      </c>
      <c r="J50" s="90">
        <f t="shared" si="48"/>
        <v>0.99960054565330547</v>
      </c>
      <c r="K50" s="90">
        <f t="shared" si="48"/>
        <v>0.99974220166983352</v>
      </c>
      <c r="L50" s="90">
        <f t="shared" si="48"/>
        <v>0.99941411092715626</v>
      </c>
      <c r="M50" s="90">
        <f t="shared" si="48"/>
        <v>0.99947861766474833</v>
      </c>
      <c r="N50" s="212">
        <f t="shared" si="48"/>
        <v>0.99962052124933753</v>
      </c>
      <c r="O50" s="212">
        <f t="shared" si="48"/>
        <v>0.99976821203389576</v>
      </c>
      <c r="P50" s="212">
        <f t="shared" si="48"/>
        <v>0.9995037080732958</v>
      </c>
      <c r="Q50" s="212">
        <f t="shared" si="48"/>
        <v>0.99962199267776064</v>
      </c>
      <c r="R50" s="212">
        <f t="shared" si="48"/>
        <v>0.99868705914546352</v>
      </c>
      <c r="S50" s="212">
        <f t="shared" si="48"/>
        <v>0.99986268189173133</v>
      </c>
      <c r="T50" s="212">
        <f t="shared" si="48"/>
        <v>0.99933701585248047</v>
      </c>
      <c r="U50" s="212">
        <f t="shared" si="48"/>
        <v>0.99951877029046166</v>
      </c>
    </row>
    <row r="51" spans="1:21">
      <c r="A51" s="183"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c r="A54" s="227" t="s">
        <v>640</v>
      </c>
      <c r="B54" s="228"/>
      <c r="C54" s="228"/>
      <c r="D54" s="228"/>
      <c r="E54" s="229">
        <f>E1</f>
        <v>43190</v>
      </c>
      <c r="F54" s="229">
        <f t="shared" ref="F54:U54" si="50">F1</f>
        <v>43100</v>
      </c>
      <c r="G54" s="229">
        <f t="shared" si="50"/>
        <v>43008</v>
      </c>
      <c r="H54" s="229">
        <f t="shared" si="50"/>
        <v>42916</v>
      </c>
      <c r="I54" s="229">
        <f t="shared" si="50"/>
        <v>42825</v>
      </c>
      <c r="J54" s="229">
        <f t="shared" si="50"/>
        <v>42735</v>
      </c>
      <c r="K54" s="229">
        <f t="shared" si="50"/>
        <v>42643</v>
      </c>
      <c r="L54" s="229">
        <f t="shared" si="50"/>
        <v>42551</v>
      </c>
      <c r="M54" s="229">
        <f t="shared" si="50"/>
        <v>42460</v>
      </c>
      <c r="N54" s="229">
        <f t="shared" si="50"/>
        <v>42369</v>
      </c>
      <c r="O54" s="229">
        <f t="shared" si="50"/>
        <v>42277</v>
      </c>
      <c r="P54" s="229">
        <f t="shared" si="50"/>
        <v>42185</v>
      </c>
      <c r="Q54" s="229">
        <f t="shared" si="50"/>
        <v>42094</v>
      </c>
      <c r="R54" s="229">
        <f t="shared" si="50"/>
        <v>42004</v>
      </c>
      <c r="S54" s="229">
        <f t="shared" si="50"/>
        <v>41912</v>
      </c>
      <c r="T54" s="229">
        <f t="shared" si="50"/>
        <v>41820</v>
      </c>
      <c r="U54" s="229">
        <f t="shared" si="50"/>
        <v>41729</v>
      </c>
    </row>
    <row r="55" spans="1:21">
      <c r="A55" s="182" t="s">
        <v>644</v>
      </c>
      <c r="B55" s="64"/>
      <c r="C55" s="64"/>
      <c r="D55" s="64"/>
      <c r="E55" s="212">
        <f>E2/E9</f>
        <v>0.77470330638351348</v>
      </c>
      <c r="F55" s="212">
        <f t="shared" ref="F55:U55" si="51">F2/F9</f>
        <v>0.82786663156981499</v>
      </c>
      <c r="G55" s="212">
        <f t="shared" si="51"/>
        <v>0.81019127764738008</v>
      </c>
      <c r="H55" s="212">
        <f t="shared" si="51"/>
        <v>0.76793976873424874</v>
      </c>
      <c r="I55" s="212">
        <f t="shared" si="51"/>
        <v>0.78697449680331422</v>
      </c>
      <c r="J55" s="212">
        <f t="shared" si="51"/>
        <v>0.77715788146835807</v>
      </c>
      <c r="K55" s="212">
        <f t="shared" si="51"/>
        <v>0.74384614854877507</v>
      </c>
      <c r="L55" s="212">
        <f t="shared" si="51"/>
        <v>0.5971839443421596</v>
      </c>
      <c r="M55" s="212">
        <f t="shared" si="51"/>
        <v>0.56841139873875746</v>
      </c>
      <c r="N55" s="212">
        <f t="shared" si="51"/>
        <v>0.51135269168161079</v>
      </c>
      <c r="O55" s="212">
        <f t="shared" si="51"/>
        <v>0.44981556091316499</v>
      </c>
      <c r="P55" s="212">
        <f t="shared" si="51"/>
        <v>0.45671379746684215</v>
      </c>
      <c r="Q55" s="212">
        <f t="shared" si="51"/>
        <v>0.45586657418593551</v>
      </c>
      <c r="R55" s="212">
        <f t="shared" si="51"/>
        <v>0.46989129098197713</v>
      </c>
      <c r="S55" s="212">
        <f t="shared" si="51"/>
        <v>0.42094368169833801</v>
      </c>
      <c r="T55" s="212">
        <f t="shared" si="51"/>
        <v>0.41726407839311597</v>
      </c>
      <c r="U55" s="212">
        <f t="shared" si="51"/>
        <v>0.46523720143765168</v>
      </c>
    </row>
    <row r="56" spans="1:21">
      <c r="A56" s="182" t="s">
        <v>645</v>
      </c>
      <c r="B56" s="64"/>
      <c r="C56" s="64"/>
      <c r="D56" s="64"/>
      <c r="E56" s="212">
        <f>E4/E9</f>
        <v>2.6834371717380429E-2</v>
      </c>
      <c r="F56" s="212">
        <f t="shared" ref="F56:U56" si="52">F4/F9</f>
        <v>-3.7233737393387513E-2</v>
      </c>
      <c r="G56" s="212">
        <f t="shared" si="52"/>
        <v>-3.8681047154590899E-2</v>
      </c>
      <c r="H56" s="212">
        <f t="shared" si="52"/>
        <v>-3.694528994071257E-3</v>
      </c>
      <c r="I56" s="212">
        <f t="shared" si="52"/>
        <v>-3.2222338169577737E-2</v>
      </c>
      <c r="J56" s="212">
        <f t="shared" si="52"/>
        <v>-3.971200701567023E-2</v>
      </c>
      <c r="K56" s="212">
        <f t="shared" si="52"/>
        <v>2.1352194441910045E-4</v>
      </c>
      <c r="L56" s="212">
        <f t="shared" si="52"/>
        <v>0.13560215265110925</v>
      </c>
      <c r="M56" s="212">
        <f t="shared" si="52"/>
        <v>0.15545935946633363</v>
      </c>
      <c r="N56" s="212">
        <f t="shared" si="52"/>
        <v>0.19446644017297385</v>
      </c>
      <c r="O56" s="212">
        <f t="shared" si="52"/>
        <v>0.25426638811342894</v>
      </c>
      <c r="P56" s="212">
        <f t="shared" si="52"/>
        <v>0.25879616732740168</v>
      </c>
      <c r="Q56" s="212">
        <f t="shared" si="52"/>
        <v>0.25377975896162119</v>
      </c>
      <c r="R56" s="212">
        <f t="shared" si="52"/>
        <v>0.22330705549464377</v>
      </c>
      <c r="S56" s="212">
        <f t="shared" si="52"/>
        <v>0.27439267907269982</v>
      </c>
      <c r="T56" s="212">
        <f t="shared" si="52"/>
        <v>0.25769237163619146</v>
      </c>
      <c r="U56" s="212">
        <f t="shared" si="52"/>
        <v>0.22757500466634986</v>
      </c>
    </row>
    <row r="57" spans="1:21">
      <c r="A57" s="182" t="s">
        <v>646</v>
      </c>
      <c r="B57" s="64"/>
      <c r="C57" s="64"/>
      <c r="D57" s="64"/>
      <c r="E57" s="212">
        <f>E5/E9</f>
        <v>0.2078796747830236</v>
      </c>
      <c r="F57" s="212">
        <f t="shared" ref="F57:U57" si="53">F5/F9</f>
        <v>0.22664390210892557</v>
      </c>
      <c r="G57" s="212">
        <f t="shared" si="53"/>
        <v>0.23524360027275465</v>
      </c>
      <c r="H57" s="212">
        <f t="shared" si="53"/>
        <v>0.24481764922092328</v>
      </c>
      <c r="I57" s="212">
        <f t="shared" si="53"/>
        <v>0.24658352995114213</v>
      </c>
      <c r="J57" s="212">
        <f t="shared" si="53"/>
        <v>0.26406620949261078</v>
      </c>
      <c r="K57" s="212">
        <f t="shared" si="53"/>
        <v>0.25514577612402684</v>
      </c>
      <c r="L57" s="212">
        <f t="shared" si="53"/>
        <v>0.32908023276937692</v>
      </c>
      <c r="M57" s="212">
        <f t="shared" si="53"/>
        <v>0.31989141489348966</v>
      </c>
      <c r="N57" s="212">
        <f t="shared" si="53"/>
        <v>0.38929430525521558</v>
      </c>
      <c r="O57" s="212">
        <f t="shared" si="53"/>
        <v>0.38981208052650385</v>
      </c>
      <c r="P57" s="212">
        <f t="shared" si="53"/>
        <v>0.34260728969001725</v>
      </c>
      <c r="Q57" s="212">
        <f t="shared" si="53"/>
        <v>0.34903050448929041</v>
      </c>
      <c r="R57" s="212">
        <f t="shared" si="53"/>
        <v>0.3332934888813936</v>
      </c>
      <c r="S57" s="212">
        <f t="shared" si="53"/>
        <v>0.35201029196757622</v>
      </c>
      <c r="T57" s="212">
        <f t="shared" si="53"/>
        <v>0.34449482340805609</v>
      </c>
      <c r="U57" s="212">
        <f t="shared" si="53"/>
        <v>0.33678450343261368</v>
      </c>
    </row>
    <row r="58" spans="1:21">
      <c r="A58" s="182" t="s">
        <v>647</v>
      </c>
      <c r="B58" s="64"/>
      <c r="C58" s="64"/>
      <c r="D58" s="64"/>
      <c r="E58" s="212">
        <f>E6/E9</f>
        <v>0.18104530306564318</v>
      </c>
      <c r="F58" s="212">
        <f t="shared" ref="F58:U58" si="54">F6/F9</f>
        <v>0.26387763950231308</v>
      </c>
      <c r="G58" s="212">
        <f t="shared" si="54"/>
        <v>0.27392464742734557</v>
      </c>
      <c r="H58" s="212">
        <f t="shared" si="54"/>
        <v>0.24851217821499455</v>
      </c>
      <c r="I58" s="212">
        <f t="shared" si="54"/>
        <v>0.27880586812071984</v>
      </c>
      <c r="J58" s="212">
        <f t="shared" si="54"/>
        <v>0.30377821650828102</v>
      </c>
      <c r="K58" s="212">
        <f t="shared" si="54"/>
        <v>0.25493225417960774</v>
      </c>
      <c r="L58" s="212">
        <f t="shared" si="54"/>
        <v>0.19347808011826767</v>
      </c>
      <c r="M58" s="212">
        <f t="shared" si="54"/>
        <v>0.16443205542715605</v>
      </c>
      <c r="N58" s="212">
        <f t="shared" si="54"/>
        <v>0.19482786508224173</v>
      </c>
      <c r="O58" s="212">
        <f t="shared" si="54"/>
        <v>0.1355456924130749</v>
      </c>
      <c r="P58" s="212">
        <f t="shared" si="54"/>
        <v>8.3811122362615592E-2</v>
      </c>
      <c r="Q58" s="212">
        <f t="shared" si="54"/>
        <v>9.5250745527669212E-2</v>
      </c>
      <c r="R58" s="212">
        <f t="shared" si="54"/>
        <v>0.10998643338674982</v>
      </c>
      <c r="S58" s="212">
        <f t="shared" si="54"/>
        <v>7.7617612894876384E-2</v>
      </c>
      <c r="T58" s="212">
        <f t="shared" si="54"/>
        <v>8.6802451771864672E-2</v>
      </c>
      <c r="U58" s="212">
        <f t="shared" si="54"/>
        <v>0.10920949876626385</v>
      </c>
    </row>
    <row r="59" spans="1:21" s="223" customFormat="1">
      <c r="A59" s="225" t="s">
        <v>641</v>
      </c>
      <c r="B59" s="221"/>
      <c r="C59" s="221"/>
      <c r="D59" s="221"/>
      <c r="E59" s="222">
        <f>E55+E56</f>
        <v>0.80153767810089394</v>
      </c>
      <c r="F59" s="222">
        <f t="shared" ref="F59:U59" si="55">F55+F56</f>
        <v>0.79063289417642746</v>
      </c>
      <c r="G59" s="222">
        <f t="shared" si="55"/>
        <v>0.77151023049278922</v>
      </c>
      <c r="H59" s="222">
        <f t="shared" si="55"/>
        <v>0.76424523974017744</v>
      </c>
      <c r="I59" s="222">
        <f t="shared" si="55"/>
        <v>0.75475215863373646</v>
      </c>
      <c r="J59" s="222">
        <f t="shared" si="55"/>
        <v>0.73744587445268783</v>
      </c>
      <c r="K59" s="222">
        <f t="shared" si="55"/>
        <v>0.74405967049319421</v>
      </c>
      <c r="L59" s="222">
        <f t="shared" si="55"/>
        <v>0.73278609699326891</v>
      </c>
      <c r="M59" s="222">
        <f t="shared" si="55"/>
        <v>0.72387075820509106</v>
      </c>
      <c r="N59" s="222">
        <f t="shared" si="55"/>
        <v>0.70581913185458467</v>
      </c>
      <c r="O59" s="222">
        <f t="shared" si="55"/>
        <v>0.70408194902659393</v>
      </c>
      <c r="P59" s="222">
        <f t="shared" si="55"/>
        <v>0.71550996479424378</v>
      </c>
      <c r="Q59" s="222">
        <f t="shared" si="55"/>
        <v>0.70964633314755665</v>
      </c>
      <c r="R59" s="222">
        <f t="shared" si="55"/>
        <v>0.69319834647662093</v>
      </c>
      <c r="S59" s="222">
        <f t="shared" si="55"/>
        <v>0.69533636077103789</v>
      </c>
      <c r="T59" s="222">
        <f t="shared" si="55"/>
        <v>0.67495645002930749</v>
      </c>
      <c r="U59" s="222">
        <f t="shared" si="55"/>
        <v>0.69281220610400152</v>
      </c>
    </row>
    <row r="60" spans="1:21">
      <c r="A60" s="182" t="s">
        <v>648</v>
      </c>
      <c r="B60" s="64"/>
      <c r="C60" s="64"/>
      <c r="D60" s="64"/>
      <c r="E60" s="212">
        <f>E3/E9</f>
        <v>0</v>
      </c>
      <c r="F60" s="212">
        <f t="shared" ref="F60:U60" si="56">F3/F9</f>
        <v>0</v>
      </c>
      <c r="G60" s="212">
        <f t="shared" si="56"/>
        <v>0</v>
      </c>
      <c r="H60" s="212">
        <f t="shared" si="56"/>
        <v>0</v>
      </c>
      <c r="I60" s="212">
        <f t="shared" si="56"/>
        <v>0</v>
      </c>
      <c r="J60" s="212">
        <f t="shared" si="56"/>
        <v>0</v>
      </c>
      <c r="K60" s="212">
        <f t="shared" si="56"/>
        <v>0</v>
      </c>
      <c r="L60" s="212">
        <f t="shared" si="56"/>
        <v>0</v>
      </c>
      <c r="M60" s="212">
        <f t="shared" si="56"/>
        <v>0</v>
      </c>
      <c r="N60" s="212">
        <f t="shared" si="56"/>
        <v>0</v>
      </c>
      <c r="O60" s="212">
        <f t="shared" si="56"/>
        <v>0</v>
      </c>
      <c r="P60" s="212">
        <f t="shared" si="56"/>
        <v>0</v>
      </c>
      <c r="Q60" s="212">
        <f t="shared" si="56"/>
        <v>0</v>
      </c>
      <c r="R60" s="212">
        <f t="shared" si="56"/>
        <v>0</v>
      </c>
      <c r="S60" s="212">
        <f t="shared" si="56"/>
        <v>5.052634034284364E-5</v>
      </c>
      <c r="T60" s="212">
        <f t="shared" si="56"/>
        <v>1.3285340067561077E-4</v>
      </c>
      <c r="U60" s="212">
        <f t="shared" si="56"/>
        <v>1.3362866559579867E-4</v>
      </c>
    </row>
    <row r="61" spans="1:21">
      <c r="A61" s="182" t="s">
        <v>649</v>
      </c>
      <c r="B61" s="64"/>
      <c r="C61" s="64"/>
      <c r="D61" s="64"/>
      <c r="E61" s="212">
        <f>E7/E9</f>
        <v>0.19846232189910604</v>
      </c>
      <c r="F61" s="212">
        <f t="shared" ref="F61:U61" si="57">F7/F9</f>
        <v>0.20936710582357251</v>
      </c>
      <c r="G61" s="212">
        <f t="shared" si="57"/>
        <v>0.22848976950721087</v>
      </c>
      <c r="H61" s="212">
        <f t="shared" si="57"/>
        <v>0.23575476025982256</v>
      </c>
      <c r="I61" s="212">
        <f t="shared" si="57"/>
        <v>0.24524784136626354</v>
      </c>
      <c r="J61" s="212">
        <f t="shared" si="57"/>
        <v>0.26255412554731222</v>
      </c>
      <c r="K61" s="212">
        <f t="shared" si="57"/>
        <v>0.25594032950680584</v>
      </c>
      <c r="L61" s="212">
        <f t="shared" si="57"/>
        <v>0.26721390300673104</v>
      </c>
      <c r="M61" s="212">
        <f t="shared" si="57"/>
        <v>0.27612924179490894</v>
      </c>
      <c r="N61" s="212">
        <f t="shared" si="57"/>
        <v>0.29418086814541528</v>
      </c>
      <c r="O61" s="212">
        <f t="shared" si="57"/>
        <v>0.29591805097340601</v>
      </c>
      <c r="P61" s="212">
        <f t="shared" si="57"/>
        <v>0.28449003520575616</v>
      </c>
      <c r="Q61" s="212">
        <f t="shared" si="57"/>
        <v>0.29035366685244335</v>
      </c>
      <c r="R61" s="212">
        <f t="shared" si="57"/>
        <v>0.30680165352337913</v>
      </c>
      <c r="S61" s="212">
        <f t="shared" si="57"/>
        <v>0.30461311288861936</v>
      </c>
      <c r="T61" s="212">
        <f t="shared" si="57"/>
        <v>0.32491069657001698</v>
      </c>
      <c r="U61" s="212">
        <f t="shared" si="57"/>
        <v>0.30705416523040263</v>
      </c>
    </row>
    <row r="62" spans="1:21" s="223" customFormat="1">
      <c r="A62" s="225" t="s">
        <v>642</v>
      </c>
      <c r="B62" s="221"/>
      <c r="C62" s="221"/>
      <c r="D62" s="221"/>
      <c r="E62" s="222">
        <f>E60+E61</f>
        <v>0.19846232189910604</v>
      </c>
      <c r="F62" s="222">
        <f t="shared" ref="F62:M62" si="58">F60+F61</f>
        <v>0.20936710582357251</v>
      </c>
      <c r="G62" s="222">
        <f t="shared" si="58"/>
        <v>0.22848976950721087</v>
      </c>
      <c r="H62" s="222">
        <f t="shared" si="58"/>
        <v>0.23575476025982256</v>
      </c>
      <c r="I62" s="222">
        <f t="shared" si="58"/>
        <v>0.24524784136626354</v>
      </c>
      <c r="J62" s="222">
        <f t="shared" si="58"/>
        <v>0.26255412554731222</v>
      </c>
      <c r="K62" s="222">
        <f t="shared" si="58"/>
        <v>0.25594032950680584</v>
      </c>
      <c r="L62" s="222">
        <f t="shared" si="58"/>
        <v>0.26721390300673104</v>
      </c>
      <c r="M62" s="222">
        <f t="shared" si="58"/>
        <v>0.27612924179490894</v>
      </c>
      <c r="N62" s="222">
        <f t="shared" ref="N62" si="59">N60+N61</f>
        <v>0.29418086814541528</v>
      </c>
      <c r="O62" s="222">
        <f t="shared" ref="O62" si="60">O60+O61</f>
        <v>0.29591805097340601</v>
      </c>
      <c r="P62" s="222">
        <f t="shared" ref="P62" si="61">P60+P61</f>
        <v>0.28449003520575616</v>
      </c>
      <c r="Q62" s="222">
        <f t="shared" ref="Q62" si="62">Q60+Q61</f>
        <v>0.29035366685244335</v>
      </c>
      <c r="R62" s="222">
        <f t="shared" ref="R62" si="63">R60+R61</f>
        <v>0.30680165352337913</v>
      </c>
      <c r="S62" s="222">
        <f t="shared" ref="S62" si="64">S60+S61</f>
        <v>0.30466363922896222</v>
      </c>
      <c r="T62" s="222">
        <f t="shared" ref="T62" si="65">T60+T61</f>
        <v>0.32504354997069257</v>
      </c>
      <c r="U62" s="222">
        <f t="shared" ref="U62" si="66">U60+U61</f>
        <v>0.30718779389599843</v>
      </c>
    </row>
    <row r="63" spans="1:21">
      <c r="A63" s="224" t="s">
        <v>643</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c r="A64" s="281" t="s">
        <v>699</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c r="A66" s="230" t="s">
        <v>650</v>
      </c>
      <c r="E66" s="231">
        <f>E1</f>
        <v>43190</v>
      </c>
      <c r="F66" s="231">
        <f t="shared" ref="F66:U66" si="67">F1</f>
        <v>43100</v>
      </c>
      <c r="G66" s="231">
        <f t="shared" si="67"/>
        <v>43008</v>
      </c>
      <c r="H66" s="231">
        <f t="shared" si="67"/>
        <v>42916</v>
      </c>
      <c r="I66" s="231">
        <f t="shared" si="67"/>
        <v>42825</v>
      </c>
      <c r="J66" s="231">
        <f t="shared" si="67"/>
        <v>42735</v>
      </c>
      <c r="K66" s="231">
        <f t="shared" si="67"/>
        <v>42643</v>
      </c>
      <c r="L66" s="231">
        <f t="shared" si="67"/>
        <v>42551</v>
      </c>
      <c r="M66" s="231">
        <f t="shared" si="67"/>
        <v>42460</v>
      </c>
      <c r="N66" s="231">
        <f t="shared" si="67"/>
        <v>42369</v>
      </c>
      <c r="O66" s="231">
        <f t="shared" si="67"/>
        <v>42277</v>
      </c>
      <c r="P66" s="231">
        <f t="shared" si="67"/>
        <v>42185</v>
      </c>
      <c r="Q66" s="231">
        <f t="shared" si="67"/>
        <v>42094</v>
      </c>
      <c r="R66" s="231">
        <f t="shared" si="67"/>
        <v>42004</v>
      </c>
      <c r="S66" s="231">
        <f t="shared" si="67"/>
        <v>41912</v>
      </c>
      <c r="T66" s="231">
        <f t="shared" si="67"/>
        <v>41820</v>
      </c>
      <c r="U66" s="231">
        <f t="shared" si="67"/>
        <v>41729</v>
      </c>
    </row>
    <row r="67" spans="1:21">
      <c r="A67" s="17" t="s">
        <v>651</v>
      </c>
      <c r="E67" s="191">
        <f>E10</f>
        <v>14307389.24</v>
      </c>
      <c r="F67" s="191">
        <f t="shared" ref="F67:U67" si="68">F10</f>
        <v>23414593.670000002</v>
      </c>
      <c r="G67" s="191">
        <f t="shared" si="68"/>
        <v>24740964.149999999</v>
      </c>
      <c r="H67" s="191">
        <f t="shared" si="68"/>
        <v>39370998.079999998</v>
      </c>
      <c r="I67" s="191">
        <f t="shared" si="68"/>
        <v>39606282.75</v>
      </c>
      <c r="J67" s="191">
        <f t="shared" si="68"/>
        <v>34481635.329999998</v>
      </c>
      <c r="K67" s="191">
        <f t="shared" si="68"/>
        <v>21599948.09</v>
      </c>
      <c r="L67" s="191">
        <f t="shared" si="68"/>
        <v>46904631.719999999</v>
      </c>
      <c r="M67" s="191">
        <f t="shared" si="68"/>
        <v>40428159.979999997</v>
      </c>
      <c r="N67" s="191">
        <f t="shared" si="68"/>
        <v>27409447.399999999</v>
      </c>
      <c r="O67" s="191">
        <f t="shared" si="68"/>
        <v>15831375.970000001</v>
      </c>
      <c r="P67" s="191">
        <f t="shared" si="68"/>
        <v>33124441.800000001</v>
      </c>
      <c r="Q67" s="191">
        <f t="shared" si="68"/>
        <v>23734467.609999999</v>
      </c>
      <c r="R67" s="191">
        <f t="shared" si="68"/>
        <v>77917681.909999996</v>
      </c>
      <c r="S67" s="191">
        <f t="shared" si="68"/>
        <v>7473820.4900000002</v>
      </c>
      <c r="T67" s="191">
        <f t="shared" si="68"/>
        <v>33684820.810000002</v>
      </c>
      <c r="U67" s="191">
        <f t="shared" si="68"/>
        <v>24308411.109999999</v>
      </c>
    </row>
    <row r="68" spans="1:21">
      <c r="A68" s="17" t="s">
        <v>652</v>
      </c>
      <c r="E68" s="191">
        <f>E11</f>
        <v>0</v>
      </c>
      <c r="F68" s="191">
        <f t="shared" ref="F68:U68" si="69">F11</f>
        <v>0</v>
      </c>
      <c r="G68" s="191">
        <f t="shared" si="69"/>
        <v>0</v>
      </c>
      <c r="H68" s="191">
        <f t="shared" si="69"/>
        <v>0</v>
      </c>
      <c r="I68" s="191">
        <f t="shared" si="69"/>
        <v>0</v>
      </c>
      <c r="J68" s="191">
        <f t="shared" si="69"/>
        <v>0</v>
      </c>
      <c r="K68" s="191">
        <f t="shared" si="69"/>
        <v>0</v>
      </c>
      <c r="L68" s="191">
        <f t="shared" si="69"/>
        <v>0</v>
      </c>
      <c r="M68" s="191">
        <f t="shared" si="69"/>
        <v>0</v>
      </c>
      <c r="N68" s="191">
        <f t="shared" si="69"/>
        <v>0</v>
      </c>
      <c r="O68" s="191">
        <f t="shared" si="69"/>
        <v>0</v>
      </c>
      <c r="P68" s="191">
        <f t="shared" si="69"/>
        <v>0</v>
      </c>
      <c r="Q68" s="191">
        <f t="shared" si="69"/>
        <v>0</v>
      </c>
      <c r="R68" s="191">
        <f t="shared" si="69"/>
        <v>0</v>
      </c>
      <c r="S68" s="191">
        <f t="shared" si="69"/>
        <v>0</v>
      </c>
      <c r="T68" s="191">
        <f t="shared" si="69"/>
        <v>0</v>
      </c>
      <c r="U68" s="191">
        <f t="shared" si="69"/>
        <v>0</v>
      </c>
    </row>
    <row r="69" spans="1:21">
      <c r="A69" s="17" t="s">
        <v>653</v>
      </c>
      <c r="E69" s="191">
        <f>E12</f>
        <v>14307389.24</v>
      </c>
      <c r="F69" s="191">
        <f t="shared" ref="F69:U69" si="70">F12</f>
        <v>23414593.670000002</v>
      </c>
      <c r="G69" s="191">
        <f t="shared" si="70"/>
        <v>24740964.149999999</v>
      </c>
      <c r="H69" s="191">
        <f t="shared" si="70"/>
        <v>39370998.079999998</v>
      </c>
      <c r="I69" s="191">
        <f t="shared" si="70"/>
        <v>39606282.75</v>
      </c>
      <c r="J69" s="191">
        <f t="shared" si="70"/>
        <v>34481635.329999998</v>
      </c>
      <c r="K69" s="191">
        <f t="shared" si="70"/>
        <v>21599948.09</v>
      </c>
      <c r="L69" s="191">
        <f t="shared" si="70"/>
        <v>46904631.719999999</v>
      </c>
      <c r="M69" s="191">
        <f t="shared" si="70"/>
        <v>40428159.979999997</v>
      </c>
      <c r="N69" s="191">
        <f t="shared" si="70"/>
        <v>27409447.399999999</v>
      </c>
      <c r="O69" s="191">
        <f t="shared" si="70"/>
        <v>15831375.970000001</v>
      </c>
      <c r="P69" s="191">
        <f t="shared" si="70"/>
        <v>33124441.800000001</v>
      </c>
      <c r="Q69" s="191">
        <f t="shared" si="70"/>
        <v>23734467.609999999</v>
      </c>
      <c r="R69" s="191">
        <f t="shared" si="70"/>
        <v>77917681.909999996</v>
      </c>
      <c r="S69" s="191">
        <f t="shared" si="70"/>
        <v>7473820.4900000002</v>
      </c>
      <c r="T69" s="191">
        <f t="shared" si="70"/>
        <v>33684820.810000002</v>
      </c>
      <c r="U69" s="191">
        <f t="shared" si="70"/>
        <v>24308411.109999999</v>
      </c>
    </row>
    <row r="70" spans="1:21" s="232" customFormat="1">
      <c r="A70" s="232" t="s">
        <v>656</v>
      </c>
      <c r="E70" s="232">
        <f>E69/E74</f>
        <v>1.2581339213904821E-4</v>
      </c>
      <c r="F70" s="232">
        <f t="shared" ref="F70:U70" si="71">F69/F74</f>
        <v>2.198436645368065E-4</v>
      </c>
      <c r="G70" s="232">
        <f t="shared" si="71"/>
        <v>2.4665921990307105E-4</v>
      </c>
      <c r="H70" s="232">
        <f t="shared" si="71"/>
        <v>4.083240719096937E-4</v>
      </c>
      <c r="I70" s="232">
        <f t="shared" si="71"/>
        <v>4.2569584890723576E-4</v>
      </c>
      <c r="J70" s="232">
        <f t="shared" si="71"/>
        <v>3.9945434669450897E-4</v>
      </c>
      <c r="K70" s="232">
        <f t="shared" si="71"/>
        <v>2.5779833016656466E-4</v>
      </c>
      <c r="L70" s="232">
        <f t="shared" si="71"/>
        <v>5.8588907284373574E-4</v>
      </c>
      <c r="M70" s="232">
        <f t="shared" si="71"/>
        <v>5.2138233525176366E-4</v>
      </c>
      <c r="N70" s="232">
        <f t="shared" si="71"/>
        <v>3.7947875066259034E-4</v>
      </c>
      <c r="O70" s="232">
        <f t="shared" si="71"/>
        <v>2.3178796610418058E-4</v>
      </c>
      <c r="P70" s="232">
        <f t="shared" si="71"/>
        <v>4.962919267041012E-4</v>
      </c>
      <c r="Q70" s="232">
        <f t="shared" si="71"/>
        <v>3.7800732223939476E-4</v>
      </c>
      <c r="R70" s="232">
        <f t="shared" si="71"/>
        <v>1.312940854536415E-3</v>
      </c>
      <c r="S70" s="232">
        <f t="shared" si="71"/>
        <v>1.3731810826874853E-4</v>
      </c>
      <c r="T70" s="232">
        <f t="shared" si="71"/>
        <v>6.6298414751956767E-4</v>
      </c>
      <c r="U70" s="232">
        <f t="shared" si="71"/>
        <v>4.8122970953827959E-4</v>
      </c>
    </row>
    <row r="71" spans="1:21">
      <c r="A71" s="17" t="s">
        <v>654</v>
      </c>
      <c r="E71" s="191">
        <f>E13</f>
        <v>113704820572.81</v>
      </c>
      <c r="F71" s="191">
        <f t="shared" ref="F71:U71" si="72">F13</f>
        <v>106482241229.22</v>
      </c>
      <c r="G71" s="191">
        <f t="shared" si="72"/>
        <v>100279493192.28</v>
      </c>
      <c r="H71" s="191">
        <f t="shared" si="72"/>
        <v>96381586737.439987</v>
      </c>
      <c r="I71" s="191">
        <f t="shared" si="72"/>
        <v>92999315406.690018</v>
      </c>
      <c r="J71" s="191">
        <f t="shared" si="72"/>
        <v>86287361186.849991</v>
      </c>
      <c r="K71" s="191">
        <f t="shared" si="72"/>
        <v>83764621925.590012</v>
      </c>
      <c r="L71" s="191">
        <f t="shared" si="72"/>
        <v>80010283484.690002</v>
      </c>
      <c r="M71" s="191">
        <f t="shared" si="72"/>
        <v>77499905001.630005</v>
      </c>
      <c r="N71" s="191">
        <f t="shared" si="72"/>
        <v>72201792720.420013</v>
      </c>
      <c r="O71" s="191">
        <f t="shared" si="72"/>
        <v>68285281214.510002</v>
      </c>
      <c r="P71" s="191">
        <f t="shared" si="72"/>
        <v>66710741451.769997</v>
      </c>
      <c r="Q71" s="191">
        <f t="shared" si="72"/>
        <v>62764646110.289993</v>
      </c>
      <c r="R71" s="191">
        <f t="shared" si="72"/>
        <v>59268001550.309998</v>
      </c>
      <c r="S71" s="191">
        <f t="shared" si="72"/>
        <v>54419583063.900002</v>
      </c>
      <c r="T71" s="191">
        <f t="shared" si="72"/>
        <v>50774197895.580002</v>
      </c>
      <c r="U71" s="191">
        <f t="shared" si="72"/>
        <v>50488805447.389999</v>
      </c>
    </row>
    <row r="72" spans="1:21" s="232" customFormat="1">
      <c r="A72" s="232" t="s">
        <v>657</v>
      </c>
      <c r="E72" s="232">
        <f>E71/E74</f>
        <v>0.99987418660786087</v>
      </c>
      <c r="F72" s="232">
        <f t="shared" ref="F72:U72" si="73">F71/F74</f>
        <v>0.99978015633546324</v>
      </c>
      <c r="G72" s="232">
        <f t="shared" si="73"/>
        <v>0.99975334078009703</v>
      </c>
      <c r="H72" s="232">
        <f t="shared" si="73"/>
        <v>0.99959167592809028</v>
      </c>
      <c r="I72" s="232">
        <f t="shared" si="73"/>
        <v>0.99957430415109272</v>
      </c>
      <c r="J72" s="232">
        <f t="shared" si="73"/>
        <v>0.99960054565330547</v>
      </c>
      <c r="K72" s="232">
        <f t="shared" si="73"/>
        <v>0.99974220166983352</v>
      </c>
      <c r="L72" s="232">
        <f t="shared" si="73"/>
        <v>0.99941411092715626</v>
      </c>
      <c r="M72" s="232">
        <f t="shared" si="73"/>
        <v>0.99947861766474833</v>
      </c>
      <c r="N72" s="232">
        <f t="shared" si="73"/>
        <v>0.99962052124933753</v>
      </c>
      <c r="O72" s="232">
        <f t="shared" si="73"/>
        <v>0.99976821203389576</v>
      </c>
      <c r="P72" s="232">
        <f t="shared" si="73"/>
        <v>0.9995037080732958</v>
      </c>
      <c r="Q72" s="232">
        <f t="shared" si="73"/>
        <v>0.99962199267776064</v>
      </c>
      <c r="R72" s="232">
        <f t="shared" si="73"/>
        <v>0.99868705914546352</v>
      </c>
      <c r="S72" s="232">
        <f t="shared" si="73"/>
        <v>0.99986268189173133</v>
      </c>
      <c r="T72" s="232">
        <f t="shared" si="73"/>
        <v>0.99933701585248047</v>
      </c>
      <c r="U72" s="232">
        <f t="shared" si="73"/>
        <v>0.99951877029046166</v>
      </c>
    </row>
    <row r="73" spans="1:21" s="234" customFormat="1">
      <c r="A73" s="233" t="s">
        <v>658</v>
      </c>
      <c r="E73" s="235">
        <f>E74/E71</f>
        <v>1.0001258292231405</v>
      </c>
      <c r="F73" s="235">
        <f t="shared" ref="F73:U73" si="74">F74/F71</f>
        <v>1.0002198920064014</v>
      </c>
      <c r="G73" s="235">
        <f t="shared" si="74"/>
        <v>1.0002467200756844</v>
      </c>
      <c r="H73" s="235">
        <f t="shared" si="74"/>
        <v>1.0004084908685644</v>
      </c>
      <c r="I73" s="235">
        <f t="shared" si="74"/>
        <v>1.0004258771430392</v>
      </c>
      <c r="J73" s="235">
        <f t="shared" si="74"/>
        <v>1.0003996139742335</v>
      </c>
      <c r="K73" s="235">
        <f t="shared" si="74"/>
        <v>1.0002578648072833</v>
      </c>
      <c r="L73" s="235">
        <f t="shared" si="74"/>
        <v>1.0005862325400832</v>
      </c>
      <c r="M73" s="235">
        <f t="shared" si="74"/>
        <v>1.0005216543165976</v>
      </c>
      <c r="N73" s="235">
        <f t="shared" si="74"/>
        <v>1.0003796228094519</v>
      </c>
      <c r="O73" s="235">
        <f t="shared" si="74"/>
        <v>1.0002318417042213</v>
      </c>
      <c r="P73" s="235">
        <f t="shared" si="74"/>
        <v>1.0004965383546809</v>
      </c>
      <c r="Q73" s="235">
        <f t="shared" si="74"/>
        <v>1.0003781502658089</v>
      </c>
      <c r="R73" s="235">
        <f t="shared" si="74"/>
        <v>1.0013146669344648</v>
      </c>
      <c r="S73" s="235">
        <f t="shared" si="74"/>
        <v>1.0001373369671211</v>
      </c>
      <c r="T73" s="235">
        <f t="shared" si="74"/>
        <v>1.0006634239871059</v>
      </c>
      <c r="U73" s="235">
        <f t="shared" si="74"/>
        <v>1.0004814614030695</v>
      </c>
    </row>
    <row r="74" spans="1:21">
      <c r="A74" s="17" t="s">
        <v>655</v>
      </c>
      <c r="E74" s="191">
        <f>E14</f>
        <v>113719127962.05</v>
      </c>
      <c r="F74" s="191">
        <f t="shared" ref="F74:U74" si="75">F14</f>
        <v>106505655822.89</v>
      </c>
      <c r="G74" s="191">
        <f t="shared" si="75"/>
        <v>100304234156.42999</v>
      </c>
      <c r="H74" s="191">
        <f t="shared" si="75"/>
        <v>96420957735.519989</v>
      </c>
      <c r="I74" s="191">
        <f t="shared" si="75"/>
        <v>93038921689.440018</v>
      </c>
      <c r="J74" s="191">
        <f t="shared" si="75"/>
        <v>86321842822.179993</v>
      </c>
      <c r="K74" s="191">
        <f t="shared" si="75"/>
        <v>83786221873.680008</v>
      </c>
      <c r="L74" s="191">
        <f t="shared" si="75"/>
        <v>80057188116.410004</v>
      </c>
      <c r="M74" s="191">
        <f t="shared" si="75"/>
        <v>77540333161.610001</v>
      </c>
      <c r="N74" s="191">
        <f t="shared" si="75"/>
        <v>72229202167.820007</v>
      </c>
      <c r="O74" s="191">
        <f t="shared" si="75"/>
        <v>68301112590.480003</v>
      </c>
      <c r="P74" s="191">
        <f t="shared" si="75"/>
        <v>66743865893.57</v>
      </c>
      <c r="Q74" s="191">
        <f t="shared" si="75"/>
        <v>62788380577.899994</v>
      </c>
      <c r="R74" s="191">
        <f t="shared" si="75"/>
        <v>59345919232.220001</v>
      </c>
      <c r="S74" s="191">
        <f t="shared" si="75"/>
        <v>54427056884.389999</v>
      </c>
      <c r="T74" s="191">
        <f t="shared" si="75"/>
        <v>50807882716.389999</v>
      </c>
      <c r="U74" s="191">
        <f t="shared" si="75"/>
        <v>50513113858.5</v>
      </c>
    </row>
    <row r="75" spans="1:21" ht="83.45" customHeight="1">
      <c r="A75" s="279" t="s">
        <v>700</v>
      </c>
      <c r="B75" s="278"/>
      <c r="C75" s="278"/>
      <c r="D75" s="278"/>
      <c r="E75" s="278"/>
      <c r="F75" s="278"/>
      <c r="G75" s="278"/>
      <c r="H75" s="278"/>
      <c r="I75" s="278"/>
      <c r="J75" s="278"/>
      <c r="K75" s="278"/>
      <c r="L75" s="278"/>
      <c r="M75" s="278"/>
      <c r="N75" s="278"/>
      <c r="O75" s="278"/>
      <c r="P75" s="278"/>
      <c r="Q75" s="278"/>
      <c r="R75" s="278"/>
      <c r="S75" s="278"/>
      <c r="T75" s="278"/>
      <c r="U75" s="278"/>
    </row>
    <row r="77" spans="1:21" s="236" customFormat="1">
      <c r="A77" s="237" t="s">
        <v>659</v>
      </c>
      <c r="B77" s="238"/>
      <c r="C77" s="238"/>
      <c r="D77" s="238"/>
      <c r="E77" s="239">
        <f>E1</f>
        <v>43190</v>
      </c>
      <c r="F77" s="239">
        <f t="shared" ref="F77:U77" si="76">F1</f>
        <v>43100</v>
      </c>
      <c r="G77" s="239">
        <f t="shared" si="76"/>
        <v>43008</v>
      </c>
      <c r="H77" s="239">
        <f t="shared" si="76"/>
        <v>42916</v>
      </c>
      <c r="I77" s="239">
        <f t="shared" si="76"/>
        <v>42825</v>
      </c>
      <c r="J77" s="239">
        <f t="shared" si="76"/>
        <v>42735</v>
      </c>
      <c r="K77" s="239">
        <f t="shared" si="76"/>
        <v>42643</v>
      </c>
      <c r="L77" s="239">
        <f t="shared" si="76"/>
        <v>42551</v>
      </c>
      <c r="M77" s="239">
        <f t="shared" si="76"/>
        <v>42460</v>
      </c>
      <c r="N77" s="239">
        <f t="shared" si="76"/>
        <v>42369</v>
      </c>
      <c r="O77" s="239">
        <f t="shared" si="76"/>
        <v>42277</v>
      </c>
      <c r="P77" s="239">
        <f t="shared" si="76"/>
        <v>42185</v>
      </c>
      <c r="Q77" s="239">
        <f t="shared" si="76"/>
        <v>42094</v>
      </c>
      <c r="R77" s="239">
        <f t="shared" si="76"/>
        <v>42004</v>
      </c>
      <c r="S77" s="239">
        <f t="shared" si="76"/>
        <v>41912</v>
      </c>
      <c r="T77" s="239">
        <f t="shared" si="76"/>
        <v>41820</v>
      </c>
      <c r="U77" s="239">
        <f t="shared" si="76"/>
        <v>41729</v>
      </c>
    </row>
    <row r="78" spans="1:21">
      <c r="A78" s="182" t="s">
        <v>651</v>
      </c>
      <c r="B78" s="64"/>
      <c r="C78" s="64"/>
      <c r="D78" s="64"/>
      <c r="E78" s="89">
        <f>E10</f>
        <v>14307389.24</v>
      </c>
      <c r="F78" s="89">
        <f t="shared" ref="F78:U78" si="77">F10</f>
        <v>23414593.670000002</v>
      </c>
      <c r="G78" s="89">
        <f t="shared" si="77"/>
        <v>24740964.149999999</v>
      </c>
      <c r="H78" s="89">
        <f t="shared" si="77"/>
        <v>39370998.079999998</v>
      </c>
      <c r="I78" s="89">
        <f t="shared" si="77"/>
        <v>39606282.75</v>
      </c>
      <c r="J78" s="89">
        <f t="shared" si="77"/>
        <v>34481635.329999998</v>
      </c>
      <c r="K78" s="89">
        <f t="shared" si="77"/>
        <v>21599948.09</v>
      </c>
      <c r="L78" s="89">
        <f t="shared" si="77"/>
        <v>46904631.719999999</v>
      </c>
      <c r="M78" s="89">
        <f t="shared" si="77"/>
        <v>40428159.979999997</v>
      </c>
      <c r="N78" s="89">
        <f t="shared" si="77"/>
        <v>27409447.399999999</v>
      </c>
      <c r="O78" s="89">
        <f t="shared" si="77"/>
        <v>15831375.970000001</v>
      </c>
      <c r="P78" s="89">
        <f t="shared" si="77"/>
        <v>33124441.800000001</v>
      </c>
      <c r="Q78" s="89">
        <f t="shared" si="77"/>
        <v>23734467.609999999</v>
      </c>
      <c r="R78" s="89">
        <f t="shared" si="77"/>
        <v>77917681.909999996</v>
      </c>
      <c r="S78" s="89">
        <f t="shared" si="77"/>
        <v>7473820.4900000002</v>
      </c>
      <c r="T78" s="89">
        <f t="shared" si="77"/>
        <v>33684820.810000002</v>
      </c>
      <c r="U78" s="89">
        <f t="shared" si="77"/>
        <v>24308411.109999999</v>
      </c>
    </row>
    <row r="79" spans="1:21">
      <c r="A79" s="182" t="s">
        <v>660</v>
      </c>
      <c r="B79" s="64"/>
      <c r="C79" s="64"/>
      <c r="D79" s="64"/>
      <c r="E79" s="89">
        <f>E78</f>
        <v>14307389.24</v>
      </c>
      <c r="F79" s="89">
        <f t="shared" ref="F79:U79" si="78">F78</f>
        <v>23414593.670000002</v>
      </c>
      <c r="G79" s="89">
        <f t="shared" si="78"/>
        <v>24740964.149999999</v>
      </c>
      <c r="H79" s="89">
        <f t="shared" si="78"/>
        <v>39370998.079999998</v>
      </c>
      <c r="I79" s="89">
        <f t="shared" si="78"/>
        <v>39606282.75</v>
      </c>
      <c r="J79" s="89">
        <f t="shared" si="78"/>
        <v>34481635.329999998</v>
      </c>
      <c r="K79" s="89">
        <f t="shared" si="78"/>
        <v>21599948.09</v>
      </c>
      <c r="L79" s="89">
        <f t="shared" si="78"/>
        <v>46904631.719999999</v>
      </c>
      <c r="M79" s="89">
        <f t="shared" si="78"/>
        <v>40428159.979999997</v>
      </c>
      <c r="N79" s="89">
        <f t="shared" si="78"/>
        <v>27409447.399999999</v>
      </c>
      <c r="O79" s="89">
        <f t="shared" si="78"/>
        <v>15831375.970000001</v>
      </c>
      <c r="P79" s="89">
        <f t="shared" si="78"/>
        <v>33124441.800000001</v>
      </c>
      <c r="Q79" s="89">
        <f t="shared" si="78"/>
        <v>23734467.609999999</v>
      </c>
      <c r="R79" s="89">
        <f t="shared" si="78"/>
        <v>77917681.909999996</v>
      </c>
      <c r="S79" s="89">
        <f t="shared" si="78"/>
        <v>7473820.4900000002</v>
      </c>
      <c r="T79" s="89">
        <f t="shared" si="78"/>
        <v>33684820.810000002</v>
      </c>
      <c r="U79" s="89">
        <f t="shared" si="78"/>
        <v>24308411.109999999</v>
      </c>
    </row>
    <row r="80" spans="1:21" s="218" customFormat="1">
      <c r="A80" s="222" t="s">
        <v>661</v>
      </c>
      <c r="B80" s="222"/>
      <c r="C80" s="222"/>
      <c r="D80" s="222"/>
      <c r="E80" s="222">
        <f>E79/E85</f>
        <v>1.2581339213904821E-4</v>
      </c>
      <c r="F80" s="222">
        <f t="shared" ref="F80:U80" si="79">F79/F85</f>
        <v>2.198436645368065E-4</v>
      </c>
      <c r="G80" s="222">
        <f t="shared" si="79"/>
        <v>2.4665921990307105E-4</v>
      </c>
      <c r="H80" s="222">
        <f t="shared" si="79"/>
        <v>4.083240719096937E-4</v>
      </c>
      <c r="I80" s="222">
        <f t="shared" si="79"/>
        <v>4.2569584890723576E-4</v>
      </c>
      <c r="J80" s="222">
        <f t="shared" si="79"/>
        <v>3.9945434669450897E-4</v>
      </c>
      <c r="K80" s="222">
        <f t="shared" si="79"/>
        <v>2.5779833016656466E-4</v>
      </c>
      <c r="L80" s="222">
        <f t="shared" si="79"/>
        <v>5.8588907284373574E-4</v>
      </c>
      <c r="M80" s="222">
        <f t="shared" si="79"/>
        <v>5.2138233525176366E-4</v>
      </c>
      <c r="N80" s="222">
        <f t="shared" si="79"/>
        <v>3.7947875066259034E-4</v>
      </c>
      <c r="O80" s="222">
        <f t="shared" si="79"/>
        <v>2.3178796610418058E-4</v>
      </c>
      <c r="P80" s="222">
        <f t="shared" si="79"/>
        <v>4.962919267041012E-4</v>
      </c>
      <c r="Q80" s="222">
        <f t="shared" si="79"/>
        <v>3.7800732223939476E-4</v>
      </c>
      <c r="R80" s="222">
        <f t="shared" si="79"/>
        <v>1.312940854536415E-3</v>
      </c>
      <c r="S80" s="222">
        <f t="shared" si="79"/>
        <v>1.3731810826874853E-4</v>
      </c>
      <c r="T80" s="222">
        <f t="shared" si="79"/>
        <v>6.6298414751956767E-4</v>
      </c>
      <c r="U80" s="222">
        <f t="shared" si="79"/>
        <v>4.8122970953827959E-4</v>
      </c>
    </row>
    <row r="81" spans="1:21">
      <c r="A81" s="182" t="s">
        <v>652</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0</v>
      </c>
      <c r="S81" s="89">
        <f t="shared" si="80"/>
        <v>0</v>
      </c>
      <c r="T81" s="89">
        <f t="shared" si="80"/>
        <v>0</v>
      </c>
      <c r="U81" s="89">
        <f t="shared" si="80"/>
        <v>0</v>
      </c>
    </row>
    <row r="82" spans="1:21">
      <c r="A82" s="182" t="s">
        <v>654</v>
      </c>
      <c r="B82" s="64"/>
      <c r="C82" s="64"/>
      <c r="D82" s="64"/>
      <c r="E82" s="89">
        <f>E13</f>
        <v>113704820572.81</v>
      </c>
      <c r="F82" s="89">
        <f t="shared" ref="F82:U82" si="81">F13</f>
        <v>106482241229.22</v>
      </c>
      <c r="G82" s="89">
        <f t="shared" si="81"/>
        <v>100279493192.28</v>
      </c>
      <c r="H82" s="89">
        <f t="shared" si="81"/>
        <v>96381586737.439987</v>
      </c>
      <c r="I82" s="89">
        <f t="shared" si="81"/>
        <v>92999315406.690018</v>
      </c>
      <c r="J82" s="89">
        <f t="shared" si="81"/>
        <v>86287361186.849991</v>
      </c>
      <c r="K82" s="89">
        <f t="shared" si="81"/>
        <v>83764621925.590012</v>
      </c>
      <c r="L82" s="89">
        <f t="shared" si="81"/>
        <v>80010283484.690002</v>
      </c>
      <c r="M82" s="89">
        <f t="shared" si="81"/>
        <v>77499905001.630005</v>
      </c>
      <c r="N82" s="89">
        <f t="shared" si="81"/>
        <v>72201792720.420013</v>
      </c>
      <c r="O82" s="89">
        <f t="shared" si="81"/>
        <v>68285281214.510002</v>
      </c>
      <c r="P82" s="89">
        <f t="shared" si="81"/>
        <v>66710741451.769997</v>
      </c>
      <c r="Q82" s="89">
        <f t="shared" si="81"/>
        <v>62764646110.289993</v>
      </c>
      <c r="R82" s="89">
        <f t="shared" si="81"/>
        <v>59268001550.309998</v>
      </c>
      <c r="S82" s="89">
        <f t="shared" si="81"/>
        <v>54419583063.900002</v>
      </c>
      <c r="T82" s="89">
        <f t="shared" si="81"/>
        <v>50774197895.580002</v>
      </c>
      <c r="U82" s="89">
        <f t="shared" si="81"/>
        <v>50488805447.389999</v>
      </c>
    </row>
    <row r="83" spans="1:21">
      <c r="A83" s="182" t="s">
        <v>662</v>
      </c>
      <c r="B83" s="64"/>
      <c r="C83" s="64"/>
      <c r="D83" s="64"/>
      <c r="E83" s="89">
        <f>E81+E82</f>
        <v>113704820572.81</v>
      </c>
      <c r="F83" s="89">
        <f t="shared" ref="F83:U83" si="82">F81+F82</f>
        <v>106482241229.22</v>
      </c>
      <c r="G83" s="89">
        <f t="shared" si="82"/>
        <v>100279493192.28</v>
      </c>
      <c r="H83" s="89">
        <f t="shared" si="82"/>
        <v>96381586737.439987</v>
      </c>
      <c r="I83" s="89">
        <f t="shared" si="82"/>
        <v>92999315406.690018</v>
      </c>
      <c r="J83" s="89">
        <f t="shared" si="82"/>
        <v>86287361186.849991</v>
      </c>
      <c r="K83" s="89">
        <f t="shared" si="82"/>
        <v>83764621925.590012</v>
      </c>
      <c r="L83" s="89">
        <f t="shared" si="82"/>
        <v>80010283484.690002</v>
      </c>
      <c r="M83" s="89">
        <f t="shared" si="82"/>
        <v>77499905001.630005</v>
      </c>
      <c r="N83" s="89">
        <f t="shared" si="82"/>
        <v>72201792720.420013</v>
      </c>
      <c r="O83" s="89">
        <f t="shared" si="82"/>
        <v>68285281214.510002</v>
      </c>
      <c r="P83" s="89">
        <f t="shared" si="82"/>
        <v>66710741451.769997</v>
      </c>
      <c r="Q83" s="89">
        <f t="shared" si="82"/>
        <v>62764646110.289993</v>
      </c>
      <c r="R83" s="89">
        <f t="shared" si="82"/>
        <v>59268001550.309998</v>
      </c>
      <c r="S83" s="89">
        <f t="shared" si="82"/>
        <v>54419583063.900002</v>
      </c>
      <c r="T83" s="89">
        <f t="shared" si="82"/>
        <v>50774197895.580002</v>
      </c>
      <c r="U83" s="89">
        <f t="shared" si="82"/>
        <v>50488805447.389999</v>
      </c>
    </row>
    <row r="84" spans="1:21" s="218" customFormat="1">
      <c r="A84" s="222" t="s">
        <v>663</v>
      </c>
      <c r="B84" s="222"/>
      <c r="C84" s="222"/>
      <c r="D84" s="222"/>
      <c r="E84" s="222">
        <f>E83/E85</f>
        <v>0.99987418660786087</v>
      </c>
      <c r="F84" s="222">
        <f t="shared" ref="F84:U84" si="83">F83/F85</f>
        <v>0.99978015633546324</v>
      </c>
      <c r="G84" s="222">
        <f t="shared" si="83"/>
        <v>0.99975334078009703</v>
      </c>
      <c r="H84" s="222">
        <f t="shared" si="83"/>
        <v>0.99959167592809028</v>
      </c>
      <c r="I84" s="222">
        <f t="shared" si="83"/>
        <v>0.99957430415109272</v>
      </c>
      <c r="J84" s="222">
        <f t="shared" si="83"/>
        <v>0.99960054565330547</v>
      </c>
      <c r="K84" s="222">
        <f t="shared" si="83"/>
        <v>0.99974220166983352</v>
      </c>
      <c r="L84" s="222">
        <f t="shared" si="83"/>
        <v>0.99941411092715626</v>
      </c>
      <c r="M84" s="222">
        <f t="shared" si="83"/>
        <v>0.99947861766474833</v>
      </c>
      <c r="N84" s="222">
        <f t="shared" si="83"/>
        <v>0.99962052124933753</v>
      </c>
      <c r="O84" s="222">
        <f t="shared" si="83"/>
        <v>0.99976821203389576</v>
      </c>
      <c r="P84" s="222">
        <f t="shared" si="83"/>
        <v>0.9995037080732958</v>
      </c>
      <c r="Q84" s="222">
        <f t="shared" si="83"/>
        <v>0.99962199267776064</v>
      </c>
      <c r="R84" s="222">
        <f t="shared" si="83"/>
        <v>0.99868705914546352</v>
      </c>
      <c r="S84" s="222">
        <f t="shared" si="83"/>
        <v>0.99986268189173133</v>
      </c>
      <c r="T84" s="222">
        <f t="shared" si="83"/>
        <v>0.99933701585248047</v>
      </c>
      <c r="U84" s="222">
        <f t="shared" si="83"/>
        <v>0.99951877029046166</v>
      </c>
    </row>
    <row r="85" spans="1:21">
      <c r="A85" s="182" t="s">
        <v>655</v>
      </c>
      <c r="B85" s="64"/>
      <c r="C85" s="64"/>
      <c r="D85" s="64"/>
      <c r="E85" s="89">
        <f>E14</f>
        <v>113719127962.05</v>
      </c>
      <c r="F85" s="89">
        <f t="shared" ref="F85:U85" si="84">F14</f>
        <v>106505655822.89</v>
      </c>
      <c r="G85" s="89">
        <f t="shared" si="84"/>
        <v>100304234156.42999</v>
      </c>
      <c r="H85" s="89">
        <f t="shared" si="84"/>
        <v>96420957735.519989</v>
      </c>
      <c r="I85" s="89">
        <f t="shared" si="84"/>
        <v>93038921689.440018</v>
      </c>
      <c r="J85" s="89">
        <f t="shared" si="84"/>
        <v>86321842822.179993</v>
      </c>
      <c r="K85" s="89">
        <f t="shared" si="84"/>
        <v>83786221873.680008</v>
      </c>
      <c r="L85" s="89">
        <f t="shared" si="84"/>
        <v>80057188116.410004</v>
      </c>
      <c r="M85" s="89">
        <f t="shared" si="84"/>
        <v>77540333161.610001</v>
      </c>
      <c r="N85" s="89">
        <f t="shared" si="84"/>
        <v>72229202167.820007</v>
      </c>
      <c r="O85" s="89">
        <f t="shared" si="84"/>
        <v>68301112590.480003</v>
      </c>
      <c r="P85" s="89">
        <f t="shared" si="84"/>
        <v>66743865893.57</v>
      </c>
      <c r="Q85" s="89">
        <f t="shared" si="84"/>
        <v>62788380577.899994</v>
      </c>
      <c r="R85" s="89">
        <f t="shared" si="84"/>
        <v>59345919232.220001</v>
      </c>
      <c r="S85" s="89">
        <f t="shared" si="84"/>
        <v>54427056884.389999</v>
      </c>
      <c r="T85" s="89">
        <f t="shared" si="84"/>
        <v>50807882716.389999</v>
      </c>
      <c r="U85" s="89">
        <f t="shared" si="84"/>
        <v>50513113858.5</v>
      </c>
    </row>
    <row r="87" spans="1:21" s="56" customFormat="1" ht="85.9" customHeight="1">
      <c r="A87" s="277" t="s">
        <v>701</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78"/>
  <sheetViews>
    <sheetView zoomScaleNormal="100" workbookViewId="0">
      <selection activeCell="A35" sqref="A35:AG35"/>
    </sheetView>
  </sheetViews>
  <sheetFormatPr defaultRowHeight="13.5"/>
  <cols>
    <col min="1" max="1" width="45.625" style="17" bestFit="1" customWidth="1"/>
    <col min="2" max="2" width="11.625" bestFit="1" customWidth="1"/>
    <col min="3" max="4" width="10.5" hidden="1" customWidth="1"/>
    <col min="5" max="5" width="20.5" hidden="1" customWidth="1"/>
    <col min="6" max="6" width="20.5" bestFit="1" customWidth="1"/>
    <col min="7" max="8" width="20.5" hidden="1" customWidth="1"/>
    <col min="9" max="9" width="25.25" hidden="1" customWidth="1"/>
    <col min="10" max="10" width="20.5" bestFit="1" customWidth="1"/>
    <col min="11" max="12" width="20.5" hidden="1" customWidth="1"/>
    <col min="13" max="13" width="25.25" hidden="1" customWidth="1"/>
    <col min="14" max="14" width="20.5" bestFit="1" customWidth="1"/>
    <col min="15" max="16" width="20.5" hidden="1" customWidth="1"/>
    <col min="17" max="17" width="19.375" hidden="1" customWidth="1"/>
    <col min="18" max="18" width="20.5" bestFit="1" customWidth="1"/>
    <col min="19" max="20" width="20.5" hidden="1" customWidth="1"/>
    <col min="21" max="21" width="19.375" hidden="1" customWidth="1"/>
    <col min="22" max="22" width="20.5" bestFit="1" customWidth="1"/>
    <col min="23" max="24" width="20.5" hidden="1" customWidth="1"/>
    <col min="25" max="25" width="19.375" hidden="1" customWidth="1"/>
    <col min="26" max="26" width="20.5" bestFit="1" customWidth="1"/>
    <col min="27" max="28" width="20.5" hidden="1" customWidth="1"/>
    <col min="29" max="29" width="19.375" hidden="1" customWidth="1"/>
    <col min="30" max="30" width="20.5" bestFit="1" customWidth="1"/>
    <col min="31" max="31" width="20.5" hidden="1" customWidth="1"/>
    <col min="32" max="33" width="19.375" hidden="1" customWidth="1"/>
    <col min="34" max="34" width="20.5" bestFit="1" customWidth="1"/>
    <col min="35" max="37" width="19.375" hidden="1" customWidth="1"/>
    <col min="38" max="38" width="19.375" bestFit="1" customWidth="1"/>
    <col min="39" max="41" width="19.375" hidden="1" customWidth="1"/>
    <col min="42" max="42" width="19.375" bestFit="1" customWidth="1"/>
    <col min="43" max="45" width="19.375" hidden="1" customWidth="1"/>
    <col min="46" max="46" width="19.375" bestFit="1" customWidth="1"/>
    <col min="47" max="49" width="19.375" hidden="1" customWidth="1"/>
    <col min="50" max="50" width="19.375" bestFit="1" customWidth="1"/>
    <col min="51" max="53" width="19.375" hidden="1" customWidth="1"/>
    <col min="54" max="54" width="19.375" bestFit="1" customWidth="1"/>
    <col min="55" max="57" width="19.375" hidden="1" customWidth="1"/>
    <col min="58" max="58" width="19.375" bestFit="1" customWidth="1"/>
    <col min="59" max="60" width="19.375" hidden="1" customWidth="1"/>
    <col min="61" max="61" width="17.25" hidden="1" customWidth="1"/>
    <col min="62" max="62" width="19.375" bestFit="1" customWidth="1"/>
    <col min="63" max="64" width="19.375" hidden="1" customWidth="1"/>
    <col min="65" max="65" width="17.25" hidden="1" customWidth="1"/>
    <col min="66" max="66" width="19.375" bestFit="1" customWidth="1"/>
    <col min="67" max="67" width="19.375" hidden="1" customWidth="1"/>
    <col min="68" max="69" width="17.25" hidden="1" customWidth="1"/>
    <col min="70" max="70" width="19.375" bestFit="1" customWidth="1"/>
    <col min="71" max="71" width="17.25" hidden="1" customWidth="1"/>
    <col min="72" max="72" width="19.375" bestFit="1" customWidth="1"/>
    <col min="73" max="74" width="17.25" bestFit="1" customWidth="1"/>
    <col min="75" max="75" width="9.625" hidden="1" customWidth="1"/>
    <col min="76" max="81" width="18.375" bestFit="1" customWidth="1"/>
    <col min="82" max="82" width="9.625" bestFit="1" customWidth="1"/>
    <col min="83"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v>600519</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37529</v>
      </c>
      <c r="BP1" s="1">
        <v>37437</v>
      </c>
      <c r="BQ1" s="1">
        <v>37346</v>
      </c>
      <c r="BR1" s="1">
        <v>37256</v>
      </c>
      <c r="BS1" s="1">
        <v>37072</v>
      </c>
      <c r="BT1" s="1">
        <v>36891</v>
      </c>
      <c r="BU1" s="1">
        <v>36525</v>
      </c>
      <c r="BV1" s="1">
        <v>36160</v>
      </c>
      <c r="BW1" s="1">
        <v>25569</v>
      </c>
      <c r="BX1" s="1"/>
      <c r="BY1" s="1"/>
      <c r="BZ1" s="1"/>
      <c r="CA1" s="1"/>
      <c r="CB1" s="1"/>
      <c r="CC1" s="1"/>
      <c r="CD1" s="1"/>
      <c r="CE1" s="1"/>
      <c r="CF1" s="1"/>
      <c r="CG1" s="1"/>
      <c r="CH1" s="1"/>
      <c r="CI1" s="1"/>
      <c r="CJ1" s="1"/>
      <c r="CK1" s="1"/>
    </row>
    <row r="2" spans="1:89" s="26" customFormat="1">
      <c r="A2" s="17" t="s">
        <v>351</v>
      </c>
      <c r="E2" s="26">
        <f>股权价值增加表!E4</f>
        <v>17466166384.959999</v>
      </c>
      <c r="F2" s="26">
        <f>股权价值增加表!F4</f>
        <v>58217861314.169998</v>
      </c>
      <c r="G2" s="26">
        <f>股权价值增加表!G4</f>
        <v>42450467500.010002</v>
      </c>
      <c r="H2" s="26">
        <f>股权价值增加表!H4</f>
        <v>24190030218.959999</v>
      </c>
      <c r="I2" s="26">
        <f>股权价值增加表!I4</f>
        <v>13308639084.870001</v>
      </c>
      <c r="J2" s="26">
        <f>股权价值增加表!J4</f>
        <v>38862189993.839996</v>
      </c>
      <c r="K2" s="26">
        <f>股权价值增加表!K4</f>
        <v>26631884032.43</v>
      </c>
      <c r="L2" s="26">
        <f>股权价值增加表!L4</f>
        <v>18173234673.439999</v>
      </c>
      <c r="M2" s="26">
        <f>股权价值增加表!M4</f>
        <v>9988753730.9699993</v>
      </c>
      <c r="N2" s="26">
        <f>股权价值增加表!N4</f>
        <v>32659583725.279999</v>
      </c>
      <c r="O2" s="26">
        <f>股权价值增加表!O4</f>
        <v>23148688960.889999</v>
      </c>
      <c r="P2" s="26">
        <f>股权价值增加表!P4</f>
        <v>15778647465.950001</v>
      </c>
      <c r="Q2" s="26">
        <f>股权价值增加表!Q4</f>
        <v>8544273436</v>
      </c>
      <c r="R2" s="26">
        <f>股权价值增加表!R4</f>
        <v>31573928530.939999</v>
      </c>
      <c r="S2" s="26">
        <f>股权价值增加表!S4</f>
        <v>21718189167.610001</v>
      </c>
      <c r="T2" s="26">
        <f>股权价值增加表!T4</f>
        <v>14321628403.09</v>
      </c>
      <c r="U2" s="26">
        <f>股权价值增加表!U4</f>
        <v>7449825750.6400003</v>
      </c>
      <c r="V2" s="26">
        <f>股权价值增加表!V4</f>
        <v>30921801316.599998</v>
      </c>
      <c r="W2" s="26">
        <f>股权价值增加表!W4</f>
        <v>21935713045.240002</v>
      </c>
      <c r="X2" s="26">
        <f>股权价值增加表!X4</f>
        <v>14127867191.110001</v>
      </c>
      <c r="Y2" s="26">
        <f>股权价值增加表!Y4</f>
        <v>7165785851.6099997</v>
      </c>
      <c r="Z2" s="26">
        <f>股权价值增加表!Z4</f>
        <v>26455335152.990002</v>
      </c>
      <c r="AA2" s="26">
        <f>股权价值增加表!AA4</f>
        <v>19931438600.48</v>
      </c>
      <c r="AB2" s="26">
        <f>股权价值增加表!AB4</f>
        <v>13264437836.41</v>
      </c>
      <c r="AC2" s="26">
        <f>股权价值增加表!AC4</f>
        <v>6015967741.6199999</v>
      </c>
      <c r="AD2" s="26">
        <f>股权价值增加表!AD4</f>
        <v>18402355207.299999</v>
      </c>
      <c r="AE2" s="26">
        <f>股权价值增加表!AE4</f>
        <v>13642075480.07</v>
      </c>
      <c r="AF2" s="26">
        <f>股权价值增加表!AF4</f>
        <v>9825823427.0799999</v>
      </c>
      <c r="AG2" s="26">
        <f>股权价值增加表!AG4</f>
        <v>4220589097.9400001</v>
      </c>
      <c r="AH2" s="26">
        <f>股权价值增加表!AH4</f>
        <v>11633283740.18</v>
      </c>
      <c r="AI2" s="26">
        <f>股权价值增加表!AI4</f>
        <v>9327577784.1200008</v>
      </c>
      <c r="AJ2" s="26">
        <f>股权价值增加表!AJ4</f>
        <v>6587266362.7799997</v>
      </c>
      <c r="AK2" s="26">
        <f>股权价值增加表!AK4</f>
        <v>3039906100.4099998</v>
      </c>
      <c r="AL2" s="26">
        <f>股权价值增加表!AL4</f>
        <v>9669999065.3899994</v>
      </c>
      <c r="AM2" s="26">
        <f>股权价值增加表!AM4</f>
        <v>7807202385.7799997</v>
      </c>
      <c r="AN2" s="26">
        <f>股权价值增加表!AN4</f>
        <v>5546006031.29</v>
      </c>
      <c r="AO2" s="26">
        <f>股权价值增加表!AO4</f>
        <v>2512537167.1999998</v>
      </c>
      <c r="AP2" s="26">
        <f>股权价值增加表!AP4</f>
        <v>8241685564.1099997</v>
      </c>
      <c r="AQ2" s="26">
        <f>股权价值增加表!AQ4</f>
        <v>6486517281.0100002</v>
      </c>
      <c r="AR2" s="26">
        <f>股权价值增加表!AR4</f>
        <v>4619717309.6000004</v>
      </c>
      <c r="AS2" s="26">
        <f>股权价值增加表!AS4</f>
        <v>1993496395.46</v>
      </c>
      <c r="AT2" s="26">
        <f>股权价值增加表!AT4</f>
        <v>7237430747.1199999</v>
      </c>
      <c r="AU2" s="26">
        <f>股权价值增加表!AU4</f>
        <v>4458382249.2600002</v>
      </c>
      <c r="AV2" s="26">
        <f>股权价值增加表!AV4</f>
        <v>2629088876.4200001</v>
      </c>
      <c r="AW2" s="26">
        <f>股权价值增加表!AW4</f>
        <v>1587538095.6800001</v>
      </c>
      <c r="AX2" s="26">
        <f>股权价值增加表!AX4</f>
        <v>4896186901.21</v>
      </c>
      <c r="AY2" s="26">
        <f>股权价值增加表!AY4</f>
        <v>3249453246.71</v>
      </c>
      <c r="AZ2" s="26">
        <f>股权价值增加表!AZ4</f>
        <v>2029461983.6600001</v>
      </c>
      <c r="BA2" s="26">
        <f>股权价值增加表!BA4</f>
        <v>1354498050.1700001</v>
      </c>
      <c r="BB2" s="26">
        <f>股权价值增加表!BB4</f>
        <v>3930515237.6100001</v>
      </c>
      <c r="BC2" s="26">
        <f>股权价值增加表!BC4</f>
        <v>2580318873.25</v>
      </c>
      <c r="BD2" s="26">
        <f>股权价值增加表!BD4</f>
        <v>1686144341.9100001</v>
      </c>
      <c r="BE2" s="26">
        <f>股权价值增加表!BE4</f>
        <v>1144017320.6199999</v>
      </c>
      <c r="BF2" s="26">
        <f>股权价值增加表!BF4</f>
        <v>3009793519.9200001</v>
      </c>
      <c r="BG2" s="26">
        <f>股权价值增加表!BG4</f>
        <v>2070438172.6500001</v>
      </c>
      <c r="BH2" s="26">
        <f>股权价值增加表!BH4</f>
        <v>1314109209.0599999</v>
      </c>
      <c r="BI2" s="26">
        <f>股权价值增加表!BI4</f>
        <v>853431905.86000001</v>
      </c>
      <c r="BJ2" s="26">
        <f>股权价值增加表!BJ4</f>
        <v>2401017934.9299998</v>
      </c>
      <c r="BK2" s="26">
        <f>股权价值增加表!BK4</f>
        <v>1552744360.0999999</v>
      </c>
      <c r="BL2" s="26">
        <f>股权价值增加表!BL4</f>
        <v>1009047565.48</v>
      </c>
      <c r="BM2" s="26">
        <f>股权价值增加表!BM4</f>
        <v>733889255.88999999</v>
      </c>
      <c r="BN2" s="26">
        <f>股权价值增加表!BN4</f>
        <v>1834898294.9000001</v>
      </c>
      <c r="BO2" s="26">
        <f>股权价值增加表!BO4</f>
        <v>1363886224.3199999</v>
      </c>
      <c r="BP2" s="26">
        <f>股权价值增加表!BP4</f>
        <v>955654212.62</v>
      </c>
      <c r="BQ2" s="26">
        <f>股权价值增加表!BQ4</f>
        <v>718014858.52999997</v>
      </c>
      <c r="BR2" s="26">
        <f>股权价值增加表!BR4</f>
        <v>1618046660.3099999</v>
      </c>
      <c r="BS2" s="26">
        <f>股权价值增加表!BS4</f>
        <v>873863478.94000006</v>
      </c>
      <c r="BT2" s="26">
        <f>股权价值增加表!BT4</f>
        <v>1114000813.26</v>
      </c>
      <c r="BU2" s="26">
        <f>股权价值增加表!BU4</f>
        <v>890858185.63999999</v>
      </c>
      <c r="BV2" s="26">
        <f>股权价值增加表!BV4</f>
        <v>628184433.19000006</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c r="A3" s="46" t="s">
        <v>372</v>
      </c>
      <c r="E3" s="66">
        <f>(E2-I2)/I2</f>
        <v>0.31239312100788019</v>
      </c>
      <c r="F3" s="66">
        <f t="shared" ref="F3:BQ3" si="0">(F2-J2)/J2</f>
        <v>0.49805920158894929</v>
      </c>
      <c r="G3" s="66">
        <f t="shared" si="0"/>
        <v>0.59397162620254362</v>
      </c>
      <c r="H3" s="66">
        <f t="shared" si="0"/>
        <v>0.33108005556729464</v>
      </c>
      <c r="I3" s="66">
        <f t="shared" si="0"/>
        <v>0.33236231899548596</v>
      </c>
      <c r="J3" s="66">
        <f t="shared" si="0"/>
        <v>0.18991688077637373</v>
      </c>
      <c r="K3" s="66">
        <f t="shared" si="0"/>
        <v>0.15047051163134564</v>
      </c>
      <c r="L3" s="66">
        <f t="shared" si="0"/>
        <v>0.1517612464983116</v>
      </c>
      <c r="M3" s="66">
        <f t="shared" si="0"/>
        <v>0.16905829451617274</v>
      </c>
      <c r="N3" s="66">
        <f t="shared" si="0"/>
        <v>3.4384545884942455E-2</v>
      </c>
      <c r="O3" s="66">
        <f t="shared" si="0"/>
        <v>6.5866439519433453E-2</v>
      </c>
      <c r="P3" s="66">
        <f t="shared" si="0"/>
        <v>0.10173557237008311</v>
      </c>
      <c r="Q3" s="66">
        <f t="shared" si="0"/>
        <v>0.14690916566283146</v>
      </c>
      <c r="R3" s="66">
        <f t="shared" si="0"/>
        <v>2.1089560975541016E-2</v>
      </c>
      <c r="S3" s="66">
        <f t="shared" si="0"/>
        <v>-9.9164261121296553E-3</v>
      </c>
      <c r="T3" s="66">
        <f t="shared" si="0"/>
        <v>1.3714823997066189E-2</v>
      </c>
      <c r="U3" s="66">
        <f t="shared" si="0"/>
        <v>3.9638346011440319E-2</v>
      </c>
      <c r="V3" s="66">
        <f t="shared" si="0"/>
        <v>0.16883045093855836</v>
      </c>
      <c r="W3" s="66">
        <f t="shared" si="0"/>
        <v>0.10055844361940508</v>
      </c>
      <c r="X3" s="66">
        <f t="shared" si="0"/>
        <v>6.5093550540826134E-2</v>
      </c>
      <c r="Y3" s="66">
        <f t="shared" si="0"/>
        <v>0.1911277053623916</v>
      </c>
      <c r="Z3" s="66">
        <f t="shared" si="0"/>
        <v>0.43760593983619439</v>
      </c>
      <c r="AA3" s="66">
        <f t="shared" si="0"/>
        <v>0.46102685251949127</v>
      </c>
      <c r="AB3" s="66">
        <f t="shared" si="0"/>
        <v>0.34995686975741574</v>
      </c>
      <c r="AC3" s="66">
        <f t="shared" si="0"/>
        <v>0.42538579378795593</v>
      </c>
      <c r="AD3" s="66">
        <f t="shared" si="0"/>
        <v>0.5818710880179444</v>
      </c>
      <c r="AE3" s="66">
        <f t="shared" si="0"/>
        <v>0.46255285089075726</v>
      </c>
      <c r="AF3" s="66">
        <f t="shared" si="0"/>
        <v>0.49163900257606158</v>
      </c>
      <c r="AG3" s="66">
        <f t="shared" si="0"/>
        <v>0.38839456171713937</v>
      </c>
      <c r="AH3" s="66">
        <f t="shared" si="0"/>
        <v>0.20302842446146813</v>
      </c>
      <c r="AI3" s="66">
        <f t="shared" si="0"/>
        <v>0.19474010320383206</v>
      </c>
      <c r="AJ3" s="66">
        <f t="shared" si="0"/>
        <v>0.18774958512762432</v>
      </c>
      <c r="AK3" s="66">
        <f t="shared" si="0"/>
        <v>0.20989497791099584</v>
      </c>
      <c r="AL3" s="66">
        <f t="shared" si="0"/>
        <v>0.17330356638451055</v>
      </c>
      <c r="AM3" s="66">
        <f t="shared" si="0"/>
        <v>0.20360465370784595</v>
      </c>
      <c r="AN3" s="66">
        <f t="shared" si="0"/>
        <v>0.20050766304793713</v>
      </c>
      <c r="AO3" s="66">
        <f t="shared" si="0"/>
        <v>0.26036704802780991</v>
      </c>
      <c r="AP3" s="66">
        <f t="shared" si="0"/>
        <v>0.13875846997080066</v>
      </c>
      <c r="AQ3" s="66">
        <f t="shared" si="0"/>
        <v>0.45490380105623035</v>
      </c>
      <c r="AR3" s="66">
        <f t="shared" si="0"/>
        <v>0.75715524531472511</v>
      </c>
      <c r="AS3" s="66">
        <f t="shared" si="0"/>
        <v>0.25571562716176166</v>
      </c>
      <c r="AT3" s="66">
        <f t="shared" si="0"/>
        <v>0.47817697590984642</v>
      </c>
      <c r="AU3" s="66">
        <f t="shared" si="0"/>
        <v>0.37204074370788814</v>
      </c>
      <c r="AV3" s="66">
        <f t="shared" si="0"/>
        <v>0.2954610126170546</v>
      </c>
      <c r="AW3" s="66">
        <f t="shared" si="0"/>
        <v>0.17204900773445311</v>
      </c>
      <c r="AX3" s="66">
        <f t="shared" si="0"/>
        <v>0.24568577024196678</v>
      </c>
      <c r="AY3" s="66">
        <f t="shared" si="0"/>
        <v>0.2593223575569954</v>
      </c>
      <c r="AZ3" s="66">
        <f t="shared" si="0"/>
        <v>0.20361106295390041</v>
      </c>
      <c r="BA3" s="66">
        <f t="shared" si="0"/>
        <v>0.18398386611483314</v>
      </c>
      <c r="BB3" s="66">
        <f t="shared" si="0"/>
        <v>0.30590859857870673</v>
      </c>
      <c r="BC3" s="66">
        <f t="shared" si="0"/>
        <v>0.24626704981361128</v>
      </c>
      <c r="BD3" s="66">
        <f t="shared" si="0"/>
        <v>0.28310823049183398</v>
      </c>
      <c r="BE3" s="66">
        <f t="shared" si="0"/>
        <v>0.34049045127645899</v>
      </c>
      <c r="BF3" s="66">
        <f t="shared" si="0"/>
        <v>0.25354895360569168</v>
      </c>
      <c r="BG3" s="66">
        <f t="shared" si="0"/>
        <v>0.33340569500871325</v>
      </c>
      <c r="BH3" s="66">
        <f t="shared" si="0"/>
        <v>0.30232632634605611</v>
      </c>
      <c r="BI3" s="66">
        <f t="shared" si="0"/>
        <v>0.16288922205984419</v>
      </c>
      <c r="BJ3" s="66">
        <f t="shared" si="0"/>
        <v>0.30852916567828226</v>
      </c>
      <c r="BK3" s="66">
        <f t="shared" si="0"/>
        <v>0.13847059410997423</v>
      </c>
      <c r="BL3" s="66">
        <f t="shared" si="0"/>
        <v>5.5870996177182122E-2</v>
      </c>
      <c r="BM3" s="66">
        <f t="shared" si="0"/>
        <v>2.2108730998269103E-2</v>
      </c>
      <c r="BN3" s="66">
        <f t="shared" si="0"/>
        <v>0.13402063111607285</v>
      </c>
      <c r="BO3" s="66">
        <f t="shared" si="0"/>
        <v>0.56075434800685275</v>
      </c>
      <c r="BP3" s="66">
        <f t="shared" si="0"/>
        <v>-0.14214226664396787</v>
      </c>
      <c r="BQ3" s="66">
        <f t="shared" si="0"/>
        <v>-0.19401890210598213</v>
      </c>
      <c r="BR3" s="66">
        <f t="shared" ref="BR3:CJ3" si="1">(BR2-BV2)/BV2</f>
        <v>1.5757509655139881</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c r="A4" s="17" t="s">
        <v>352</v>
      </c>
      <c r="E4" s="26">
        <f>股权价值增加表!E5</f>
        <v>1518592897.51</v>
      </c>
      <c r="F4" s="26">
        <f>股权价值增加表!F5</f>
        <v>5940436371.9700003</v>
      </c>
      <c r="G4" s="26">
        <f>股权价值增加表!G5</f>
        <v>4273438303.5</v>
      </c>
      <c r="H4" s="26">
        <f>股权价值增加表!H5</f>
        <v>2511228414.9099998</v>
      </c>
      <c r="I4" s="26">
        <f>股权价值增加表!I5</f>
        <v>1176997676.0699999</v>
      </c>
      <c r="J4" s="26">
        <f>股权价值增加表!J5</f>
        <v>3410104085.9699998</v>
      </c>
      <c r="K4" s="26">
        <f>股权价值增加表!K5</f>
        <v>2225398682.8200002</v>
      </c>
      <c r="L4" s="26">
        <f>股权价值增加表!L5</f>
        <v>1475407709.24</v>
      </c>
      <c r="M4" s="26">
        <f>股权价值增加表!M5</f>
        <v>765002011.76999998</v>
      </c>
      <c r="N4" s="26">
        <f>股权价值增加表!N5</f>
        <v>2538337449.0599999</v>
      </c>
      <c r="O4" s="26">
        <f>股权价值增加表!O5</f>
        <v>1747047687.23</v>
      </c>
      <c r="P4" s="26">
        <f>股权价值增加表!P5</f>
        <v>1165878006.3299999</v>
      </c>
      <c r="Q4" s="26">
        <f>股权价值增加表!Q5</f>
        <v>579796944.51999998</v>
      </c>
      <c r="R4" s="26">
        <f>股权价值增加表!R5</f>
        <v>2338550532.3299999</v>
      </c>
      <c r="S4" s="26">
        <f>股权价值增加表!S5</f>
        <v>1593307325.6800001</v>
      </c>
      <c r="T4" s="26">
        <f>股权价值增加表!T5</f>
        <v>987543281.35000002</v>
      </c>
      <c r="U4" s="26">
        <f>股权价值增加表!U5</f>
        <v>506935182.39999998</v>
      </c>
      <c r="V4" s="26">
        <f>股权价值增加表!V5</f>
        <v>2193920307.9899998</v>
      </c>
      <c r="W4" s="26">
        <f>股权价值增加表!W5</f>
        <v>1440864963.8099999</v>
      </c>
      <c r="X4" s="26">
        <f>股权价值增加表!X5</f>
        <v>932566677.01999998</v>
      </c>
      <c r="Y4" s="26">
        <f>股权价值增加表!Y5</f>
        <v>481121235.63999999</v>
      </c>
      <c r="Z4" s="26">
        <f>股权价值增加表!Z5</f>
        <v>2044306468.76</v>
      </c>
      <c r="AA4" s="26">
        <f>股权价值增加表!AA5</f>
        <v>1628876041.8800001</v>
      </c>
      <c r="AB4" s="26">
        <f>股权价值增加表!AB5</f>
        <v>1059645343.97</v>
      </c>
      <c r="AC4" s="26">
        <f>股权价值增加表!AC5</f>
        <v>482055429.18000001</v>
      </c>
      <c r="AD4" s="26">
        <f>股权价值增加表!AD5</f>
        <v>1551233976.0599999</v>
      </c>
      <c r="AE4" s="26">
        <f>股权价值增加表!AE5</f>
        <v>1155847115.6800001</v>
      </c>
      <c r="AF4" s="26">
        <f>股权价值增加表!AF5</f>
        <v>845072449.14999998</v>
      </c>
      <c r="AG4" s="26">
        <f>股权价值增加表!AG5</f>
        <v>392063100.98000002</v>
      </c>
      <c r="AH4" s="26">
        <f>股权价值增加表!AH5</f>
        <v>1052931591.61</v>
      </c>
      <c r="AI4" s="26">
        <f>股权价值增加表!AI5</f>
        <v>821295137.52999997</v>
      </c>
      <c r="AJ4" s="26">
        <f>股权价值增加表!AJ5</f>
        <v>569190230.52999997</v>
      </c>
      <c r="AK4" s="26">
        <f>股权价值增加表!AK5</f>
        <v>295386812.48000002</v>
      </c>
      <c r="AL4" s="26">
        <f>股权价值增加表!AL5</f>
        <v>950672855.26999998</v>
      </c>
      <c r="AM4" s="26">
        <f>股权价值增加表!AM5</f>
        <v>743207551.34000003</v>
      </c>
      <c r="AN4" s="26">
        <f>股权价值增加表!AN5</f>
        <v>531620176.31999999</v>
      </c>
      <c r="AO4" s="26">
        <f>股权价值增加表!AO5</f>
        <v>251448334.91999999</v>
      </c>
      <c r="AP4" s="26">
        <f>股权价值增加表!AP5</f>
        <v>799713319.24000001</v>
      </c>
      <c r="AQ4" s="26">
        <f>股权价值增加表!AQ5</f>
        <v>614940094.35000002</v>
      </c>
      <c r="AR4" s="26">
        <f>股权价值增加表!AR5</f>
        <v>442054720.19</v>
      </c>
      <c r="AS4" s="26">
        <f>股权价值增加表!AS5</f>
        <v>200810712.08000001</v>
      </c>
      <c r="AT4" s="26">
        <f>股权价值增加表!AT5</f>
        <v>871643568.33000004</v>
      </c>
      <c r="AU4" s="26">
        <f>股权价值增加表!AU5</f>
        <v>662636478.87</v>
      </c>
      <c r="AV4" s="26">
        <f>股权价值增加表!AV5</f>
        <v>389216762.31</v>
      </c>
      <c r="AW4" s="26">
        <f>股权价值增加表!AW5</f>
        <v>237704974.13</v>
      </c>
      <c r="AX4" s="26">
        <f>股权价值增加表!AX5</f>
        <v>791179840.49000001</v>
      </c>
      <c r="AY4" s="26">
        <f>股权价值增加表!AY5</f>
        <v>536197408.26999998</v>
      </c>
      <c r="AZ4" s="26">
        <f>股权价值增加表!AZ5</f>
        <v>342467207.13999999</v>
      </c>
      <c r="BA4" s="26">
        <f>股权价值增加表!BA5</f>
        <v>227552584.91999999</v>
      </c>
      <c r="BB4" s="26">
        <f>股权价值增加表!BB5</f>
        <v>687106816.67999995</v>
      </c>
      <c r="BC4" s="26">
        <f>股权价值增加表!BC5</f>
        <v>450496529.88</v>
      </c>
      <c r="BD4" s="26">
        <f>股权价值增加表!BD5</f>
        <v>294128874.10000002</v>
      </c>
      <c r="BE4" s="26">
        <f>股权价值增加表!BE5</f>
        <v>196715027.49000001</v>
      </c>
      <c r="BF4" s="26">
        <f>股权价值增加表!BF5</f>
        <v>535056248.94999999</v>
      </c>
      <c r="BG4" s="26">
        <f>股权价值增加表!BG5</f>
        <v>367934435.61000001</v>
      </c>
      <c r="BH4" s="26">
        <f>股权价值增加表!BH5</f>
        <v>229941422.72</v>
      </c>
      <c r="BI4" s="26">
        <f>股权价值增加表!BI5</f>
        <v>151243768.25</v>
      </c>
      <c r="BJ4" s="26">
        <f>股权价值增加表!BJ5</f>
        <v>477388129.86000001</v>
      </c>
      <c r="BK4" s="26">
        <f>股权价值增加表!BK5</f>
        <v>302733307.68000001</v>
      </c>
      <c r="BL4" s="26">
        <f>股权价值增加表!BL5</f>
        <v>196938828.78999999</v>
      </c>
      <c r="BM4" s="26">
        <f>股权价值增加表!BM5</f>
        <v>136080903.15000001</v>
      </c>
      <c r="BN4" s="26">
        <f>股权价值增加表!BN5</f>
        <v>340556444.79000002</v>
      </c>
      <c r="BO4" s="26">
        <f>股权价值增加表!BO5</f>
        <v>230795750.63</v>
      </c>
      <c r="BP4" s="26">
        <f>股权价值增加表!BP5</f>
        <v>158368542.33000001</v>
      </c>
      <c r="BQ4" s="26">
        <f>股权价值增加表!BQ5</f>
        <v>115551849.97</v>
      </c>
      <c r="BR4" s="26">
        <f>股权价值增加表!BR5</f>
        <v>287538468.11000001</v>
      </c>
      <c r="BS4" s="26">
        <f>股权价值增加表!BS5</f>
        <v>146483164.84999999</v>
      </c>
      <c r="BT4" s="26">
        <f>股权价值增加表!BT5</f>
        <v>196863443.99000001</v>
      </c>
      <c r="BU4" s="26">
        <f>股权价值增加表!BU5</f>
        <v>129133236.27</v>
      </c>
      <c r="BV4" s="26">
        <f>股权价值增加表!BV5</f>
        <v>76725369.980000004</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c r="A5" s="46" t="s">
        <v>353</v>
      </c>
      <c r="E5" s="66">
        <f t="shared" ref="E5:AJ5" si="2">E4/E2</f>
        <v>8.6944831741534903E-2</v>
      </c>
      <c r="F5" s="66">
        <f t="shared" si="2"/>
        <v>0.1020380384623322</v>
      </c>
      <c r="G5" s="66">
        <f t="shared" si="2"/>
        <v>0.1006688160383391</v>
      </c>
      <c r="H5" s="66">
        <f t="shared" si="2"/>
        <v>0.10381253732133473</v>
      </c>
      <c r="I5" s="66">
        <f t="shared" si="2"/>
        <v>8.84386200996371E-2</v>
      </c>
      <c r="J5" s="66">
        <f t="shared" si="2"/>
        <v>8.7748633993877639E-2</v>
      </c>
      <c r="K5" s="66">
        <f t="shared" si="2"/>
        <v>8.3561443873445176E-2</v>
      </c>
      <c r="L5" s="66">
        <f t="shared" si="2"/>
        <v>8.1185751229872885E-2</v>
      </c>
      <c r="M5" s="66">
        <f t="shared" si="2"/>
        <v>7.6586332226624157E-2</v>
      </c>
      <c r="N5" s="66">
        <f t="shared" si="2"/>
        <v>7.7721059472512857E-2</v>
      </c>
      <c r="O5" s="66">
        <f t="shared" si="2"/>
        <v>7.5470696858109726E-2</v>
      </c>
      <c r="P5" s="66">
        <f t="shared" si="2"/>
        <v>7.3889603582686092E-2</v>
      </c>
      <c r="Q5" s="66">
        <f t="shared" si="2"/>
        <v>6.7857957597320509E-2</v>
      </c>
      <c r="R5" s="66">
        <f t="shared" si="2"/>
        <v>7.4065871468556782E-2</v>
      </c>
      <c r="S5" s="66">
        <f t="shared" si="2"/>
        <v>7.3362807248047238E-2</v>
      </c>
      <c r="T5" s="66">
        <f t="shared" si="2"/>
        <v>6.8954678445429435E-2</v>
      </c>
      <c r="U5" s="66">
        <f t="shared" si="2"/>
        <v>6.804658247965735E-2</v>
      </c>
      <c r="V5" s="66">
        <f t="shared" si="2"/>
        <v>7.0950598431412201E-2</v>
      </c>
      <c r="W5" s="66">
        <f t="shared" si="2"/>
        <v>6.568580473488024E-2</v>
      </c>
      <c r="X5" s="66">
        <f t="shared" si="2"/>
        <v>6.6009020640201102E-2</v>
      </c>
      <c r="Y5" s="66">
        <f t="shared" si="2"/>
        <v>6.7141447651816483E-2</v>
      </c>
      <c r="Z5" s="66">
        <f t="shared" si="2"/>
        <v>7.727388282695602E-2</v>
      </c>
      <c r="AA5" s="66">
        <f t="shared" si="2"/>
        <v>8.1723957539159897E-2</v>
      </c>
      <c r="AB5" s="66">
        <f t="shared" si="2"/>
        <v>7.9886185682241581E-2</v>
      </c>
      <c r="AC5" s="66">
        <f t="shared" si="2"/>
        <v>8.0129324139326344E-2</v>
      </c>
      <c r="AD5" s="66">
        <f t="shared" si="2"/>
        <v>8.4295404505866922E-2</v>
      </c>
      <c r="AE5" s="66">
        <f t="shared" si="2"/>
        <v>8.4726632495810611E-2</v>
      </c>
      <c r="AF5" s="66">
        <f t="shared" si="2"/>
        <v>8.6005254971402975E-2</v>
      </c>
      <c r="AG5" s="66">
        <f t="shared" si="2"/>
        <v>9.2892980548937951E-2</v>
      </c>
      <c r="AH5" s="66">
        <f t="shared" si="2"/>
        <v>9.0510264782186781E-2</v>
      </c>
      <c r="AI5" s="66">
        <f t="shared" si="2"/>
        <v>8.8050205159182604E-2</v>
      </c>
      <c r="AJ5" s="66">
        <f t="shared" si="2"/>
        <v>8.6407653673471113E-2</v>
      </c>
      <c r="AK5" s="66">
        <f t="shared" ref="AK5:BP5" si="3">AK4/AK2</f>
        <v>9.7169716012004595E-2</v>
      </c>
      <c r="AL5" s="66">
        <f t="shared" si="3"/>
        <v>9.8311576747981674E-2</v>
      </c>
      <c r="AM5" s="66">
        <f t="shared" si="3"/>
        <v>9.5195117868812351E-2</v>
      </c>
      <c r="AN5" s="66">
        <f t="shared" si="3"/>
        <v>9.5856400681977844E-2</v>
      </c>
      <c r="AO5" s="66">
        <f t="shared" si="3"/>
        <v>0.10007745883425752</v>
      </c>
      <c r="AP5" s="66">
        <f t="shared" si="3"/>
        <v>9.7032738390615755E-2</v>
      </c>
      <c r="AQ5" s="66">
        <f t="shared" si="3"/>
        <v>9.4802814470302185E-2</v>
      </c>
      <c r="AR5" s="66">
        <f t="shared" si="3"/>
        <v>9.5688694905939051E-2</v>
      </c>
      <c r="AS5" s="66">
        <f t="shared" si="3"/>
        <v>0.10073291957654273</v>
      </c>
      <c r="AT5" s="66">
        <f t="shared" si="3"/>
        <v>0.12043549690293814</v>
      </c>
      <c r="AU5" s="66">
        <f t="shared" si="3"/>
        <v>0.14862711221766237</v>
      </c>
      <c r="AV5" s="66">
        <f t="shared" si="3"/>
        <v>0.14804245143663305</v>
      </c>
      <c r="AW5" s="66">
        <f t="shared" si="3"/>
        <v>0.14973182361849549</v>
      </c>
      <c r="AX5" s="66">
        <f t="shared" si="3"/>
        <v>0.16159102102382467</v>
      </c>
      <c r="AY5" s="66">
        <f t="shared" si="3"/>
        <v>0.16501157812099254</v>
      </c>
      <c r="AZ5" s="66">
        <f t="shared" si="3"/>
        <v>0.16874778138114374</v>
      </c>
      <c r="BA5" s="66">
        <f t="shared" si="3"/>
        <v>0.16799772055149165</v>
      </c>
      <c r="BB5" s="66">
        <f t="shared" si="3"/>
        <v>0.17481342143270864</v>
      </c>
      <c r="BC5" s="66">
        <f t="shared" si="3"/>
        <v>0.17458947983145362</v>
      </c>
      <c r="BD5" s="66">
        <f t="shared" si="3"/>
        <v>0.17443872792457496</v>
      </c>
      <c r="BE5" s="66">
        <f t="shared" si="3"/>
        <v>0.17195109194971833</v>
      </c>
      <c r="BF5" s="66">
        <f t="shared" si="3"/>
        <v>0.1777717459383133</v>
      </c>
      <c r="BG5" s="66">
        <f t="shared" si="3"/>
        <v>0.17770848725179392</v>
      </c>
      <c r="BH5" s="66">
        <f t="shared" si="3"/>
        <v>0.17497892955523855</v>
      </c>
      <c r="BI5" s="66">
        <f t="shared" si="3"/>
        <v>0.17721831960054532</v>
      </c>
      <c r="BJ5" s="66">
        <f t="shared" si="3"/>
        <v>0.19882739021435838</v>
      </c>
      <c r="BK5" s="66">
        <f t="shared" si="3"/>
        <v>0.19496661231505188</v>
      </c>
      <c r="BL5" s="66">
        <f t="shared" si="3"/>
        <v>0.1951729883975459</v>
      </c>
      <c r="BM5" s="66">
        <f t="shared" si="3"/>
        <v>0.18542430217890624</v>
      </c>
      <c r="BN5" s="66">
        <f t="shared" si="3"/>
        <v>0.18559963009206457</v>
      </c>
      <c r="BO5" s="66">
        <f t="shared" si="3"/>
        <v>0.16921921089500633</v>
      </c>
      <c r="BP5" s="66">
        <f t="shared" si="3"/>
        <v>0.1657174114220879</v>
      </c>
      <c r="BQ5" s="66">
        <f t="shared" ref="BQ5:CK5" si="4">BQ4/BQ2</f>
        <v>0.1609323938038979</v>
      </c>
      <c r="BR5" s="66">
        <f t="shared" si="4"/>
        <v>0.1777071546595021</v>
      </c>
      <c r="BS5" s="66">
        <f t="shared" si="4"/>
        <v>0.16762705889446788</v>
      </c>
      <c r="BT5" s="66">
        <f t="shared" si="4"/>
        <v>0.17671750473314374</v>
      </c>
      <c r="BU5" s="66">
        <f t="shared" si="4"/>
        <v>0.14495375173235861</v>
      </c>
      <c r="BV5" s="66">
        <f t="shared" si="4"/>
        <v>0.12213828602911865</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c r="A6" s="46" t="s">
        <v>354</v>
      </c>
      <c r="E6" s="66">
        <f>(E4-I4)/I4</f>
        <v>0.29022590985955715</v>
      </c>
      <c r="F6" s="66">
        <f t="shared" ref="F6:BQ6" si="5">(F4-J4)/J4</f>
        <v>0.74201027951328669</v>
      </c>
      <c r="G6" s="66">
        <f t="shared" si="5"/>
        <v>0.92030234244802689</v>
      </c>
      <c r="H6" s="66">
        <f t="shared" si="5"/>
        <v>0.70205726809138291</v>
      </c>
      <c r="I6" s="66">
        <f t="shared" si="5"/>
        <v>0.5385550076486173</v>
      </c>
      <c r="J6" s="66">
        <f t="shared" si="5"/>
        <v>0.34344000922053664</v>
      </c>
      <c r="K6" s="66">
        <f t="shared" si="5"/>
        <v>0.27380534549027735</v>
      </c>
      <c r="L6" s="66">
        <f t="shared" si="5"/>
        <v>0.26549064415783152</v>
      </c>
      <c r="M6" s="66">
        <f t="shared" si="5"/>
        <v>0.3194309128402304</v>
      </c>
      <c r="N6" s="66">
        <f t="shared" si="5"/>
        <v>8.5431943405962496E-2</v>
      </c>
      <c r="O6" s="66">
        <f t="shared" si="5"/>
        <v>9.6491341671567241E-2</v>
      </c>
      <c r="P6" s="66">
        <f t="shared" si="5"/>
        <v>0.18058421169775082</v>
      </c>
      <c r="Q6" s="66">
        <f t="shared" si="5"/>
        <v>0.14372993757317881</v>
      </c>
      <c r="R6" s="66">
        <f t="shared" si="5"/>
        <v>6.5923189558560483E-2</v>
      </c>
      <c r="S6" s="66">
        <f t="shared" si="5"/>
        <v>0.10579920096530432</v>
      </c>
      <c r="T6" s="66">
        <f t="shared" si="5"/>
        <v>5.8951928783984427E-2</v>
      </c>
      <c r="U6" s="66">
        <f t="shared" si="5"/>
        <v>5.3653725605484044E-2</v>
      </c>
      <c r="V6" s="66">
        <f t="shared" si="5"/>
        <v>7.3185621391077413E-2</v>
      </c>
      <c r="W6" s="66">
        <f t="shared" si="5"/>
        <v>-0.11542380956932941</v>
      </c>
      <c r="X6" s="66">
        <f t="shared" si="5"/>
        <v>-0.11992565972488038</v>
      </c>
      <c r="Y6" s="66">
        <f t="shared" si="5"/>
        <v>-1.9379380117948897E-3</v>
      </c>
      <c r="Z6" s="66">
        <f t="shared" si="5"/>
        <v>0.31785823435376365</v>
      </c>
      <c r="AA6" s="66">
        <f t="shared" si="5"/>
        <v>0.40924869715291967</v>
      </c>
      <c r="AB6" s="66">
        <f t="shared" si="5"/>
        <v>0.25391064995175749</v>
      </c>
      <c r="AC6" s="66">
        <f t="shared" si="5"/>
        <v>0.22953531708302916</v>
      </c>
      <c r="AD6" s="66">
        <f t="shared" si="5"/>
        <v>0.47325238260546781</v>
      </c>
      <c r="AE6" s="66">
        <f t="shared" si="5"/>
        <v>0.40734683898914437</v>
      </c>
      <c r="AF6" s="66">
        <f t="shared" si="5"/>
        <v>0.48469246979715902</v>
      </c>
      <c r="AG6" s="66">
        <f t="shared" si="5"/>
        <v>0.3272870839707705</v>
      </c>
      <c r="AH6" s="66">
        <f t="shared" si="5"/>
        <v>0.10756459046151853</v>
      </c>
      <c r="AI6" s="66">
        <f t="shared" si="5"/>
        <v>0.10506834335739505</v>
      </c>
      <c r="AJ6" s="66">
        <f t="shared" si="5"/>
        <v>7.0670858412614695E-2</v>
      </c>
      <c r="AK6" s="66">
        <f t="shared" si="5"/>
        <v>0.17474157295167358</v>
      </c>
      <c r="AL6" s="66">
        <f t="shared" si="5"/>
        <v>0.18876706489453363</v>
      </c>
      <c r="AM6" s="66">
        <f t="shared" si="5"/>
        <v>0.2085852884996553</v>
      </c>
      <c r="AN6" s="66">
        <f t="shared" si="5"/>
        <v>0.20261169497636802</v>
      </c>
      <c r="AO6" s="66">
        <f t="shared" si="5"/>
        <v>0.25216594431390044</v>
      </c>
      <c r="AP6" s="66">
        <f t="shared" si="5"/>
        <v>-8.2522549013712893E-2</v>
      </c>
      <c r="AQ6" s="66">
        <f t="shared" si="5"/>
        <v>-7.1979714430055311E-2</v>
      </c>
      <c r="AR6" s="66">
        <f t="shared" si="5"/>
        <v>0.13575457944413011</v>
      </c>
      <c r="AS6" s="66">
        <f t="shared" si="5"/>
        <v>-0.15521030716766845</v>
      </c>
      <c r="AT6" s="66">
        <f t="shared" si="5"/>
        <v>0.10170093286270612</v>
      </c>
      <c r="AU6" s="66">
        <f t="shared" si="5"/>
        <v>0.23580694096964405</v>
      </c>
      <c r="AV6" s="66">
        <f t="shared" si="5"/>
        <v>0.13650812164006371</v>
      </c>
      <c r="AW6" s="66">
        <f t="shared" si="5"/>
        <v>4.4615574081785334E-2</v>
      </c>
      <c r="AX6" s="66">
        <f t="shared" si="5"/>
        <v>0.15146556733764591</v>
      </c>
      <c r="AY6" s="66">
        <f t="shared" si="5"/>
        <v>0.19023648953040406</v>
      </c>
      <c r="AZ6" s="66">
        <f t="shared" si="5"/>
        <v>0.16434405900444019</v>
      </c>
      <c r="BA6" s="66">
        <f t="shared" si="5"/>
        <v>0.15676259116283123</v>
      </c>
      <c r="BB6" s="66">
        <f t="shared" si="5"/>
        <v>0.28417679081103264</v>
      </c>
      <c r="BC6" s="66">
        <f t="shared" si="5"/>
        <v>0.22439349590401872</v>
      </c>
      <c r="BD6" s="66">
        <f t="shared" si="5"/>
        <v>0.27914696978352255</v>
      </c>
      <c r="BE6" s="66">
        <f t="shared" si="5"/>
        <v>0.30064881195526555</v>
      </c>
      <c r="BF6" s="66">
        <f t="shared" si="5"/>
        <v>0.12079923123960343</v>
      </c>
      <c r="BG6" s="66">
        <f t="shared" si="5"/>
        <v>0.21537480771332881</v>
      </c>
      <c r="BH6" s="66">
        <f t="shared" si="5"/>
        <v>0.16757789275364973</v>
      </c>
      <c r="BI6" s="66">
        <f t="shared" si="5"/>
        <v>0.11142537085667478</v>
      </c>
      <c r="BJ6" s="66">
        <f t="shared" si="5"/>
        <v>0.40178856446065964</v>
      </c>
      <c r="BK6" s="66">
        <f t="shared" si="5"/>
        <v>0.31169359424353804</v>
      </c>
      <c r="BL6" s="66">
        <f t="shared" si="5"/>
        <v>0.2435476508941356</v>
      </c>
      <c r="BM6" s="66">
        <f t="shared" si="5"/>
        <v>0.17766096505880119</v>
      </c>
      <c r="BN6" s="66">
        <f t="shared" si="5"/>
        <v>0.18438568247403189</v>
      </c>
      <c r="BO6" s="66">
        <f t="shared" si="5"/>
        <v>0.57557867394752704</v>
      </c>
      <c r="BP6" s="66">
        <f t="shared" si="5"/>
        <v>-0.19554113694137853</v>
      </c>
      <c r="BQ6" s="66">
        <f t="shared" si="5"/>
        <v>-0.10517343708170659</v>
      </c>
      <c r="BR6" s="66">
        <f t="shared" ref="BR6:CJ6" si="6">(BR4-BV4)/BV4</f>
        <v>2.7476322132425381</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c r="A7" s="128" t="s">
        <v>355</v>
      </c>
      <c r="E7" s="27">
        <f>股权价值增加表!E6</f>
        <v>15947573487.449999</v>
      </c>
      <c r="F7" s="27">
        <f>股权价值增加表!F6</f>
        <v>52277424942.199997</v>
      </c>
      <c r="G7" s="27">
        <f>股权价值增加表!G6</f>
        <v>38177029196.510002</v>
      </c>
      <c r="H7" s="27">
        <f>股权价值增加表!H6</f>
        <v>21678801804.049999</v>
      </c>
      <c r="I7" s="27">
        <f>股权价值增加表!I6</f>
        <v>12131641408.800001</v>
      </c>
      <c r="J7" s="27">
        <f>股权价值增加表!J6</f>
        <v>35452085907.869995</v>
      </c>
      <c r="K7" s="27">
        <f>股权价值增加表!K6</f>
        <v>24406485349.610001</v>
      </c>
      <c r="L7" s="27">
        <f>股权价值增加表!L6</f>
        <v>16697826964.199999</v>
      </c>
      <c r="M7" s="27">
        <f>股权价值增加表!M6</f>
        <v>9223751719.1999989</v>
      </c>
      <c r="N7" s="27">
        <f>股权价值增加表!N6</f>
        <v>30121246276.219997</v>
      </c>
      <c r="O7" s="27">
        <f>股权价值增加表!O6</f>
        <v>21401641273.66</v>
      </c>
      <c r="P7" s="27">
        <f>股权价值增加表!P6</f>
        <v>14612769459.620001</v>
      </c>
      <c r="Q7" s="27">
        <f>股权价值增加表!Q6</f>
        <v>7964476491.4799995</v>
      </c>
      <c r="R7" s="27">
        <f>股权价值增加表!R6</f>
        <v>29235377998.610001</v>
      </c>
      <c r="S7" s="27">
        <f>股权价值增加表!S6</f>
        <v>20124881841.93</v>
      </c>
      <c r="T7" s="27">
        <f>股权价值增加表!T6</f>
        <v>13334085121.74</v>
      </c>
      <c r="U7" s="27">
        <f>股权价值增加表!U6</f>
        <v>6942890568.2400007</v>
      </c>
      <c r="V7" s="27">
        <f>股权价值增加表!V6</f>
        <v>28727881008.610001</v>
      </c>
      <c r="W7" s="27">
        <f>股权价值增加表!W6</f>
        <v>20494848081.43</v>
      </c>
      <c r="X7" s="27">
        <f>股权价值增加表!X6</f>
        <v>13195300514.09</v>
      </c>
      <c r="Y7" s="27">
        <f>股权价值增加表!Y6</f>
        <v>6684664615.9699993</v>
      </c>
      <c r="Z7" s="27">
        <f>股权价值增加表!Z6</f>
        <v>24411028684.230003</v>
      </c>
      <c r="AA7" s="27">
        <f>股权价值增加表!AA6</f>
        <v>18302562558.599998</v>
      </c>
      <c r="AB7" s="27">
        <f>股权价值增加表!AB6</f>
        <v>12204792492.440001</v>
      </c>
      <c r="AC7" s="27">
        <f>股权价值增加表!AC6</f>
        <v>5533912312.4399996</v>
      </c>
      <c r="AD7" s="27">
        <f>股权价值增加表!AD6</f>
        <v>16851121231.24</v>
      </c>
      <c r="AE7" s="27">
        <f>股权价值增加表!AE6</f>
        <v>12486228364.389999</v>
      </c>
      <c r="AF7" s="27">
        <f>股权价值增加表!AF6</f>
        <v>8980750977.9300003</v>
      </c>
      <c r="AG7" s="27">
        <f>股权价值增加表!AG6</f>
        <v>3828525996.96</v>
      </c>
      <c r="AH7" s="27">
        <f>股权价值增加表!AH6</f>
        <v>10580352148.57</v>
      </c>
      <c r="AI7" s="27">
        <f>股权价值增加表!AI6</f>
        <v>8506282646.5900011</v>
      </c>
      <c r="AJ7" s="27">
        <f>股权价值增加表!AJ6</f>
        <v>6018076132.25</v>
      </c>
      <c r="AK7" s="27">
        <f>股权价值增加表!AK6</f>
        <v>2744519287.9299998</v>
      </c>
      <c r="AL7" s="27">
        <f>股权价值增加表!AL6</f>
        <v>8719326210.1199989</v>
      </c>
      <c r="AM7" s="27">
        <f>股权价值增加表!AM6</f>
        <v>7063994834.4399996</v>
      </c>
      <c r="AN7" s="27">
        <f>股权价值增加表!AN6</f>
        <v>5014385854.9700003</v>
      </c>
      <c r="AO7" s="27">
        <f>股权价值增加表!AO6</f>
        <v>2261088832.2799997</v>
      </c>
      <c r="AP7" s="27">
        <f>股权价值增加表!AP6</f>
        <v>7441972244.8699999</v>
      </c>
      <c r="AQ7" s="27">
        <f>股权价值增加表!AQ6</f>
        <v>5871577186.6599998</v>
      </c>
      <c r="AR7" s="27">
        <f>股权价值增加表!AR6</f>
        <v>4177662589.4100003</v>
      </c>
      <c r="AS7" s="27">
        <f>股权价值增加表!AS6</f>
        <v>1792685683.3800001</v>
      </c>
      <c r="AT7" s="27">
        <f>股权价值增加表!AT6</f>
        <v>6365787178.79</v>
      </c>
      <c r="AU7" s="27">
        <f>股权价值增加表!AU6</f>
        <v>3795745770.3900003</v>
      </c>
      <c r="AV7" s="27">
        <f>股权价值增加表!AV6</f>
        <v>2239872114.1100001</v>
      </c>
      <c r="AW7" s="27">
        <f>股权价值增加表!AW6</f>
        <v>1349833121.5500002</v>
      </c>
      <c r="AX7" s="27">
        <f>股权价值增加表!AX6</f>
        <v>4105007060.7200003</v>
      </c>
      <c r="AY7" s="27">
        <f>股权价值增加表!AY6</f>
        <v>2713255838.4400001</v>
      </c>
      <c r="AZ7" s="27">
        <f>股权价值增加表!AZ6</f>
        <v>1686994776.52</v>
      </c>
      <c r="BA7" s="27">
        <f>股权价值增加表!BA6</f>
        <v>1126945465.25</v>
      </c>
      <c r="BB7" s="27">
        <f>股权价值增加表!BB6</f>
        <v>3243408420.9300003</v>
      </c>
      <c r="BC7" s="27">
        <f>股权价值增加表!BC6</f>
        <v>2129822343.3699999</v>
      </c>
      <c r="BD7" s="27">
        <f>股权价值增加表!BD6</f>
        <v>1392015467.8099999</v>
      </c>
      <c r="BE7" s="27">
        <f>股权价值增加表!BE6</f>
        <v>947302293.12999988</v>
      </c>
      <c r="BF7" s="27">
        <f>股权价值增加表!BF6</f>
        <v>2474737270.9700003</v>
      </c>
      <c r="BG7" s="27">
        <f>股权价值增加表!BG6</f>
        <v>1702503737.04</v>
      </c>
      <c r="BH7" s="27">
        <f>股权价值增加表!BH6</f>
        <v>1084167786.3399999</v>
      </c>
      <c r="BI7" s="27">
        <f>股权价值增加表!BI6</f>
        <v>702188137.61000001</v>
      </c>
      <c r="BJ7" s="27">
        <f>股权价值增加表!BJ6</f>
        <v>1923629805.0699997</v>
      </c>
      <c r="BK7" s="27">
        <f>股权价值增加表!BK6</f>
        <v>1250011052.4199998</v>
      </c>
      <c r="BL7" s="27">
        <f>股权价值增加表!BL6</f>
        <v>812108736.69000006</v>
      </c>
      <c r="BM7" s="27">
        <f>股权价值增加表!BM6</f>
        <v>597808352.74000001</v>
      </c>
      <c r="BN7" s="27">
        <f>股权价值增加表!BN6</f>
        <v>1494341850.1100001</v>
      </c>
      <c r="BO7" s="27">
        <f>股权价值增加表!BO6</f>
        <v>1133090473.6900001</v>
      </c>
      <c r="BP7" s="27">
        <f>股权价值增加表!BP6</f>
        <v>797285670.28999996</v>
      </c>
      <c r="BQ7" s="27">
        <f>股权价值增加表!BQ6</f>
        <v>602463008.55999994</v>
      </c>
      <c r="BR7" s="27">
        <f>股权价值增加表!BR6</f>
        <v>1330508192.1999998</v>
      </c>
      <c r="BS7" s="27">
        <f>股权价值增加表!BS6</f>
        <v>727380314.09000003</v>
      </c>
      <c r="BT7" s="27">
        <f>股权价值增加表!BT6</f>
        <v>917137369.26999998</v>
      </c>
      <c r="BU7" s="27">
        <f>股权价值增加表!BU6</f>
        <v>761724949.37</v>
      </c>
      <c r="BV7" s="27">
        <f>股权价值增加表!BV6</f>
        <v>551459063.21000004</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c r="A8" s="46" t="s">
        <v>356</v>
      </c>
      <c r="E8" s="66">
        <f>E7/E2</f>
        <v>0.91305516825846511</v>
      </c>
      <c r="F8" s="66">
        <f t="shared" ref="F8:BQ8" si="7">F7/F2</f>
        <v>0.89796196153766783</v>
      </c>
      <c r="G8" s="66">
        <f t="shared" si="7"/>
        <v>0.8993311839616609</v>
      </c>
      <c r="H8" s="66">
        <f t="shared" si="7"/>
        <v>0.89618746267866523</v>
      </c>
      <c r="I8" s="66">
        <f t="shared" si="7"/>
        <v>0.9115613799003629</v>
      </c>
      <c r="J8" s="66">
        <f t="shared" si="7"/>
        <v>0.91225136600612233</v>
      </c>
      <c r="K8" s="66">
        <f t="shared" si="7"/>
        <v>0.91643855612655489</v>
      </c>
      <c r="L8" s="66">
        <f t="shared" si="7"/>
        <v>0.91881424877012707</v>
      </c>
      <c r="M8" s="66">
        <f t="shared" si="7"/>
        <v>0.92341366777337575</v>
      </c>
      <c r="N8" s="66">
        <f t="shared" si="7"/>
        <v>0.92227894052748705</v>
      </c>
      <c r="O8" s="66">
        <f t="shared" si="7"/>
        <v>0.9245293031418903</v>
      </c>
      <c r="P8" s="66">
        <f t="shared" si="7"/>
        <v>0.92611039641731396</v>
      </c>
      <c r="Q8" s="66">
        <f t="shared" si="7"/>
        <v>0.93214204240267939</v>
      </c>
      <c r="R8" s="66">
        <f t="shared" si="7"/>
        <v>0.9259341285314433</v>
      </c>
      <c r="S8" s="66">
        <f t="shared" si="7"/>
        <v>0.92663719275195278</v>
      </c>
      <c r="T8" s="66">
        <f t="shared" si="7"/>
        <v>0.93104532155457054</v>
      </c>
      <c r="U8" s="66">
        <f t="shared" si="7"/>
        <v>0.93195341752034266</v>
      </c>
      <c r="V8" s="66">
        <f t="shared" si="7"/>
        <v>0.92904940156858784</v>
      </c>
      <c r="W8" s="66">
        <f t="shared" si="7"/>
        <v>0.93431419526511972</v>
      </c>
      <c r="X8" s="66">
        <f t="shared" si="7"/>
        <v>0.93399097935979891</v>
      </c>
      <c r="Y8" s="66">
        <f t="shared" si="7"/>
        <v>0.93285855234818349</v>
      </c>
      <c r="Z8" s="66">
        <f t="shared" si="7"/>
        <v>0.92272611717304409</v>
      </c>
      <c r="AA8" s="66">
        <f t="shared" si="7"/>
        <v>0.91827604246084005</v>
      </c>
      <c r="AB8" s="66">
        <f t="shared" si="7"/>
        <v>0.92011381431775852</v>
      </c>
      <c r="AC8" s="66">
        <f t="shared" si="7"/>
        <v>0.91987067586067361</v>
      </c>
      <c r="AD8" s="66">
        <f t="shared" si="7"/>
        <v>0.91570459549413308</v>
      </c>
      <c r="AE8" s="66">
        <f t="shared" si="7"/>
        <v>0.91527336750418942</v>
      </c>
      <c r="AF8" s="66">
        <f t="shared" si="7"/>
        <v>0.91399474502859701</v>
      </c>
      <c r="AG8" s="66">
        <f t="shared" si="7"/>
        <v>0.90710701945106209</v>
      </c>
      <c r="AH8" s="66">
        <f t="shared" si="7"/>
        <v>0.90948973521781318</v>
      </c>
      <c r="AI8" s="66">
        <f t="shared" si="7"/>
        <v>0.9119497948408174</v>
      </c>
      <c r="AJ8" s="66">
        <f t="shared" si="7"/>
        <v>0.91359234632652897</v>
      </c>
      <c r="AK8" s="66">
        <f t="shared" si="7"/>
        <v>0.90283028398799536</v>
      </c>
      <c r="AL8" s="66">
        <f t="shared" si="7"/>
        <v>0.90168842325201826</v>
      </c>
      <c r="AM8" s="66">
        <f t="shared" si="7"/>
        <v>0.90480488213118759</v>
      </c>
      <c r="AN8" s="66">
        <f t="shared" si="7"/>
        <v>0.90414359931802224</v>
      </c>
      <c r="AO8" s="66">
        <f t="shared" si="7"/>
        <v>0.89992254116574244</v>
      </c>
      <c r="AP8" s="66">
        <f t="shared" si="7"/>
        <v>0.90296726160938423</v>
      </c>
      <c r="AQ8" s="66">
        <f t="shared" si="7"/>
        <v>0.90519718552969775</v>
      </c>
      <c r="AR8" s="66">
        <f t="shared" si="7"/>
        <v>0.90431130509406099</v>
      </c>
      <c r="AS8" s="66">
        <f t="shared" si="7"/>
        <v>0.89926708042345727</v>
      </c>
      <c r="AT8" s="66">
        <f t="shared" si="7"/>
        <v>0.87956450309706191</v>
      </c>
      <c r="AU8" s="66">
        <f t="shared" si="7"/>
        <v>0.85137288778233766</v>
      </c>
      <c r="AV8" s="66">
        <f t="shared" si="7"/>
        <v>0.85195754856336703</v>
      </c>
      <c r="AW8" s="66">
        <f t="shared" si="7"/>
        <v>0.85026817638150454</v>
      </c>
      <c r="AX8" s="66">
        <f t="shared" si="7"/>
        <v>0.83840897897617539</v>
      </c>
      <c r="AY8" s="66">
        <f t="shared" si="7"/>
        <v>0.83498842187900746</v>
      </c>
      <c r="AZ8" s="66">
        <f t="shared" si="7"/>
        <v>0.83125221861885623</v>
      </c>
      <c r="BA8" s="66">
        <f t="shared" si="7"/>
        <v>0.83200227944850824</v>
      </c>
      <c r="BB8" s="66">
        <f t="shared" si="7"/>
        <v>0.82518657856729138</v>
      </c>
      <c r="BC8" s="66">
        <f t="shared" si="7"/>
        <v>0.82541052016854632</v>
      </c>
      <c r="BD8" s="66">
        <f t="shared" si="7"/>
        <v>0.82556127207542496</v>
      </c>
      <c r="BE8" s="66">
        <f t="shared" si="7"/>
        <v>0.82804890805028164</v>
      </c>
      <c r="BF8" s="66">
        <f t="shared" si="7"/>
        <v>0.82222825406168676</v>
      </c>
      <c r="BG8" s="66">
        <f t="shared" si="7"/>
        <v>0.822291512748206</v>
      </c>
      <c r="BH8" s="66">
        <f t="shared" si="7"/>
        <v>0.82502107044476136</v>
      </c>
      <c r="BI8" s="66">
        <f t="shared" si="7"/>
        <v>0.82278168039945465</v>
      </c>
      <c r="BJ8" s="66">
        <f t="shared" si="7"/>
        <v>0.80117260978564153</v>
      </c>
      <c r="BK8" s="66">
        <f t="shared" si="7"/>
        <v>0.80503338768494803</v>
      </c>
      <c r="BL8" s="66">
        <f t="shared" si="7"/>
        <v>0.80482701160245407</v>
      </c>
      <c r="BM8" s="66">
        <f t="shared" si="7"/>
        <v>0.81457569782109385</v>
      </c>
      <c r="BN8" s="66">
        <f t="shared" si="7"/>
        <v>0.81440036990793552</v>
      </c>
      <c r="BO8" s="66">
        <f t="shared" si="7"/>
        <v>0.83078078910499376</v>
      </c>
      <c r="BP8" s="66">
        <f t="shared" si="7"/>
        <v>0.83428258857791204</v>
      </c>
      <c r="BQ8" s="66">
        <f t="shared" si="7"/>
        <v>0.8390676061961021</v>
      </c>
      <c r="BR8" s="66">
        <f t="shared" ref="BR8:CJ8" si="8">BR7/BR2</f>
        <v>0.82229284534049785</v>
      </c>
      <c r="BS8" s="66">
        <f t="shared" si="8"/>
        <v>0.83237294110553206</v>
      </c>
      <c r="BT8" s="66">
        <f t="shared" si="8"/>
        <v>0.82328249526685626</v>
      </c>
      <c r="BU8" s="66">
        <f t="shared" si="8"/>
        <v>0.85504624826764142</v>
      </c>
      <c r="BV8" s="66">
        <f t="shared" si="8"/>
        <v>0.87786171397088131</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c r="A9" s="46" t="s">
        <v>357</v>
      </c>
      <c r="E9" s="66">
        <f>(E7-I7)/I7</f>
        <v>0.31454375793551004</v>
      </c>
      <c r="F9" s="66">
        <f t="shared" ref="F9:BQ9" si="9">(F7-J7)/J7</f>
        <v>0.47459376799588965</v>
      </c>
      <c r="G9" s="66">
        <f t="shared" si="9"/>
        <v>0.56421658627386284</v>
      </c>
      <c r="H9" s="66">
        <f t="shared" si="9"/>
        <v>0.29830078192384968</v>
      </c>
      <c r="I9" s="66">
        <f t="shared" si="9"/>
        <v>0.31526105408355587</v>
      </c>
      <c r="J9" s="66">
        <f t="shared" si="9"/>
        <v>0.17697938467634283</v>
      </c>
      <c r="K9" s="66">
        <f t="shared" si="9"/>
        <v>0.14040250640254412</v>
      </c>
      <c r="L9" s="66">
        <f t="shared" si="9"/>
        <v>0.14268736055418607</v>
      </c>
      <c r="M9" s="66">
        <f t="shared" si="9"/>
        <v>0.15811148781305454</v>
      </c>
      <c r="N9" s="66">
        <f t="shared" si="9"/>
        <v>3.0301242475883689E-2</v>
      </c>
      <c r="O9" s="66">
        <f t="shared" si="9"/>
        <v>6.3441834926448282E-2</v>
      </c>
      <c r="P9" s="66">
        <f t="shared" si="9"/>
        <v>9.5895918333026381E-2</v>
      </c>
      <c r="Q9" s="66">
        <f t="shared" si="9"/>
        <v>0.14714129701441736</v>
      </c>
      <c r="R9" s="66">
        <f t="shared" si="9"/>
        <v>1.766566040314281E-2</v>
      </c>
      <c r="S9" s="66">
        <f t="shared" si="9"/>
        <v>-1.8051670255376007E-2</v>
      </c>
      <c r="T9" s="66">
        <f t="shared" si="9"/>
        <v>1.0517729967711217E-2</v>
      </c>
      <c r="U9" s="66">
        <f t="shared" si="9"/>
        <v>3.8629604790206926E-2</v>
      </c>
      <c r="V9" s="66">
        <f t="shared" si="9"/>
        <v>0.17684024627642042</v>
      </c>
      <c r="W9" s="66">
        <f t="shared" si="9"/>
        <v>0.11978025021419156</v>
      </c>
      <c r="X9" s="66">
        <f t="shared" si="9"/>
        <v>8.1157301303037208E-2</v>
      </c>
      <c r="Y9" s="66">
        <f t="shared" si="9"/>
        <v>0.20794552543652661</v>
      </c>
      <c r="Z9" s="66">
        <f t="shared" si="9"/>
        <v>0.44862934336825155</v>
      </c>
      <c r="AA9" s="66">
        <f t="shared" si="9"/>
        <v>0.46581994373880325</v>
      </c>
      <c r="AB9" s="66">
        <f t="shared" si="9"/>
        <v>0.35899464559623268</v>
      </c>
      <c r="AC9" s="66">
        <f t="shared" si="9"/>
        <v>0.44544201001485773</v>
      </c>
      <c r="AD9" s="66">
        <f t="shared" si="9"/>
        <v>0.59268056437209737</v>
      </c>
      <c r="AE9" s="66">
        <f t="shared" si="9"/>
        <v>0.46788307926676748</v>
      </c>
      <c r="AF9" s="66">
        <f t="shared" si="9"/>
        <v>0.49229600632724702</v>
      </c>
      <c r="AG9" s="66">
        <f t="shared" si="9"/>
        <v>0.39497143044222915</v>
      </c>
      <c r="AH9" s="66">
        <f t="shared" si="9"/>
        <v>0.21343689794401999</v>
      </c>
      <c r="AI9" s="66">
        <f t="shared" si="9"/>
        <v>0.20417452814634446</v>
      </c>
      <c r="AJ9" s="66">
        <f t="shared" si="9"/>
        <v>0.20016215471037072</v>
      </c>
      <c r="AK9" s="66">
        <f t="shared" si="9"/>
        <v>0.21380427374121627</v>
      </c>
      <c r="AL9" s="66">
        <f t="shared" si="9"/>
        <v>0.17164186095030412</v>
      </c>
      <c r="AM9" s="66">
        <f t="shared" si="9"/>
        <v>0.20308302349990856</v>
      </c>
      <c r="AN9" s="66">
        <f t="shared" si="9"/>
        <v>0.2002850272496918</v>
      </c>
      <c r="AO9" s="66">
        <f t="shared" si="9"/>
        <v>0.26128570850013921</v>
      </c>
      <c r="AP9" s="66">
        <f t="shared" si="9"/>
        <v>0.16905765710574064</v>
      </c>
      <c r="AQ9" s="66">
        <f t="shared" si="9"/>
        <v>0.54688368026732059</v>
      </c>
      <c r="AR9" s="66">
        <f t="shared" si="9"/>
        <v>0.86513442579732713</v>
      </c>
      <c r="AS9" s="66">
        <f t="shared" si="9"/>
        <v>0.32807948979758078</v>
      </c>
      <c r="AT9" s="66">
        <f t="shared" si="9"/>
        <v>0.55073720571712459</v>
      </c>
      <c r="AU9" s="66">
        <f t="shared" si="9"/>
        <v>0.39896345807639844</v>
      </c>
      <c r="AV9" s="66">
        <f t="shared" si="9"/>
        <v>0.32772913424811995</v>
      </c>
      <c r="AW9" s="66">
        <f t="shared" si="9"/>
        <v>0.19778033913163234</v>
      </c>
      <c r="AX9" s="66">
        <f t="shared" si="9"/>
        <v>0.26564605130517266</v>
      </c>
      <c r="AY9" s="66">
        <f t="shared" si="9"/>
        <v>0.27393528708447967</v>
      </c>
      <c r="AZ9" s="66">
        <f t="shared" si="9"/>
        <v>0.21190806821570649</v>
      </c>
      <c r="BA9" s="66">
        <f t="shared" si="9"/>
        <v>0.189636585304188</v>
      </c>
      <c r="BB9" s="66">
        <f t="shared" si="9"/>
        <v>0.31060717393192649</v>
      </c>
      <c r="BC9" s="66">
        <f t="shared" si="9"/>
        <v>0.25099422517153641</v>
      </c>
      <c r="BD9" s="66">
        <f t="shared" si="9"/>
        <v>0.28394837528723399</v>
      </c>
      <c r="BE9" s="66">
        <f t="shared" si="9"/>
        <v>0.34907191163080842</v>
      </c>
      <c r="BF9" s="66">
        <f t="shared" si="9"/>
        <v>0.28649351577287818</v>
      </c>
      <c r="BG9" s="66">
        <f t="shared" si="9"/>
        <v>0.36199094699521422</v>
      </c>
      <c r="BH9" s="66">
        <f t="shared" si="9"/>
        <v>0.33500322968924151</v>
      </c>
      <c r="BI9" s="66">
        <f t="shared" si="9"/>
        <v>0.17460409241788741</v>
      </c>
      <c r="BJ9" s="66">
        <f t="shared" si="9"/>
        <v>0.2872756022515191</v>
      </c>
      <c r="BK9" s="66">
        <f t="shared" si="9"/>
        <v>0.1031873283244881</v>
      </c>
      <c r="BL9" s="66">
        <f t="shared" si="9"/>
        <v>1.8591913729753152E-2</v>
      </c>
      <c r="BM9" s="66">
        <f t="shared" si="9"/>
        <v>-7.726044178422568E-3</v>
      </c>
      <c r="BN9" s="66">
        <f t="shared" si="9"/>
        <v>0.12313615118678888</v>
      </c>
      <c r="BO9" s="66">
        <f t="shared" si="9"/>
        <v>0.55776895764297629</v>
      </c>
      <c r="BP9" s="66">
        <f t="shared" si="9"/>
        <v>-0.13068020451003601</v>
      </c>
      <c r="BQ9" s="66">
        <f t="shared" si="9"/>
        <v>-0.20908064117070194</v>
      </c>
      <c r="BR9" s="66">
        <f t="shared" ref="BR9:CK9" si="10">(BR7-BV7)/BV7</f>
        <v>1.4127052776233575</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c r="A10" s="128" t="s">
        <v>358</v>
      </c>
      <c r="E10" s="27">
        <f>股权价值增加表!E8</f>
        <v>2525570612.4699998</v>
      </c>
      <c r="F10" s="27">
        <f>股权价值增加表!F8</f>
        <v>8404214470.6899996</v>
      </c>
      <c r="G10" s="27">
        <f>股权价值增加表!G8</f>
        <v>6423976199.8900003</v>
      </c>
      <c r="H10" s="27">
        <f>股权价值增加表!H8</f>
        <v>3419416545.5</v>
      </c>
      <c r="I10" s="27">
        <f>股权价值增加表!I8</f>
        <v>1973301671.9300001</v>
      </c>
      <c r="J10" s="27">
        <f>股权价值增加表!J8</f>
        <v>6508926343.2600002</v>
      </c>
      <c r="K10" s="27">
        <f>股权价值增加表!K8</f>
        <v>3623883800.0500002</v>
      </c>
      <c r="L10" s="27">
        <f>股权价值增加表!L8</f>
        <v>2205658604.8699999</v>
      </c>
      <c r="M10" s="27">
        <f>股权价值增加表!M8</f>
        <v>1180622899.52</v>
      </c>
      <c r="N10" s="27">
        <f>股权价值增加表!N8</f>
        <v>3449170637.4000001</v>
      </c>
      <c r="O10" s="27">
        <f>股权价值增加表!O8</f>
        <v>2171605445.23</v>
      </c>
      <c r="P10" s="27">
        <f>股权价值增加表!P8</f>
        <v>1443140055.8199999</v>
      </c>
      <c r="Q10" s="27">
        <f>股权价值增加表!Q8</f>
        <v>806537815.96000004</v>
      </c>
      <c r="R10" s="27">
        <f>股权价值增加表!R8</f>
        <v>2788994436.0500002</v>
      </c>
      <c r="S10" s="27">
        <f>股权价值增加表!S8</f>
        <v>2004308881.3199999</v>
      </c>
      <c r="T10" s="27">
        <f>股权价值增加表!T8</f>
        <v>1265321917.52</v>
      </c>
      <c r="U10" s="27">
        <f>股权价值增加表!U8</f>
        <v>704741188.09000003</v>
      </c>
      <c r="V10" s="27">
        <f>股权价值增加表!V8</f>
        <v>2790747889.4899998</v>
      </c>
      <c r="W10" s="27">
        <f>股权价值增加表!W8</f>
        <v>1972678618.54</v>
      </c>
      <c r="X10" s="27">
        <f>股权价值增加表!X8</f>
        <v>1099186549.1099999</v>
      </c>
      <c r="Y10" s="27">
        <f>股权价值增加表!Y8</f>
        <v>586532904</v>
      </c>
      <c r="Z10" s="27">
        <f>股权价值增加表!Z8</f>
        <v>2572644755.4200001</v>
      </c>
      <c r="AA10" s="27">
        <f>股权价值增加表!AA8</f>
        <v>1784696541.1800001</v>
      </c>
      <c r="AB10" s="27">
        <f>股权价值增加表!AB8</f>
        <v>1356209475.46</v>
      </c>
      <c r="AC10" s="27">
        <f>股权价值增加表!AC8</f>
        <v>808353307.79999995</v>
      </c>
      <c r="AD10" s="27">
        <f>股权价值增加表!AD8</f>
        <v>2477391798.0100002</v>
      </c>
      <c r="AE10" s="27">
        <f>股权价值增加表!AE8</f>
        <v>1931440577.01</v>
      </c>
      <c r="AF10" s="27">
        <f>股权价值增加表!AF8</f>
        <v>1277257264.3</v>
      </c>
      <c r="AG10" s="27">
        <f>股权价值增加表!AG8</f>
        <v>708575156.14999998</v>
      </c>
      <c r="AH10" s="27">
        <f>股权价值增加表!AH8</f>
        <v>1577013104.9000001</v>
      </c>
      <c r="AI10" s="27">
        <f>股权价值增加表!AI8</f>
        <v>1409893974.9300001</v>
      </c>
      <c r="AJ10" s="27">
        <f>股权价值增加表!AJ8</f>
        <v>858980338.08000004</v>
      </c>
      <c r="AK10" s="27">
        <f>股权价值增加表!AK8</f>
        <v>540768518.44000006</v>
      </c>
      <c r="AL10" s="27">
        <f>股权价值增加表!AL8</f>
        <v>940508549.65999997</v>
      </c>
      <c r="AM10" s="27">
        <f>股权价值增加表!AM8</f>
        <v>676193009.49000001</v>
      </c>
      <c r="AN10" s="27">
        <f>股权价值增加表!AN8</f>
        <v>418028504.85000002</v>
      </c>
      <c r="AO10" s="27">
        <f>股权价值增加表!AO8</f>
        <v>234708691.38999999</v>
      </c>
      <c r="AP10" s="27">
        <f>股权价值增加表!AP8</f>
        <v>681761604.71000004</v>
      </c>
      <c r="AQ10" s="27">
        <f>股权价值增加表!AQ8</f>
        <v>533718466.75999999</v>
      </c>
      <c r="AR10" s="27">
        <f>股权价值增加表!AR8</f>
        <v>370471947.33999997</v>
      </c>
      <c r="AS10" s="27">
        <f>股权价值增加表!AS8</f>
        <v>198645627.71000001</v>
      </c>
      <c r="AT10" s="27">
        <f>股权价值增加表!AT8</f>
        <v>604078928.40999997</v>
      </c>
      <c r="AU10" s="27">
        <f>股权价值增加表!AU8</f>
        <v>412234460.64999998</v>
      </c>
      <c r="AV10" s="27">
        <f>股权价值增加表!AV8</f>
        <v>291887086.48000002</v>
      </c>
      <c r="AW10" s="27">
        <f>股权价值增加表!AW8</f>
        <v>191506723.52000001</v>
      </c>
      <c r="AX10" s="27">
        <f>股权价值增加表!AX8</f>
        <v>574699589.65999997</v>
      </c>
      <c r="AY10" s="27">
        <f>股权价值增加表!AY8</f>
        <v>422145286.06</v>
      </c>
      <c r="AZ10" s="27">
        <f>股权价值增加表!AZ8</f>
        <v>297988718.55000001</v>
      </c>
      <c r="BA10" s="27">
        <f>股权价值增加表!BA8</f>
        <v>178317665.44</v>
      </c>
      <c r="BB10" s="27">
        <f>股权价值增加表!BB8</f>
        <v>530245028.45999998</v>
      </c>
      <c r="BC10" s="27">
        <f>股权价值增加表!BC8</f>
        <v>406925341.75999999</v>
      </c>
      <c r="BD10" s="27">
        <f>股权价值增加表!BD8</f>
        <v>265598185.91999999</v>
      </c>
      <c r="BE10" s="27">
        <f>股权价值增加表!BE8</f>
        <v>165915935.69999999</v>
      </c>
      <c r="BF10" s="27">
        <f>股权价值增加表!BF8</f>
        <v>324855608.17000002</v>
      </c>
      <c r="BG10" s="27">
        <f>股权价值增加表!BG8</f>
        <v>320394935.06999999</v>
      </c>
      <c r="BH10" s="27">
        <f>股权价值增加表!BH8</f>
        <v>198084137.61000001</v>
      </c>
      <c r="BI10" s="27">
        <f>股权价值增加表!BI8</f>
        <v>119817149.3</v>
      </c>
      <c r="BJ10" s="27">
        <f>股权价值增加表!BJ8</f>
        <v>308189009.56</v>
      </c>
      <c r="BK10" s="27">
        <f>股权价值增加表!BK8</f>
        <v>268206392.63</v>
      </c>
      <c r="BL10" s="27">
        <f>股权价值增加表!BL8</f>
        <v>161846133.84999999</v>
      </c>
      <c r="BM10" s="27">
        <f>股权价值增加表!BM8</f>
        <v>121107780.34</v>
      </c>
      <c r="BN10" s="27">
        <f>股权价值增加表!BN8</f>
        <v>320026615.94999999</v>
      </c>
      <c r="BO10" s="27">
        <f>股权价值增加表!BO8</f>
        <v>228116802.27000001</v>
      </c>
      <c r="BP10" s="27">
        <f>股权价值增加表!BP8</f>
        <v>160878207.99000001</v>
      </c>
      <c r="BQ10" s="27">
        <f>股权价值增加表!BQ8</f>
        <v>124848157.48</v>
      </c>
      <c r="BR10" s="27">
        <f>股权价值增加表!BR8</f>
        <v>317884849.44</v>
      </c>
      <c r="BS10" s="27">
        <f>股权价值增加表!BS8</f>
        <v>161749763</v>
      </c>
      <c r="BT10" s="27">
        <f>股权价值增加表!BT8</f>
        <v>199224062.88</v>
      </c>
      <c r="BU10" s="27">
        <f>股权价值增加表!BU8</f>
        <v>172867651.11000001</v>
      </c>
      <c r="BV10" s="27">
        <f>股权价值增加表!BV8</f>
        <v>119074532.43000001</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359</v>
      </c>
      <c r="E11" s="57">
        <f>E10/E2</f>
        <v>0.14459787893952231</v>
      </c>
      <c r="F11" s="57">
        <f t="shared" ref="F11:BQ11" si="11">F10/F2</f>
        <v>0.14435800767975732</v>
      </c>
      <c r="G11" s="57">
        <f t="shared" si="11"/>
        <v>0.15132875038157087</v>
      </c>
      <c r="H11" s="57">
        <f t="shared" si="11"/>
        <v>0.14135643959716437</v>
      </c>
      <c r="I11" s="57">
        <f t="shared" si="11"/>
        <v>0.14827223575199053</v>
      </c>
      <c r="J11" s="57">
        <f t="shared" si="11"/>
        <v>0.1674873789740548</v>
      </c>
      <c r="K11" s="57">
        <f t="shared" si="11"/>
        <v>0.13607312932262502</v>
      </c>
      <c r="L11" s="57">
        <f t="shared" si="11"/>
        <v>0.121368520492037</v>
      </c>
      <c r="M11" s="57">
        <f t="shared" si="11"/>
        <v>0.11819521547112471</v>
      </c>
      <c r="N11" s="57">
        <f t="shared" si="11"/>
        <v>0.10560975505423192</v>
      </c>
      <c r="O11" s="57">
        <f t="shared" si="11"/>
        <v>9.3811163513361578E-2</v>
      </c>
      <c r="P11" s="57">
        <f t="shared" si="11"/>
        <v>9.1461581794907751E-2</v>
      </c>
      <c r="Q11" s="57">
        <f t="shared" si="11"/>
        <v>9.4395131663480625E-2</v>
      </c>
      <c r="R11" s="57">
        <f t="shared" si="11"/>
        <v>8.8332195764521421E-2</v>
      </c>
      <c r="S11" s="57">
        <f t="shared" si="11"/>
        <v>9.2287108554574129E-2</v>
      </c>
      <c r="T11" s="57">
        <f t="shared" si="11"/>
        <v>8.8350422305818049E-2</v>
      </c>
      <c r="U11" s="57">
        <f t="shared" si="11"/>
        <v>9.4598345206860321E-2</v>
      </c>
      <c r="V11" s="57">
        <f t="shared" si="11"/>
        <v>9.0251789050588727E-2</v>
      </c>
      <c r="W11" s="57">
        <f t="shared" si="11"/>
        <v>8.9929997464480257E-2</v>
      </c>
      <c r="X11" s="57">
        <f t="shared" si="11"/>
        <v>7.7802723811111849E-2</v>
      </c>
      <c r="Y11" s="57">
        <f t="shared" si="11"/>
        <v>8.185186051411493E-2</v>
      </c>
      <c r="Z11" s="57">
        <f t="shared" si="11"/>
        <v>9.7244837025972725E-2</v>
      </c>
      <c r="AA11" s="57">
        <f t="shared" si="11"/>
        <v>8.9541782555375607E-2</v>
      </c>
      <c r="AB11" s="57">
        <f t="shared" si="11"/>
        <v>0.10224402211281772</v>
      </c>
      <c r="AC11" s="57">
        <f t="shared" si="11"/>
        <v>0.13436795915769387</v>
      </c>
      <c r="AD11" s="57">
        <f t="shared" si="11"/>
        <v>0.13462362670987069</v>
      </c>
      <c r="AE11" s="57">
        <f t="shared" si="11"/>
        <v>0.14157967237695487</v>
      </c>
      <c r="AF11" s="57">
        <f t="shared" si="11"/>
        <v>0.12998984500167945</v>
      </c>
      <c r="AG11" s="57">
        <f t="shared" si="11"/>
        <v>0.16788536853678646</v>
      </c>
      <c r="AH11" s="57">
        <f t="shared" si="11"/>
        <v>0.13556044364783965</v>
      </c>
      <c r="AI11" s="57">
        <f t="shared" si="11"/>
        <v>0.15115327982901564</v>
      </c>
      <c r="AJ11" s="57">
        <f t="shared" si="11"/>
        <v>0.1304001221103632</v>
      </c>
      <c r="AK11" s="57">
        <f t="shared" si="11"/>
        <v>0.17788987573236728</v>
      </c>
      <c r="AL11" s="57">
        <f t="shared" si="11"/>
        <v>9.7260459209989436E-2</v>
      </c>
      <c r="AM11" s="57">
        <f t="shared" si="11"/>
        <v>8.6611435963491176E-2</v>
      </c>
      <c r="AN11" s="57">
        <f t="shared" si="11"/>
        <v>7.5374693516654309E-2</v>
      </c>
      <c r="AO11" s="57">
        <f t="shared" si="11"/>
        <v>9.3415012702702444E-2</v>
      </c>
      <c r="AP11" s="57">
        <f t="shared" si="11"/>
        <v>8.2721137491444913E-2</v>
      </c>
      <c r="AQ11" s="57">
        <f t="shared" si="11"/>
        <v>8.2281206329707937E-2</v>
      </c>
      <c r="AR11" s="57">
        <f t="shared" si="11"/>
        <v>8.0193640110865869E-2</v>
      </c>
      <c r="AS11" s="57">
        <f t="shared" si="11"/>
        <v>9.9646845694026182E-2</v>
      </c>
      <c r="AT11" s="57">
        <f t="shared" si="11"/>
        <v>8.3465935567035562E-2</v>
      </c>
      <c r="AU11" s="57">
        <f t="shared" si="11"/>
        <v>9.246278977501815E-2</v>
      </c>
      <c r="AV11" s="57">
        <f t="shared" si="11"/>
        <v>0.11102214500920915</v>
      </c>
      <c r="AW11" s="57">
        <f t="shared" si="11"/>
        <v>0.12063126172601908</v>
      </c>
      <c r="AX11" s="57">
        <f t="shared" si="11"/>
        <v>0.11737697135662321</v>
      </c>
      <c r="AY11" s="57">
        <f t="shared" si="11"/>
        <v>0.12991271269633217</v>
      </c>
      <c r="AZ11" s="57">
        <f t="shared" si="11"/>
        <v>0.14683138730817569</v>
      </c>
      <c r="BA11" s="57">
        <f t="shared" si="11"/>
        <v>0.1316485213231719</v>
      </c>
      <c r="BB11" s="57">
        <f t="shared" si="11"/>
        <v>0.13490471258990011</v>
      </c>
      <c r="BC11" s="57">
        <f t="shared" si="11"/>
        <v>0.15770350943000452</v>
      </c>
      <c r="BD11" s="57">
        <f t="shared" si="11"/>
        <v>0.15751806017932041</v>
      </c>
      <c r="BE11" s="57">
        <f t="shared" si="11"/>
        <v>0.14502921652452069</v>
      </c>
      <c r="BF11" s="57">
        <f t="shared" si="11"/>
        <v>0.10793285520085598</v>
      </c>
      <c r="BG11" s="57">
        <f t="shared" si="11"/>
        <v>0.15474740530885758</v>
      </c>
      <c r="BH11" s="57">
        <f t="shared" si="11"/>
        <v>0.15073643517930468</v>
      </c>
      <c r="BI11" s="57">
        <f t="shared" si="11"/>
        <v>0.14039450420975383</v>
      </c>
      <c r="BJ11" s="57">
        <f t="shared" si="11"/>
        <v>0.1283576457620193</v>
      </c>
      <c r="BK11" s="57">
        <f t="shared" si="11"/>
        <v>0.17273055341365204</v>
      </c>
      <c r="BL11" s="57">
        <f t="shared" si="11"/>
        <v>0.16039495003687998</v>
      </c>
      <c r="BM11" s="57">
        <f t="shared" si="11"/>
        <v>0.16502187403347462</v>
      </c>
      <c r="BN11" s="57">
        <f t="shared" si="11"/>
        <v>0.17441109234200966</v>
      </c>
      <c r="BO11" s="57">
        <f t="shared" si="11"/>
        <v>0.16725500866740803</v>
      </c>
      <c r="BP11" s="57">
        <f t="shared" si="11"/>
        <v>0.16834353458134188</v>
      </c>
      <c r="BQ11" s="57">
        <f t="shared" si="11"/>
        <v>0.17387962936533524</v>
      </c>
      <c r="BR11" s="57">
        <f t="shared" ref="BR11:CJ11" si="12">BR10/BR2</f>
        <v>0.1964621028784774</v>
      </c>
      <c r="BS11" s="57">
        <f t="shared" si="12"/>
        <v>0.18509729139407807</v>
      </c>
      <c r="BT11" s="57">
        <f t="shared" si="12"/>
        <v>0.17883655066372245</v>
      </c>
      <c r="BU11" s="57">
        <f t="shared" si="12"/>
        <v>0.1940462061150737</v>
      </c>
      <c r="BV11" s="57">
        <f t="shared" si="12"/>
        <v>0.18955345936435333</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28" t="s">
        <v>360</v>
      </c>
      <c r="E12" s="27">
        <f>股权价值增加表!E9</f>
        <v>945090499.20000005</v>
      </c>
      <c r="F12" s="27">
        <f>股权价值增加表!F9</f>
        <v>2986068544.9899998</v>
      </c>
      <c r="G12" s="27">
        <f>股权价值增加表!G9</f>
        <v>1977910933.9000001</v>
      </c>
      <c r="H12" s="27">
        <f>股权价值增加表!H9</f>
        <v>1378870495.3199999</v>
      </c>
      <c r="I12" s="27">
        <f>股权价值增加表!I9</f>
        <v>852434090.09000003</v>
      </c>
      <c r="J12" s="27">
        <f>股权价值增加表!J9</f>
        <v>1681052022.9000001</v>
      </c>
      <c r="K12" s="27">
        <f>股权价值增加表!K9</f>
        <v>655110282.33000004</v>
      </c>
      <c r="L12" s="27">
        <f>股权价值增加表!L9</f>
        <v>387421652.44999999</v>
      </c>
      <c r="M12" s="27">
        <f>股权价值增加表!M9</f>
        <v>170385412.55000001</v>
      </c>
      <c r="N12" s="27">
        <f>股权价值增加表!N9</f>
        <v>1484961519.21</v>
      </c>
      <c r="O12" s="27">
        <f>股权价值增加表!O9</f>
        <v>935401479.02999997</v>
      </c>
      <c r="P12" s="27">
        <f>股权价值增加表!P9</f>
        <v>592014002.75</v>
      </c>
      <c r="Q12" s="27">
        <f>股权价值增加表!Q9</f>
        <v>242599825.81999999</v>
      </c>
      <c r="R12" s="27">
        <f>股权价值增加表!R9</f>
        <v>1674733451.0599999</v>
      </c>
      <c r="S12" s="27">
        <f>股权价值增加表!S9</f>
        <v>976711335.94000006</v>
      </c>
      <c r="T12" s="27">
        <f>股权价值增加表!T9</f>
        <v>646806094.26999998</v>
      </c>
      <c r="U12" s="27">
        <f>股权价值增加表!U9</f>
        <v>329145907.60000002</v>
      </c>
      <c r="V12" s="27">
        <f>股权价值增加表!V9</f>
        <v>1858132722.71</v>
      </c>
      <c r="W12" s="27">
        <f>股权价值增加表!W9</f>
        <v>1165549963.0799999</v>
      </c>
      <c r="X12" s="27">
        <f>股权价值增加表!X9</f>
        <v>799796571.35000002</v>
      </c>
      <c r="Y12" s="27">
        <f>股权价值增加表!Y9</f>
        <v>284030284.32999998</v>
      </c>
      <c r="Z12" s="27">
        <f>股权价值增加表!Z9</f>
        <v>1224553444.02</v>
      </c>
      <c r="AA12" s="27">
        <f>股权价值增加表!AA9</f>
        <v>842051124.48000002</v>
      </c>
      <c r="AB12" s="27">
        <f>股权价值增加表!AB9</f>
        <v>406579445.95999998</v>
      </c>
      <c r="AC12" s="27">
        <f>股权价值增加表!AC9</f>
        <v>190131949.47</v>
      </c>
      <c r="AD12" s="27">
        <f>股权价值增加表!AD9</f>
        <v>720327727.88999999</v>
      </c>
      <c r="AE12" s="27">
        <f>股权价值增加表!AE9</f>
        <v>493777287.81999999</v>
      </c>
      <c r="AF12" s="27">
        <f>股权价值增加表!AF9</f>
        <v>324597983.18000001</v>
      </c>
      <c r="AG12" s="27">
        <f>股权价值增加表!AG9</f>
        <v>167210185.33000001</v>
      </c>
      <c r="AH12" s="27">
        <f>股权价值增加表!AH9</f>
        <v>676531662.09000003</v>
      </c>
      <c r="AI12" s="27">
        <f>股权价值增加表!AI9</f>
        <v>482572956.68000001</v>
      </c>
      <c r="AJ12" s="27">
        <f>股权价值增加表!AJ9</f>
        <v>314756689.20999998</v>
      </c>
      <c r="AK12" s="27">
        <f>股权价值增加表!AK9</f>
        <v>144719684.59</v>
      </c>
      <c r="AL12" s="27">
        <f>股权价值增加表!AL9</f>
        <v>621284334.75</v>
      </c>
      <c r="AM12" s="27">
        <f>股权价值增加表!AM9</f>
        <v>439653539.35000002</v>
      </c>
      <c r="AN12" s="27">
        <f>股权价值增加表!AN9</f>
        <v>315584024.69999999</v>
      </c>
      <c r="AO12" s="27">
        <f>股权价值增加表!AO9</f>
        <v>180649086.71000001</v>
      </c>
      <c r="AP12" s="27">
        <f>股权价值增加表!AP9</f>
        <v>532024659.80000001</v>
      </c>
      <c r="AQ12" s="27">
        <f>股权价值增加表!AQ9</f>
        <v>455051645.88999999</v>
      </c>
      <c r="AR12" s="27">
        <f>股权价值增加表!AR9</f>
        <v>341612858.30000001</v>
      </c>
      <c r="AS12" s="27">
        <f>股权价值增加表!AS9</f>
        <v>243703730.18000001</v>
      </c>
      <c r="AT12" s="27">
        <f>股权价值增加表!AT9</f>
        <v>560385186.98000002</v>
      </c>
      <c r="AU12" s="27">
        <f>股权价值增加表!AU9</f>
        <v>439695589.05000001</v>
      </c>
      <c r="AV12" s="27">
        <f>股权价值增加表!AV9</f>
        <v>343733134.56999999</v>
      </c>
      <c r="AW12" s="27">
        <f>股权价值增加表!AW9</f>
        <v>212477800.28999999</v>
      </c>
      <c r="AX12" s="27">
        <f>股权价值增加表!AX9</f>
        <v>579353831.58000004</v>
      </c>
      <c r="AY12" s="27">
        <f>股权价值增加表!AY9</f>
        <v>483225031.23000002</v>
      </c>
      <c r="AZ12" s="27">
        <f>股权价值增加表!AZ9</f>
        <v>269828737.06999999</v>
      </c>
      <c r="BA12" s="27">
        <f>股权价值增加表!BA9</f>
        <v>197589630.34999999</v>
      </c>
      <c r="BB12" s="27">
        <f>股权价值增加表!BB9</f>
        <v>475939394.32999998</v>
      </c>
      <c r="BC12" s="27">
        <f>股权价值增加表!BC9</f>
        <v>371220561.92000002</v>
      </c>
      <c r="BD12" s="27">
        <f>股权价值增加表!BD9</f>
        <v>236478908.59</v>
      </c>
      <c r="BE12" s="27">
        <f>股权价值增加表!BE9</f>
        <v>153658444.72</v>
      </c>
      <c r="BF12" s="27">
        <f>股权价值增加表!BF9</f>
        <v>376522300.75</v>
      </c>
      <c r="BG12" s="27">
        <f>股权价值增加表!BG9</f>
        <v>338181343.52999997</v>
      </c>
      <c r="BH12" s="27">
        <f>股权价值增加表!BH9</f>
        <v>199936560.31</v>
      </c>
      <c r="BI12" s="27">
        <f>股权价值增加表!BI9</f>
        <v>139760649.13999999</v>
      </c>
      <c r="BJ12" s="27">
        <f>股权价值增加表!BJ9</f>
        <v>365256375.5</v>
      </c>
      <c r="BK12" s="27">
        <f>股权价值增加表!BK9</f>
        <v>247758788.18000001</v>
      </c>
      <c r="BL12" s="27">
        <f>股权价值增加表!BL9</f>
        <v>148471350.83000001</v>
      </c>
      <c r="BM12" s="27">
        <f>股权价值增加表!BM9</f>
        <v>99955921.620000005</v>
      </c>
      <c r="BN12" s="27">
        <f>股权价值增加表!BN9</f>
        <v>308176458.60000002</v>
      </c>
      <c r="BO12" s="27">
        <f>股权价值增加表!BO9</f>
        <v>240365513.08000001</v>
      </c>
      <c r="BP12" s="27">
        <f>股权价值增加表!BP9</f>
        <v>167320806.24000001</v>
      </c>
      <c r="BQ12" s="27">
        <f>股权价值增加表!BQ9</f>
        <v>103935965.36</v>
      </c>
      <c r="BR12" s="27">
        <f>股权价值增加表!BR9</f>
        <v>228319500.78</v>
      </c>
      <c r="BS12" s="27">
        <f>股权价值增加表!BS9</f>
        <v>117289100</v>
      </c>
      <c r="BT12" s="27">
        <f>股权价值增加表!BT9</f>
        <v>134826000.83000001</v>
      </c>
      <c r="BU12" s="27">
        <f>股权价值增加表!BU9</f>
        <v>101900556.98</v>
      </c>
      <c r="BV12" s="27">
        <f>股权价值增加表!BV9</f>
        <v>56426807.149999999</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361</v>
      </c>
      <c r="E13" s="57">
        <f>E12/E2</f>
        <v>5.4109784503931627E-2</v>
      </c>
      <c r="F13" s="57">
        <f t="shared" ref="F13:BQ13" si="13">F12/F2</f>
        <v>5.1291278614235221E-2</v>
      </c>
      <c r="G13" s="57">
        <f t="shared" si="13"/>
        <v>4.6593384016313459E-2</v>
      </c>
      <c r="H13" s="57">
        <f t="shared" si="13"/>
        <v>5.700160284377196E-2</v>
      </c>
      <c r="I13" s="57">
        <f t="shared" si="13"/>
        <v>6.405118394555416E-2</v>
      </c>
      <c r="J13" s="57">
        <f t="shared" si="13"/>
        <v>4.3256749636766789E-2</v>
      </c>
      <c r="K13" s="57">
        <f t="shared" si="13"/>
        <v>2.4598720899064577E-2</v>
      </c>
      <c r="L13" s="57">
        <f t="shared" si="13"/>
        <v>2.1318255082911183E-2</v>
      </c>
      <c r="M13" s="57">
        <f t="shared" si="13"/>
        <v>1.7057724831249198E-2</v>
      </c>
      <c r="N13" s="57">
        <f t="shared" si="13"/>
        <v>4.5467864247778898E-2</v>
      </c>
      <c r="O13" s="57">
        <f t="shared" si="13"/>
        <v>4.0408399828187787E-2</v>
      </c>
      <c r="P13" s="57">
        <f t="shared" si="13"/>
        <v>3.7519946118801002E-2</v>
      </c>
      <c r="Q13" s="57">
        <f t="shared" si="13"/>
        <v>2.8393265692767091E-2</v>
      </c>
      <c r="R13" s="57">
        <f t="shared" si="13"/>
        <v>5.3041655852830959E-2</v>
      </c>
      <c r="S13" s="57">
        <f t="shared" si="13"/>
        <v>4.4972042945304325E-2</v>
      </c>
      <c r="T13" s="57">
        <f t="shared" si="13"/>
        <v>4.5162887631580127E-2</v>
      </c>
      <c r="U13" s="57">
        <f t="shared" si="13"/>
        <v>4.4181692111620693E-2</v>
      </c>
      <c r="V13" s="57">
        <f t="shared" si="13"/>
        <v>6.0091347967897453E-2</v>
      </c>
      <c r="W13" s="57">
        <f t="shared" si="13"/>
        <v>5.313481083000042E-2</v>
      </c>
      <c r="X13" s="57">
        <f t="shared" si="13"/>
        <v>5.661127476150641E-2</v>
      </c>
      <c r="Y13" s="57">
        <f t="shared" si="13"/>
        <v>3.9637004260486573E-2</v>
      </c>
      <c r="Z13" s="57">
        <f t="shared" si="13"/>
        <v>4.6287580064227611E-2</v>
      </c>
      <c r="AA13" s="57">
        <f t="shared" si="13"/>
        <v>4.2247383209946587E-2</v>
      </c>
      <c r="AB13" s="57">
        <f t="shared" si="13"/>
        <v>3.06518414858085E-2</v>
      </c>
      <c r="AC13" s="57">
        <f t="shared" si="13"/>
        <v>3.1604549365286429E-2</v>
      </c>
      <c r="AD13" s="57">
        <f t="shared" si="13"/>
        <v>3.9143235731275004E-2</v>
      </c>
      <c r="AE13" s="57">
        <f t="shared" si="13"/>
        <v>3.6195173420743042E-2</v>
      </c>
      <c r="AF13" s="57">
        <f t="shared" si="13"/>
        <v>3.3035194005767189E-2</v>
      </c>
      <c r="AG13" s="57">
        <f t="shared" si="13"/>
        <v>3.9617736161905108E-2</v>
      </c>
      <c r="AH13" s="57">
        <f t="shared" si="13"/>
        <v>5.8154832049126325E-2</v>
      </c>
      <c r="AI13" s="57">
        <f t="shared" si="13"/>
        <v>5.1736149282139467E-2</v>
      </c>
      <c r="AJ13" s="57">
        <f t="shared" si="13"/>
        <v>4.778259628128418E-2</v>
      </c>
      <c r="AK13" s="57">
        <f t="shared" si="13"/>
        <v>4.7606629879285184E-2</v>
      </c>
      <c r="AL13" s="57">
        <f t="shared" si="13"/>
        <v>6.4248644756714157E-2</v>
      </c>
      <c r="AM13" s="57">
        <f t="shared" si="13"/>
        <v>5.6313839148166935E-2</v>
      </c>
      <c r="AN13" s="57">
        <f t="shared" si="13"/>
        <v>5.6902935719778724E-2</v>
      </c>
      <c r="AO13" s="57">
        <f t="shared" si="13"/>
        <v>7.1899070417062699E-2</v>
      </c>
      <c r="AP13" s="57">
        <f t="shared" si="13"/>
        <v>6.4552894630778374E-2</v>
      </c>
      <c r="AQ13" s="57">
        <f t="shared" si="13"/>
        <v>7.01534623552479E-2</v>
      </c>
      <c r="AR13" s="57">
        <f t="shared" si="13"/>
        <v>7.3946701801452575E-2</v>
      </c>
      <c r="AS13" s="57">
        <f t="shared" si="13"/>
        <v>0.12224939595326696</v>
      </c>
      <c r="AT13" s="57">
        <f t="shared" si="13"/>
        <v>7.7428745995669082E-2</v>
      </c>
      <c r="AU13" s="57">
        <f t="shared" si="13"/>
        <v>9.8622227630432643E-2</v>
      </c>
      <c r="AV13" s="57">
        <f t="shared" si="13"/>
        <v>0.13074230302859044</v>
      </c>
      <c r="AW13" s="57">
        <f t="shared" si="13"/>
        <v>0.1338410718257366</v>
      </c>
      <c r="AX13" s="57">
        <f t="shared" si="13"/>
        <v>0.11832755637592668</v>
      </c>
      <c r="AY13" s="57">
        <f t="shared" si="13"/>
        <v>0.14870964268196649</v>
      </c>
      <c r="AZ13" s="57">
        <f t="shared" si="13"/>
        <v>0.13295579776438174</v>
      </c>
      <c r="BA13" s="57">
        <f t="shared" si="13"/>
        <v>0.14587664435928938</v>
      </c>
      <c r="BB13" s="57">
        <f t="shared" si="13"/>
        <v>0.12108829645942322</v>
      </c>
      <c r="BC13" s="57">
        <f t="shared" si="13"/>
        <v>0.14386615769408181</v>
      </c>
      <c r="BD13" s="57">
        <f t="shared" si="13"/>
        <v>0.14024831843407054</v>
      </c>
      <c r="BE13" s="57">
        <f t="shared" si="13"/>
        <v>0.1343147887277833</v>
      </c>
      <c r="BF13" s="57">
        <f t="shared" si="13"/>
        <v>0.12509904691402482</v>
      </c>
      <c r="BG13" s="57">
        <f t="shared" si="13"/>
        <v>0.16333805471580642</v>
      </c>
      <c r="BH13" s="57">
        <f t="shared" si="13"/>
        <v>0.15214607654489942</v>
      </c>
      <c r="BI13" s="57">
        <f t="shared" si="13"/>
        <v>0.1637630936696276</v>
      </c>
      <c r="BJ13" s="57">
        <f t="shared" si="13"/>
        <v>0.15212563395976833</v>
      </c>
      <c r="BK13" s="57">
        <f t="shared" si="13"/>
        <v>0.15956186642599934</v>
      </c>
      <c r="BL13" s="57">
        <f t="shared" si="13"/>
        <v>0.14714009121995431</v>
      </c>
      <c r="BM13" s="57">
        <f t="shared" si="13"/>
        <v>0.13620027928979797</v>
      </c>
      <c r="BN13" s="57">
        <f t="shared" si="13"/>
        <v>0.16795288297807007</v>
      </c>
      <c r="BO13" s="57">
        <f t="shared" si="13"/>
        <v>0.17623575104282641</v>
      </c>
      <c r="BP13" s="57">
        <f t="shared" si="13"/>
        <v>0.17508509252659188</v>
      </c>
      <c r="BQ13" s="57">
        <f t="shared" si="13"/>
        <v>0.14475461632199269</v>
      </c>
      <c r="BR13" s="57">
        <f t="shared" ref="BR13:CJ13" si="14">BR12/BR2</f>
        <v>0.14110810669468363</v>
      </c>
      <c r="BS13" s="57">
        <f t="shared" si="14"/>
        <v>0.13421902027794108</v>
      </c>
      <c r="BT13" s="57">
        <f t="shared" si="14"/>
        <v>0.12102863770399472</v>
      </c>
      <c r="BU13" s="57">
        <f t="shared" si="14"/>
        <v>0.11438471198060979</v>
      </c>
      <c r="BV13" s="57">
        <f t="shared" si="14"/>
        <v>8.9825223562859602E-2</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28" t="s">
        <v>362</v>
      </c>
      <c r="E14" s="26">
        <f>股权价值增加表!E10</f>
        <v>1204204773.6500001</v>
      </c>
      <c r="F14" s="26">
        <f>股权价值增加表!F10</f>
        <v>4720542820.1400003</v>
      </c>
      <c r="G14" s="26">
        <f>股权价值增加表!G10</f>
        <v>3115038946.7600002</v>
      </c>
      <c r="H14" s="26">
        <f>股权价值增加表!H10</f>
        <v>2032246237.8800001</v>
      </c>
      <c r="I14" s="26">
        <f>股权价值增加表!I10</f>
        <v>1122230514.3299999</v>
      </c>
      <c r="J14" s="26">
        <f>股权价值增加表!J10</f>
        <v>4187189840.4200001</v>
      </c>
      <c r="K14" s="26">
        <f>股权价值增加表!K10</f>
        <v>2786104248.79</v>
      </c>
      <c r="L14" s="26">
        <f>股权价值增加表!L10</f>
        <v>1859591870.3199999</v>
      </c>
      <c r="M14" s="26">
        <f>股权价值增加表!M10</f>
        <v>905013030.88</v>
      </c>
      <c r="N14" s="26">
        <f>股权价值增加表!N10</f>
        <v>3812852076.1900001</v>
      </c>
      <c r="O14" s="26">
        <f>股权价值增加表!O10</f>
        <v>2592580782.23</v>
      </c>
      <c r="P14" s="26">
        <f>股权价值增加表!P10</f>
        <v>1827131652.26</v>
      </c>
      <c r="Q14" s="26">
        <f>股权价值增加表!Q10</f>
        <v>919920409</v>
      </c>
      <c r="R14" s="26">
        <f>股权价值增加表!R10</f>
        <v>3378499544.5900002</v>
      </c>
      <c r="S14" s="26">
        <f>股权价值增加表!S10</f>
        <v>2336957697.6399999</v>
      </c>
      <c r="T14" s="26">
        <f>股权价值增加表!T10</f>
        <v>1492808431.3399999</v>
      </c>
      <c r="U14" s="26">
        <f>股权价值增加表!U10</f>
        <v>730947216.88</v>
      </c>
      <c r="V14" s="26">
        <f>股权价值增加表!V10</f>
        <v>2834740716</v>
      </c>
      <c r="W14" s="26">
        <f>股权价值增加表!W10</f>
        <v>1743433452.3800001</v>
      </c>
      <c r="X14" s="26">
        <f>股权价值增加表!X10</f>
        <v>1151877819.8900001</v>
      </c>
      <c r="Y14" s="26">
        <f>股权价值增加表!Y10</f>
        <v>558440922.01999998</v>
      </c>
      <c r="Z14" s="26">
        <f>股权价值增加表!Z10</f>
        <v>2204190581.1300001</v>
      </c>
      <c r="AA14" s="26">
        <f>股权价值增加表!AA10</f>
        <v>1288134049.01</v>
      </c>
      <c r="AB14" s="26">
        <f>股权价值增加表!AB10</f>
        <v>831662727.75</v>
      </c>
      <c r="AC14" s="26">
        <f>股权价值增加表!AC10</f>
        <v>459827167.05000001</v>
      </c>
      <c r="AD14" s="26">
        <f>股权价值增加表!AD10</f>
        <v>1673872427.75</v>
      </c>
      <c r="AE14" s="26">
        <f>股权价值增加表!AE10</f>
        <v>1001317983.5599999</v>
      </c>
      <c r="AF14" s="26">
        <f>股权价值增加表!AF10</f>
        <v>642955797.35000002</v>
      </c>
      <c r="AG14" s="26">
        <f>股权价值增加表!AG10</f>
        <v>354029240.72000003</v>
      </c>
      <c r="AH14" s="26">
        <f>股权价值增加表!AH10</f>
        <v>1346014202.04</v>
      </c>
      <c r="AI14" s="26">
        <f>股权价值增加表!AI10</f>
        <v>851216571.00999999</v>
      </c>
      <c r="AJ14" s="26">
        <f>股权价值增加表!AJ10</f>
        <v>560864374.54999995</v>
      </c>
      <c r="AK14" s="26">
        <f>股权价值增加表!AK10</f>
        <v>309690750.82999998</v>
      </c>
      <c r="AL14" s="26">
        <f>股权价值增加表!AL10</f>
        <v>1217158463.04</v>
      </c>
      <c r="AM14" s="26">
        <f>股权价值增加表!AM10</f>
        <v>733148103.42999995</v>
      </c>
      <c r="AN14" s="26">
        <f>股权价值增加表!AN10</f>
        <v>463903828.94999999</v>
      </c>
      <c r="AO14" s="26">
        <f>股权价值增加表!AO10</f>
        <v>222527985.93000001</v>
      </c>
      <c r="AP14" s="26">
        <f>股权价值增加表!AP10</f>
        <v>941174062.44000006</v>
      </c>
      <c r="AQ14" s="26">
        <f>股权价值增加表!AQ10</f>
        <v>536075599.36000001</v>
      </c>
      <c r="AR14" s="26">
        <f>股权价值增加表!AR10</f>
        <v>369708813.51999998</v>
      </c>
      <c r="AS14" s="26">
        <f>股权价值增加表!AS10</f>
        <v>168448490.52000001</v>
      </c>
      <c r="AT14" s="26">
        <f>股权价值增加表!AT10</f>
        <v>723155575.20000005</v>
      </c>
      <c r="AU14" s="26">
        <f>股权价值增加表!AU10</f>
        <v>475793089.54000002</v>
      </c>
      <c r="AV14" s="26">
        <f>股权价值增加表!AV10</f>
        <v>277866482.92000002</v>
      </c>
      <c r="AW14" s="26">
        <f>股权价值增加表!AW10</f>
        <v>99539514.049999997</v>
      </c>
      <c r="AX14" s="26">
        <f>股权价值增加表!AX10</f>
        <v>492828170.27999997</v>
      </c>
      <c r="AY14" s="26">
        <f>股权价值增加表!AY10</f>
        <v>256603509.80000001</v>
      </c>
      <c r="AZ14" s="26">
        <f>股权价值增加表!AZ10</f>
        <v>154874288.83000001</v>
      </c>
      <c r="BA14" s="26">
        <f>股权价值增加表!BA10</f>
        <v>81752353.340000004</v>
      </c>
      <c r="BB14" s="26">
        <f>股权价值增加表!BB10</f>
        <v>350685099.47000003</v>
      </c>
      <c r="BC14" s="26">
        <f>股权价值增加表!BC10</f>
        <v>216504598.13</v>
      </c>
      <c r="BD14" s="26">
        <f>股权价值增加表!BD10</f>
        <v>142501033.12</v>
      </c>
      <c r="BE14" s="26">
        <f>股权价值增加表!BE10</f>
        <v>73791104.609999999</v>
      </c>
      <c r="BF14" s="26">
        <f>股权价值增加表!BF10</f>
        <v>311563047.88999999</v>
      </c>
      <c r="BG14" s="26">
        <f>股权价值增加表!BG10</f>
        <v>190624537.22999999</v>
      </c>
      <c r="BH14" s="26">
        <f>股权价值增加表!BH10</f>
        <v>126425959.59999999</v>
      </c>
      <c r="BI14" s="26">
        <f>股权价值增加表!BI10</f>
        <v>48201023.189999998</v>
      </c>
      <c r="BJ14" s="26">
        <f>股权价值增加表!BJ10</f>
        <v>291880260.69</v>
      </c>
      <c r="BK14" s="26">
        <f>股权价值增加表!BK10</f>
        <v>153324035.58000001</v>
      </c>
      <c r="BL14" s="26">
        <f>股权价值增加表!BL10</f>
        <v>97233132.640000001</v>
      </c>
      <c r="BM14" s="26">
        <f>股权价值增加表!BM10</f>
        <v>38951847.950000003</v>
      </c>
      <c r="BN14" s="26">
        <f>股权价值增加表!BN10</f>
        <v>237706731.47</v>
      </c>
      <c r="BO14" s="26">
        <f>股权价值增加表!BO10</f>
        <v>154188146.5</v>
      </c>
      <c r="BP14" s="26">
        <f>股权价值增加表!BP10</f>
        <v>79903159.849999994</v>
      </c>
      <c r="BQ14" s="26">
        <f>股权价值增加表!BQ10</f>
        <v>39164507.240000002</v>
      </c>
      <c r="BR14" s="26">
        <f>股权价值增加表!BR10</f>
        <v>181060278.22</v>
      </c>
      <c r="BS14" s="26">
        <f>股权价值增加表!BS10</f>
        <v>74414401</v>
      </c>
      <c r="BT14" s="26">
        <f>股权价值增加表!BT10</f>
        <v>129669631.27</v>
      </c>
      <c r="BU14" s="26">
        <f>股权价值增加表!BU10</f>
        <v>122410821.54000001</v>
      </c>
      <c r="BV14" s="26">
        <f>股权价值增加表!BV10</f>
        <v>116104124.14</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363</v>
      </c>
      <c r="E15" s="57">
        <f>E14/E2</f>
        <v>6.8944996120438473E-2</v>
      </c>
      <c r="F15" s="57">
        <f t="shared" ref="F15:BQ15" si="15">F14/F2</f>
        <v>8.108409882434206E-2</v>
      </c>
      <c r="G15" s="57">
        <f t="shared" si="15"/>
        <v>7.338055692223569E-2</v>
      </c>
      <c r="H15" s="57">
        <f t="shared" si="15"/>
        <v>8.4011727950928219E-2</v>
      </c>
      <c r="I15" s="57">
        <f t="shared" si="15"/>
        <v>8.4323461412806194E-2</v>
      </c>
      <c r="J15" s="57">
        <f t="shared" si="15"/>
        <v>0.10774456717657206</v>
      </c>
      <c r="K15" s="57">
        <f t="shared" si="15"/>
        <v>0.10461536425276273</v>
      </c>
      <c r="L15" s="57">
        <f t="shared" si="15"/>
        <v>0.10232586018590158</v>
      </c>
      <c r="M15" s="57">
        <f t="shared" si="15"/>
        <v>9.0603197881835754E-2</v>
      </c>
      <c r="N15" s="57">
        <f t="shared" si="15"/>
        <v>0.11674527477944184</v>
      </c>
      <c r="O15" s="57">
        <f t="shared" si="15"/>
        <v>0.11199687319701768</v>
      </c>
      <c r="P15" s="57">
        <f t="shared" si="15"/>
        <v>0.11579773590879147</v>
      </c>
      <c r="Q15" s="57">
        <f t="shared" si="15"/>
        <v>0.10766514155832782</v>
      </c>
      <c r="R15" s="57">
        <f t="shared" si="15"/>
        <v>0.10700282485530214</v>
      </c>
      <c r="S15" s="57">
        <f t="shared" si="15"/>
        <v>0.10760370855988693</v>
      </c>
      <c r="T15" s="57">
        <f t="shared" si="15"/>
        <v>0.1042345457739928</v>
      </c>
      <c r="U15" s="57">
        <f t="shared" si="15"/>
        <v>9.8116015239310225E-2</v>
      </c>
      <c r="V15" s="57">
        <f t="shared" si="15"/>
        <v>9.1674501332437042E-2</v>
      </c>
      <c r="W15" s="57">
        <f t="shared" si="15"/>
        <v>7.9479224075568455E-2</v>
      </c>
      <c r="X15" s="57">
        <f t="shared" si="15"/>
        <v>8.1532322204644056E-2</v>
      </c>
      <c r="Y15" s="57">
        <f t="shared" si="15"/>
        <v>7.7931567253650233E-2</v>
      </c>
      <c r="Z15" s="57">
        <f t="shared" si="15"/>
        <v>8.3317431753680921E-2</v>
      </c>
      <c r="AA15" s="57">
        <f t="shared" si="15"/>
        <v>6.4628252622917964E-2</v>
      </c>
      <c r="AB15" s="57">
        <f t="shared" si="15"/>
        <v>6.269867882882614E-2</v>
      </c>
      <c r="AC15" s="57">
        <f t="shared" si="15"/>
        <v>7.6434446925105384E-2</v>
      </c>
      <c r="AD15" s="57">
        <f t="shared" si="15"/>
        <v>9.0959684719377348E-2</v>
      </c>
      <c r="AE15" s="57">
        <f t="shared" si="15"/>
        <v>7.3399240828336335E-2</v>
      </c>
      <c r="AF15" s="57">
        <f t="shared" si="15"/>
        <v>6.5435309531210573E-2</v>
      </c>
      <c r="AG15" s="57">
        <f t="shared" si="15"/>
        <v>8.3881475430241687E-2</v>
      </c>
      <c r="AH15" s="57">
        <f t="shared" si="15"/>
        <v>0.11570371978386675</v>
      </c>
      <c r="AI15" s="57">
        <f t="shared" si="15"/>
        <v>9.1258051201586088E-2</v>
      </c>
      <c r="AJ15" s="57">
        <f t="shared" si="15"/>
        <v>8.5143721790126678E-2</v>
      </c>
      <c r="AK15" s="57">
        <f t="shared" si="15"/>
        <v>0.10187510423043369</v>
      </c>
      <c r="AL15" s="57">
        <f t="shared" si="15"/>
        <v>0.12586955332770872</v>
      </c>
      <c r="AM15" s="57">
        <f t="shared" si="15"/>
        <v>9.3906634822910742E-2</v>
      </c>
      <c r="AN15" s="57">
        <f t="shared" si="15"/>
        <v>8.3646470330667133E-2</v>
      </c>
      <c r="AO15" s="57">
        <f t="shared" si="15"/>
        <v>8.8567042444187102E-2</v>
      </c>
      <c r="AP15" s="57">
        <f t="shared" si="15"/>
        <v>0.11419679325531697</v>
      </c>
      <c r="AQ15" s="57">
        <f t="shared" si="15"/>
        <v>8.2644595880353375E-2</v>
      </c>
      <c r="AR15" s="57">
        <f t="shared" si="15"/>
        <v>8.0028449522598896E-2</v>
      </c>
      <c r="AS15" s="57">
        <f t="shared" si="15"/>
        <v>8.449901936297731E-2</v>
      </c>
      <c r="AT15" s="57">
        <f t="shared" si="15"/>
        <v>9.991882485200515E-2</v>
      </c>
      <c r="AU15" s="57">
        <f t="shared" si="15"/>
        <v>0.10671877442069304</v>
      </c>
      <c r="AV15" s="57">
        <f t="shared" si="15"/>
        <v>0.10568926954586928</v>
      </c>
      <c r="AW15" s="57">
        <f t="shared" si="15"/>
        <v>6.2700551451877834E-2</v>
      </c>
      <c r="AX15" s="57">
        <f t="shared" si="15"/>
        <v>0.10065550605476413</v>
      </c>
      <c r="AY15" s="57">
        <f t="shared" si="15"/>
        <v>7.8968211055138404E-2</v>
      </c>
      <c r="AZ15" s="57">
        <f t="shared" si="15"/>
        <v>7.6312978551435831E-2</v>
      </c>
      <c r="BA15" s="57">
        <f t="shared" si="15"/>
        <v>6.0356198615228313E-2</v>
      </c>
      <c r="BB15" s="57">
        <f t="shared" si="15"/>
        <v>8.9221152513134269E-2</v>
      </c>
      <c r="BC15" s="57">
        <f t="shared" si="15"/>
        <v>8.3906140583820565E-2</v>
      </c>
      <c r="BD15" s="57">
        <f t="shared" si="15"/>
        <v>8.4512950391056232E-2</v>
      </c>
      <c r="BE15" s="57">
        <f t="shared" si="15"/>
        <v>6.4501737237692286E-2</v>
      </c>
      <c r="BF15" s="57">
        <f t="shared" si="15"/>
        <v>0.10351641925864778</v>
      </c>
      <c r="BG15" s="57">
        <f t="shared" si="15"/>
        <v>9.2069659334968398E-2</v>
      </c>
      <c r="BH15" s="57">
        <f t="shared" si="15"/>
        <v>9.6206585212529019E-2</v>
      </c>
      <c r="BI15" s="57">
        <f t="shared" si="15"/>
        <v>5.6479049891423987E-2</v>
      </c>
      <c r="BJ15" s="57">
        <f t="shared" si="15"/>
        <v>0.12156521467154704</v>
      </c>
      <c r="BK15" s="57">
        <f t="shared" si="15"/>
        <v>9.8743901133941728E-2</v>
      </c>
      <c r="BL15" s="57">
        <f t="shared" si="15"/>
        <v>9.6361297491210515E-2</v>
      </c>
      <c r="BM15" s="57">
        <f t="shared" si="15"/>
        <v>5.3075920702453171E-2</v>
      </c>
      <c r="BN15" s="57">
        <f t="shared" si="15"/>
        <v>0.12954763331062705</v>
      </c>
      <c r="BO15" s="57">
        <f t="shared" si="15"/>
        <v>0.11305059304112731</v>
      </c>
      <c r="BP15" s="57">
        <f t="shared" si="15"/>
        <v>8.3610953412677685E-2</v>
      </c>
      <c r="BQ15" s="57">
        <f t="shared" si="15"/>
        <v>5.454553868172303E-2</v>
      </c>
      <c r="BR15" s="57">
        <f t="shared" ref="BR15:CK15" si="16">BR14/BR2</f>
        <v>0.11190052960852861</v>
      </c>
      <c r="BS15" s="57">
        <f t="shared" si="16"/>
        <v>8.5155636770934712E-2</v>
      </c>
      <c r="BT15" s="57">
        <f t="shared" si="16"/>
        <v>0.11639994309387997</v>
      </c>
      <c r="BU15" s="57">
        <f t="shared" si="16"/>
        <v>0.13740775301072083</v>
      </c>
      <c r="BV15" s="57">
        <f t="shared" si="16"/>
        <v>0.18482489855791007</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28" t="s">
        <v>364</v>
      </c>
      <c r="E16" s="26">
        <f>股权价值增加表!E11</f>
        <v>2280412.48</v>
      </c>
      <c r="F16" s="26">
        <f>股权价值增加表!F11</f>
        <v>-8053703.9500000002</v>
      </c>
      <c r="G16" s="26">
        <f>股权价值增加表!G11</f>
        <v>-8205173.0300000003</v>
      </c>
      <c r="H16" s="26">
        <f>股权价值增加表!H11</f>
        <v>-3205173.03</v>
      </c>
      <c r="I16" s="26">
        <f>股权价值增加表!I11</f>
        <v>-5356392.4000000004</v>
      </c>
      <c r="J16" s="26">
        <f>股权价值增加表!J11</f>
        <v>12327496.220000001</v>
      </c>
      <c r="K16" s="26">
        <f>股权价值增加表!K11</f>
        <v>5491060.0800000001</v>
      </c>
      <c r="L16" s="26">
        <f>股权价值增加表!L11</f>
        <v>5536334.9299999997</v>
      </c>
      <c r="M16" s="26">
        <f>股权价值增加表!M11</f>
        <v>2979616.96</v>
      </c>
      <c r="N16" s="26">
        <f>股权价值增加表!N11</f>
        <v>-540313.39</v>
      </c>
      <c r="O16" s="26">
        <f>股权价值增加表!O11</f>
        <v>150533.28</v>
      </c>
      <c r="P16" s="26">
        <f>股权价值增加表!P11</f>
        <v>404373.28</v>
      </c>
      <c r="Q16" s="26">
        <f>股权价值增加表!Q11</f>
        <v>-200793.38</v>
      </c>
      <c r="R16" s="26">
        <f>股权价值增加表!R11</f>
        <v>432745.88</v>
      </c>
      <c r="S16" s="26">
        <f>股权价值增加表!S11</f>
        <v>393295.23</v>
      </c>
      <c r="T16" s="26">
        <f>股权价值增加表!T11</f>
        <v>243295.23</v>
      </c>
      <c r="U16" s="26">
        <f>股权价值增加表!U11</f>
        <v>-760608.59</v>
      </c>
      <c r="V16" s="26">
        <f>股权价值增加表!V11</f>
        <v>-2004032.3</v>
      </c>
      <c r="W16" s="26">
        <f>股权价值增加表!W11</f>
        <v>-1818342.1</v>
      </c>
      <c r="X16" s="26">
        <f>股权价值增加表!X11</f>
        <v>-2068342.1</v>
      </c>
      <c r="Y16" s="26">
        <f>股权价值增加表!Y11</f>
        <v>0</v>
      </c>
      <c r="Z16" s="26">
        <f>股权价值增加表!Z11</f>
        <v>2979258.5</v>
      </c>
      <c r="AA16" s="26">
        <f>股权价值增加表!AA11</f>
        <v>955859.42</v>
      </c>
      <c r="AB16" s="26">
        <f>股权价值增加表!AB11</f>
        <v>955859.42</v>
      </c>
      <c r="AC16" s="26">
        <f>股权价值增加表!AC11</f>
        <v>0</v>
      </c>
      <c r="AD16" s="26">
        <f>股权价值增加表!AD11</f>
        <v>-2500650.5699999998</v>
      </c>
      <c r="AE16" s="26">
        <f>股权价值增加表!AE11</f>
        <v>-1597611.27</v>
      </c>
      <c r="AF16" s="26">
        <f>股权价值增加表!AF11</f>
        <v>-1568169.42</v>
      </c>
      <c r="AG16" s="26">
        <f>股权价值增加表!AG11</f>
        <v>0</v>
      </c>
      <c r="AH16" s="26">
        <f>股权价值增加表!AH11</f>
        <v>-3066975.05</v>
      </c>
      <c r="AI16" s="26">
        <f>股权价值增加表!AI11</f>
        <v>2797805.44</v>
      </c>
      <c r="AJ16" s="26">
        <f>股权价值增加表!AJ11</f>
        <v>2776574.21</v>
      </c>
      <c r="AK16" s="26">
        <f>股权价值增加表!AK11</f>
        <v>18000</v>
      </c>
      <c r="AL16" s="26">
        <f>股权价值增加表!AL11</f>
        <v>-300085.01</v>
      </c>
      <c r="AM16" s="26">
        <f>股权价值增加表!AM11</f>
        <v>442604</v>
      </c>
      <c r="AN16" s="26">
        <f>股权价值增加表!AN11</f>
        <v>442604</v>
      </c>
      <c r="AO16" s="26">
        <f>股权价值增加表!AO11</f>
        <v>0</v>
      </c>
      <c r="AP16" s="26">
        <f>股权价值增加表!AP11</f>
        <v>450078.22</v>
      </c>
      <c r="AQ16" s="26">
        <f>股权价值增加表!AQ11</f>
        <v>-1411074.74</v>
      </c>
      <c r="AR16" s="26">
        <f>股权价值增加表!AR11</f>
        <v>-1411074.74</v>
      </c>
      <c r="AS16" s="26">
        <f>股权价值增加表!AS11</f>
        <v>0</v>
      </c>
      <c r="AT16" s="26">
        <f>股权价值增加表!AT11</f>
        <v>-614738.65</v>
      </c>
      <c r="AU16" s="26">
        <f>股权价值增加表!AU11</f>
        <v>1317514.0900000001</v>
      </c>
      <c r="AV16" s="26">
        <f>股权价值增加表!AV11</f>
        <v>1317514.0900000001</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668</v>
      </c>
      <c r="E17" s="57">
        <f>E16/E2</f>
        <v>1.3056170597136005E-4</v>
      </c>
      <c r="F17" s="57">
        <f t="shared" ref="F17:BQ17" si="17">F16/F2</f>
        <v>-1.3833733785819714E-4</v>
      </c>
      <c r="G17" s="57">
        <f t="shared" si="17"/>
        <v>-1.9328816649658964E-4</v>
      </c>
      <c r="H17" s="57">
        <f t="shared" si="17"/>
        <v>-1.3249975303824982E-4</v>
      </c>
      <c r="I17" s="57">
        <f t="shared" si="17"/>
        <v>-4.0247484102934642E-4</v>
      </c>
      <c r="J17" s="57">
        <f t="shared" si="17"/>
        <v>3.1721053862260513E-4</v>
      </c>
      <c r="K17" s="57">
        <f t="shared" si="17"/>
        <v>2.0618368844327586E-4</v>
      </c>
      <c r="L17" s="57">
        <f t="shared" si="17"/>
        <v>3.0464224060735309E-4</v>
      </c>
      <c r="M17" s="57">
        <f t="shared" si="17"/>
        <v>2.9829716902137019E-4</v>
      </c>
      <c r="N17" s="57">
        <f t="shared" si="17"/>
        <v>-1.6543792919864222E-5</v>
      </c>
      <c r="O17" s="57">
        <f t="shared" si="17"/>
        <v>6.5028857683615629E-6</v>
      </c>
      <c r="P17" s="57">
        <f t="shared" si="17"/>
        <v>2.5627879757921539E-5</v>
      </c>
      <c r="Q17" s="57">
        <f t="shared" si="17"/>
        <v>-2.350034575836344E-5</v>
      </c>
      <c r="R17" s="57">
        <f t="shared" si="17"/>
        <v>1.3705797793769712E-5</v>
      </c>
      <c r="S17" s="57">
        <f t="shared" si="17"/>
        <v>1.8109024972788766E-5</v>
      </c>
      <c r="T17" s="57">
        <f t="shared" si="17"/>
        <v>1.698795857233017E-5</v>
      </c>
      <c r="U17" s="57">
        <f t="shared" si="17"/>
        <v>-1.0209750072807509E-4</v>
      </c>
      <c r="V17" s="57">
        <f t="shared" si="17"/>
        <v>-6.4809688138192623E-5</v>
      </c>
      <c r="W17" s="57">
        <f t="shared" si="17"/>
        <v>-8.2894141450969437E-5</v>
      </c>
      <c r="X17" s="57">
        <f t="shared" si="17"/>
        <v>-1.4640158149996696E-4</v>
      </c>
      <c r="Y17" s="57">
        <f t="shared" si="17"/>
        <v>0</v>
      </c>
      <c r="Z17" s="57">
        <f t="shared" si="17"/>
        <v>1.1261465722399975E-4</v>
      </c>
      <c r="AA17" s="57">
        <f t="shared" si="17"/>
        <v>4.7957372227862196E-5</v>
      </c>
      <c r="AB17" s="57">
        <f t="shared" si="17"/>
        <v>7.2061811573818037E-5</v>
      </c>
      <c r="AC17" s="57">
        <f t="shared" si="17"/>
        <v>0</v>
      </c>
      <c r="AD17" s="57">
        <f t="shared" si="17"/>
        <v>-1.3588752862503278E-4</v>
      </c>
      <c r="AE17" s="57">
        <f t="shared" si="17"/>
        <v>-1.171091064797277E-4</v>
      </c>
      <c r="AF17" s="57">
        <f t="shared" si="17"/>
        <v>-1.5959674338113182E-4</v>
      </c>
      <c r="AG17" s="57">
        <f t="shared" si="17"/>
        <v>0</v>
      </c>
      <c r="AH17" s="57">
        <f t="shared" si="17"/>
        <v>-2.6363794767654699E-4</v>
      </c>
      <c r="AI17" s="57">
        <f t="shared" si="17"/>
        <v>2.9994983743402315E-4</v>
      </c>
      <c r="AJ17" s="57">
        <f t="shared" si="17"/>
        <v>4.2150629063498389E-4</v>
      </c>
      <c r="AK17" s="57">
        <f t="shared" si="17"/>
        <v>5.9212355268382446E-6</v>
      </c>
      <c r="AL17" s="57">
        <f t="shared" si="17"/>
        <v>-3.1032579007586218E-5</v>
      </c>
      <c r="AM17" s="57">
        <f t="shared" si="17"/>
        <v>5.6691754373648207E-5</v>
      </c>
      <c r="AN17" s="57">
        <f t="shared" si="17"/>
        <v>7.9805899507298303E-5</v>
      </c>
      <c r="AO17" s="57">
        <f t="shared" si="17"/>
        <v>0</v>
      </c>
      <c r="AP17" s="57">
        <f t="shared" si="17"/>
        <v>5.4609972256154965E-5</v>
      </c>
      <c r="AQ17" s="57">
        <f t="shared" si="17"/>
        <v>-2.1753965631619884E-4</v>
      </c>
      <c r="AR17" s="57">
        <f t="shared" si="17"/>
        <v>-3.0544612265943568E-4</v>
      </c>
      <c r="AS17" s="57">
        <f t="shared" si="17"/>
        <v>0</v>
      </c>
      <c r="AT17" s="57">
        <f t="shared" si="17"/>
        <v>-8.4938795475814917E-5</v>
      </c>
      <c r="AU17" s="57">
        <f t="shared" si="17"/>
        <v>2.9551393674660364E-4</v>
      </c>
      <c r="AV17" s="57">
        <f t="shared" si="17"/>
        <v>5.0112953647806836E-4</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28" t="s">
        <v>365</v>
      </c>
      <c r="E18" s="26">
        <f>股权价值增加表!E12</f>
        <v>4084075.75</v>
      </c>
      <c r="F18" s="26">
        <f>股权价值增加表!F12</f>
        <v>1204</v>
      </c>
      <c r="G18" s="26">
        <f>股权价值增加表!G12</f>
        <v>868</v>
      </c>
      <c r="H18" s="26">
        <f>股权价值增加表!H12</f>
        <v>644</v>
      </c>
      <c r="I18" s="26">
        <f>股权价值增加表!I12</f>
        <v>787035.87</v>
      </c>
      <c r="J18" s="26">
        <f>股权价值增加表!J12</f>
        <v>0</v>
      </c>
      <c r="K18" s="26">
        <f>股权价值增加表!K12</f>
        <v>0</v>
      </c>
      <c r="L18" s="26">
        <f>股权价值增加表!L12</f>
        <v>0</v>
      </c>
      <c r="M18" s="26">
        <f>股权价值增加表!M12</f>
        <v>1633270.12</v>
      </c>
      <c r="N18" s="26">
        <f>股权价值增加表!N12</f>
        <v>0</v>
      </c>
      <c r="O18" s="26">
        <f>股权价值增加表!O12</f>
        <v>0</v>
      </c>
      <c r="P18" s="26">
        <f>股权价值增加表!P12</f>
        <v>0</v>
      </c>
      <c r="Q18" s="26">
        <f>股权价值增加表!Q12</f>
        <v>831553.24</v>
      </c>
      <c r="R18" s="26">
        <f>股权价值增加表!R12</f>
        <v>0</v>
      </c>
      <c r="S18" s="26">
        <f>股权价值增加表!S12</f>
        <v>0</v>
      </c>
      <c r="T18" s="26">
        <f>股权价值增加表!T12</f>
        <v>0</v>
      </c>
      <c r="U18" s="26">
        <f>股权价值增加表!U12</f>
        <v>434996.18</v>
      </c>
      <c r="V18" s="26">
        <f>股权价值增加表!V12</f>
        <v>0</v>
      </c>
      <c r="W18" s="26">
        <f>股权价值增加表!W12</f>
        <v>0</v>
      </c>
      <c r="X18" s="26">
        <f>股权价值增加表!X12</f>
        <v>0</v>
      </c>
      <c r="Y18" s="26">
        <f>股权价值增加表!Y12</f>
        <v>603190.06999999995</v>
      </c>
      <c r="Z18" s="26">
        <f>股权价值增加表!Z12</f>
        <v>0</v>
      </c>
      <c r="AA18" s="26">
        <f>股权价值增加表!AA12</f>
        <v>0</v>
      </c>
      <c r="AB18" s="26">
        <f>股权价值增加表!AB12</f>
        <v>0</v>
      </c>
      <c r="AC18" s="26">
        <f>股权价值增加表!AC12</f>
        <v>352310</v>
      </c>
      <c r="AD18" s="26">
        <f>股权价值增加表!AD12</f>
        <v>0</v>
      </c>
      <c r="AE18" s="26">
        <f>股权价值增加表!AE12</f>
        <v>0</v>
      </c>
      <c r="AF18" s="26">
        <f>股权价值增加表!AF12</f>
        <v>0</v>
      </c>
      <c r="AG18" s="26">
        <f>股权价值增加表!AG12</f>
        <v>284184.78000000003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366</v>
      </c>
      <c r="E19" s="57">
        <f>E18/E2</f>
        <v>2.3382782804111903E-4</v>
      </c>
      <c r="F19" s="57">
        <f t="shared" ref="F19:BQ19" si="19">F18/F2</f>
        <v>2.068093833785253E-8</v>
      </c>
      <c r="G19" s="57">
        <f t="shared" si="19"/>
        <v>2.0447360208690174E-8</v>
      </c>
      <c r="H19" s="57">
        <f t="shared" si="19"/>
        <v>2.6622538052690678E-8</v>
      </c>
      <c r="I19" s="57">
        <f t="shared" si="19"/>
        <v>5.9137216433703282E-5</v>
      </c>
      <c r="J19" s="57">
        <f t="shared" si="19"/>
        <v>0</v>
      </c>
      <c r="K19" s="57">
        <f t="shared" si="19"/>
        <v>0</v>
      </c>
      <c r="L19" s="57">
        <f t="shared" si="19"/>
        <v>0</v>
      </c>
      <c r="M19" s="57">
        <f t="shared" si="19"/>
        <v>1.6351090075792616E-4</v>
      </c>
      <c r="N19" s="57">
        <f t="shared" si="19"/>
        <v>0</v>
      </c>
      <c r="O19" s="57">
        <f t="shared" si="19"/>
        <v>0</v>
      </c>
      <c r="P19" s="57">
        <f t="shared" si="19"/>
        <v>0</v>
      </c>
      <c r="Q19" s="57">
        <f t="shared" si="19"/>
        <v>9.7322873176831689E-5</v>
      </c>
      <c r="R19" s="57">
        <f t="shared" si="19"/>
        <v>0</v>
      </c>
      <c r="S19" s="57">
        <f t="shared" si="19"/>
        <v>0</v>
      </c>
      <c r="T19" s="57">
        <f t="shared" si="19"/>
        <v>0</v>
      </c>
      <c r="U19" s="57">
        <f t="shared" si="19"/>
        <v>5.8390114689948322E-5</v>
      </c>
      <c r="V19" s="57">
        <f t="shared" si="19"/>
        <v>0</v>
      </c>
      <c r="W19" s="57">
        <f t="shared" si="19"/>
        <v>0</v>
      </c>
      <c r="X19" s="57">
        <f t="shared" si="19"/>
        <v>0</v>
      </c>
      <c r="Y19" s="57">
        <f t="shared" si="19"/>
        <v>8.4176401931474961E-5</v>
      </c>
      <c r="Z19" s="57">
        <f t="shared" si="19"/>
        <v>0</v>
      </c>
      <c r="AA19" s="57">
        <f t="shared" si="19"/>
        <v>0</v>
      </c>
      <c r="AB19" s="57">
        <f t="shared" si="19"/>
        <v>0</v>
      </c>
      <c r="AC19" s="57">
        <f t="shared" si="19"/>
        <v>5.8562481570941537E-5</v>
      </c>
      <c r="AD19" s="57">
        <f t="shared" si="19"/>
        <v>0</v>
      </c>
      <c r="AE19" s="57">
        <f t="shared" si="19"/>
        <v>0</v>
      </c>
      <c r="AF19" s="57">
        <f t="shared" si="19"/>
        <v>0</v>
      </c>
      <c r="AG19" s="57">
        <f t="shared" si="19"/>
        <v>6.7332965471267019E-5</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28" t="s">
        <v>367</v>
      </c>
      <c r="E20" s="26">
        <f>股权价值增加表!E13-股权价值增加表!E14</f>
        <v>-5145639.3800000008</v>
      </c>
      <c r="F20" s="26">
        <f>股权价值增加表!F13-股权价值增加表!F14</f>
        <v>-199935390.85000002</v>
      </c>
      <c r="G20" s="26">
        <f>股权价值增加表!G13-股权价值增加表!G14</f>
        <v>-144105727.31</v>
      </c>
      <c r="H20" s="26">
        <f>股权价值增加表!H13-股权价值增加表!H14</f>
        <v>-40240398.270000003</v>
      </c>
      <c r="I20" s="26">
        <f>股权价值增加表!I13-股权价值增加表!I14</f>
        <v>-35112334.609999999</v>
      </c>
      <c r="J20" s="26">
        <f>股权价值增加表!J13-股权价值增加表!J14</f>
        <v>-307744212.31</v>
      </c>
      <c r="K20" s="26">
        <f>股权价值增加表!K13-股权价值增加表!K14</f>
        <v>-111593381.42999999</v>
      </c>
      <c r="L20" s="26">
        <f>股权价值增加表!L13-股权价值增加表!L14</f>
        <v>5161810.38</v>
      </c>
      <c r="M20" s="26">
        <f>股权价值增加表!M13-股权价值增加表!M14</f>
        <v>4172427.91</v>
      </c>
      <c r="N20" s="26">
        <f>股权价值增加表!N13-股权价值增加表!N14</f>
        <v>-157277001.53</v>
      </c>
      <c r="O20" s="26">
        <f>股权价值增加表!O13-股权价值增加表!O14</f>
        <v>-132749695.8</v>
      </c>
      <c r="P20" s="26">
        <f>股权价值增加表!P13-股权价值增加表!P14</f>
        <v>-2180357</v>
      </c>
      <c r="Q20" s="26">
        <f>股权价值增加表!Q13-股权价值增加表!Q14</f>
        <v>-2315796.5099999998</v>
      </c>
      <c r="R20" s="26">
        <f>股权价值增加表!R13-股权价值增加表!R14</f>
        <v>-220630813.56999999</v>
      </c>
      <c r="S20" s="26">
        <f>股权价值增加表!S13-股权价值增加表!S14</f>
        <v>-137248174.40000001</v>
      </c>
      <c r="T20" s="26">
        <f>股权价值增加表!T13-股权价值增加表!T14</f>
        <v>-27798037.740000002</v>
      </c>
      <c r="U20" s="26">
        <f>股权价值增加表!U13-股权价值增加表!U14</f>
        <v>-7569459.9100000001</v>
      </c>
      <c r="V20" s="26">
        <f>股权价值增加表!V13-股权价值增加表!V14</f>
        <v>-359184526.03000003</v>
      </c>
      <c r="W20" s="26">
        <f>股权价值增加表!W13-股权价值增加表!W14</f>
        <v>-345822383.19</v>
      </c>
      <c r="X20" s="26">
        <f>股权价值增加表!X13-股权价值增加表!X14</f>
        <v>-272340254.71999997</v>
      </c>
      <c r="Y20" s="26">
        <f>股权价值增加表!Y13-股权价值增加表!Y14</f>
        <v>-252291491.93000001</v>
      </c>
      <c r="Z20" s="26">
        <f>股权价值增加表!Z13-股权价值增加表!Z14</f>
        <v>-130249348.49000001</v>
      </c>
      <c r="AA20" s="26">
        <f>股权价值增加表!AA13-股权价值增加表!AA14</f>
        <v>-102036766.03</v>
      </c>
      <c r="AB20" s="26">
        <f>股权价值增加表!AB13-股权价值增加表!AB14</f>
        <v>487126.2100000002</v>
      </c>
      <c r="AC20" s="26">
        <f>股权价值增加表!AC13-股权价值增加表!AC14</f>
        <v>1917036.75</v>
      </c>
      <c r="AD20" s="26">
        <f>股权价值增加表!AD13-股权价值增加表!AD14</f>
        <v>-1503951.2800000003</v>
      </c>
      <c r="AE20" s="26">
        <f>股权价值增加表!AE13-股权价值增加表!AE14</f>
        <v>-2839130.88</v>
      </c>
      <c r="AF20" s="26">
        <f>股权价值增加表!AF13-股权价值增加表!AF14</f>
        <v>-2246257.7100000004</v>
      </c>
      <c r="AG20" s="26">
        <f>股权价值增加表!AG13-股权价值增加表!AG14</f>
        <v>1827699.69</v>
      </c>
      <c r="AH20" s="26">
        <f>股权价值增加表!AH13-股权价值增加表!AH14</f>
        <v>1510501.87</v>
      </c>
      <c r="AI20" s="26">
        <f>股权价值增加表!AI13-股权价值增加表!AI14</f>
        <v>-1723377.69</v>
      </c>
      <c r="AJ20" s="26">
        <f>股权价值增加表!AJ13-股权价值增加表!AJ14</f>
        <v>-3239170.94</v>
      </c>
      <c r="AK20" s="26">
        <f>股权价值增加表!AK13-股权价值增加表!AK14</f>
        <v>-2789674.14</v>
      </c>
      <c r="AL20" s="26">
        <f>股权价值增加表!AL13-股权价值增加表!AL14</f>
        <v>5019373.92</v>
      </c>
      <c r="AM20" s="26">
        <f>股权价值增加表!AM13-股权价值增加表!AM14</f>
        <v>-592283.01</v>
      </c>
      <c r="AN20" s="26">
        <f>股权价值增加表!AN13-股权价值增加表!AN14</f>
        <v>852739.31</v>
      </c>
      <c r="AO20" s="26">
        <f>股权价值增加表!AO13-股权价值增加表!AO14</f>
        <v>231620</v>
      </c>
      <c r="AP20" s="26">
        <f>股权价值增加表!AP13-股权价值增加表!AP14</f>
        <v>-5084216.87</v>
      </c>
      <c r="AQ20" s="26">
        <f>股权价值增加表!AQ13-股权价值增加表!AQ14</f>
        <v>-7454829.8000000007</v>
      </c>
      <c r="AR20" s="26">
        <f>股权价值增加表!AR13-股权价值增加表!AR14</f>
        <v>-8598375.6099999994</v>
      </c>
      <c r="AS20" s="26">
        <f>股权价值增加表!AS13-股权价值增加表!AS14</f>
        <v>570450</v>
      </c>
      <c r="AT20" s="26">
        <f>股权价值增加表!AT13-股权价值增加表!AT14</f>
        <v>-3315985.8699999996</v>
      </c>
      <c r="AU20" s="26">
        <f>股权价值增加表!AU13-股权价值增加表!AU14</f>
        <v>2323681.9500000002</v>
      </c>
      <c r="AV20" s="26">
        <f>股权价值增加表!AV13-股权价值增加表!AV14</f>
        <v>2166355.66</v>
      </c>
      <c r="AW20" s="26">
        <f>股权价值增加表!AW13-股权价值增加表!AW14</f>
        <v>1107401.3899999999</v>
      </c>
      <c r="AX20" s="26">
        <f>股权价值增加表!AX13-股权价值增加表!AX14</f>
        <v>957801.04</v>
      </c>
      <c r="AY20" s="26">
        <f>股权价值增加表!AY13-股权价值增加表!AY14</f>
        <v>953634.05</v>
      </c>
      <c r="AZ20" s="26">
        <f>股权价值增加表!AZ13-股权价值增加表!AZ14</f>
        <v>858310.05</v>
      </c>
      <c r="BA20" s="26">
        <f>股权价值增加表!BA13-股权价值增加表!BA14</f>
        <v>327600.5</v>
      </c>
      <c r="BB20" s="26">
        <f>股权价值增加表!BB13-股权价值增加表!BB14</f>
        <v>965952.46</v>
      </c>
      <c r="BC20" s="26">
        <f>股权价值增加表!BC13-股权价值增加表!BC14</f>
        <v>1313039.2</v>
      </c>
      <c r="BD20" s="26">
        <f>股权价值增加表!BD13-股权价值增加表!BD14</f>
        <v>1197703.82</v>
      </c>
      <c r="BE20" s="26">
        <f>股权价值增加表!BE13-股权价值增加表!BE14</f>
        <v>11500</v>
      </c>
      <c r="BF20" s="26">
        <f>股权价值增加表!BF13-股权价值增加表!BF14</f>
        <v>2565458.9800000004</v>
      </c>
      <c r="BG20" s="26">
        <f>股权价值增加表!BG13-股权价值增加表!BG14</f>
        <v>160799.97</v>
      </c>
      <c r="BH20" s="26">
        <f>股权价值增加表!BH13-股权价值增加表!BH14</f>
        <v>33184.97</v>
      </c>
      <c r="BI20" s="26">
        <f>股权价值增加表!BI13-股权价值增加表!BI14</f>
        <v>13474.97</v>
      </c>
      <c r="BJ20" s="26">
        <f>股权价值增加表!BJ13-股权价值增加表!BJ14</f>
        <v>1254821.02</v>
      </c>
      <c r="BK20" s="26">
        <f>股权价值增加表!BK13-股权价值增加表!BK14</f>
        <v>932591.35</v>
      </c>
      <c r="BL20" s="26">
        <f>股权价值增加表!BL13-股权价值增加表!BL14</f>
        <v>572387.41999999993</v>
      </c>
      <c r="BM20" s="26">
        <f>股权价值增加表!BM13-股权价值增加表!BM14</f>
        <v>103200.42</v>
      </c>
      <c r="BN20" s="26">
        <f>股权价值增加表!BN13-股权价值增加表!BN14</f>
        <v>127210.12</v>
      </c>
      <c r="BO20" s="26">
        <f>股权价值增加表!BO13-股权价值增加表!BO14</f>
        <v>57990.12</v>
      </c>
      <c r="BP20" s="26">
        <f>股权价值增加表!BP13-股权价值增加表!BP14</f>
        <v>44590.12</v>
      </c>
      <c r="BQ20" s="26">
        <f>股权价值增加表!BQ13-股权价值增加表!BQ14</f>
        <v>49958.12</v>
      </c>
      <c r="BR20" s="26">
        <f>股权价值增加表!BR13-股权价值增加表!BR14</f>
        <v>-2932126.66</v>
      </c>
      <c r="BS20" s="26">
        <f>股权价值增加表!BS13-股权价值增加表!BS14</f>
        <v>-561410.48</v>
      </c>
      <c r="BT20" s="26">
        <f>股权价值增加表!BT13-股权价值增加表!BT14</f>
        <v>-942739.14</v>
      </c>
      <c r="BU20" s="26">
        <f>股权价值增加表!BU13-股权价值增加表!BU14</f>
        <v>-55114.31</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368</v>
      </c>
      <c r="E21" s="57">
        <f>E20/E2</f>
        <v>-2.9460611256004504E-4</v>
      </c>
      <c r="F21" s="57">
        <f t="shared" ref="F21:BQ21" si="21">F20/F2</f>
        <v>-3.4342620346539E-3</v>
      </c>
      <c r="G21" s="57">
        <f t="shared" si="21"/>
        <v>-3.3946793945194135E-3</v>
      </c>
      <c r="H21" s="57">
        <f t="shared" si="21"/>
        <v>-1.6635116990659988E-3</v>
      </c>
      <c r="I21" s="57">
        <f t="shared" si="21"/>
        <v>-2.6383114295974596E-3</v>
      </c>
      <c r="J21" s="57">
        <f t="shared" si="21"/>
        <v>-7.9188592397592666E-3</v>
      </c>
      <c r="K21" s="57">
        <f t="shared" si="21"/>
        <v>-4.1902173084754817E-3</v>
      </c>
      <c r="L21" s="57">
        <f t="shared" si="21"/>
        <v>2.8403366119207906E-4</v>
      </c>
      <c r="M21" s="57">
        <f t="shared" si="21"/>
        <v>4.1771256178470419E-4</v>
      </c>
      <c r="N21" s="57">
        <f t="shared" si="21"/>
        <v>-4.8156462388790483E-3</v>
      </c>
      <c r="O21" s="57">
        <f t="shared" si="21"/>
        <v>-5.7346528792314019E-3</v>
      </c>
      <c r="P21" s="57">
        <f t="shared" si="21"/>
        <v>-1.3818402399224433E-4</v>
      </c>
      <c r="Q21" s="57">
        <f t="shared" si="21"/>
        <v>-2.7103492501103047E-4</v>
      </c>
      <c r="R21" s="57">
        <f t="shared" si="21"/>
        <v>-6.9877529922764891E-3</v>
      </c>
      <c r="S21" s="57">
        <f t="shared" si="21"/>
        <v>-6.3195035894009401E-3</v>
      </c>
      <c r="T21" s="57">
        <f t="shared" si="21"/>
        <v>-1.9409830333261798E-3</v>
      </c>
      <c r="U21" s="57">
        <f t="shared" si="21"/>
        <v>-1.0160586520227969E-3</v>
      </c>
      <c r="V21" s="57">
        <f t="shared" si="21"/>
        <v>-1.161589916293706E-2</v>
      </c>
      <c r="W21" s="57">
        <f t="shared" si="21"/>
        <v>-1.5765267464831405E-2</v>
      </c>
      <c r="X21" s="57">
        <f t="shared" si="21"/>
        <v>-1.9276813055786001E-2</v>
      </c>
      <c r="Y21" s="57">
        <f t="shared" si="21"/>
        <v>-3.5207791183616721E-2</v>
      </c>
      <c r="Z21" s="57">
        <f t="shared" si="21"/>
        <v>-4.9233679232099665E-3</v>
      </c>
      <c r="AA21" s="57">
        <f t="shared" si="21"/>
        <v>-5.1193879215292917E-3</v>
      </c>
      <c r="AB21" s="57">
        <f t="shared" si="21"/>
        <v>3.6724225783837681E-5</v>
      </c>
      <c r="AC21" s="57">
        <f t="shared" si="21"/>
        <v>3.1865808334334154E-4</v>
      </c>
      <c r="AD21" s="57">
        <f t="shared" si="21"/>
        <v>-8.172602164550113E-5</v>
      </c>
      <c r="AE21" s="57">
        <f t="shared" si="21"/>
        <v>-2.0811575805659095E-4</v>
      </c>
      <c r="AF21" s="57">
        <f t="shared" si="21"/>
        <v>-2.2860757947362531E-4</v>
      </c>
      <c r="AG21" s="57">
        <f t="shared" si="21"/>
        <v>4.3304374047975199E-4</v>
      </c>
      <c r="AH21" s="57">
        <f t="shared" si="21"/>
        <v>1.2984312114582949E-4</v>
      </c>
      <c r="AI21" s="57">
        <f t="shared" si="21"/>
        <v>-1.847615458038863E-4</v>
      </c>
      <c r="AJ21" s="57">
        <f t="shared" si="21"/>
        <v>-4.9173219384330235E-4</v>
      </c>
      <c r="AK21" s="57">
        <f t="shared" si="21"/>
        <v>-9.1768431255944045E-4</v>
      </c>
      <c r="AL21" s="57">
        <f t="shared" si="21"/>
        <v>5.1906663961994544E-4</v>
      </c>
      <c r="AM21" s="57">
        <f t="shared" si="21"/>
        <v>-7.5863668025153466E-5</v>
      </c>
      <c r="AN21" s="57">
        <f t="shared" si="21"/>
        <v>1.5375737155512128E-4</v>
      </c>
      <c r="AO21" s="57">
        <f t="shared" si="21"/>
        <v>9.2185700981339109E-5</v>
      </c>
      <c r="AP21" s="57">
        <f t="shared" si="21"/>
        <v>-6.1689042010292135E-4</v>
      </c>
      <c r="AQ21" s="57">
        <f t="shared" si="21"/>
        <v>-1.1492808046353075E-3</v>
      </c>
      <c r="AR21" s="57">
        <f t="shared" si="21"/>
        <v>-1.8612341478410706E-3</v>
      </c>
      <c r="AS21" s="57">
        <f t="shared" si="21"/>
        <v>2.8615552117332445E-4</v>
      </c>
      <c r="AT21" s="57">
        <f t="shared" si="21"/>
        <v>-4.5817168907896414E-4</v>
      </c>
      <c r="AU21" s="57">
        <f t="shared" si="21"/>
        <v>5.2119397128536559E-4</v>
      </c>
      <c r="AV21" s="57">
        <f t="shared" si="21"/>
        <v>8.2399483692993354E-4</v>
      </c>
      <c r="AW21" s="57">
        <f t="shared" si="21"/>
        <v>6.9755893922385519E-4</v>
      </c>
      <c r="AX21" s="57">
        <f t="shared" si="21"/>
        <v>1.9562182966571345E-4</v>
      </c>
      <c r="AY21" s="57">
        <f t="shared" si="21"/>
        <v>2.9347523339981382E-4</v>
      </c>
      <c r="AZ21" s="57">
        <f t="shared" si="21"/>
        <v>4.2292492143759932E-4</v>
      </c>
      <c r="BA21" s="57">
        <f t="shared" si="21"/>
        <v>2.4186118242022097E-4</v>
      </c>
      <c r="BB21" s="57">
        <f t="shared" si="21"/>
        <v>2.4575721034155297E-4</v>
      </c>
      <c r="BC21" s="57">
        <f t="shared" si="21"/>
        <v>5.0886702942500364E-4</v>
      </c>
      <c r="BD21" s="57">
        <f t="shared" si="21"/>
        <v>7.1032105035757898E-4</v>
      </c>
      <c r="BE21" s="57">
        <f t="shared" si="21"/>
        <v>1.0052295356653848E-5</v>
      </c>
      <c r="BF21" s="57">
        <f t="shared" si="21"/>
        <v>8.523704244230647E-4</v>
      </c>
      <c r="BG21" s="57">
        <f t="shared" si="21"/>
        <v>7.7664705048491507E-5</v>
      </c>
      <c r="BH21" s="57">
        <f t="shared" si="21"/>
        <v>2.5252825085776287E-5</v>
      </c>
      <c r="BI21" s="57">
        <f t="shared" si="21"/>
        <v>1.5789156589384042E-5</v>
      </c>
      <c r="BJ21" s="57">
        <f t="shared" si="21"/>
        <v>5.2262042767147571E-4</v>
      </c>
      <c r="BK21" s="57">
        <f t="shared" si="21"/>
        <v>6.0060842851165734E-4</v>
      </c>
      <c r="BL21" s="57">
        <f t="shared" si="21"/>
        <v>5.6725514195925687E-4</v>
      </c>
      <c r="BM21" s="57">
        <f t="shared" si="21"/>
        <v>1.4062124383446258E-4</v>
      </c>
      <c r="BN21" s="57">
        <f t="shared" si="21"/>
        <v>6.9328158597985288E-5</v>
      </c>
      <c r="BO21" s="57">
        <f t="shared" si="21"/>
        <v>4.2518297322720191E-5</v>
      </c>
      <c r="BP21" s="57">
        <f t="shared" si="21"/>
        <v>4.665926169859361E-5</v>
      </c>
      <c r="BQ21" s="57">
        <f t="shared" si="21"/>
        <v>6.9578114444984932E-5</v>
      </c>
      <c r="BR21" s="57">
        <f t="shared" ref="BR21:CK21" si="22">BR20/BR2</f>
        <v>-1.81213974350915E-3</v>
      </c>
      <c r="BS21" s="57">
        <f t="shared" si="22"/>
        <v>-6.4244643875150059E-4</v>
      </c>
      <c r="BT21" s="57">
        <f t="shared" si="22"/>
        <v>-8.462643193600356E-4</v>
      </c>
      <c r="BU21" s="57">
        <f t="shared" si="22"/>
        <v>-6.1866535985641104E-5</v>
      </c>
      <c r="BV21" s="57">
        <f t="shared" si="22"/>
        <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c r="A22" s="46" t="s">
        <v>369</v>
      </c>
      <c r="E22" s="66">
        <f>E11+E13+E15+E17+E19+E21</f>
        <v>0.26772244298534481</v>
      </c>
      <c r="F22" s="66">
        <f t="shared" ref="F22:BQ22" si="23">F11+F13+F15+F17+F19+F21</f>
        <v>0.27316080642676083</v>
      </c>
      <c r="G22" s="66">
        <f t="shared" si="23"/>
        <v>0.26771474420646418</v>
      </c>
      <c r="H22" s="66">
        <f t="shared" si="23"/>
        <v>0.28057378556229839</v>
      </c>
      <c r="I22" s="66">
        <f t="shared" si="23"/>
        <v>0.29366523205615774</v>
      </c>
      <c r="J22" s="66">
        <f t="shared" si="23"/>
        <v>0.31088704708625697</v>
      </c>
      <c r="K22" s="66">
        <f t="shared" si="23"/>
        <v>0.26130318085442017</v>
      </c>
      <c r="L22" s="66">
        <f t="shared" si="23"/>
        <v>0.2456013116626492</v>
      </c>
      <c r="M22" s="66">
        <f t="shared" si="23"/>
        <v>0.22673565881577371</v>
      </c>
      <c r="N22" s="66">
        <f t="shared" si="23"/>
        <v>0.26299070404965375</v>
      </c>
      <c r="O22" s="66">
        <f t="shared" si="23"/>
        <v>0.24048828654510401</v>
      </c>
      <c r="P22" s="66">
        <f t="shared" si="23"/>
        <v>0.24466670767826593</v>
      </c>
      <c r="Q22" s="66">
        <f t="shared" si="23"/>
        <v>0.23025632651698294</v>
      </c>
      <c r="R22" s="66">
        <f t="shared" si="23"/>
        <v>0.24140262927817183</v>
      </c>
      <c r="S22" s="66">
        <f t="shared" si="23"/>
        <v>0.23856146549533722</v>
      </c>
      <c r="T22" s="66">
        <f t="shared" si="23"/>
        <v>0.23582386063663713</v>
      </c>
      <c r="U22" s="66">
        <f t="shared" si="23"/>
        <v>0.23583628651973032</v>
      </c>
      <c r="V22" s="66">
        <f t="shared" si="23"/>
        <v>0.23033692949984796</v>
      </c>
      <c r="W22" s="66">
        <f t="shared" si="23"/>
        <v>0.20669587076376678</v>
      </c>
      <c r="X22" s="66">
        <f t="shared" si="23"/>
        <v>0.19652310613997637</v>
      </c>
      <c r="Y22" s="66">
        <f t="shared" si="23"/>
        <v>0.16429681724656647</v>
      </c>
      <c r="Z22" s="66">
        <f t="shared" si="23"/>
        <v>0.22203909557789531</v>
      </c>
      <c r="AA22" s="66">
        <f t="shared" si="23"/>
        <v>0.19134598783893872</v>
      </c>
      <c r="AB22" s="66">
        <f t="shared" si="23"/>
        <v>0.19570332846480998</v>
      </c>
      <c r="AC22" s="66">
        <f t="shared" si="23"/>
        <v>0.24278417601299992</v>
      </c>
      <c r="AD22" s="66">
        <f t="shared" si="23"/>
        <v>0.26450893361025246</v>
      </c>
      <c r="AE22" s="66">
        <f t="shared" si="23"/>
        <v>0.25084886176149795</v>
      </c>
      <c r="AF22" s="66">
        <f t="shared" si="23"/>
        <v>0.22807214421580246</v>
      </c>
      <c r="AG22" s="66">
        <f t="shared" si="23"/>
        <v>0.2918849568348843</v>
      </c>
      <c r="AH22" s="66">
        <f t="shared" si="23"/>
        <v>0.30928520065430204</v>
      </c>
      <c r="AI22" s="66">
        <f t="shared" si="23"/>
        <v>0.29426266860437134</v>
      </c>
      <c r="AJ22" s="66">
        <f t="shared" si="23"/>
        <v>0.26325621427856571</v>
      </c>
      <c r="AK22" s="66">
        <f t="shared" si="23"/>
        <v>0.32645984676505352</v>
      </c>
      <c r="AL22" s="66">
        <f t="shared" si="23"/>
        <v>0.28786669135502463</v>
      </c>
      <c r="AM22" s="66">
        <f t="shared" si="23"/>
        <v>0.23681273802091737</v>
      </c>
      <c r="AN22" s="66">
        <f t="shared" si="23"/>
        <v>0.2161576628381626</v>
      </c>
      <c r="AO22" s="66">
        <f t="shared" si="23"/>
        <v>0.25397331126493361</v>
      </c>
      <c r="AP22" s="66">
        <f t="shared" si="23"/>
        <v>0.26090854492969345</v>
      </c>
      <c r="AQ22" s="66">
        <f t="shared" si="23"/>
        <v>0.23371244410435768</v>
      </c>
      <c r="AR22" s="66">
        <f t="shared" si="23"/>
        <v>0.23200211116441688</v>
      </c>
      <c r="AS22" s="66">
        <f t="shared" si="23"/>
        <v>0.30668141653144382</v>
      </c>
      <c r="AT22" s="66">
        <f t="shared" si="23"/>
        <v>0.260270395930155</v>
      </c>
      <c r="AU22" s="66">
        <f t="shared" si="23"/>
        <v>0.29862049973417581</v>
      </c>
      <c r="AV22" s="66">
        <f t="shared" si="23"/>
        <v>0.34877884195707687</v>
      </c>
      <c r="AW22" s="66">
        <f t="shared" si="23"/>
        <v>0.31787044394285735</v>
      </c>
      <c r="AX22" s="66">
        <f t="shared" si="23"/>
        <v>0.33655565561697975</v>
      </c>
      <c r="AY22" s="66">
        <f t="shared" si="23"/>
        <v>0.35788404166683685</v>
      </c>
      <c r="AZ22" s="66">
        <f t="shared" si="23"/>
        <v>0.3565230885454308</v>
      </c>
      <c r="BA22" s="66">
        <f t="shared" si="23"/>
        <v>0.33812322548010976</v>
      </c>
      <c r="BB22" s="66">
        <f t="shared" si="23"/>
        <v>0.34545991877279913</v>
      </c>
      <c r="BC22" s="66">
        <f t="shared" si="23"/>
        <v>0.38598467473733189</v>
      </c>
      <c r="BD22" s="66">
        <f t="shared" si="23"/>
        <v>0.38298965005480473</v>
      </c>
      <c r="BE22" s="66">
        <f t="shared" si="23"/>
        <v>0.34385579478535289</v>
      </c>
      <c r="BF22" s="66">
        <f t="shared" si="23"/>
        <v>0.33740069179795162</v>
      </c>
      <c r="BG22" s="66">
        <f t="shared" si="23"/>
        <v>0.41023278406468089</v>
      </c>
      <c r="BH22" s="66">
        <f t="shared" si="23"/>
        <v>0.39911434976181887</v>
      </c>
      <c r="BI22" s="66">
        <f t="shared" si="23"/>
        <v>0.36065243692739485</v>
      </c>
      <c r="BJ22" s="66">
        <f t="shared" si="23"/>
        <v>0.40257111482100616</v>
      </c>
      <c r="BK22" s="66">
        <f t="shared" si="23"/>
        <v>0.4316369294021048</v>
      </c>
      <c r="BL22" s="66">
        <f t="shared" si="23"/>
        <v>0.40446359389000408</v>
      </c>
      <c r="BM22" s="66">
        <f t="shared" si="23"/>
        <v>0.35443869526956023</v>
      </c>
      <c r="BN22" s="66">
        <f t="shared" si="23"/>
        <v>0.47198093678930481</v>
      </c>
      <c r="BO22" s="66">
        <f t="shared" si="23"/>
        <v>0.45658387104868448</v>
      </c>
      <c r="BP22" s="66">
        <f t="shared" si="23"/>
        <v>0.42708623978231003</v>
      </c>
      <c r="BQ22" s="66">
        <f t="shared" si="23"/>
        <v>0.37324936248349588</v>
      </c>
      <c r="BR22" s="66">
        <f t="shared" ref="BR22:CJ22" si="24">BR11+BR13+BR15+BR17+BR19+BR21</f>
        <v>0.44765859943818054</v>
      </c>
      <c r="BS22" s="66">
        <f t="shared" si="24"/>
        <v>0.40382950200420237</v>
      </c>
      <c r="BT22" s="66">
        <f t="shared" si="24"/>
        <v>0.41541886714223708</v>
      </c>
      <c r="BU22" s="66">
        <f t="shared" si="24"/>
        <v>0.44577680457041863</v>
      </c>
      <c r="BV22" s="66">
        <f t="shared" si="24"/>
        <v>0.46420358148512297</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c r="A23" s="128" t="s">
        <v>370</v>
      </c>
      <c r="E23" s="27">
        <f>股权价值增加表!E17</f>
        <v>8220004848.8565598</v>
      </c>
      <c r="F23" s="27">
        <f>股权价值增加表!F17</f>
        <v>26257155482.86937</v>
      </c>
      <c r="G23" s="27">
        <f>股权价值增加表!G17</f>
        <v>19404451814.334373</v>
      </c>
      <c r="H23" s="27">
        <f>股权价值增加表!H17</f>
        <v>10783278621.240543</v>
      </c>
      <c r="I23" s="27">
        <f>股权价值增加表!I17</f>
        <v>5951029399.4619694</v>
      </c>
      <c r="J23" s="27">
        <f>股权价值增加表!J17</f>
        <v>16736856268.190777</v>
      </c>
      <c r="K23" s="27">
        <f>股权价值增加表!K17</f>
        <v>12517741132.533356</v>
      </c>
      <c r="L23" s="27">
        <f>股权价值增加表!L17</f>
        <v>8860710403.007576</v>
      </c>
      <c r="M23" s="27">
        <f>股权价值增加表!M17</f>
        <v>4974506066.2872</v>
      </c>
      <c r="N23" s="27">
        <f>股权价值增加表!N17</f>
        <v>15686115598.435617</v>
      </c>
      <c r="O23" s="27">
        <f>股权价值增加表!O17</f>
        <v>11545123600.416145</v>
      </c>
      <c r="P23" s="27">
        <f>股权价值增加表!P17</f>
        <v>7965069932.5876713</v>
      </c>
      <c r="Q23" s="27">
        <f>股权价值增加表!Q17</f>
        <v>4417846663.1033487</v>
      </c>
      <c r="R23" s="27">
        <f>股权价值增加表!R17</f>
        <v>15592229550.398281</v>
      </c>
      <c r="S23" s="27">
        <f>股权价值增加表!S17</f>
        <v>10891196920.650229</v>
      </c>
      <c r="T23" s="27">
        <f>股权价值增加表!T17</f>
        <v>7357086282.0197487</v>
      </c>
      <c r="U23" s="27">
        <f>股权价值增加表!U17</f>
        <v>3817708355.8481092</v>
      </c>
      <c r="V23" s="27">
        <f>股权价值增加表!V17</f>
        <v>15530429941.193651</v>
      </c>
      <c r="W23" s="27">
        <f>股权价值增加表!W17</f>
        <v>11352927207.672548</v>
      </c>
      <c r="X23" s="27">
        <f>股权价值增加表!X17</f>
        <v>7429540783.5980339</v>
      </c>
      <c r="Y23" s="27">
        <f>股权价值增加表!Y17</f>
        <v>3688329829.7353325</v>
      </c>
      <c r="Z23" s="27">
        <f>股权价值增加表!Z17</f>
        <v>13690774960.379147</v>
      </c>
      <c r="AA23" s="27">
        <f>股权价值增加表!AA17</f>
        <v>10712573284.959608</v>
      </c>
      <c r="AB23" s="27">
        <f>股权价值增加表!AB17</f>
        <v>7206234643.9572573</v>
      </c>
      <c r="AC23" s="27">
        <f>股权价值增加表!AC17</f>
        <v>3055848532.6007786</v>
      </c>
      <c r="AD23" s="27">
        <f>股权价值增加表!AD17</f>
        <v>8984742215.4134827</v>
      </c>
      <c r="AE23" s="27">
        <f>股权价值增加表!AE17</f>
        <v>6765576693.4265585</v>
      </c>
      <c r="AF23" s="27">
        <f>股权价值增加表!AF17</f>
        <v>5052224830.9686832</v>
      </c>
      <c r="AG23" s="27">
        <f>股权价值增加表!AG17</f>
        <v>1950819004.9115157</v>
      </c>
      <c r="AH23" s="27">
        <f>股权价值增加表!AH17</f>
        <v>5207769203.1045113</v>
      </c>
      <c r="AI23" s="27">
        <f>股权价值增加表!AI17</f>
        <v>4308075389.1502752</v>
      </c>
      <c r="AJ23" s="27">
        <f>股权价值增加表!AJ17</f>
        <v>3199715598.6384935</v>
      </c>
      <c r="AK23" s="27">
        <f>股权价值增加表!AK17</f>
        <v>1309702018.6234198</v>
      </c>
      <c r="AL23" s="27">
        <f>股权价值增加表!AL17</f>
        <v>4451921450.1984816</v>
      </c>
      <c r="AM23" s="27">
        <f>股权价值增加表!AM17</f>
        <v>3911231169.9370718</v>
      </c>
      <c r="AN23" s="27">
        <f>股权价值增加表!AN17</f>
        <v>2862464104.1784334</v>
      </c>
      <c r="AO23" s="27">
        <f>股权价值增加表!AO17</f>
        <v>1217631428.2498841</v>
      </c>
      <c r="AP23" s="27">
        <f>股权价值增加表!AP17</f>
        <v>3923628849.1004276</v>
      </c>
      <c r="AQ23" s="27">
        <f>股权价值增加表!AQ17</f>
        <v>3256778002.365612</v>
      </c>
      <c r="AR23" s="27">
        <f>股权价值增加表!AR17</f>
        <v>2316802869.4071455</v>
      </c>
      <c r="AS23" s="27">
        <f>股权价值增加表!AS17</f>
        <v>886969847.45644474</v>
      </c>
      <c r="AT23" s="27">
        <f>股权价值增加表!AT17</f>
        <v>2935514028.7851157</v>
      </c>
      <c r="AU23" s="27">
        <f>股权价值增加表!AU17</f>
        <v>1643253681.0858998</v>
      </c>
      <c r="AV23" s="27">
        <f>股权价值增加表!AV17</f>
        <v>871731164.99333429</v>
      </c>
      <c r="AW23" s="27">
        <f>股权价值增加表!AW17</f>
        <v>544259098.379511</v>
      </c>
      <c r="AX23" s="27">
        <f>股权价值增加表!AX17</f>
        <v>1555595302.6431525</v>
      </c>
      <c r="AY23" s="27">
        <f>股权价值增加表!AY17</f>
        <v>984347488.04984808</v>
      </c>
      <c r="AZ23" s="27">
        <f>股权价值增加表!AZ17</f>
        <v>629546720.8724339</v>
      </c>
      <c r="BA23" s="27">
        <f>股权价值增加表!BA17</f>
        <v>466534382.76905102</v>
      </c>
      <c r="BB23" s="27">
        <f>股权价值增加表!BB17</f>
        <v>1149168967.6063571</v>
      </c>
      <c r="BC23" s="27">
        <f>股权价值增加表!BC17</f>
        <v>725490326.89868951</v>
      </c>
      <c r="BD23" s="27">
        <f>股权价值增加表!BD17</f>
        <v>497270327.482131</v>
      </c>
      <c r="BE23" s="27">
        <f>股权价值增加表!BE17</f>
        <v>381489023.45721632</v>
      </c>
      <c r="BF23" s="27">
        <f>股权价值增加表!BF17</f>
        <v>839095033.9406172</v>
      </c>
      <c r="BG23" s="27">
        <f>股权价值增加表!BG17</f>
        <v>524289150.53143865</v>
      </c>
      <c r="BH23" s="27">
        <f>股权价值增加表!BH17</f>
        <v>357688897.7866267</v>
      </c>
      <c r="BI23" s="27">
        <f>股权价值增加表!BI17</f>
        <v>266767183.66351357</v>
      </c>
      <c r="BJ23" s="27">
        <f>股权价值增加表!BJ17</f>
        <v>597080913.97970891</v>
      </c>
      <c r="BK23" s="27">
        <f>股权价值增加表!BK17</f>
        <v>359846470.99387157</v>
      </c>
      <c r="BL23" s="27">
        <f>股权价值增加表!BL17</f>
        <v>257967956.47476113</v>
      </c>
      <c r="BM23" s="27">
        <f>股权价值增加表!BM17</f>
        <v>222333369.7577582</v>
      </c>
      <c r="BN23" s="27">
        <f>股权价值增加表!BN17</f>
        <v>378715561.24946892</v>
      </c>
      <c r="BO23" s="27">
        <f>股权价值增加表!BO17</f>
        <v>308296546.68218607</v>
      </c>
      <c r="BP23" s="27">
        <f>股权价值增加表!BP17</f>
        <v>238315335.98605028</v>
      </c>
      <c r="BQ23" s="27">
        <f>股权价值增加表!BQ17</f>
        <v>211338260.36413699</v>
      </c>
      <c r="BR23" s="27">
        <f>股权价值增加表!BR17</f>
        <v>337909081.88659883</v>
      </c>
      <c r="BS23" s="27">
        <f>股权价值增加表!BS17</f>
        <v>229927164.91021764</v>
      </c>
      <c r="BT23" s="27">
        <f>股权价值增加表!BT17</f>
        <v>260073853.45585519</v>
      </c>
      <c r="BU23" s="27">
        <f>股权价值增加表!BU17</f>
        <v>222185382.16190058</v>
      </c>
      <c r="BV23" s="27">
        <f>股权价值增加表!BV17</f>
        <v>173915342.50660002</v>
      </c>
      <c r="BW23" s="27" t="e">
        <f>股权价值增加表!BW17</f>
        <v>#DIV/0!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371</v>
      </c>
      <c r="E24" s="57">
        <f>E23/E2</f>
        <v>0.47062444429332539</v>
      </c>
      <c r="F24" s="57">
        <f t="shared" ref="F24:BQ24" si="25">F23/F2</f>
        <v>0.45101545969155143</v>
      </c>
      <c r="G24" s="57">
        <f t="shared" si="25"/>
        <v>0.4571080828339476</v>
      </c>
      <c r="H24" s="57">
        <f t="shared" si="25"/>
        <v>0.44577367302289167</v>
      </c>
      <c r="I24" s="57">
        <f t="shared" si="25"/>
        <v>0.44715536739045164</v>
      </c>
      <c r="J24" s="57">
        <f t="shared" si="25"/>
        <v>0.43067197887828035</v>
      </c>
      <c r="K24" s="57">
        <f t="shared" si="25"/>
        <v>0.4700283734072413</v>
      </c>
      <c r="L24" s="57">
        <f t="shared" si="25"/>
        <v>0.48756925017632752</v>
      </c>
      <c r="M24" s="57">
        <f t="shared" si="25"/>
        <v>0.498010682840624</v>
      </c>
      <c r="N24" s="57">
        <f t="shared" si="25"/>
        <v>0.48029135124260181</v>
      </c>
      <c r="O24" s="57">
        <f t="shared" si="25"/>
        <v>0.49873768747430047</v>
      </c>
      <c r="P24" s="57">
        <f t="shared" si="25"/>
        <v>0.50480055085685449</v>
      </c>
      <c r="Q24" s="57">
        <f t="shared" si="25"/>
        <v>0.51705352083998413</v>
      </c>
      <c r="R24" s="57">
        <f t="shared" si="25"/>
        <v>0.49383242047688514</v>
      </c>
      <c r="S24" s="57">
        <f t="shared" si="25"/>
        <v>0.50147813137630759</v>
      </c>
      <c r="T24" s="57">
        <f t="shared" si="25"/>
        <v>0.51370459244930566</v>
      </c>
      <c r="U24" s="57">
        <f t="shared" si="25"/>
        <v>0.51245606053539405</v>
      </c>
      <c r="V24" s="57">
        <f t="shared" si="25"/>
        <v>0.50224855215198361</v>
      </c>
      <c r="W24" s="57">
        <f t="shared" si="25"/>
        <v>0.51755450959165916</v>
      </c>
      <c r="X24" s="57">
        <f t="shared" si="25"/>
        <v>0.52587844174194198</v>
      </c>
      <c r="Y24" s="57">
        <f t="shared" si="25"/>
        <v>0.51471393453749992</v>
      </c>
      <c r="Z24" s="57">
        <f t="shared" si="25"/>
        <v>0.51750525484580012</v>
      </c>
      <c r="AA24" s="57">
        <f t="shared" si="25"/>
        <v>0.53747115297044445</v>
      </c>
      <c r="AB24" s="57">
        <f t="shared" si="25"/>
        <v>0.54327478727945955</v>
      </c>
      <c r="AC24" s="57">
        <f t="shared" si="25"/>
        <v>0.50795626968868846</v>
      </c>
      <c r="AD24" s="57">
        <f t="shared" si="25"/>
        <v>0.48823871261051088</v>
      </c>
      <c r="AE24" s="57">
        <f t="shared" si="25"/>
        <v>0.49593455946718185</v>
      </c>
      <c r="AF24" s="57">
        <f t="shared" si="25"/>
        <v>0.51417826388419885</v>
      </c>
      <c r="AG24" s="57">
        <f t="shared" si="25"/>
        <v>0.46221486139545742</v>
      </c>
      <c r="AH24" s="57">
        <f t="shared" si="25"/>
        <v>0.4476611522091124</v>
      </c>
      <c r="AI24" s="57">
        <f t="shared" si="25"/>
        <v>0.4618643219984378</v>
      </c>
      <c r="AJ24" s="57">
        <f t="shared" si="25"/>
        <v>0.48574255577667719</v>
      </c>
      <c r="AK24" s="57">
        <f t="shared" si="25"/>
        <v>0.43083634012470878</v>
      </c>
      <c r="AL24" s="57">
        <f t="shared" si="25"/>
        <v>0.46038488939801481</v>
      </c>
      <c r="AM24" s="57">
        <f t="shared" si="25"/>
        <v>0.50097729976373728</v>
      </c>
      <c r="AN24" s="57">
        <f t="shared" si="25"/>
        <v>0.51613072326800635</v>
      </c>
      <c r="AO24" s="57">
        <f t="shared" si="25"/>
        <v>0.48462225520302515</v>
      </c>
      <c r="AP24" s="57">
        <f t="shared" si="25"/>
        <v>0.47607116512508341</v>
      </c>
      <c r="AQ24" s="57">
        <f t="shared" si="25"/>
        <v>0.50208422505867534</v>
      </c>
      <c r="AR24" s="57">
        <f t="shared" si="25"/>
        <v>0.50150316873128031</v>
      </c>
      <c r="AS24" s="57">
        <f t="shared" si="25"/>
        <v>0.44493175381527394</v>
      </c>
      <c r="AT24" s="57">
        <f t="shared" si="25"/>
        <v>0.40560167431698724</v>
      </c>
      <c r="AU24" s="57">
        <f t="shared" si="25"/>
        <v>0.36857622097312231</v>
      </c>
      <c r="AV24" s="57">
        <f t="shared" si="25"/>
        <v>0.33157158467018449</v>
      </c>
      <c r="AW24" s="57">
        <f t="shared" si="25"/>
        <v>0.34283214989331334</v>
      </c>
      <c r="AX24" s="57">
        <f t="shared" si="25"/>
        <v>0.31771567017973035</v>
      </c>
      <c r="AY24" s="57">
        <f t="shared" si="25"/>
        <v>0.30292711213693513</v>
      </c>
      <c r="AZ24" s="57">
        <f t="shared" si="25"/>
        <v>0.31020375150713003</v>
      </c>
      <c r="BA24" s="57">
        <f t="shared" si="25"/>
        <v>0.34443341037700076</v>
      </c>
      <c r="BB24" s="57">
        <f t="shared" si="25"/>
        <v>0.29237107558069764</v>
      </c>
      <c r="BC24" s="57">
        <f t="shared" si="25"/>
        <v>0.28116305097784661</v>
      </c>
      <c r="BD24" s="57">
        <f t="shared" si="25"/>
        <v>0.29491563392422387</v>
      </c>
      <c r="BE24" s="57">
        <f t="shared" si="25"/>
        <v>0.33346437731420747</v>
      </c>
      <c r="BF24" s="57">
        <f t="shared" si="25"/>
        <v>0.27878823859083868</v>
      </c>
      <c r="BG24" s="57">
        <f t="shared" si="25"/>
        <v>0.25322618055307067</v>
      </c>
      <c r="BH24" s="57">
        <f t="shared" si="25"/>
        <v>0.27219115072063638</v>
      </c>
      <c r="BI24" s="57">
        <f t="shared" si="25"/>
        <v>0.31258168558239374</v>
      </c>
      <c r="BJ24" s="57">
        <f t="shared" si="25"/>
        <v>0.24867823988041823</v>
      </c>
      <c r="BK24" s="57">
        <f t="shared" si="25"/>
        <v>0.2317486897654529</v>
      </c>
      <c r="BL24" s="57">
        <f t="shared" si="25"/>
        <v>0.25565490200855573</v>
      </c>
      <c r="BM24" s="57">
        <f t="shared" si="25"/>
        <v>0.30295220698950109</v>
      </c>
      <c r="BN24" s="57">
        <f t="shared" si="25"/>
        <v>0.20639594156367588</v>
      </c>
      <c r="BO24" s="57">
        <f t="shared" si="25"/>
        <v>0.22604271616270274</v>
      </c>
      <c r="BP24" s="57">
        <f t="shared" si="25"/>
        <v>0.24937402340611289</v>
      </c>
      <c r="BQ24" s="57">
        <f t="shared" si="25"/>
        <v>0.29433688990338197</v>
      </c>
      <c r="BR24" s="57">
        <f t="shared" ref="BR24:CJ24" si="26">BR23/BR2</f>
        <v>0.20883766221046998</v>
      </c>
      <c r="BS24" s="57">
        <f t="shared" si="26"/>
        <v>0.26311565874010462</v>
      </c>
      <c r="BT24" s="57">
        <f t="shared" si="26"/>
        <v>0.23345930304554974</v>
      </c>
      <c r="BU24" s="57">
        <f t="shared" si="26"/>
        <v>0.249406006189729</v>
      </c>
      <c r="BV24" s="57">
        <f t="shared" si="26"/>
        <v>0.27685395135221019</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c r="A25" s="283" t="s">
        <v>669</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4.25" thickBot="1">
      <c r="A26" s="149" t="s">
        <v>599</v>
      </c>
      <c r="B26" s="150"/>
      <c r="C26" s="150"/>
      <c r="D26" s="150"/>
      <c r="E26" s="151">
        <f>POWER(E2/Y2,1/6)-1</f>
        <v>0.16008272931097656</v>
      </c>
    </row>
    <row r="27" spans="1:89" s="26" customFormat="1">
      <c r="A27" s="20" t="s">
        <v>377</v>
      </c>
      <c r="B27" s="1">
        <v>43465</v>
      </c>
      <c r="C27" s="1">
        <v>43373</v>
      </c>
      <c r="D27" s="1">
        <v>43281</v>
      </c>
      <c r="E27" s="1">
        <v>43190</v>
      </c>
      <c r="F27" s="1">
        <v>43100</v>
      </c>
      <c r="G27" s="1">
        <v>43008</v>
      </c>
      <c r="H27" s="1">
        <v>42916</v>
      </c>
      <c r="I27" s="1">
        <v>42825</v>
      </c>
      <c r="J27" s="1">
        <v>42735</v>
      </c>
      <c r="K27" s="1">
        <v>42643</v>
      </c>
      <c r="L27" s="1">
        <v>42551</v>
      </c>
      <c r="M27" s="1">
        <v>42460</v>
      </c>
      <c r="N27" s="1">
        <v>42369</v>
      </c>
      <c r="O27" s="1">
        <v>42277</v>
      </c>
      <c r="P27" s="1">
        <v>42185</v>
      </c>
      <c r="Q27" s="1">
        <v>42094</v>
      </c>
      <c r="R27" s="1">
        <v>42004</v>
      </c>
      <c r="S27" s="1">
        <v>41912</v>
      </c>
      <c r="T27" s="1">
        <v>41820</v>
      </c>
      <c r="U27" s="1">
        <v>41729</v>
      </c>
      <c r="V27" s="1">
        <v>41639</v>
      </c>
      <c r="W27" s="1">
        <v>41547</v>
      </c>
      <c r="X27" s="1">
        <v>41455</v>
      </c>
      <c r="Y27" s="1">
        <v>41364</v>
      </c>
      <c r="Z27" s="1">
        <v>41274</v>
      </c>
      <c r="AA27" s="1">
        <v>41182</v>
      </c>
      <c r="AB27" s="1">
        <v>41090</v>
      </c>
      <c r="AC27" s="1">
        <v>40999</v>
      </c>
      <c r="AD27" s="1">
        <v>40908</v>
      </c>
      <c r="AE27" s="1">
        <v>40816</v>
      </c>
      <c r="AF27" s="1">
        <v>40724</v>
      </c>
      <c r="AG27" s="1">
        <v>40633</v>
      </c>
      <c r="AH27" s="1">
        <v>40543</v>
      </c>
      <c r="AI27" s="1">
        <v>40451</v>
      </c>
      <c r="AJ27" s="1">
        <v>40359</v>
      </c>
      <c r="AK27" s="1">
        <v>40268</v>
      </c>
      <c r="AL27" s="1">
        <v>40178</v>
      </c>
      <c r="AM27" s="1">
        <v>40086</v>
      </c>
      <c r="AN27" s="1">
        <v>39994</v>
      </c>
      <c r="AO27" s="1">
        <v>39903</v>
      </c>
      <c r="AP27" s="1">
        <v>39813</v>
      </c>
      <c r="AQ27" s="1">
        <v>39721</v>
      </c>
      <c r="AR27" s="1">
        <v>39629</v>
      </c>
      <c r="AS27" s="1">
        <v>39538</v>
      </c>
      <c r="AT27" s="1">
        <v>39447</v>
      </c>
      <c r="AU27" s="1">
        <v>39355</v>
      </c>
      <c r="AV27" s="1">
        <v>39263</v>
      </c>
      <c r="AW27" s="1">
        <v>39172</v>
      </c>
      <c r="AX27" s="1">
        <v>39082</v>
      </c>
      <c r="AY27" s="1">
        <v>38990</v>
      </c>
      <c r="AZ27" s="1">
        <v>38898</v>
      </c>
      <c r="BA27" s="1">
        <v>38807</v>
      </c>
      <c r="BB27" s="1">
        <v>38717</v>
      </c>
      <c r="BC27" s="1">
        <v>38625</v>
      </c>
      <c r="BD27" s="1">
        <v>38533</v>
      </c>
      <c r="BE27" s="1">
        <v>38442</v>
      </c>
      <c r="BF27" s="1">
        <v>38352</v>
      </c>
      <c r="BG27" s="1">
        <v>38260</v>
      </c>
      <c r="BH27" s="1">
        <v>38168</v>
      </c>
      <c r="BI27" s="1">
        <v>38077</v>
      </c>
      <c r="BJ27" s="1">
        <v>37986</v>
      </c>
      <c r="BK27" s="1">
        <v>37894</v>
      </c>
      <c r="BL27" s="1">
        <v>37802</v>
      </c>
      <c r="BM27" s="1">
        <v>37711</v>
      </c>
      <c r="BN27" s="1">
        <v>37621</v>
      </c>
      <c r="BO27" s="1">
        <v>37529</v>
      </c>
      <c r="BP27" s="1">
        <v>37437</v>
      </c>
      <c r="BQ27" s="1">
        <v>37346</v>
      </c>
      <c r="BR27" s="1">
        <v>37256</v>
      </c>
      <c r="BS27" s="1">
        <v>37072</v>
      </c>
      <c r="BT27" s="1">
        <v>36891</v>
      </c>
      <c r="BU27" s="1">
        <v>36525</v>
      </c>
      <c r="BV27" s="1">
        <v>36160</v>
      </c>
      <c r="BW27" s="1">
        <v>25569</v>
      </c>
      <c r="BX27" s="1"/>
      <c r="BY27" s="1"/>
      <c r="BZ27" s="1"/>
      <c r="CA27" s="1"/>
      <c r="CB27" s="1"/>
      <c r="CC27" s="1"/>
      <c r="CD27" s="1"/>
      <c r="CE27" s="1"/>
      <c r="CF27" s="1"/>
      <c r="CG27" s="1"/>
      <c r="CH27" s="1"/>
      <c r="CI27" s="1"/>
      <c r="CJ27" s="1"/>
      <c r="CK27" s="1"/>
    </row>
    <row r="28" spans="1:89" s="26" customFormat="1">
      <c r="A28" s="17" t="s">
        <v>373</v>
      </c>
      <c r="E28" s="26">
        <f>股权价值增加表!E15</f>
        <v>11261197474.52</v>
      </c>
      <c r="F28" s="26">
        <f>股权价值增加表!F15</f>
        <v>35974716215.480003</v>
      </c>
      <c r="G28" s="26">
        <f>股权价值增加表!G15</f>
        <v>26524201693.680004</v>
      </c>
      <c r="H28" s="26">
        <f>股权价值增加表!H15</f>
        <v>14811232656.109999</v>
      </c>
      <c r="I28" s="26">
        <f>股权价值增加表!I15</f>
        <v>8153132154.3700008</v>
      </c>
      <c r="J28" s="26">
        <f>股权价值增加表!J15</f>
        <v>22754845992.759998</v>
      </c>
      <c r="K28" s="26">
        <f>股权价值增加表!K15</f>
        <v>17224302576.93</v>
      </c>
      <c r="L28" s="26">
        <f>股权价值增加表!L15</f>
        <v>12244780312.01</v>
      </c>
      <c r="M28" s="26">
        <f>股权价值增加表!M15</f>
        <v>6967289917.079999</v>
      </c>
      <c r="N28" s="26">
        <f>股权价值增加表!N15</f>
        <v>21217525355.279999</v>
      </c>
      <c r="O28" s="26">
        <f>股权价值增加表!O15</f>
        <v>15569153338.09</v>
      </c>
      <c r="P28" s="26">
        <f>股权价值增加表!P15</f>
        <v>10747899018.51</v>
      </c>
      <c r="Q28" s="26">
        <f>股权价值增加表!Q15</f>
        <v>5992471884.3299999</v>
      </c>
      <c r="R28" s="26">
        <f>股权价值增加表!R15</f>
        <v>21172087007.459999</v>
      </c>
      <c r="S28" s="26">
        <f>股权价值增加表!S15</f>
        <v>14669262457.400002</v>
      </c>
      <c r="T28" s="26">
        <f>股权价值增加表!T15</f>
        <v>9901107345.6399994</v>
      </c>
      <c r="U28" s="26">
        <f>股权价值增加表!U15</f>
        <v>5170812408.1700001</v>
      </c>
      <c r="V28" s="26">
        <f>股权价值增加表!V15</f>
        <v>20887079186.68</v>
      </c>
      <c r="W28" s="26">
        <f>股权价值增加表!W15</f>
        <v>15269182006.340002</v>
      </c>
      <c r="X28" s="26">
        <f>股权价值增加表!X15</f>
        <v>9874167661.1199989</v>
      </c>
      <c r="Y28" s="26">
        <f>股权价值增加表!Y15</f>
        <v>5002765823.6199989</v>
      </c>
      <c r="Z28" s="26">
        <f>股权价值增加表!Z15</f>
        <v>18276411296.670002</v>
      </c>
      <c r="AA28" s="26">
        <f>股权价值增加表!AA15</f>
        <v>14284688218.48</v>
      </c>
      <c r="AB28" s="26">
        <f>股权价值增加表!AB15</f>
        <v>9609872110.0600014</v>
      </c>
      <c r="AC28" s="26">
        <f>股权价值增加表!AC15</f>
        <v>4077164614.8699999</v>
      </c>
      <c r="AD28" s="26">
        <f>股权价值增加表!AD15</f>
        <v>11980525976.880001</v>
      </c>
      <c r="AE28" s="26">
        <f>股权价值增加表!AE15</f>
        <v>9058450996.3900013</v>
      </c>
      <c r="AF28" s="26">
        <f>股权价值增加表!AF15</f>
        <v>6735261844.8100004</v>
      </c>
      <c r="AG28" s="26">
        <f>股权价值增加表!AG15</f>
        <v>2600254929.6700001</v>
      </c>
      <c r="AH28" s="26">
        <f>股权价值增加表!AH15</f>
        <v>6985370656.46</v>
      </c>
      <c r="AI28" s="26">
        <f>股权价值增加表!AI15</f>
        <v>5758077960.8400002</v>
      </c>
      <c r="AJ28" s="26">
        <f>股权价值增加表!AJ15</f>
        <v>4277458985.2599998</v>
      </c>
      <c r="AK28" s="26">
        <f>股权价值增加表!AK15</f>
        <v>1746532659.9299996</v>
      </c>
      <c r="AL28" s="26">
        <f>股权价值增加表!AL15</f>
        <v>5945694321.5999994</v>
      </c>
      <c r="AM28" s="26">
        <f>股权价值增加表!AM15</f>
        <v>5213965295.1599998</v>
      </c>
      <c r="AN28" s="26">
        <f>股权价值增加表!AN15</f>
        <v>3817279631.7800002</v>
      </c>
      <c r="AO28" s="26">
        <f>股权价值增加表!AO15</f>
        <v>1623434688.2499998</v>
      </c>
      <c r="AP28" s="26">
        <f>股权价值增加表!AP15</f>
        <v>5281477622.8300009</v>
      </c>
      <c r="AQ28" s="26">
        <f>股权价值增加表!AQ15</f>
        <v>4340687719.5899992</v>
      </c>
      <c r="AR28" s="26">
        <f>股权价值增加表!AR15</f>
        <v>3088681669.3800011</v>
      </c>
      <c r="AS28" s="26">
        <f>股权价值增加表!AS15</f>
        <v>1182458284.9700003</v>
      </c>
      <c r="AT28" s="26">
        <f>股权价值增加表!AT15</f>
        <v>4475466240.9799995</v>
      </c>
      <c r="AU28" s="26">
        <f>股权价值增加表!AU15</f>
        <v>2469028799.0100002</v>
      </c>
      <c r="AV28" s="26">
        <f>股权价值增加表!AV15</f>
        <v>1327234251.7100003</v>
      </c>
      <c r="AW28" s="26">
        <f>股权价值增加表!AW15</f>
        <v>847416485.08000016</v>
      </c>
      <c r="AX28" s="26">
        <f>股权价值增加表!AX15</f>
        <v>2459083270.2400002</v>
      </c>
      <c r="AY28" s="26">
        <f>股权价值增加表!AY15</f>
        <v>1552235645.4000001</v>
      </c>
      <c r="AZ28" s="26">
        <f>股权价值增加表!AZ15</f>
        <v>965161342.11999989</v>
      </c>
      <c r="BA28" s="26">
        <f>股权价值增加表!BA15</f>
        <v>669613416.62</v>
      </c>
      <c r="BB28" s="26">
        <f>股权价值增加表!BB15</f>
        <v>1887504851.1300004</v>
      </c>
      <c r="BC28" s="26">
        <f>股权价值增加表!BC15</f>
        <v>1136484880.76</v>
      </c>
      <c r="BD28" s="26">
        <f>股权价值增加表!BD15</f>
        <v>748635044</v>
      </c>
      <c r="BE28" s="26">
        <f>股权价值增加表!BE15</f>
        <v>553948308.0999999</v>
      </c>
      <c r="BF28" s="26">
        <f>股权价值增加表!BF15</f>
        <v>1464361773.1400003</v>
      </c>
      <c r="BG28" s="26">
        <f>股权价值增加表!BG15</f>
        <v>853463721.18000007</v>
      </c>
      <c r="BH28" s="26">
        <f>股权价值增加表!BH15</f>
        <v>559754313.78999996</v>
      </c>
      <c r="BI28" s="26">
        <f>股权价值增加表!BI15</f>
        <v>394422790.95000005</v>
      </c>
      <c r="BJ28" s="26">
        <f>股权价值增加表!BJ15</f>
        <v>959558980.33999968</v>
      </c>
      <c r="BK28" s="26">
        <f>股权价值增加表!BK15</f>
        <v>581654427.37999988</v>
      </c>
      <c r="BL28" s="26">
        <f>股权价值增加表!BL15</f>
        <v>405130506.79000002</v>
      </c>
      <c r="BM28" s="26">
        <f>股权价值增加表!BM15</f>
        <v>337896003.24999994</v>
      </c>
      <c r="BN28" s="26">
        <f>股权价值增加表!BN15</f>
        <v>628559254.21000016</v>
      </c>
      <c r="BO28" s="26">
        <f>股权价值增加表!BO15</f>
        <v>510478001.96000004</v>
      </c>
      <c r="BP28" s="26">
        <f>股权价值增加表!BP15</f>
        <v>389228086.32999992</v>
      </c>
      <c r="BQ28" s="26">
        <f>股权价值增加表!BQ15</f>
        <v>334564336.5999999</v>
      </c>
      <c r="BR28" s="26">
        <f>股权价值增加表!BR15</f>
        <v>600311437.09999967</v>
      </c>
      <c r="BS28" s="26">
        <f>股权价值增加表!BS15</f>
        <v>373365639.61000001</v>
      </c>
      <c r="BT28" s="26">
        <f>股权价值增加表!BT15</f>
        <v>452474935.14999992</v>
      </c>
      <c r="BU28" s="26">
        <f>股权价值增加表!BU15</f>
        <v>364490805.42999995</v>
      </c>
      <c r="BV28" s="26">
        <f>股权价值增加表!BV15</f>
        <v>259853599.49000001</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44" t="s">
        <v>378</v>
      </c>
      <c r="E29" s="59">
        <f t="shared" ref="E29:AJ29" si="27">E28/E34</f>
        <v>0.99468216748297389</v>
      </c>
      <c r="F29" s="59">
        <f t="shared" si="27"/>
        <v>0.99989240836119164</v>
      </c>
      <c r="G29" s="59">
        <f t="shared" si="27"/>
        <v>0.99984790095705001</v>
      </c>
      <c r="H29" s="59">
        <f t="shared" si="27"/>
        <v>0.99976625867749103</v>
      </c>
      <c r="I29" s="59">
        <f t="shared" si="27"/>
        <v>0.99124600320300071</v>
      </c>
      <c r="J29" s="59">
        <f t="shared" si="27"/>
        <v>0.99992119952809644</v>
      </c>
      <c r="K29" s="59">
        <f t="shared" si="27"/>
        <v>0.99981395055585442</v>
      </c>
      <c r="L29" s="59">
        <f t="shared" si="27"/>
        <v>0.9998128361462697</v>
      </c>
      <c r="M29" s="59">
        <f t="shared" si="27"/>
        <v>0.98393204844832738</v>
      </c>
      <c r="N29" s="59">
        <f t="shared" si="27"/>
        <v>1.0004029309632472</v>
      </c>
      <c r="O29" s="59">
        <f t="shared" si="27"/>
        <v>1.0005130952843249</v>
      </c>
      <c r="P29" s="59">
        <f t="shared" si="27"/>
        <v>1.0010195621905797</v>
      </c>
      <c r="Q29" s="59">
        <f t="shared" si="27"/>
        <v>0.97968156015261698</v>
      </c>
      <c r="R29" s="59">
        <f t="shared" si="27"/>
        <v>0.99988305677273281</v>
      </c>
      <c r="S29" s="59">
        <f t="shared" si="27"/>
        <v>0.99979485113783573</v>
      </c>
      <c r="T29" s="59">
        <f t="shared" si="27"/>
        <v>0.99969608599181981</v>
      </c>
      <c r="U29" s="59">
        <f t="shared" si="27"/>
        <v>0.92330630657059687</v>
      </c>
      <c r="V29" s="59">
        <f t="shared" si="27"/>
        <v>0.99985591253473827</v>
      </c>
      <c r="W29" s="59">
        <f t="shared" si="27"/>
        <v>0.99980290975920483</v>
      </c>
      <c r="X29" s="59">
        <f t="shared" si="27"/>
        <v>0.99969525707613338</v>
      </c>
      <c r="Y29" s="59">
        <f t="shared" si="27"/>
        <v>0.92225769922784828</v>
      </c>
      <c r="Z29" s="59">
        <f t="shared" si="27"/>
        <v>0.99983023345657906</v>
      </c>
      <c r="AA29" s="59">
        <f t="shared" si="27"/>
        <v>0.99978280408089337</v>
      </c>
      <c r="AB29" s="59">
        <f t="shared" si="27"/>
        <v>0.99967718111367543</v>
      </c>
      <c r="AC29" s="59">
        <f t="shared" si="27"/>
        <v>0.92069368246111616</v>
      </c>
      <c r="AD29" s="59">
        <f t="shared" si="27"/>
        <v>0.99971770479844879</v>
      </c>
      <c r="AE29" s="59">
        <f t="shared" si="27"/>
        <v>0.99963696268828806</v>
      </c>
      <c r="AF29" s="59">
        <f t="shared" si="27"/>
        <v>0.99952563333682076</v>
      </c>
      <c r="AG29" s="59">
        <f t="shared" si="27"/>
        <v>0.93628335682287944</v>
      </c>
      <c r="AH29" s="59">
        <f t="shared" si="27"/>
        <v>0.99993285703369827</v>
      </c>
      <c r="AI29" s="59">
        <f t="shared" si="27"/>
        <v>0.99993473942561528</v>
      </c>
      <c r="AJ29" s="59">
        <f t="shared" si="27"/>
        <v>0.99993394879104525</v>
      </c>
      <c r="AK29" s="59">
        <f t="shared" ref="AK29:BP29" si="28">AK28/AK34</f>
        <v>1</v>
      </c>
      <c r="AL29" s="59">
        <f t="shared" si="28"/>
        <v>0.99979662572205497</v>
      </c>
      <c r="AM29" s="59">
        <f t="shared" si="28"/>
        <v>0.99981358889240879</v>
      </c>
      <c r="AN29" s="59">
        <f t="shared" si="28"/>
        <v>0.99980754466132671</v>
      </c>
      <c r="AO29" s="59">
        <f t="shared" si="28"/>
        <v>0.99981457882075753</v>
      </c>
      <c r="AP29" s="59">
        <f t="shared" si="28"/>
        <v>0.99974970658896234</v>
      </c>
      <c r="AQ29" s="59">
        <f t="shared" si="28"/>
        <v>0.9997647988327194</v>
      </c>
      <c r="AR29" s="59">
        <f t="shared" si="28"/>
        <v>0.99976691280262187</v>
      </c>
      <c r="AS29" s="59">
        <f t="shared" si="28"/>
        <v>0.99964575785124277</v>
      </c>
      <c r="AT29" s="59">
        <f t="shared" si="28"/>
        <v>0.99959463122315029</v>
      </c>
      <c r="AU29" s="59">
        <f t="shared" si="28"/>
        <v>0.99965182642321659</v>
      </c>
      <c r="AV29" s="59">
        <f t="shared" si="28"/>
        <v>0.9993524932200647</v>
      </c>
      <c r="AW29" s="59">
        <f t="shared" si="28"/>
        <v>1</v>
      </c>
      <c r="AX29" s="59">
        <f t="shared" si="28"/>
        <v>0.99877627489088217</v>
      </c>
      <c r="AY29" s="59">
        <f t="shared" si="28"/>
        <v>0.99990695876493774</v>
      </c>
      <c r="AZ29" s="59">
        <f t="shared" si="28"/>
        <v>0.99985037346365302</v>
      </c>
      <c r="BA29" s="59">
        <f t="shared" si="28"/>
        <v>1</v>
      </c>
      <c r="BB29" s="59">
        <f t="shared" si="28"/>
        <v>0.9997733215933704</v>
      </c>
      <c r="BC29" s="59">
        <f t="shared" si="28"/>
        <v>0.99997913061984656</v>
      </c>
      <c r="BD29" s="59">
        <f t="shared" si="28"/>
        <v>0.99996831903772909</v>
      </c>
      <c r="BE29" s="59">
        <f t="shared" si="28"/>
        <v>1.0003388803450903</v>
      </c>
      <c r="BF29" s="59">
        <f t="shared" si="28"/>
        <v>0.9997848919966007</v>
      </c>
      <c r="BG29" s="59">
        <f t="shared" si="28"/>
        <v>1</v>
      </c>
      <c r="BH29" s="59">
        <f t="shared" si="28"/>
        <v>1</v>
      </c>
      <c r="BI29" s="59">
        <f t="shared" si="28"/>
        <v>1</v>
      </c>
      <c r="BJ29" s="59">
        <f t="shared" si="28"/>
        <v>1</v>
      </c>
      <c r="BK29" s="59">
        <f t="shared" si="28"/>
        <v>1</v>
      </c>
      <c r="BL29" s="59">
        <f t="shared" si="28"/>
        <v>1</v>
      </c>
      <c r="BM29" s="59">
        <f t="shared" si="28"/>
        <v>1</v>
      </c>
      <c r="BN29" s="59">
        <f t="shared" si="28"/>
        <v>1</v>
      </c>
      <c r="BO29" s="59">
        <f t="shared" si="28"/>
        <v>1</v>
      </c>
      <c r="BP29" s="59">
        <f t="shared" si="28"/>
        <v>1</v>
      </c>
      <c r="BQ29" s="59">
        <f t="shared" ref="BQ29:CK29" si="29">BQ28/BQ34</f>
        <v>1</v>
      </c>
      <c r="BR29" s="59">
        <f t="shared" si="29"/>
        <v>1</v>
      </c>
      <c r="BS29" s="59">
        <f t="shared" si="29"/>
        <v>1</v>
      </c>
      <c r="BT29" s="59">
        <f t="shared" si="29"/>
        <v>1</v>
      </c>
      <c r="BU29" s="59">
        <f t="shared" si="29"/>
        <v>1</v>
      </c>
      <c r="BV29" s="59">
        <f t="shared" si="29"/>
        <v>1</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374</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44" t="s">
        <v>379</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375</v>
      </c>
      <c r="E32" s="26">
        <f>股权价值增加表!E27</f>
        <v>60205323.939999998</v>
      </c>
      <c r="F32" s="26">
        <f>股权价值增加表!F27</f>
        <v>3870995.16</v>
      </c>
      <c r="G32" s="26">
        <f>股权价值增加表!G27</f>
        <v>4034919.4</v>
      </c>
      <c r="H32" s="26">
        <f>股权价值增加表!H27</f>
        <v>3462806.51</v>
      </c>
      <c r="I32" s="26">
        <f>股权价值增加表!I27</f>
        <v>72002805.090000004</v>
      </c>
      <c r="J32" s="26">
        <f>股权价值增加表!J27</f>
        <v>1793233.91</v>
      </c>
      <c r="K32" s="26">
        <f>股权价值增加表!K27</f>
        <v>3205168.24</v>
      </c>
      <c r="L32" s="26">
        <f>股权价值增加表!L27</f>
        <v>2292209.29</v>
      </c>
      <c r="M32" s="26">
        <f>股权价值增加表!M27</f>
        <v>113778260.41</v>
      </c>
      <c r="N32" s="26">
        <f>股权价值增加表!N27</f>
        <v>-8545754.5800000001</v>
      </c>
      <c r="O32" s="26">
        <f>股权价值增加表!O27</f>
        <v>-7984362.4199999999</v>
      </c>
      <c r="P32" s="26">
        <f>股权价值增加表!P27</f>
        <v>-10946990.33</v>
      </c>
      <c r="Q32" s="26">
        <f>股权价值增加表!Q27</f>
        <v>124282914.44000001</v>
      </c>
      <c r="R32" s="26">
        <f>股权价值增加表!R27</f>
        <v>2476221.7599999998</v>
      </c>
      <c r="S32" s="26">
        <f>股权价值增加表!S27</f>
        <v>3010000</v>
      </c>
      <c r="T32" s="26">
        <f>股权价值增加表!T27</f>
        <v>3010000</v>
      </c>
      <c r="U32" s="26">
        <f>股权价值增加表!U27</f>
        <v>429509360.86000001</v>
      </c>
      <c r="V32" s="26">
        <f>股权价值增加表!V27</f>
        <v>3010000</v>
      </c>
      <c r="W32" s="26">
        <f>股权价值增加表!W27</f>
        <v>3010000</v>
      </c>
      <c r="X32" s="26">
        <f>股权价值增加表!X27</f>
        <v>3010000</v>
      </c>
      <c r="Y32" s="26">
        <f>股权价值增加表!Y27</f>
        <v>421711334.77999997</v>
      </c>
      <c r="Z32" s="26">
        <f>股权价值增加表!Z27</f>
        <v>3103250</v>
      </c>
      <c r="AA32" s="26">
        <f>股权价值增加表!AA27</f>
        <v>3103250</v>
      </c>
      <c r="AB32" s="26">
        <f>股权价值增加表!AB27</f>
        <v>3103250</v>
      </c>
      <c r="AC32" s="26">
        <f>股权价值增加表!AC27</f>
        <v>351197056.91999996</v>
      </c>
      <c r="AD32" s="26">
        <f>股权价值增加表!AD27</f>
        <v>3383000</v>
      </c>
      <c r="AE32" s="26">
        <f>股权价值增加表!AE27</f>
        <v>3289750</v>
      </c>
      <c r="AF32" s="26">
        <f>股权价值增加表!AF27</f>
        <v>3196500</v>
      </c>
      <c r="AG32" s="26">
        <f>股权价值增加表!AG27</f>
        <v>176954459.69</v>
      </c>
      <c r="AH32" s="26">
        <f>股权价值增加表!AH27</f>
        <v>469050</v>
      </c>
      <c r="AI32" s="26">
        <f>股权价值增加表!AI27</f>
        <v>375800</v>
      </c>
      <c r="AJ32" s="26">
        <f>股权价值增加表!AJ27</f>
        <v>282550</v>
      </c>
      <c r="AK32" s="26">
        <f>股权价值增加表!AK27</f>
        <v>0</v>
      </c>
      <c r="AL32" s="26">
        <f>股权价值增加表!AL27</f>
        <v>1209447.26</v>
      </c>
      <c r="AM32" s="26">
        <f>股权价值增加表!AM27</f>
        <v>972122.26</v>
      </c>
      <c r="AN32" s="26">
        <f>股权价值增加表!AN27</f>
        <v>734797.26</v>
      </c>
      <c r="AO32" s="26">
        <f>股权价值增加表!AO27</f>
        <v>301075</v>
      </c>
      <c r="AP32" s="26">
        <f>股权价值增加表!AP27</f>
        <v>1322250</v>
      </c>
      <c r="AQ32" s="26">
        <f>股权价值增加表!AQ27</f>
        <v>1021175</v>
      </c>
      <c r="AR32" s="26">
        <f>股权价值增加表!AR27</f>
        <v>720100</v>
      </c>
      <c r="AS32" s="26">
        <f>股权价值增加表!AS27</f>
        <v>419025</v>
      </c>
      <c r="AT32" s="26">
        <f>股权价值增加表!AT27</f>
        <v>1814950</v>
      </c>
      <c r="AU32" s="26">
        <f>股权价值增加表!AU27</f>
        <v>859950</v>
      </c>
      <c r="AV32" s="26">
        <f>股权价值增加表!AV27</f>
        <v>859950</v>
      </c>
      <c r="AW32" s="26">
        <f>股权价值增加表!AW27</f>
        <v>0</v>
      </c>
      <c r="AX32" s="26">
        <f>股权价值增加表!AX27</f>
        <v>3012928.94</v>
      </c>
      <c r="AY32" s="26">
        <f>股权价值增加表!AY27</f>
        <v>144435.35999999999</v>
      </c>
      <c r="AZ32" s="26">
        <f>股权价值增加表!AZ27</f>
        <v>144435.35999999999</v>
      </c>
      <c r="BA32" s="26">
        <f>股权价值增加表!BA27</f>
        <v>0</v>
      </c>
      <c r="BB32" s="26">
        <f>股权价值增加表!BB27</f>
        <v>427953.6</v>
      </c>
      <c r="BC32" s="26">
        <f>股权价值增加表!BC27</f>
        <v>23718.23</v>
      </c>
      <c r="BD32" s="26">
        <f>股权价值增加表!BD27</f>
        <v>23718.23</v>
      </c>
      <c r="BE32" s="26">
        <f>股权价值增加表!BE27</f>
        <v>-187658.6</v>
      </c>
      <c r="BF32" s="26">
        <f>股权价值增加表!BF27</f>
        <v>315063.71000000002</v>
      </c>
      <c r="BG32" s="26">
        <f>股权价值增加表!BG27</f>
        <v>0</v>
      </c>
      <c r="BH32" s="26">
        <f>股权价值增加表!BH27</f>
        <v>0</v>
      </c>
      <c r="BI32" s="26">
        <f>股权价值增加表!BI27</f>
        <v>0</v>
      </c>
      <c r="BJ32" s="26">
        <f>股权价值增加表!BJ27</f>
        <v>0</v>
      </c>
      <c r="BK32" s="26">
        <f>股权价值增加表!BK27</f>
        <v>0</v>
      </c>
      <c r="BL32" s="26">
        <f>股权价值增加表!BL27</f>
        <v>0</v>
      </c>
      <c r="BM32" s="26">
        <f>股权价值增加表!BM27</f>
        <v>0</v>
      </c>
      <c r="BN32" s="26">
        <f>股权价值增加表!BN27</f>
        <v>0</v>
      </c>
      <c r="BO32" s="26">
        <f>股权价值增加表!BO27</f>
        <v>0</v>
      </c>
      <c r="BP32" s="26">
        <f>股权价值增加表!BP27</f>
        <v>0</v>
      </c>
      <c r="BQ32" s="26">
        <f>股权价值增加表!BQ27</f>
        <v>0</v>
      </c>
      <c r="BR32" s="26">
        <f>股权价值增加表!BR27</f>
        <v>0</v>
      </c>
      <c r="BS32" s="26">
        <f>股权价值增加表!BS27</f>
        <v>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44" t="s">
        <v>380</v>
      </c>
      <c r="E33" s="59">
        <f>E32/E34</f>
        <v>5.3178325170260225E-3</v>
      </c>
      <c r="F33" s="59">
        <f t="shared" ref="F33:BQ33" si="32">F32/F34</f>
        <v>1.0759163880829719E-4</v>
      </c>
      <c r="G33" s="59">
        <f t="shared" si="32"/>
        <v>1.5209904294997669E-4</v>
      </c>
      <c r="H33" s="59">
        <f t="shared" si="32"/>
        <v>2.3374132250894057E-4</v>
      </c>
      <c r="I33" s="59">
        <f t="shared" si="32"/>
        <v>8.7539967969993224E-3</v>
      </c>
      <c r="J33" s="59">
        <f t="shared" si="32"/>
        <v>7.8800471903530973E-5</v>
      </c>
      <c r="K33" s="59">
        <f t="shared" si="32"/>
        <v>1.8604944414543181E-4</v>
      </c>
      <c r="L33" s="59">
        <f t="shared" si="32"/>
        <v>1.8716385373022081E-4</v>
      </c>
      <c r="M33" s="59">
        <f t="shared" si="32"/>
        <v>1.6067951551672614E-2</v>
      </c>
      <c r="N33" s="59">
        <f t="shared" si="32"/>
        <v>-4.0293096324718749E-4</v>
      </c>
      <c r="O33" s="59">
        <f t="shared" si="32"/>
        <v>-5.1309528432495072E-4</v>
      </c>
      <c r="P33" s="59">
        <f t="shared" si="32"/>
        <v>-1.019562190579667E-3</v>
      </c>
      <c r="Q33" s="59">
        <f t="shared" si="32"/>
        <v>2.0318439847383078E-2</v>
      </c>
      <c r="R33" s="59">
        <f t="shared" si="32"/>
        <v>1.1694322726727695E-4</v>
      </c>
      <c r="S33" s="59">
        <f t="shared" si="32"/>
        <v>2.0514886216428581E-4</v>
      </c>
      <c r="T33" s="59">
        <f t="shared" si="32"/>
        <v>3.0391400818014999E-4</v>
      </c>
      <c r="U33" s="59">
        <f t="shared" si="32"/>
        <v>7.6693693429403242E-2</v>
      </c>
      <c r="V33" s="59">
        <f t="shared" si="32"/>
        <v>1.4408746526172061E-4</v>
      </c>
      <c r="W33" s="59">
        <f t="shared" si="32"/>
        <v>1.9709024079519479E-4</v>
      </c>
      <c r="X33" s="59">
        <f t="shared" si="32"/>
        <v>3.0474292386664312E-4</v>
      </c>
      <c r="Y33" s="59">
        <f t="shared" si="32"/>
        <v>7.7742300772151787E-2</v>
      </c>
      <c r="Z33" s="59">
        <f t="shared" si="32"/>
        <v>1.6976654342088762E-4</v>
      </c>
      <c r="AA33" s="59">
        <f t="shared" si="32"/>
        <v>2.1719591910660338E-4</v>
      </c>
      <c r="AB33" s="59">
        <f t="shared" si="32"/>
        <v>3.2281888632455937E-4</v>
      </c>
      <c r="AC33" s="59">
        <f t="shared" si="32"/>
        <v>7.9306317538883772E-2</v>
      </c>
      <c r="AD33" s="59">
        <f t="shared" si="32"/>
        <v>2.8229520155123545E-4</v>
      </c>
      <c r="AE33" s="59">
        <f t="shared" si="32"/>
        <v>3.630373117119428E-4</v>
      </c>
      <c r="AF33" s="59">
        <f t="shared" si="32"/>
        <v>4.7436666317926605E-4</v>
      </c>
      <c r="AG33" s="59">
        <f t="shared" si="32"/>
        <v>6.3716643177120558E-2</v>
      </c>
      <c r="AH33" s="59">
        <f t="shared" si="32"/>
        <v>6.7142966301711216E-5</v>
      </c>
      <c r="AI33" s="59">
        <f t="shared" si="32"/>
        <v>6.5260574384673202E-5</v>
      </c>
      <c r="AJ33" s="59">
        <f t="shared" si="32"/>
        <v>6.6051208954780082E-5</v>
      </c>
      <c r="AK33" s="59">
        <f t="shared" si="32"/>
        <v>0</v>
      </c>
      <c r="AL33" s="59">
        <f t="shared" si="32"/>
        <v>2.0337427794494929E-4</v>
      </c>
      <c r="AM33" s="59">
        <f t="shared" si="32"/>
        <v>1.8641110759118958E-4</v>
      </c>
      <c r="AN33" s="59">
        <f t="shared" si="32"/>
        <v>1.9245533867318491E-4</v>
      </c>
      <c r="AO33" s="59">
        <f t="shared" si="32"/>
        <v>1.85421179242478E-4</v>
      </c>
      <c r="AP33" s="59">
        <f t="shared" si="32"/>
        <v>2.5029341103767185E-4</v>
      </c>
      <c r="AQ33" s="59">
        <f t="shared" si="32"/>
        <v>2.3520116728056975E-4</v>
      </c>
      <c r="AR33" s="59">
        <f t="shared" si="32"/>
        <v>2.3308719737818813E-4</v>
      </c>
      <c r="AS33" s="59">
        <f t="shared" si="32"/>
        <v>3.5424214875727657E-4</v>
      </c>
      <c r="AT33" s="59">
        <f t="shared" si="32"/>
        <v>4.0536877684976022E-4</v>
      </c>
      <c r="AU33" s="59">
        <f t="shared" si="32"/>
        <v>3.4817357678344491E-4</v>
      </c>
      <c r="AV33" s="59">
        <f t="shared" si="32"/>
        <v>6.4750677993531127E-4</v>
      </c>
      <c r="AW33" s="59">
        <f t="shared" si="32"/>
        <v>0</v>
      </c>
      <c r="AX33" s="59">
        <f t="shared" si="32"/>
        <v>1.2237251091177729E-3</v>
      </c>
      <c r="AY33" s="59">
        <f t="shared" si="32"/>
        <v>9.304123506228491E-5</v>
      </c>
      <c r="AZ33" s="59">
        <f t="shared" si="32"/>
        <v>1.4962653634691681E-4</v>
      </c>
      <c r="BA33" s="59">
        <f t="shared" si="32"/>
        <v>0</v>
      </c>
      <c r="BB33" s="59">
        <f t="shared" si="32"/>
        <v>2.2667840662962742E-4</v>
      </c>
      <c r="BC33" s="59">
        <f t="shared" si="32"/>
        <v>2.0869380153461288E-5</v>
      </c>
      <c r="BD33" s="59">
        <f t="shared" si="32"/>
        <v>3.1680962270916929E-5</v>
      </c>
      <c r="BE33" s="59">
        <f t="shared" si="32"/>
        <v>-3.3888034509032053E-4</v>
      </c>
      <c r="BF33" s="59">
        <f t="shared" si="32"/>
        <v>2.1510800339929602E-4</v>
      </c>
      <c r="BG33" s="59">
        <f t="shared" si="32"/>
        <v>0</v>
      </c>
      <c r="BH33" s="59">
        <f t="shared" si="32"/>
        <v>0</v>
      </c>
      <c r="BI33" s="59">
        <f t="shared" si="32"/>
        <v>0</v>
      </c>
      <c r="BJ33" s="59">
        <f t="shared" si="32"/>
        <v>0</v>
      </c>
      <c r="BK33" s="59">
        <f t="shared" si="32"/>
        <v>0</v>
      </c>
      <c r="BL33" s="59">
        <f t="shared" si="32"/>
        <v>0</v>
      </c>
      <c r="BM33" s="59">
        <f t="shared" si="32"/>
        <v>0</v>
      </c>
      <c r="BN33" s="59">
        <f t="shared" si="32"/>
        <v>0</v>
      </c>
      <c r="BO33" s="59">
        <f t="shared" si="32"/>
        <v>0</v>
      </c>
      <c r="BP33" s="59">
        <f t="shared" si="32"/>
        <v>0</v>
      </c>
      <c r="BQ33" s="59">
        <f t="shared" si="32"/>
        <v>0</v>
      </c>
      <c r="BR33" s="59">
        <f t="shared" ref="BR33:CJ33" si="33">BR32/BR34</f>
        <v>0</v>
      </c>
      <c r="BS33" s="59">
        <f t="shared" si="33"/>
        <v>0</v>
      </c>
      <c r="BT33" s="59">
        <f t="shared" si="33"/>
        <v>0</v>
      </c>
      <c r="BU33" s="59">
        <f t="shared" si="33"/>
        <v>0</v>
      </c>
      <c r="BV33" s="59">
        <f t="shared" si="33"/>
        <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c r="A34" s="144" t="s">
        <v>376</v>
      </c>
      <c r="E34" s="58">
        <f>股权价值增加表!E31</f>
        <v>11321402798.460001</v>
      </c>
      <c r="F34" s="58">
        <f>股权价值增加表!F31</f>
        <v>35978587210.640007</v>
      </c>
      <c r="G34" s="58">
        <f>股权价值增加表!G31</f>
        <v>26528236613.080006</v>
      </c>
      <c r="H34" s="58">
        <f>股权价值增加表!H31</f>
        <v>14814695462.619999</v>
      </c>
      <c r="I34" s="58">
        <f>股权价值增加表!I31</f>
        <v>8225134959.460001</v>
      </c>
      <c r="J34" s="58">
        <f>股权价值增加表!J31</f>
        <v>22756639226.669998</v>
      </c>
      <c r="K34" s="58">
        <f>股权价值增加表!K31</f>
        <v>17227507745.170002</v>
      </c>
      <c r="L34" s="58">
        <f>股权价值增加表!L31</f>
        <v>12247072521.300001</v>
      </c>
      <c r="M34" s="58">
        <f>股权价值增加表!M31</f>
        <v>7081068177.4899988</v>
      </c>
      <c r="N34" s="58">
        <f>股权价值增加表!N31</f>
        <v>21208979600.699997</v>
      </c>
      <c r="O34" s="58">
        <f>股权价值增加表!O31</f>
        <v>15561168975.67</v>
      </c>
      <c r="P34" s="58">
        <f>股权价值增加表!P31</f>
        <v>10736952028.18</v>
      </c>
      <c r="Q34" s="58">
        <f>股权价值增加表!Q31</f>
        <v>6116754798.7699995</v>
      </c>
      <c r="R34" s="58">
        <f>股权价值增加表!R31</f>
        <v>21174563229.219997</v>
      </c>
      <c r="S34" s="58">
        <f>股权价值增加表!S31</f>
        <v>14672272457.400002</v>
      </c>
      <c r="T34" s="58">
        <f>股权价值增加表!T31</f>
        <v>9904117345.6399994</v>
      </c>
      <c r="U34" s="58">
        <f>股权价值增加表!U31</f>
        <v>5600321769.0299997</v>
      </c>
      <c r="V34" s="58">
        <f>股权价值增加表!V31</f>
        <v>20890089186.68</v>
      </c>
      <c r="W34" s="58">
        <f>股权价值增加表!W31</f>
        <v>15272192006.340002</v>
      </c>
      <c r="X34" s="58">
        <f>股权价值增加表!X31</f>
        <v>9877177661.1199989</v>
      </c>
      <c r="Y34" s="58">
        <f>股权价值增加表!Y31</f>
        <v>5424477158.3999987</v>
      </c>
      <c r="Z34" s="58">
        <f>股权价值增加表!Z31</f>
        <v>18279514546.670002</v>
      </c>
      <c r="AA34" s="58">
        <f>股权价值增加表!AA31</f>
        <v>14287791468.48</v>
      </c>
      <c r="AB34" s="58">
        <f>股权价值增加表!AB31</f>
        <v>9612975360.0600014</v>
      </c>
      <c r="AC34" s="58">
        <f>股权价值增加表!AC31</f>
        <v>4428361671.79</v>
      </c>
      <c r="AD34" s="58">
        <f>股权价值增加表!AD31</f>
        <v>11983908976.880001</v>
      </c>
      <c r="AE34" s="58">
        <f>股权价值增加表!AE31</f>
        <v>9061740746.3900013</v>
      </c>
      <c r="AF34" s="58">
        <f>股权价值增加表!AF31</f>
        <v>6738458344.8100004</v>
      </c>
      <c r="AG34" s="58">
        <f>股权价值增加表!AG31</f>
        <v>2777209389.3600001</v>
      </c>
      <c r="AH34" s="58">
        <f>股权价值增加表!AH31</f>
        <v>6985839706.46</v>
      </c>
      <c r="AI34" s="58">
        <f>股权价值增加表!AI31</f>
        <v>5758453760.8400002</v>
      </c>
      <c r="AJ34" s="58">
        <f>股权价值增加表!AJ31</f>
        <v>4277741535.2599998</v>
      </c>
      <c r="AK34" s="58">
        <f>股权价值增加表!AK31</f>
        <v>1746532659.9299996</v>
      </c>
      <c r="AL34" s="58">
        <f>股权价值增加表!AL31</f>
        <v>5946903768.8599997</v>
      </c>
      <c r="AM34" s="58">
        <f>股权价值增加表!AM31</f>
        <v>5214937417.4200001</v>
      </c>
      <c r="AN34" s="58">
        <f>股权价值增加表!AN31</f>
        <v>3818014429.0400004</v>
      </c>
      <c r="AO34" s="58">
        <f>股权价值增加表!AO31</f>
        <v>1623735763.2499998</v>
      </c>
      <c r="AP34" s="58">
        <f>股权价值增加表!AP31</f>
        <v>5282799872.8300009</v>
      </c>
      <c r="AQ34" s="58">
        <f>股权价值增加表!AQ31</f>
        <v>4341708894.5899992</v>
      </c>
      <c r="AR34" s="58">
        <f>股权价值增加表!AR31</f>
        <v>3089401769.3800011</v>
      </c>
      <c r="AS34" s="58">
        <f>股权价值增加表!AS31</f>
        <v>1182877309.9700003</v>
      </c>
      <c r="AT34" s="58">
        <f>股权价值增加表!AT31</f>
        <v>4477281190.9799995</v>
      </c>
      <c r="AU34" s="58">
        <f>股权价值增加表!AU31</f>
        <v>2469888749.0100002</v>
      </c>
      <c r="AV34" s="58">
        <f>股权价值增加表!AV31</f>
        <v>1328094201.7100003</v>
      </c>
      <c r="AW34" s="58">
        <f>股权价值增加表!AW31</f>
        <v>847416485.08000016</v>
      </c>
      <c r="AX34" s="58">
        <f>股权价值增加表!AX31</f>
        <v>2462096199.1800003</v>
      </c>
      <c r="AY34" s="58">
        <f>股权价值增加表!AY31</f>
        <v>1552380080.76</v>
      </c>
      <c r="AZ34" s="58">
        <f>股权价值增加表!AZ31</f>
        <v>965305777.4799999</v>
      </c>
      <c r="BA34" s="58">
        <f>股权价值增加表!BA31</f>
        <v>669613416.62</v>
      </c>
      <c r="BB34" s="58">
        <f>股权价值增加表!BB31</f>
        <v>1887932804.7300003</v>
      </c>
      <c r="BC34" s="58">
        <f>股权价值增加表!BC31</f>
        <v>1136508598.99</v>
      </c>
      <c r="BD34" s="58">
        <f>股权价值增加表!BD31</f>
        <v>748658762.23000002</v>
      </c>
      <c r="BE34" s="58">
        <f>股权价值增加表!BE31</f>
        <v>553760649.49999988</v>
      </c>
      <c r="BF34" s="58">
        <f>股权价值增加表!BF31</f>
        <v>1464676836.8500004</v>
      </c>
      <c r="BG34" s="58">
        <f>股权价值增加表!BG31</f>
        <v>853463721.18000007</v>
      </c>
      <c r="BH34" s="58">
        <f>股权价值增加表!BH31</f>
        <v>559754313.78999996</v>
      </c>
      <c r="BI34" s="58">
        <f>股权价值增加表!BI31</f>
        <v>394422790.95000005</v>
      </c>
      <c r="BJ34" s="58">
        <f>股权价值增加表!BJ31</f>
        <v>959558980.33999968</v>
      </c>
      <c r="BK34" s="58">
        <f>股权价值增加表!BK31</f>
        <v>581654427.37999988</v>
      </c>
      <c r="BL34" s="58">
        <f>股权价值增加表!BL31</f>
        <v>405130506.79000002</v>
      </c>
      <c r="BM34" s="58">
        <f>股权价值增加表!BM31</f>
        <v>337896003.24999994</v>
      </c>
      <c r="BN34" s="58">
        <f>股权价值增加表!BN31</f>
        <v>628559254.21000016</v>
      </c>
      <c r="BO34" s="58">
        <f>股权价值增加表!BO31</f>
        <v>510478001.96000004</v>
      </c>
      <c r="BP34" s="58">
        <f>股权价值增加表!BP31</f>
        <v>389228086.32999992</v>
      </c>
      <c r="BQ34" s="58">
        <f>股权价值增加表!BQ31</f>
        <v>334564336.5999999</v>
      </c>
      <c r="BR34" s="58">
        <f>股权价值增加表!BR31</f>
        <v>600311437.09999967</v>
      </c>
      <c r="BS34" s="58">
        <f>股权价值增加表!BS31</f>
        <v>373365639.61000001</v>
      </c>
      <c r="BT34" s="58">
        <f>股权价值增加表!BT31</f>
        <v>452474935.14999992</v>
      </c>
      <c r="BU34" s="58">
        <f>股权价值增加表!BU31</f>
        <v>364490805.42999995</v>
      </c>
      <c r="BV34" s="58">
        <f>股权价值增加表!BV31</f>
        <v>259853599.49000001</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83" t="s">
        <v>676</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c r="A38" s="20" t="s">
        <v>381</v>
      </c>
      <c r="B38" s="1">
        <v>43465</v>
      </c>
      <c r="C38" s="1">
        <v>43373</v>
      </c>
      <c r="D38" s="1">
        <v>43281</v>
      </c>
      <c r="E38" s="1">
        <v>43190</v>
      </c>
      <c r="F38" s="1">
        <v>43100</v>
      </c>
      <c r="G38" s="1">
        <v>43008</v>
      </c>
      <c r="H38" s="1">
        <v>42916</v>
      </c>
      <c r="I38" s="1">
        <v>42825</v>
      </c>
      <c r="J38" s="1">
        <v>42735</v>
      </c>
      <c r="K38" s="1">
        <v>42643</v>
      </c>
      <c r="L38" s="1">
        <v>42551</v>
      </c>
      <c r="M38" s="1">
        <v>42460</v>
      </c>
      <c r="N38" s="1">
        <v>42369</v>
      </c>
      <c r="O38" s="1">
        <v>42277</v>
      </c>
      <c r="P38" s="1">
        <v>42185</v>
      </c>
      <c r="Q38" s="1">
        <v>42094</v>
      </c>
      <c r="R38" s="1">
        <v>42004</v>
      </c>
      <c r="S38" s="1">
        <v>41912</v>
      </c>
      <c r="T38" s="1">
        <v>41820</v>
      </c>
      <c r="U38" s="1">
        <v>41729</v>
      </c>
      <c r="V38" s="1">
        <v>41639</v>
      </c>
      <c r="W38" s="1">
        <v>41547</v>
      </c>
      <c r="X38" s="1">
        <v>41455</v>
      </c>
      <c r="Y38" s="1">
        <v>41364</v>
      </c>
      <c r="Z38" s="1">
        <v>41274</v>
      </c>
      <c r="AA38" s="1">
        <v>41182</v>
      </c>
      <c r="AB38" s="1">
        <v>41090</v>
      </c>
      <c r="AC38" s="1">
        <v>40999</v>
      </c>
      <c r="AD38" s="1">
        <v>40908</v>
      </c>
      <c r="AE38" s="1">
        <v>40816</v>
      </c>
      <c r="AF38" s="1">
        <v>40724</v>
      </c>
      <c r="AG38" s="1">
        <v>40633</v>
      </c>
      <c r="AH38" s="1">
        <v>40543</v>
      </c>
      <c r="AI38" s="1">
        <v>40451</v>
      </c>
      <c r="AJ38" s="1">
        <v>40359</v>
      </c>
      <c r="AK38" s="1">
        <v>40268</v>
      </c>
      <c r="AL38" s="1">
        <v>40178</v>
      </c>
      <c r="AM38" s="1">
        <v>40086</v>
      </c>
      <c r="AN38" s="1">
        <v>39994</v>
      </c>
      <c r="AO38" s="1">
        <v>39903</v>
      </c>
      <c r="AP38" s="1">
        <v>39813</v>
      </c>
      <c r="AQ38" s="1">
        <v>39721</v>
      </c>
      <c r="AR38" s="1">
        <v>39629</v>
      </c>
      <c r="AS38" s="1">
        <v>39538</v>
      </c>
      <c r="AT38" s="1">
        <v>39447</v>
      </c>
      <c r="AU38" s="1">
        <v>39355</v>
      </c>
      <c r="AV38" s="1">
        <v>39263</v>
      </c>
      <c r="AW38" s="1">
        <v>39172</v>
      </c>
      <c r="AX38" s="1">
        <v>39082</v>
      </c>
      <c r="AY38" s="1">
        <v>38990</v>
      </c>
      <c r="AZ38" s="1">
        <v>38898</v>
      </c>
      <c r="BA38" s="1">
        <v>38807</v>
      </c>
      <c r="BB38" s="1">
        <v>38717</v>
      </c>
      <c r="BC38" s="1">
        <v>38625</v>
      </c>
      <c r="BD38" s="1">
        <v>38533</v>
      </c>
      <c r="BE38" s="1">
        <v>38442</v>
      </c>
      <c r="BF38" s="1">
        <v>38352</v>
      </c>
      <c r="BG38" s="1">
        <v>38260</v>
      </c>
      <c r="BH38" s="1">
        <v>38168</v>
      </c>
      <c r="BI38" s="1">
        <v>38077</v>
      </c>
      <c r="BJ38" s="1">
        <v>37986</v>
      </c>
      <c r="BK38" s="1">
        <v>37894</v>
      </c>
      <c r="BL38" s="1">
        <v>37802</v>
      </c>
      <c r="BM38" s="1">
        <v>37711</v>
      </c>
      <c r="BN38" s="1">
        <v>37621</v>
      </c>
      <c r="BO38" s="1">
        <v>37529</v>
      </c>
      <c r="BP38" s="1">
        <v>37437</v>
      </c>
      <c r="BQ38" s="1">
        <v>37346</v>
      </c>
      <c r="BR38" s="1">
        <v>37256</v>
      </c>
      <c r="BS38" s="1">
        <v>37072</v>
      </c>
      <c r="BT38" s="1">
        <v>36891</v>
      </c>
      <c r="BU38" s="1">
        <v>36525</v>
      </c>
      <c r="BV38" s="1">
        <v>36160</v>
      </c>
      <c r="BW38" s="1">
        <v>25569</v>
      </c>
      <c r="BX38" s="1"/>
      <c r="BY38" s="1"/>
      <c r="BZ38" s="1"/>
      <c r="CA38" s="1"/>
      <c r="CB38" s="1"/>
      <c r="CC38" s="1"/>
      <c r="CD38" s="1"/>
      <c r="CE38" s="1"/>
      <c r="CF38" s="1"/>
      <c r="CG38" s="1"/>
      <c r="CH38" s="1"/>
      <c r="CI38" s="1"/>
      <c r="CJ38" s="1"/>
      <c r="CK38" s="1"/>
    </row>
    <row r="39" spans="1:89">
      <c r="A39" s="17" t="s">
        <v>376</v>
      </c>
      <c r="E39" s="26">
        <f>股权价值增加表!E31</f>
        <v>11321402798.460001</v>
      </c>
      <c r="F39" s="26">
        <f>股权价值增加表!F31</f>
        <v>35978587210.640007</v>
      </c>
      <c r="G39" s="26">
        <f>股权价值增加表!G31</f>
        <v>26528236613.080006</v>
      </c>
      <c r="H39" s="26">
        <f>股权价值增加表!H31</f>
        <v>14814695462.619999</v>
      </c>
      <c r="I39" s="26">
        <f>股权价值增加表!I31</f>
        <v>8225134959.460001</v>
      </c>
      <c r="J39" s="26">
        <f>股权价值增加表!J31</f>
        <v>22756639226.669998</v>
      </c>
      <c r="K39" s="26">
        <f>股权价值增加表!K31</f>
        <v>17227507745.170002</v>
      </c>
      <c r="L39" s="26">
        <f>股权价值增加表!L31</f>
        <v>12247072521.300001</v>
      </c>
      <c r="M39" s="26">
        <f>股权价值增加表!M31</f>
        <v>7081068177.4899988</v>
      </c>
      <c r="N39" s="26">
        <f>股权价值增加表!N31</f>
        <v>21208979600.699997</v>
      </c>
      <c r="O39" s="26">
        <f>股权价值增加表!O31</f>
        <v>15561168975.67</v>
      </c>
      <c r="P39" s="26">
        <f>股权价值增加表!P31</f>
        <v>10736952028.18</v>
      </c>
      <c r="Q39" s="26">
        <f>股权价值增加表!Q31</f>
        <v>6116754798.7699995</v>
      </c>
      <c r="R39" s="26">
        <f>股权价值增加表!R31</f>
        <v>21174563229.219997</v>
      </c>
      <c r="S39" s="26">
        <f>股权价值增加表!S31</f>
        <v>14672272457.400002</v>
      </c>
      <c r="T39" s="26">
        <f>股权价值增加表!T31</f>
        <v>9904117345.6399994</v>
      </c>
      <c r="U39" s="26">
        <f>股权价值增加表!U31</f>
        <v>5600321769.0299997</v>
      </c>
      <c r="V39" s="26">
        <f>股权价值增加表!V31</f>
        <v>20890089186.68</v>
      </c>
      <c r="W39" s="26">
        <f>股权价值增加表!W31</f>
        <v>15272192006.340002</v>
      </c>
      <c r="X39" s="26">
        <f>股权价值增加表!X31</f>
        <v>9877177661.1199989</v>
      </c>
      <c r="Y39" s="26">
        <f>股权价值增加表!Y31</f>
        <v>5424477158.3999987</v>
      </c>
      <c r="Z39" s="26">
        <f>股权价值增加表!Z31</f>
        <v>18279514546.670002</v>
      </c>
      <c r="AA39" s="26">
        <f>股权价值增加表!AA31</f>
        <v>14287791468.48</v>
      </c>
      <c r="AB39" s="26">
        <f>股权价值增加表!AB31</f>
        <v>9612975360.0600014</v>
      </c>
      <c r="AC39" s="26">
        <f>股权价值增加表!AC31</f>
        <v>4428361671.79</v>
      </c>
      <c r="AD39" s="26">
        <f>股权价值增加表!AD31</f>
        <v>11983908976.880001</v>
      </c>
      <c r="AE39" s="26">
        <f>股权价值增加表!AE31</f>
        <v>9061740746.3900013</v>
      </c>
      <c r="AF39" s="26">
        <f>股权价值增加表!AF31</f>
        <v>6738458344.8100004</v>
      </c>
      <c r="AG39" s="26">
        <f>股权价值增加表!AG31</f>
        <v>2777209389.3600001</v>
      </c>
      <c r="AH39" s="26">
        <f>股权价值增加表!AH31</f>
        <v>6985839706.46</v>
      </c>
      <c r="AI39" s="26">
        <f>股权价值增加表!AI31</f>
        <v>5758453760.8400002</v>
      </c>
      <c r="AJ39" s="26">
        <f>股权价值增加表!AJ31</f>
        <v>4277741535.2599998</v>
      </c>
      <c r="AK39" s="26">
        <f>股权价值增加表!AK31</f>
        <v>1746532659.9299996</v>
      </c>
      <c r="AL39" s="26">
        <f>股权价值增加表!AL31</f>
        <v>5946903768.8599997</v>
      </c>
      <c r="AM39" s="26">
        <f>股权价值增加表!AM31</f>
        <v>5214937417.4200001</v>
      </c>
      <c r="AN39" s="26">
        <f>股权价值增加表!AN31</f>
        <v>3818014429.0400004</v>
      </c>
      <c r="AO39" s="26">
        <f>股权价值增加表!AO31</f>
        <v>1623735763.2499998</v>
      </c>
      <c r="AP39" s="26">
        <f>股权价值增加表!AP31</f>
        <v>5282799872.8300009</v>
      </c>
      <c r="AQ39" s="26">
        <f>股权价值增加表!AQ31</f>
        <v>4341708894.5899992</v>
      </c>
      <c r="AR39" s="26">
        <f>股权价值增加表!AR31</f>
        <v>3089401769.3800011</v>
      </c>
      <c r="AS39" s="26">
        <f>股权价值增加表!AS31</f>
        <v>1182877309.9700003</v>
      </c>
      <c r="AT39" s="26">
        <f>股权价值增加表!AT31</f>
        <v>4477281190.9799995</v>
      </c>
      <c r="AU39" s="26">
        <f>股权价值增加表!AU31</f>
        <v>2469888749.0100002</v>
      </c>
      <c r="AV39" s="26">
        <f>股权价值增加表!AV31</f>
        <v>1328094201.7100003</v>
      </c>
      <c r="AW39" s="26">
        <f>股权价值增加表!AW31</f>
        <v>847416485.08000016</v>
      </c>
      <c r="AX39" s="26">
        <f>股权价值增加表!AX31</f>
        <v>2462096199.1800003</v>
      </c>
      <c r="AY39" s="26">
        <f>股权价值增加表!AY31</f>
        <v>1552380080.76</v>
      </c>
      <c r="AZ39" s="26">
        <f>股权价值增加表!AZ31</f>
        <v>965305777.4799999</v>
      </c>
      <c r="BA39" s="26">
        <f>股权价值增加表!BA31</f>
        <v>669613416.62</v>
      </c>
      <c r="BB39" s="26">
        <f>股权价值增加表!BB31</f>
        <v>1887932804.7300003</v>
      </c>
      <c r="BC39" s="26">
        <f>股权价值增加表!BC31</f>
        <v>1136508598.99</v>
      </c>
      <c r="BD39" s="26">
        <f>股权价值增加表!BD31</f>
        <v>748658762.23000002</v>
      </c>
      <c r="BE39" s="26">
        <f>股权价值增加表!BE31</f>
        <v>553760649.49999988</v>
      </c>
      <c r="BF39" s="26">
        <f>股权价值增加表!BF31</f>
        <v>1464676836.8500004</v>
      </c>
      <c r="BG39" s="26">
        <f>股权价值增加表!BG31</f>
        <v>853463721.18000007</v>
      </c>
      <c r="BH39" s="26">
        <f>股权价值增加表!BH31</f>
        <v>559754313.78999996</v>
      </c>
      <c r="BI39" s="26">
        <f>股权价值增加表!BI31</f>
        <v>394422790.95000005</v>
      </c>
      <c r="BJ39" s="26">
        <f>股权价值增加表!BJ31</f>
        <v>959558980.33999968</v>
      </c>
      <c r="BK39" s="26">
        <f>股权价值增加表!BK31</f>
        <v>581654427.37999988</v>
      </c>
      <c r="BL39" s="26">
        <f>股权价值增加表!BL31</f>
        <v>405130506.79000002</v>
      </c>
      <c r="BM39" s="26">
        <f>股权价值增加表!BM31</f>
        <v>337896003.24999994</v>
      </c>
      <c r="BN39" s="26">
        <f>股权价值增加表!BN31</f>
        <v>628559254.21000016</v>
      </c>
      <c r="BO39" s="26">
        <f>股权价值增加表!BO31</f>
        <v>510478001.96000004</v>
      </c>
      <c r="BP39" s="26">
        <f>股权价值增加表!BP31</f>
        <v>389228086.32999992</v>
      </c>
      <c r="BQ39" s="26">
        <f>股权价值增加表!BQ31</f>
        <v>334564336.5999999</v>
      </c>
      <c r="BR39" s="26">
        <f>股权价值增加表!BR31</f>
        <v>600311437.09999967</v>
      </c>
      <c r="BS39" s="26">
        <f>股权价值增加表!BS31</f>
        <v>373365639.61000001</v>
      </c>
      <c r="BT39" s="26">
        <f>股权价值增加表!BT31</f>
        <v>452474935.14999992</v>
      </c>
      <c r="BU39" s="26">
        <f>股权价值增加表!BU31</f>
        <v>364490805.42999995</v>
      </c>
      <c r="BV39" s="26">
        <f>股权价值增加表!BV31</f>
        <v>259853599.49000001</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382</v>
      </c>
      <c r="E40" s="26">
        <f>股权价值增加表!E38</f>
        <v>11264175984.110001</v>
      </c>
      <c r="F40" s="26">
        <f>股权价值增加表!F38</f>
        <v>36034275142.830009</v>
      </c>
      <c r="G40" s="26">
        <f>股权价值增加表!G38</f>
        <v>26567486508.830006</v>
      </c>
      <c r="H40" s="26">
        <f>股权价值增加表!H38</f>
        <v>14852183854.499998</v>
      </c>
      <c r="I40" s="26">
        <f>股权价值增加表!I38</f>
        <v>8183137442.4400005</v>
      </c>
      <c r="J40" s="26">
        <f>股权价值增加表!J38</f>
        <v>22789814415.189999</v>
      </c>
      <c r="K40" s="26">
        <f>股权价值增加表!K38</f>
        <v>17228809769.170002</v>
      </c>
      <c r="L40" s="26">
        <f>股权价值增加表!L38</f>
        <v>12259298641.900002</v>
      </c>
      <c r="M40" s="26">
        <f>股权价值增加表!M38</f>
        <v>6973838522.8899984</v>
      </c>
      <c r="N40" s="26">
        <f>股权价值增加表!N38</f>
        <v>21276246401.669998</v>
      </c>
      <c r="O40" s="26">
        <f>股权价值增加表!O38</f>
        <v>15613301029.969999</v>
      </c>
      <c r="P40" s="26">
        <f>股权价值增加表!P38</f>
        <v>10755947628.290001</v>
      </c>
      <c r="Q40" s="26">
        <f>股权价值增加表!Q38</f>
        <v>5988934856.7999992</v>
      </c>
      <c r="R40" s="26">
        <f>股权价值增加表!R38</f>
        <v>21297732023.059998</v>
      </c>
      <c r="S40" s="26">
        <f>股权价值增加表!S38</f>
        <v>14768044594.980001</v>
      </c>
      <c r="T40" s="26">
        <f>股权价值增加表!T38</f>
        <v>9958006581.3799992</v>
      </c>
      <c r="U40" s="26">
        <f>股权价值增加表!U38</f>
        <v>5194935628.4899998</v>
      </c>
      <c r="V40" s="26">
        <f>股权价值增加表!V38</f>
        <v>21319163551.360001</v>
      </c>
      <c r="W40" s="26">
        <f>股权价值增加表!W38</f>
        <v>15616018837.020002</v>
      </c>
      <c r="X40" s="26">
        <f>股权价值增加表!X38</f>
        <v>10115968194.529999</v>
      </c>
      <c r="Y40" s="26">
        <f>股权价值增加表!Y38</f>
        <v>5117285038.1499987</v>
      </c>
      <c r="Z40" s="26">
        <f>股权价值增加表!Z38</f>
        <v>18700490469.160004</v>
      </c>
      <c r="AA40" s="26">
        <f>股权价值增加表!AA38</f>
        <v>14585256656</v>
      </c>
      <c r="AB40" s="26">
        <f>股权价值增加表!AB38</f>
        <v>9800176180.670002</v>
      </c>
      <c r="AC40" s="26">
        <f>股权价值增加表!AC38</f>
        <v>4173461662.4699998</v>
      </c>
      <c r="AD40" s="26">
        <f>股权价值增加表!AD38</f>
        <v>12334660473.800001</v>
      </c>
      <c r="AE40" s="26">
        <f>股权价值增加表!AE38</f>
        <v>9279554251.710001</v>
      </c>
      <c r="AF40" s="26">
        <f>股权价值增加表!AF38</f>
        <v>6887346890</v>
      </c>
      <c r="AG40" s="26">
        <f>股权价值增加表!AG38</f>
        <v>2653821871.9400001</v>
      </c>
      <c r="AH40" s="26">
        <f>股权价值增加表!AH38</f>
        <v>7162416731.3699999</v>
      </c>
      <c r="AI40" s="26">
        <f>股权价值增加表!AI38</f>
        <v>5895784354.3600006</v>
      </c>
      <c r="AJ40" s="26">
        <f>股权价值增加表!AJ38</f>
        <v>4377516308.7699995</v>
      </c>
      <c r="AK40" s="26">
        <f>股权价值增加表!AK38</f>
        <v>1792780671.0499995</v>
      </c>
      <c r="AL40" s="26">
        <f>股权价值增加表!AL38</f>
        <v>6080539884.6399994</v>
      </c>
      <c r="AM40" s="26">
        <f>股权价值增加表!AM38</f>
        <v>5305366861.1099997</v>
      </c>
      <c r="AN40" s="26">
        <f>股权价值增加表!AN38</f>
        <v>3905799158.5500007</v>
      </c>
      <c r="AO40" s="26">
        <f>股权价值增加表!AO38</f>
        <v>1705043160.3299997</v>
      </c>
      <c r="AP40" s="26">
        <f>股权价值增加表!AP38</f>
        <v>5385300638.1600008</v>
      </c>
      <c r="AQ40" s="26">
        <f>股权价值增加表!AQ38</f>
        <v>4403890919.5999994</v>
      </c>
      <c r="AR40" s="26">
        <f>股权价值增加表!AR38</f>
        <v>3135524311.4900012</v>
      </c>
      <c r="AS40" s="26">
        <f>股权价值增加表!AS38</f>
        <v>1222557777.8900003</v>
      </c>
      <c r="AT40" s="26">
        <f>股权价值增加表!AT38</f>
        <v>4522025015.9299994</v>
      </c>
      <c r="AU40" s="26">
        <f>股权价值增加表!AU38</f>
        <v>2508046766.7200003</v>
      </c>
      <c r="AV40" s="26">
        <f>股权价值增加表!AV38</f>
        <v>1361060350.8300002</v>
      </c>
      <c r="AW40" s="26">
        <f>股权价值增加表!AW38</f>
        <v>874168408.32000017</v>
      </c>
      <c r="AX40" s="26">
        <f>股权价值增加表!AX38</f>
        <v>2487364567.0700002</v>
      </c>
      <c r="AY40" s="26">
        <f>股权价值增加表!AY38</f>
        <v>1566849093.6800001</v>
      </c>
      <c r="AZ40" s="26">
        <f>股权价值增加表!AZ38</f>
        <v>972004011.6099999</v>
      </c>
      <c r="BA40" s="26">
        <f>股权价值增加表!BA38</f>
        <v>672432555.83000004</v>
      </c>
      <c r="BB40" s="26">
        <f>股权价值增加表!BB38</f>
        <v>1920197398.6800003</v>
      </c>
      <c r="BC40" s="26">
        <f>股权价值增加表!BC38</f>
        <v>1150734502.97</v>
      </c>
      <c r="BD40" s="26">
        <f>股权价值增加表!BD38</f>
        <v>756766642.68000007</v>
      </c>
      <c r="BE40" s="26">
        <f>股权价值增加表!BE38</f>
        <v>557507573.51999986</v>
      </c>
      <c r="BF40" s="26">
        <f>股权价值增加表!BF38</f>
        <v>1490670632.3900003</v>
      </c>
      <c r="BG40" s="26">
        <f>股权价值增加表!BG38</f>
        <v>875770767.56000006</v>
      </c>
      <c r="BH40" s="26">
        <f>股权价值增加表!BH38</f>
        <v>569713175.75999999</v>
      </c>
      <c r="BI40" s="26">
        <f>股权价值增加表!BI38</f>
        <v>401170213.18000007</v>
      </c>
      <c r="BJ40" s="26">
        <f>股权价值增加表!BJ38</f>
        <v>975609206.32999969</v>
      </c>
      <c r="BK40" s="26">
        <f>股权价值增加表!BK38</f>
        <v>593899439.52999985</v>
      </c>
      <c r="BL40" s="26">
        <f>股权价值增加表!BL38</f>
        <v>409501594.28000003</v>
      </c>
      <c r="BM40" s="26">
        <f>股权价值增加表!BM38</f>
        <v>340107152.71999997</v>
      </c>
      <c r="BN40" s="26">
        <f>股权价值增加表!BN38</f>
        <v>646020756.08000016</v>
      </c>
      <c r="BO40" s="26">
        <f>股权价值增加表!BO38</f>
        <v>525737420.49000001</v>
      </c>
      <c r="BP40" s="26">
        <f>股权价值增加表!BP38</f>
        <v>401138323.20999992</v>
      </c>
      <c r="BQ40" s="26">
        <f>股权价值增加表!BQ38</f>
        <v>337226296.7899999</v>
      </c>
      <c r="BR40" s="26">
        <f>股权价值增加表!BR38</f>
        <v>606053790.58999968</v>
      </c>
      <c r="BS40" s="26">
        <f>股权价值增加表!BS38</f>
        <v>372029417.61000001</v>
      </c>
      <c r="BT40" s="26">
        <f>股权价值增加表!BT38</f>
        <v>445794869.4799999</v>
      </c>
      <c r="BU40" s="26">
        <f>股权价值增加表!BU38</f>
        <v>353213489.99999994</v>
      </c>
      <c r="BV40" s="26">
        <f>股权价值增加表!BV38</f>
        <v>217932827.72</v>
      </c>
      <c r="BW40" s="26">
        <f>股权价值增加表!BW38</f>
        <v>0</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383</v>
      </c>
      <c r="E41" s="59">
        <f>1-E40/E39</f>
        <v>5.0547458975476189E-3</v>
      </c>
      <c r="F41" s="59">
        <f t="shared" ref="F41:BQ41" si="34">1-F40/F39</f>
        <v>-1.5478076408050878E-3</v>
      </c>
      <c r="G41" s="59">
        <f t="shared" si="34"/>
        <v>-1.4795516310588397E-3</v>
      </c>
      <c r="H41" s="59">
        <f t="shared" si="34"/>
        <v>-2.5304868381930135E-3</v>
      </c>
      <c r="I41" s="59">
        <f t="shared" si="34"/>
        <v>5.1059973151805771E-3</v>
      </c>
      <c r="J41" s="59">
        <f t="shared" si="34"/>
        <v>-1.4578246018472907E-3</v>
      </c>
      <c r="K41" s="59">
        <f t="shared" si="34"/>
        <v>-7.557819849846048E-5</v>
      </c>
      <c r="L41" s="59">
        <f t="shared" si="34"/>
        <v>-9.9828923024158911E-4</v>
      </c>
      <c r="M41" s="59">
        <f t="shared" si="34"/>
        <v>1.5143146755862702E-2</v>
      </c>
      <c r="N41" s="59">
        <f t="shared" si="34"/>
        <v>-3.1716189197419364E-3</v>
      </c>
      <c r="O41" s="59">
        <f t="shared" si="34"/>
        <v>-3.3501374081541524E-3</v>
      </c>
      <c r="P41" s="59">
        <f t="shared" si="34"/>
        <v>-1.7691799367405281E-3</v>
      </c>
      <c r="Q41" s="59">
        <f t="shared" si="34"/>
        <v>2.0896692147231888E-2</v>
      </c>
      <c r="R41" s="59">
        <f t="shared" si="34"/>
        <v>-5.8168280736969891E-3</v>
      </c>
      <c r="S41" s="59">
        <f t="shared" si="34"/>
        <v>-6.527423605175553E-3</v>
      </c>
      <c r="T41" s="59">
        <f t="shared" si="34"/>
        <v>-5.4410942297369314E-3</v>
      </c>
      <c r="U41" s="59">
        <f t="shared" si="34"/>
        <v>7.2386223017006146E-2</v>
      </c>
      <c r="V41" s="59">
        <f t="shared" si="34"/>
        <v>-2.0539613825755643E-2</v>
      </c>
      <c r="W41" s="59">
        <f t="shared" si="34"/>
        <v>-2.2513260083245834E-2</v>
      </c>
      <c r="X41" s="59">
        <f t="shared" si="34"/>
        <v>-2.4175988486059286E-2</v>
      </c>
      <c r="Y41" s="59">
        <f t="shared" si="34"/>
        <v>5.663073348448E-2</v>
      </c>
      <c r="Z41" s="59">
        <f t="shared" si="34"/>
        <v>-2.3029929017819084E-2</v>
      </c>
      <c r="AA41" s="59">
        <f t="shared" si="34"/>
        <v>-2.0819535907717679E-2</v>
      </c>
      <c r="AB41" s="59">
        <f t="shared" si="34"/>
        <v>-1.9473764739664556E-2</v>
      </c>
      <c r="AC41" s="59">
        <f t="shared" si="34"/>
        <v>5.7560792955053786E-2</v>
      </c>
      <c r="AD41" s="59">
        <f t="shared" si="34"/>
        <v>-2.9268538136987488E-2</v>
      </c>
      <c r="AE41" s="59">
        <f t="shared" si="34"/>
        <v>-2.4036607470454552E-2</v>
      </c>
      <c r="AF41" s="59">
        <f t="shared" si="34"/>
        <v>-2.2095342520693118E-2</v>
      </c>
      <c r="AG41" s="59">
        <f t="shared" si="34"/>
        <v>4.4428597243232892E-2</v>
      </c>
      <c r="AH41" s="59">
        <f t="shared" si="34"/>
        <v>-2.5276420921412468E-2</v>
      </c>
      <c r="AI41" s="59">
        <f t="shared" si="34"/>
        <v>-2.3848518929492579E-2</v>
      </c>
      <c r="AJ41" s="59">
        <f t="shared" si="34"/>
        <v>-2.3324170637143427E-2</v>
      </c>
      <c r="AK41" s="59">
        <f t="shared" si="34"/>
        <v>-2.6479900537247136E-2</v>
      </c>
      <c r="AL41" s="59">
        <f t="shared" si="34"/>
        <v>-2.2471545021421679E-2</v>
      </c>
      <c r="AM41" s="59">
        <f t="shared" si="34"/>
        <v>-1.7340465752844647E-2</v>
      </c>
      <c r="AN41" s="59">
        <f t="shared" si="34"/>
        <v>-2.2992246661590832E-2</v>
      </c>
      <c r="AO41" s="59">
        <f t="shared" si="34"/>
        <v>-5.007427866049996E-2</v>
      </c>
      <c r="AP41" s="59">
        <f t="shared" si="34"/>
        <v>-1.9402734874961247E-2</v>
      </c>
      <c r="AQ41" s="59">
        <f t="shared" si="34"/>
        <v>-1.4322016173742735E-2</v>
      </c>
      <c r="AR41" s="59">
        <f t="shared" si="34"/>
        <v>-1.4929279372833504E-2</v>
      </c>
      <c r="AS41" s="59">
        <f t="shared" si="34"/>
        <v>-3.3545717366923133E-2</v>
      </c>
      <c r="AT41" s="59">
        <f t="shared" si="34"/>
        <v>-9.993525767410194E-3</v>
      </c>
      <c r="AU41" s="59">
        <f t="shared" si="34"/>
        <v>-1.5449286015531971E-2</v>
      </c>
      <c r="AV41" s="59">
        <f t="shared" si="34"/>
        <v>-2.4822146710341775E-2</v>
      </c>
      <c r="AW41" s="59">
        <f t="shared" si="34"/>
        <v>-3.1568802012949426E-2</v>
      </c>
      <c r="AX41" s="59">
        <f t="shared" si="34"/>
        <v>-1.026294906690306E-2</v>
      </c>
      <c r="AY41" s="59">
        <f t="shared" si="34"/>
        <v>-9.3205350283265265E-3</v>
      </c>
      <c r="AZ41" s="59">
        <f t="shared" si="34"/>
        <v>-6.9389765256415714E-3</v>
      </c>
      <c r="BA41" s="59">
        <f t="shared" si="34"/>
        <v>-4.2100996485856523E-3</v>
      </c>
      <c r="BB41" s="59">
        <f t="shared" si="34"/>
        <v>-1.708990588497894E-2</v>
      </c>
      <c r="BC41" s="59">
        <f t="shared" si="34"/>
        <v>-1.2517198719518952E-2</v>
      </c>
      <c r="BD41" s="59">
        <f t="shared" si="34"/>
        <v>-1.0829874515659643E-2</v>
      </c>
      <c r="BE41" s="59">
        <f t="shared" si="34"/>
        <v>-6.7663240849329398E-3</v>
      </c>
      <c r="BF41" s="59">
        <f t="shared" si="34"/>
        <v>-1.7747119969414804E-2</v>
      </c>
      <c r="BG41" s="59">
        <f t="shared" si="34"/>
        <v>-2.6137076276843141E-2</v>
      </c>
      <c r="BH41" s="59">
        <f t="shared" si="34"/>
        <v>-1.7791487666384054E-2</v>
      </c>
      <c r="BI41" s="59">
        <f t="shared" si="34"/>
        <v>-1.7107079978183615E-2</v>
      </c>
      <c r="BJ41" s="59">
        <f t="shared" si="34"/>
        <v>-1.6726669562628693E-2</v>
      </c>
      <c r="BK41" s="59">
        <f t="shared" si="34"/>
        <v>-2.1052039791317867E-2</v>
      </c>
      <c r="BL41" s="59">
        <f t="shared" si="34"/>
        <v>-1.0789331873903407E-2</v>
      </c>
      <c r="BM41" s="59">
        <f t="shared" si="34"/>
        <v>-6.5438757745945875E-3</v>
      </c>
      <c r="BN41" s="59">
        <f t="shared" si="34"/>
        <v>-2.7780200121222176E-2</v>
      </c>
      <c r="BO41" s="59">
        <f t="shared" si="34"/>
        <v>-2.989241156604372E-2</v>
      </c>
      <c r="BP41" s="59">
        <f t="shared" si="34"/>
        <v>-3.0599633732243392E-2</v>
      </c>
      <c r="BQ41" s="59">
        <f t="shared" si="34"/>
        <v>-7.9564971480585722E-3</v>
      </c>
      <c r="BR41" s="59">
        <f t="shared" ref="BR41:CK41" si="35">1-BR40/BR39</f>
        <v>-9.565623999669759E-3</v>
      </c>
      <c r="BS41" s="59">
        <f t="shared" si="35"/>
        <v>3.5788563762743086E-3</v>
      </c>
      <c r="BT41" s="59">
        <f t="shared" si="35"/>
        <v>1.4763393839231087E-2</v>
      </c>
      <c r="BU41" s="59">
        <f t="shared" si="35"/>
        <v>3.0939917446465737E-2</v>
      </c>
      <c r="BV41" s="59">
        <f t="shared" si="35"/>
        <v>0.16132457603926031</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428</v>
      </c>
      <c r="E42" s="148">
        <f>E39/(E39-E40)</f>
        <v>197.83388132035566</v>
      </c>
      <c r="F42" s="29">
        <f t="shared" ref="F42:BQ42" si="36">F39/(F39-F40)</f>
        <v>-646.0751153029737</v>
      </c>
      <c r="G42" s="29">
        <f t="shared" si="36"/>
        <v>-675.88043499656953</v>
      </c>
      <c r="H42" s="29">
        <f t="shared" si="36"/>
        <v>-395.18087385668701</v>
      </c>
      <c r="I42" s="29">
        <f t="shared" si="36"/>
        <v>195.84812491516936</v>
      </c>
      <c r="J42" s="29">
        <f t="shared" si="36"/>
        <v>-685.95357681089331</v>
      </c>
      <c r="K42" s="29">
        <f t="shared" si="36"/>
        <v>-13231.328873484668</v>
      </c>
      <c r="L42" s="29">
        <f t="shared" si="36"/>
        <v>-1001.7137015072155</v>
      </c>
      <c r="M42" s="29">
        <f t="shared" si="36"/>
        <v>66.036472875946146</v>
      </c>
      <c r="N42" s="29">
        <f t="shared" si="36"/>
        <v>-315.2963913083737</v>
      </c>
      <c r="O42" s="29">
        <f t="shared" si="36"/>
        <v>-298.49521920087136</v>
      </c>
      <c r="P42" s="29">
        <f t="shared" si="36"/>
        <v>-565.23363126218476</v>
      </c>
      <c r="Q42" s="29">
        <f t="shared" si="36"/>
        <v>47.854463900520471</v>
      </c>
      <c r="R42" s="29">
        <f t="shared" si="36"/>
        <v>-171.91500029403852</v>
      </c>
      <c r="S42" s="29">
        <f t="shared" si="36"/>
        <v>-153.19980140512192</v>
      </c>
      <c r="T42" s="29">
        <f t="shared" si="36"/>
        <v>-183.78656163216988</v>
      </c>
      <c r="U42" s="29">
        <f t="shared" si="36"/>
        <v>13.814783508804759</v>
      </c>
      <c r="V42" s="29">
        <f t="shared" si="36"/>
        <v>-48.686407080645886</v>
      </c>
      <c r="W42" s="29">
        <f t="shared" si="36"/>
        <v>-44.418267114685513</v>
      </c>
      <c r="X42" s="29">
        <f t="shared" si="36"/>
        <v>-41.363355238882228</v>
      </c>
      <c r="Y42" s="29">
        <f t="shared" si="36"/>
        <v>17.658256188294917</v>
      </c>
      <c r="Z42" s="29">
        <f t="shared" si="36"/>
        <v>-43.421757801609537</v>
      </c>
      <c r="AA42" s="29">
        <f t="shared" si="36"/>
        <v>-48.031810335854317</v>
      </c>
      <c r="AB42" s="29">
        <f t="shared" si="36"/>
        <v>-51.351139000009589</v>
      </c>
      <c r="AC42" s="29">
        <f t="shared" si="36"/>
        <v>17.372936484402626</v>
      </c>
      <c r="AD42" s="29">
        <f t="shared" si="36"/>
        <v>-34.166380135544536</v>
      </c>
      <c r="AE42" s="29">
        <f t="shared" si="36"/>
        <v>-41.603208823424367</v>
      </c>
      <c r="AF42" s="29">
        <f t="shared" si="36"/>
        <v>-45.258406791542775</v>
      </c>
      <c r="AG42" s="29">
        <f t="shared" si="36"/>
        <v>22.50802550720449</v>
      </c>
      <c r="AH42" s="29">
        <f t="shared" si="36"/>
        <v>-39.562563193148357</v>
      </c>
      <c r="AI42" s="29">
        <f t="shared" si="36"/>
        <v>-41.931325083812112</v>
      </c>
      <c r="AJ42" s="29">
        <f t="shared" si="36"/>
        <v>-42.873978910423389</v>
      </c>
      <c r="AK42" s="29">
        <f t="shared" si="36"/>
        <v>-37.76449230212873</v>
      </c>
      <c r="AL42" s="29">
        <f t="shared" si="36"/>
        <v>-44.500722983075704</v>
      </c>
      <c r="AM42" s="29">
        <f t="shared" si="36"/>
        <v>-57.668577894798105</v>
      </c>
      <c r="AN42" s="29">
        <f t="shared" si="36"/>
        <v>-43.49292240634017</v>
      </c>
      <c r="AO42" s="29">
        <f t="shared" si="36"/>
        <v>-19.97033260888151</v>
      </c>
      <c r="AP42" s="29">
        <f t="shared" si="36"/>
        <v>-51.539126130640028</v>
      </c>
      <c r="AQ42" s="29">
        <f t="shared" si="36"/>
        <v>-69.822571617629976</v>
      </c>
      <c r="AR42" s="29">
        <f t="shared" si="36"/>
        <v>-66.982469483401857</v>
      </c>
      <c r="AS42" s="29">
        <f t="shared" si="36"/>
        <v>-29.810064547494832</v>
      </c>
      <c r="AT42" s="29">
        <f t="shared" si="36"/>
        <v>-100.06478426874006</v>
      </c>
      <c r="AU42" s="29">
        <f t="shared" si="36"/>
        <v>-64.727910338034107</v>
      </c>
      <c r="AV42" s="29">
        <f t="shared" si="36"/>
        <v>-40.286604203469821</v>
      </c>
      <c r="AW42" s="29">
        <f t="shared" si="36"/>
        <v>-31.676843473179758</v>
      </c>
      <c r="AX42" s="29">
        <f t="shared" si="36"/>
        <v>-97.437880036343472</v>
      </c>
      <c r="AY42" s="29">
        <f t="shared" si="36"/>
        <v>-107.28997819983921</v>
      </c>
      <c r="AZ42" s="29">
        <f t="shared" si="36"/>
        <v>-144.11347210999932</v>
      </c>
      <c r="BA42" s="29">
        <f t="shared" si="36"/>
        <v>-237.5240691359796</v>
      </c>
      <c r="BB42" s="29">
        <f t="shared" si="36"/>
        <v>-58.514072969760633</v>
      </c>
      <c r="BC42" s="29">
        <f t="shared" si="36"/>
        <v>-79.890079434516082</v>
      </c>
      <c r="BD42" s="29">
        <f t="shared" si="36"/>
        <v>-92.337173302795264</v>
      </c>
      <c r="BE42" s="29">
        <f t="shared" si="36"/>
        <v>-147.79073355749622</v>
      </c>
      <c r="BF42" s="29">
        <f t="shared" si="36"/>
        <v>-56.347170792973102</v>
      </c>
      <c r="BG42" s="29">
        <f t="shared" si="36"/>
        <v>-38.259826363439885</v>
      </c>
      <c r="BH42" s="29">
        <f t="shared" si="36"/>
        <v>-56.206654482831269</v>
      </c>
      <c r="BI42" s="29">
        <f t="shared" si="36"/>
        <v>-58.455329680768905</v>
      </c>
      <c r="BJ42" s="29">
        <f t="shared" si="36"/>
        <v>-59.7847644598803</v>
      </c>
      <c r="BK42" s="29">
        <f t="shared" si="36"/>
        <v>-47.501335258373018</v>
      </c>
      <c r="BL42" s="29">
        <f t="shared" si="36"/>
        <v>-92.684145013532813</v>
      </c>
      <c r="BM42" s="29">
        <f t="shared" si="36"/>
        <v>-152.81463683682838</v>
      </c>
      <c r="BN42" s="29">
        <f t="shared" si="36"/>
        <v>-35.99686091663775</v>
      </c>
      <c r="BO42" s="29">
        <f t="shared" si="36"/>
        <v>-33.453306294496201</v>
      </c>
      <c r="BP42" s="29">
        <f t="shared" si="36"/>
        <v>-32.680129728032753</v>
      </c>
      <c r="BQ42" s="29">
        <f t="shared" si="36"/>
        <v>-125.68344855675704</v>
      </c>
      <c r="BR42" s="29">
        <f t="shared" ref="BR42:CK42" si="37">BR39/(BR39-BR40)</f>
        <v>-104.5410106057401</v>
      </c>
      <c r="BS42" s="29">
        <f t="shared" si="37"/>
        <v>279.41886872839996</v>
      </c>
      <c r="BT42" s="29">
        <f t="shared" si="37"/>
        <v>67.735102842184901</v>
      </c>
      <c r="BU42" s="29">
        <f t="shared" si="37"/>
        <v>32.320706793425188</v>
      </c>
      <c r="BV42" s="29">
        <f t="shared" si="37"/>
        <v>6.1986835766215655</v>
      </c>
      <c r="BW42" s="29" t="e">
        <f t="shared" si="37"/>
        <v>#DIV/0!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15" customHeight="1">
      <c r="A43" s="283" t="s">
        <v>698</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423</v>
      </c>
      <c r="B46" s="1">
        <v>43465</v>
      </c>
      <c r="C46" s="1">
        <v>43373</v>
      </c>
      <c r="D46" s="1">
        <v>43281</v>
      </c>
      <c r="E46" s="1">
        <v>43190</v>
      </c>
      <c r="F46" s="1">
        <v>43100</v>
      </c>
      <c r="G46" s="1">
        <v>43008</v>
      </c>
      <c r="H46" s="1">
        <v>42916</v>
      </c>
      <c r="I46" s="1">
        <v>42825</v>
      </c>
      <c r="J46" s="1">
        <v>42735</v>
      </c>
      <c r="K46" s="1">
        <v>42643</v>
      </c>
      <c r="L46" s="1">
        <v>42551</v>
      </c>
      <c r="M46" s="1">
        <v>42460</v>
      </c>
      <c r="N46" s="1">
        <v>42369</v>
      </c>
      <c r="O46" s="1">
        <v>42277</v>
      </c>
      <c r="P46" s="1">
        <v>42185</v>
      </c>
      <c r="Q46" s="1">
        <v>42094</v>
      </c>
      <c r="R46" s="1">
        <v>42004</v>
      </c>
      <c r="S46" s="1">
        <v>41912</v>
      </c>
      <c r="T46" s="1">
        <v>41820</v>
      </c>
      <c r="U46" s="1">
        <v>41729</v>
      </c>
      <c r="V46" s="1">
        <v>41639</v>
      </c>
      <c r="W46" s="1">
        <v>41547</v>
      </c>
      <c r="X46" s="1">
        <v>41455</v>
      </c>
      <c r="Y46" s="1">
        <v>41364</v>
      </c>
      <c r="Z46" s="1">
        <v>41274</v>
      </c>
      <c r="AA46" s="1">
        <v>41182</v>
      </c>
      <c r="AB46" s="1">
        <v>41090</v>
      </c>
      <c r="AC46" s="1">
        <v>40999</v>
      </c>
      <c r="AD46" s="1">
        <v>40908</v>
      </c>
      <c r="AE46" s="1">
        <v>40816</v>
      </c>
      <c r="AF46" s="1">
        <v>40724</v>
      </c>
      <c r="AG46" s="1">
        <v>40633</v>
      </c>
      <c r="AH46" s="1">
        <v>40543</v>
      </c>
      <c r="AI46" s="1">
        <v>40451</v>
      </c>
      <c r="AJ46" s="1">
        <v>40359</v>
      </c>
      <c r="AK46" s="1">
        <v>40268</v>
      </c>
      <c r="AL46" s="1">
        <v>40178</v>
      </c>
      <c r="AM46" s="1">
        <v>40086</v>
      </c>
      <c r="AN46" s="1">
        <v>39994</v>
      </c>
      <c r="AO46" s="1">
        <v>39903</v>
      </c>
      <c r="AP46" s="1">
        <v>39813</v>
      </c>
      <c r="AQ46" s="1">
        <v>39721</v>
      </c>
      <c r="AR46" s="1">
        <v>39629</v>
      </c>
      <c r="AS46" s="1">
        <v>39538</v>
      </c>
      <c r="AT46" s="1">
        <v>39447</v>
      </c>
      <c r="AU46" s="1">
        <v>39355</v>
      </c>
      <c r="AV46" s="1">
        <v>39263</v>
      </c>
      <c r="AW46" s="1">
        <v>39172</v>
      </c>
      <c r="AX46" s="1">
        <v>39082</v>
      </c>
      <c r="AY46" s="1">
        <v>38990</v>
      </c>
      <c r="AZ46" s="1">
        <v>38898</v>
      </c>
      <c r="BA46" s="1">
        <v>38807</v>
      </c>
      <c r="BB46" s="1">
        <v>38717</v>
      </c>
      <c r="BC46" s="1">
        <v>38625</v>
      </c>
      <c r="BD46" s="1">
        <v>38533</v>
      </c>
      <c r="BE46" s="1">
        <v>38442</v>
      </c>
      <c r="BF46" s="1">
        <v>38352</v>
      </c>
      <c r="BG46" s="1">
        <v>38260</v>
      </c>
      <c r="BH46" s="1">
        <v>38168</v>
      </c>
      <c r="BI46" s="1">
        <v>38077</v>
      </c>
      <c r="BJ46" s="1">
        <v>37986</v>
      </c>
      <c r="BK46" s="1">
        <v>37894</v>
      </c>
      <c r="BL46" s="1">
        <v>37802</v>
      </c>
      <c r="BM46" s="1">
        <v>37711</v>
      </c>
      <c r="BN46" s="1">
        <v>37621</v>
      </c>
      <c r="BO46" s="1">
        <v>37529</v>
      </c>
      <c r="BP46" s="1">
        <v>37437</v>
      </c>
      <c r="BQ46" s="1">
        <v>37346</v>
      </c>
      <c r="BR46" s="1">
        <v>37256</v>
      </c>
      <c r="BS46" s="1">
        <v>37072</v>
      </c>
      <c r="BT46" s="1">
        <v>36891</v>
      </c>
      <c r="BU46" s="1">
        <v>36525</v>
      </c>
      <c r="BV46" s="1">
        <v>36160</v>
      </c>
      <c r="BW46" s="1">
        <v>25569</v>
      </c>
      <c r="BX46" s="1"/>
      <c r="BY46" s="1"/>
      <c r="BZ46" s="1"/>
      <c r="CA46" s="1"/>
      <c r="CB46" s="1"/>
      <c r="CC46" s="1"/>
      <c r="CD46" s="1"/>
      <c r="CE46" s="1"/>
      <c r="CF46" s="1"/>
      <c r="CG46" s="1"/>
      <c r="CH46" s="1"/>
      <c r="CI46" s="1"/>
      <c r="CJ46" s="1"/>
      <c r="CK46" s="1"/>
    </row>
    <row r="47" spans="1:89" s="26" customFormat="1">
      <c r="A47" s="17" t="s">
        <v>424</v>
      </c>
      <c r="E47" s="26">
        <f>股权价值增加表!E42</f>
        <v>8222178983.8299999</v>
      </c>
      <c r="F47" s="26">
        <f>股权价值增加表!F42</f>
        <v>26300626236.230011</v>
      </c>
      <c r="G47" s="26">
        <f>股权价值增加表!G42</f>
        <v>19436117917.600006</v>
      </c>
      <c r="H47" s="26">
        <f>股权价值增加表!H42</f>
        <v>10813093032.529999</v>
      </c>
      <c r="I47" s="26">
        <f>股权价值增加表!I42</f>
        <v>5972930473.5600004</v>
      </c>
      <c r="J47" s="26">
        <f>股权价值增加表!J42</f>
        <v>16762576567.959999</v>
      </c>
      <c r="K47" s="26">
        <f>股权价值增加表!K42</f>
        <v>12521016729.060001</v>
      </c>
      <c r="L47" s="26">
        <f>股权价值增加表!L42</f>
        <v>8871216325.8100014</v>
      </c>
      <c r="M47" s="26">
        <f>股权价值增加表!M42</f>
        <v>4979181640.2499981</v>
      </c>
      <c r="N47" s="26">
        <f>股权价值增加表!N42</f>
        <v>15729528065.549999</v>
      </c>
      <c r="O47" s="26">
        <f>股权价值增加表!O42</f>
        <v>11577860805.09</v>
      </c>
      <c r="P47" s="26">
        <f>股权价值增加表!P42</f>
        <v>7971034609.000001</v>
      </c>
      <c r="Q47" s="26">
        <f>股权价值增加表!Q42</f>
        <v>4415239050.4899998</v>
      </c>
      <c r="R47" s="26">
        <f>股权价值增加表!R42</f>
        <v>15684761095.559998</v>
      </c>
      <c r="S47" s="26">
        <f>股权价值增加表!S42</f>
        <v>10964537738.960001</v>
      </c>
      <c r="T47" s="26">
        <f>股权价值增加表!T42</f>
        <v>7399365652.6099987</v>
      </c>
      <c r="U47" s="26">
        <f>股权价值增加表!U42</f>
        <v>3835518984.5299997</v>
      </c>
      <c r="V47" s="26">
        <f>股权价值增加表!V42</f>
        <v>15851703006.440001</v>
      </c>
      <c r="W47" s="26">
        <f>股权价值增加表!W42</f>
        <v>11610806987.350002</v>
      </c>
      <c r="X47" s="26">
        <f>股权价值增加表!X42</f>
        <v>7611476819.7399988</v>
      </c>
      <c r="Y47" s="26">
        <f>股权价值增加表!Y42</f>
        <v>3772760052.9199986</v>
      </c>
      <c r="Z47" s="26">
        <f>股权价值增加表!Z42</f>
        <v>14008450702.170004</v>
      </c>
      <c r="AA47" s="26">
        <f>股权价值增加表!AA42</f>
        <v>10937979773.700001</v>
      </c>
      <c r="AB47" s="26">
        <f>股权价值增加表!AB42</f>
        <v>7348939538.5500021</v>
      </c>
      <c r="AC47" s="26">
        <f>股权价值增加表!AC42</f>
        <v>3128023492.2599998</v>
      </c>
      <c r="AD47" s="26">
        <f>股权价值增加表!AD42</f>
        <v>9250323807.6200008</v>
      </c>
      <c r="AE47" s="26">
        <f>股权价值增加表!AE42</f>
        <v>6930714312.6100006</v>
      </c>
      <c r="AF47" s="26">
        <f>股权价值增加表!AF42</f>
        <v>5166306192.5299997</v>
      </c>
      <c r="AG47" s="26">
        <f>股权价值增加表!AG42</f>
        <v>1991007144.8600001</v>
      </c>
      <c r="AH47" s="26">
        <f>股权价值增加表!AH42</f>
        <v>5339761496.9699993</v>
      </c>
      <c r="AI47" s="26">
        <f>股权价值增加表!AI42</f>
        <v>4411104477.8300009</v>
      </c>
      <c r="AJ47" s="26">
        <f>股权价值增加表!AJ42</f>
        <v>3274562600.0699997</v>
      </c>
      <c r="AK47" s="26">
        <f>股权价值增加表!AK42</f>
        <v>1344382797.8099995</v>
      </c>
      <c r="AL47" s="26">
        <f>股权价值增加表!AL42</f>
        <v>4552888943.999999</v>
      </c>
      <c r="AM47" s="26">
        <f>股权价值增加表!AM42</f>
        <v>3979795618.1999998</v>
      </c>
      <c r="AN47" s="26">
        <f>股权价值增加表!AN42</f>
        <v>2928842256.250001</v>
      </c>
      <c r="AO47" s="26">
        <f>股权价值增加表!AO42</f>
        <v>1278840567.8199997</v>
      </c>
      <c r="AP47" s="26">
        <f>股权价值增加表!AP42</f>
        <v>4000759343.1100006</v>
      </c>
      <c r="AQ47" s="26">
        <f>股权价值增加表!AQ42</f>
        <v>3304198780.9999995</v>
      </c>
      <c r="AR47" s="26">
        <f>股权价值增加表!AR42</f>
        <v>2351939273.6300011</v>
      </c>
      <c r="AS47" s="26">
        <f>股权价值增加表!AS42</f>
        <v>917048744.59000039</v>
      </c>
      <c r="AT47" s="26">
        <f>股权价值增加表!AT42</f>
        <v>2966052508.9499993</v>
      </c>
      <c r="AU47" s="26">
        <f>股权价值增加表!AU42</f>
        <v>1669221956.1800003</v>
      </c>
      <c r="AV47" s="26">
        <f>股权价值增加表!AV42</f>
        <v>893948241.41000009</v>
      </c>
      <c r="AW47" s="26">
        <f>股权价值增加表!AW42</f>
        <v>561440706.10000014</v>
      </c>
      <c r="AX47" s="26">
        <f>股权价值增加表!AX42</f>
        <v>1573485812.1000001</v>
      </c>
      <c r="AY47" s="26">
        <f>股权价值增加表!AY42</f>
        <v>993614580.42000008</v>
      </c>
      <c r="AZ47" s="26">
        <f>股权价值增加表!AZ42</f>
        <v>634009995.50999987</v>
      </c>
      <c r="BA47" s="26">
        <f>股权价值增加表!BA42</f>
        <v>468498539.01000005</v>
      </c>
      <c r="BB47" s="26">
        <f>股权价值增加表!BB42</f>
        <v>1169073160.7500005</v>
      </c>
      <c r="BC47" s="26">
        <f>股权价值增加表!BC42</f>
        <v>734586763.86000001</v>
      </c>
      <c r="BD47" s="26">
        <f>股权价值增加表!BD42</f>
        <v>502671627.85000002</v>
      </c>
      <c r="BE47" s="26">
        <f>股权价值增加表!BE42</f>
        <v>383940192.03999984</v>
      </c>
      <c r="BF47" s="26">
        <f>股权价值增加表!BF42</f>
        <v>854170293.04000032</v>
      </c>
      <c r="BG47" s="26">
        <f>股权价值增加表!BG42</f>
        <v>537992536.05000007</v>
      </c>
      <c r="BH47" s="26">
        <f>股权价值增加表!BH42</f>
        <v>364052715.39999998</v>
      </c>
      <c r="BI47" s="26">
        <f>股权价值增加表!BI42</f>
        <v>271330791.21000004</v>
      </c>
      <c r="BJ47" s="26">
        <f>股权价值增加表!BJ42</f>
        <v>607068089.12999964</v>
      </c>
      <c r="BK47" s="26">
        <f>股权价值增加表!BK42</f>
        <v>367421973.21999985</v>
      </c>
      <c r="BL47" s="26">
        <f>股权价值增加表!BL42</f>
        <v>260751258.37000003</v>
      </c>
      <c r="BM47" s="26">
        <f>股权价值增加表!BM42</f>
        <v>223788291.70999998</v>
      </c>
      <c r="BN47" s="26">
        <f>股权价值增加表!BN42</f>
        <v>389236355.33000016</v>
      </c>
      <c r="BO47" s="26">
        <f>股权价值增加表!BO42</f>
        <v>317512273.94</v>
      </c>
      <c r="BP47" s="26">
        <f>股权价值增加表!BP42</f>
        <v>245607697.97999993</v>
      </c>
      <c r="BQ47" s="26">
        <f>股权价值增加表!BQ42</f>
        <v>213019772.62999991</v>
      </c>
      <c r="BR47" s="26">
        <f>股权价值增加表!BR42</f>
        <v>341141393.10999966</v>
      </c>
      <c r="BS47" s="26">
        <f>股权价值增加表!BS42</f>
        <v>229104288.61000001</v>
      </c>
      <c r="BT47" s="26">
        <f>股权价值增加表!BT42</f>
        <v>256234280.7299999</v>
      </c>
      <c r="BU47" s="26">
        <f>股权价值增加表!BU42</f>
        <v>215310984.77999994</v>
      </c>
      <c r="BV47" s="26">
        <f>股权价值增加表!BV42</f>
        <v>145858523.61000001</v>
      </c>
      <c r="BW47" s="26">
        <f>股权价值增加表!BW42</f>
        <v>0</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427</v>
      </c>
      <c r="E48" s="63">
        <f>股权价值增加表!E43</f>
        <v>0.47074892123494622</v>
      </c>
      <c r="F48" s="63">
        <f>股权价值增加表!F43</f>
        <v>0.45176215069632836</v>
      </c>
      <c r="G48" s="63">
        <f>股权价值增加表!G43</f>
        <v>0.45785403700431393</v>
      </c>
      <c r="H48" s="63">
        <f>股权价值增加表!H43</f>
        <v>0.44700618125126451</v>
      </c>
      <c r="I48" s="63">
        <f>股权价值增加表!I43</f>
        <v>0.4488009957645</v>
      </c>
      <c r="J48" s="63">
        <f>股权价值增加表!J43</f>
        <v>0.43133381239237978</v>
      </c>
      <c r="K48" s="63">
        <f>股权价值增加表!K43</f>
        <v>0.47015136870575858</v>
      </c>
      <c r="L48" s="63">
        <f>股权价值增加表!L43</f>
        <v>0.48814734884677385</v>
      </c>
      <c r="M48" s="63">
        <f>股权价值增加表!M43</f>
        <v>0.49847876665655605</v>
      </c>
      <c r="N48" s="63">
        <f>股权价值增加表!N43</f>
        <v>0.48162059252992351</v>
      </c>
      <c r="O48" s="63">
        <f>股权价值增加表!O43</f>
        <v>0.5001519016757684</v>
      </c>
      <c r="P48" s="63">
        <f>股权价值增加表!P43</f>
        <v>0.50517857289107515</v>
      </c>
      <c r="Q48" s="63">
        <f>股权价值增加表!Q43</f>
        <v>0.51674833250151608</v>
      </c>
      <c r="R48" s="63">
        <f>股权价值增加表!R43</f>
        <v>0.49676305183848596</v>
      </c>
      <c r="S48" s="63">
        <f>股权价值增加表!S43</f>
        <v>0.50485506201006192</v>
      </c>
      <c r="T48" s="63">
        <f>股权价值增加表!T43</f>
        <v>0.51665672675975371</v>
      </c>
      <c r="U48" s="63">
        <f>股权价值增加表!U43</f>
        <v>0.51484680486661016</v>
      </c>
      <c r="V48" s="63">
        <f>股权价值增加表!V43</f>
        <v>0.51263840822656748</v>
      </c>
      <c r="W48" s="63">
        <f>股权价值增加表!W43</f>
        <v>0.52931067084092442</v>
      </c>
      <c r="X48" s="63">
        <f>股权价值增加表!X43</f>
        <v>0.53875625505097768</v>
      </c>
      <c r="Y48" s="63">
        <f>股权价值增加表!Y43</f>
        <v>0.52649634402238521</v>
      </c>
      <c r="Z48" s="63">
        <f>股权价值增加表!Z43</f>
        <v>0.52951325776671399</v>
      </c>
      <c r="AA48" s="63">
        <f>股权价值增加表!AA43</f>
        <v>0.54878024576894247</v>
      </c>
      <c r="AB48" s="63">
        <f>股权价值增加表!AB43</f>
        <v>0.55403324507109164</v>
      </c>
      <c r="AC48" s="63">
        <f>股权价值增加表!AC43</f>
        <v>0.51995350151556419</v>
      </c>
      <c r="AD48" s="63">
        <f>股权价值增加表!AD43</f>
        <v>0.50267064750225587</v>
      </c>
      <c r="AE48" s="63">
        <f>股权价值增加表!AE43</f>
        <v>0.50803958112790315</v>
      </c>
      <c r="AF48" s="63">
        <f>股权价值增加表!AF43</f>
        <v>0.52578862533715431</v>
      </c>
      <c r="AG48" s="63">
        <f>股权价值增加表!AG43</f>
        <v>0.47173678807818031</v>
      </c>
      <c r="AH48" s="63">
        <f>股权价值增加表!AH43</f>
        <v>0.45900724303036539</v>
      </c>
      <c r="AI48" s="63">
        <f>股权价值增加表!AI43</f>
        <v>0.47290996440038385</v>
      </c>
      <c r="AJ48" s="63">
        <f>股权价值增加表!AJ43</f>
        <v>0.4971049324150979</v>
      </c>
      <c r="AK48" s="63">
        <f>股权价值增加表!AK43</f>
        <v>0.44224484355904253</v>
      </c>
      <c r="AL48" s="63">
        <f>股权价值增加表!AL43</f>
        <v>0.47082620310639889</v>
      </c>
      <c r="AM48" s="63">
        <f>股权价值增加表!AM43</f>
        <v>0.50975950430704597</v>
      </c>
      <c r="AN48" s="63">
        <f>股权价值增加表!AN43</f>
        <v>0.52809936370890542</v>
      </c>
      <c r="AO48" s="63">
        <f>股权价值增加表!AO43</f>
        <v>0.50898374142069081</v>
      </c>
      <c r="AP48" s="63">
        <f>股权价值增加表!AP43</f>
        <v>0.48542974759096302</v>
      </c>
      <c r="AQ48" s="63">
        <f>股权价值增加表!AQ43</f>
        <v>0.50939489372415736</v>
      </c>
      <c r="AR48" s="63">
        <f>股权价值增加表!AR43</f>
        <v>0.50910891641411804</v>
      </c>
      <c r="AS48" s="63">
        <f>股权价值增加表!AS43</f>
        <v>0.46002026724427114</v>
      </c>
      <c r="AT48" s="63">
        <f>股权价值增加表!AT43</f>
        <v>0.40982119381664334</v>
      </c>
      <c r="AU48" s="63">
        <f>股权价值增加表!AU43</f>
        <v>0.37440081690103105</v>
      </c>
      <c r="AV48" s="63">
        <f>股权价值增加表!AV43</f>
        <v>0.34002206978536192</v>
      </c>
      <c r="AW48" s="63">
        <f>股权价值增加表!AW43</f>
        <v>0.35365495015696913</v>
      </c>
      <c r="AX48" s="63">
        <f>股权价值增加表!AX43</f>
        <v>0.32136963801589008</v>
      </c>
      <c r="AY48" s="63">
        <f>股权价值增加表!AY43</f>
        <v>0.30577900495291416</v>
      </c>
      <c r="AZ48" s="63">
        <f>股权价值增加表!AZ43</f>
        <v>0.31240299183461662</v>
      </c>
      <c r="BA48" s="63">
        <f>股权价值增加表!BA43</f>
        <v>0.34588350935699008</v>
      </c>
      <c r="BB48" s="63">
        <f>股权价值增加表!BB43</f>
        <v>0.2974350918585601</v>
      </c>
      <c r="BC48" s="63">
        <f>股权价值增加表!BC43</f>
        <v>0.28468836602925857</v>
      </c>
      <c r="BD48" s="63">
        <f>股权价值增加表!BD43</f>
        <v>0.29811897792842146</v>
      </c>
      <c r="BE48" s="63">
        <f>股权价值增加表!BE43</f>
        <v>0.33560697475447621</v>
      </c>
      <c r="BF48" s="63">
        <f>股权价值增加表!BF43</f>
        <v>0.28379697390760017</v>
      </c>
      <c r="BG48" s="63">
        <f>股权价值增加表!BG43</f>
        <v>0.25984477254947991</v>
      </c>
      <c r="BH48" s="63">
        <f>股权价值增加表!BH43</f>
        <v>0.27703383622158145</v>
      </c>
      <c r="BI48" s="63">
        <f>股权价值增加表!BI43</f>
        <v>0.31792904547736711</v>
      </c>
      <c r="BJ48" s="63">
        <f>股权价值增加表!BJ43</f>
        <v>0.252837798626314</v>
      </c>
      <c r="BK48" s="63">
        <f>股权价值增加表!BK43</f>
        <v>0.23662747240398099</v>
      </c>
      <c r="BL48" s="63">
        <f>股权价值增加表!BL43</f>
        <v>0.25841324759151635</v>
      </c>
      <c r="BM48" s="63">
        <f>股权价值增加表!BM43</f>
        <v>0.30493468859767964</v>
      </c>
      <c r="BN48" s="63">
        <f>股权价值增加表!BN43</f>
        <v>0.21212966212452289</v>
      </c>
      <c r="BO48" s="63">
        <f>股权价值增加表!BO43</f>
        <v>0.23279967806574467</v>
      </c>
      <c r="BP48" s="63">
        <f>股权价值增加表!BP43</f>
        <v>0.25700477718467585</v>
      </c>
      <c r="BQ48" s="63">
        <f>股权价值增加表!BQ43</f>
        <v>0.29667878052846669</v>
      </c>
      <c r="BR48" s="63">
        <f>股权价值增加表!BR43</f>
        <v>0.21083532476414538</v>
      </c>
      <c r="BS48" s="63">
        <f>股权价值增加表!BS43</f>
        <v>0.26217400558712495</v>
      </c>
      <c r="BT48" s="63">
        <f>股权价值增加表!BT43</f>
        <v>0.23001265140925586</v>
      </c>
      <c r="BU48" s="63">
        <f>股权价值增加表!BU43</f>
        <v>0.24168940494756608</v>
      </c>
      <c r="BV48" s="63">
        <f>股权价值增加表!BV43</f>
        <v>0.23219060502552089</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425</v>
      </c>
      <c r="E49" s="59">
        <f>(E47-I47)/I47</f>
        <v>0.37657369698619597</v>
      </c>
      <c r="F49" s="59">
        <f t="shared" ref="F49:BQ49" si="38">(F47-J47)/J47</f>
        <v>0.56900856676777523</v>
      </c>
      <c r="G49" s="59">
        <f t="shared" si="38"/>
        <v>0.55227952634954647</v>
      </c>
      <c r="H49" s="59">
        <f t="shared" si="38"/>
        <v>0.21889633116828441</v>
      </c>
      <c r="I49" s="59">
        <f t="shared" si="38"/>
        <v>0.19958075545524936</v>
      </c>
      <c r="J49" s="59">
        <f t="shared" si="38"/>
        <v>6.5675746793225756E-2</v>
      </c>
      <c r="K49" s="59">
        <f t="shared" si="38"/>
        <v>8.1462019612065076E-2</v>
      </c>
      <c r="L49" s="59">
        <f t="shared" si="38"/>
        <v>0.11293160310627881</v>
      </c>
      <c r="M49" s="59">
        <f t="shared" si="38"/>
        <v>0.12772640015887982</v>
      </c>
      <c r="N49" s="59">
        <f t="shared" si="38"/>
        <v>2.8541697076070989E-3</v>
      </c>
      <c r="O49" s="59">
        <f t="shared" si="38"/>
        <v>5.5936974337795799E-2</v>
      </c>
      <c r="P49" s="59">
        <f t="shared" si="38"/>
        <v>7.7259184534062844E-2</v>
      </c>
      <c r="Q49" s="59">
        <f t="shared" si="38"/>
        <v>0.15114514314704619</v>
      </c>
      <c r="R49" s="59">
        <f t="shared" si="38"/>
        <v>-1.0531481116709053E-2</v>
      </c>
      <c r="S49" s="59">
        <f t="shared" si="38"/>
        <v>-5.5661010392655134E-2</v>
      </c>
      <c r="T49" s="59">
        <f t="shared" si="38"/>
        <v>-2.7867281495215227E-2</v>
      </c>
      <c r="U49" s="59">
        <f t="shared" si="38"/>
        <v>1.6634753000373727E-2</v>
      </c>
      <c r="V49" s="59">
        <f t="shared" si="38"/>
        <v>0.13158145347111544</v>
      </c>
      <c r="W49" s="59">
        <f t="shared" si="38"/>
        <v>6.1512932696016827E-2</v>
      </c>
      <c r="X49" s="59">
        <f t="shared" si="38"/>
        <v>3.5724512334441821E-2</v>
      </c>
      <c r="Y49" s="59">
        <f t="shared" si="38"/>
        <v>0.20611627830012752</v>
      </c>
      <c r="Z49" s="59">
        <f t="shared" si="38"/>
        <v>0.5143740904108105</v>
      </c>
      <c r="AA49" s="59">
        <f t="shared" si="38"/>
        <v>0.57818938717457036</v>
      </c>
      <c r="AB49" s="59">
        <f t="shared" si="38"/>
        <v>0.42247463945824348</v>
      </c>
      <c r="AC49" s="59">
        <f t="shared" si="38"/>
        <v>0.57107597546062561</v>
      </c>
      <c r="AD49" s="59">
        <f t="shared" si="38"/>
        <v>0.73234774865300922</v>
      </c>
      <c r="AE49" s="59">
        <f t="shared" si="38"/>
        <v>0.57119704315403041</v>
      </c>
      <c r="AF49" s="59">
        <f t="shared" si="38"/>
        <v>0.57770878847133988</v>
      </c>
      <c r="AG49" s="59">
        <f t="shared" si="38"/>
        <v>0.48098231255513846</v>
      </c>
      <c r="AH49" s="59">
        <f t="shared" si="38"/>
        <v>0.17282928765635194</v>
      </c>
      <c r="AI49" s="59">
        <f t="shared" si="38"/>
        <v>0.10837462548518394</v>
      </c>
      <c r="AJ49" s="59">
        <f t="shared" si="38"/>
        <v>0.11803993304256966</v>
      </c>
      <c r="AK49" s="59">
        <f t="shared" si="38"/>
        <v>5.1251290926536373E-2</v>
      </c>
      <c r="AL49" s="59">
        <f t="shared" si="38"/>
        <v>0.13800620170789854</v>
      </c>
      <c r="AM49" s="59">
        <f t="shared" si="38"/>
        <v>0.20446616017318855</v>
      </c>
      <c r="AN49" s="59">
        <f t="shared" si="38"/>
        <v>0.24528821347058141</v>
      </c>
      <c r="AO49" s="59">
        <f t="shared" si="38"/>
        <v>0.3945175492189909</v>
      </c>
      <c r="AP49" s="59">
        <f t="shared" si="38"/>
        <v>0.34884980324447923</v>
      </c>
      <c r="AQ49" s="59">
        <f t="shared" si="38"/>
        <v>0.9794843752005451</v>
      </c>
      <c r="AR49" s="59">
        <f t="shared" si="38"/>
        <v>1.6309568772352543</v>
      </c>
      <c r="AS49" s="59">
        <f t="shared" si="38"/>
        <v>0.63338485191107907</v>
      </c>
      <c r="AT49" s="59">
        <f t="shared" si="38"/>
        <v>0.88502018012571504</v>
      </c>
      <c r="AU49" s="59">
        <f t="shared" si="38"/>
        <v>0.67994913628825937</v>
      </c>
      <c r="AV49" s="59">
        <f t="shared" si="38"/>
        <v>0.40999076945294055</v>
      </c>
      <c r="AW49" s="59">
        <f t="shared" si="38"/>
        <v>0.19838304573243556</v>
      </c>
      <c r="AX49" s="59">
        <f t="shared" si="38"/>
        <v>0.3459258709613649</v>
      </c>
      <c r="AY49" s="59">
        <f t="shared" si="38"/>
        <v>0.35261704852793463</v>
      </c>
      <c r="AZ49" s="59">
        <f t="shared" si="38"/>
        <v>0.26128064601885975</v>
      </c>
      <c r="BA49" s="59">
        <f t="shared" si="38"/>
        <v>0.2202383306647685</v>
      </c>
      <c r="BB49" s="59">
        <f t="shared" si="38"/>
        <v>0.3686652067812588</v>
      </c>
      <c r="BC49" s="59">
        <f t="shared" si="38"/>
        <v>0.36542185000077554</v>
      </c>
      <c r="BD49" s="59">
        <f t="shared" si="38"/>
        <v>0.38076604454850349</v>
      </c>
      <c r="BE49" s="59">
        <f t="shared" si="38"/>
        <v>0.41502625016430322</v>
      </c>
      <c r="BF49" s="59">
        <f t="shared" si="38"/>
        <v>0.40704199139198266</v>
      </c>
      <c r="BG49" s="59">
        <f t="shared" si="38"/>
        <v>0.46423615151581676</v>
      </c>
      <c r="BH49" s="59">
        <f t="shared" si="38"/>
        <v>0.39616858486419093</v>
      </c>
      <c r="BI49" s="59">
        <f t="shared" si="38"/>
        <v>0.21244408783283825</v>
      </c>
      <c r="BJ49" s="59">
        <f t="shared" si="38"/>
        <v>0.5596387151845531</v>
      </c>
      <c r="BK49" s="59">
        <f t="shared" si="38"/>
        <v>0.15718982658740066</v>
      </c>
      <c r="BL49" s="59">
        <f t="shared" si="38"/>
        <v>6.1657515275572755E-2</v>
      </c>
      <c r="BM49" s="59">
        <f t="shared" si="38"/>
        <v>5.0551734926054116E-2</v>
      </c>
      <c r="BN49" s="59">
        <f t="shared" si="38"/>
        <v>0.14098248758834281</v>
      </c>
      <c r="BO49" s="59">
        <f t="shared" si="38"/>
        <v>0.38588533574111855</v>
      </c>
      <c r="BP49" s="59">
        <f t="shared" si="38"/>
        <v>-4.147213526513828E-2</v>
      </c>
      <c r="BQ49" s="59">
        <f t="shared" si="38"/>
        <v>-1.0641408529811641E-2</v>
      </c>
      <c r="BR49" s="59">
        <f t="shared" ref="BR49:CJ49" si="39">(BR47-BV47)/BV47</f>
        <v>1.3388512694818688</v>
      </c>
      <c r="BS49" s="59" t="e">
        <f t="shared" si="39"/>
        <v>#DIV/0!</v>
      </c>
      <c r="BT49" s="59">
        <f t="shared" si="39"/>
        <v>-5.4905682248036003</v>
      </c>
      <c r="BU49" s="59">
        <f t="shared" si="39"/>
        <v>-1.9886317524245365</v>
      </c>
      <c r="BV49" s="59">
        <f t="shared" si="39"/>
        <v>-4.5750916620524169</v>
      </c>
      <c r="BW49" s="59">
        <f t="shared" si="39"/>
        <v>-1</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426</v>
      </c>
      <c r="E50" s="26">
        <f>股权价值增加表!E47</f>
        <v>-189795508.60040092</v>
      </c>
      <c r="F50" s="26">
        <f>股权价值增加表!F47</f>
        <v>18619056038.22361</v>
      </c>
      <c r="G50" s="26">
        <f>股权价值增加表!G47</f>
        <v>12365650295.669605</v>
      </c>
      <c r="H50" s="26">
        <f>股权价值增加表!H47</f>
        <v>4488032978.893198</v>
      </c>
      <c r="I50" s="26">
        <f>股权价值增加表!I47</f>
        <v>-623380511.68639946</v>
      </c>
      <c r="J50" s="26">
        <f>股权价值增加表!J47</f>
        <v>10690693139.582397</v>
      </c>
      <c r="K50" s="26">
        <f>股权价值增加表!K47</f>
        <v>6818336452.1744003</v>
      </c>
      <c r="L50" s="26">
        <f>股权价值增加表!L47</f>
        <v>3482963391.1396017</v>
      </c>
      <c r="M50" s="26">
        <f>股权价值增加表!M47</f>
        <v>-696119078.91960144</v>
      </c>
      <c r="N50" s="26">
        <f>股权价值增加表!N47</f>
        <v>10430794431.846798</v>
      </c>
      <c r="O50" s="26">
        <f>股权价值增加表!O47</f>
        <v>6624353400.4435997</v>
      </c>
      <c r="P50" s="26">
        <f>股权价值增加表!P47</f>
        <v>2878092033.8368006</v>
      </c>
      <c r="Q50" s="26">
        <f>股权价值增加表!Q47</f>
        <v>-379172799.6668005</v>
      </c>
      <c r="R50" s="26">
        <f>股权价值增加表!R47</f>
        <v>11259837028.270397</v>
      </c>
      <c r="S50" s="26">
        <f>股权价值增加表!S47</f>
        <v>6937231453.2392006</v>
      </c>
      <c r="T50" s="26">
        <f>股权价值增加表!T47</f>
        <v>3669431502.1123986</v>
      </c>
      <c r="U50" s="26">
        <f>股权价值增加表!U47</f>
        <v>39233252.959599972</v>
      </c>
      <c r="V50" s="26">
        <f>股权价值增加表!V47</f>
        <v>12321375624.579201</v>
      </c>
      <c r="W50" s="26">
        <f>股权价值增加表!W47</f>
        <v>8425177571.1748018</v>
      </c>
      <c r="X50" s="26">
        <f>股权价值增加表!X47</f>
        <v>4749148245.0583992</v>
      </c>
      <c r="Y50" s="26">
        <f>股权价值增加表!Y47</f>
        <v>685109408.4863987</v>
      </c>
      <c r="Z50" s="26">
        <f>股权价值增加表!Z47</f>
        <v>11172127790.390003</v>
      </c>
      <c r="AA50" s="26">
        <f>股权价值增加表!AA47</f>
        <v>8378654536.1976013</v>
      </c>
      <c r="AB50" s="26">
        <f>股权价值增加表!AB47</f>
        <v>5076557519.859602</v>
      </c>
      <c r="AC50" s="26">
        <f>股权价值增加表!AC47</f>
        <v>845573860.09759998</v>
      </c>
      <c r="AD50" s="26">
        <f>股权价值增加表!AD47</f>
        <v>7218053438.7168007</v>
      </c>
      <c r="AE50" s="26">
        <f>股权价值增加表!AE47</f>
        <v>5084012703.307601</v>
      </c>
      <c r="AF50" s="26">
        <f>股权价值增加表!AF47</f>
        <v>3442709721.5579996</v>
      </c>
      <c r="AG50" s="26">
        <f>股权价值增加表!AG47</f>
        <v>347752662.91920018</v>
      </c>
      <c r="AH50" s="26">
        <f>股权价值增加表!AH47</f>
        <v>3855810321.4003992</v>
      </c>
      <c r="AI50" s="26">
        <f>股权价值增加表!AI47</f>
        <v>2993362862.3548012</v>
      </c>
      <c r="AJ50" s="26">
        <f>股权价值增加表!AJ47</f>
        <v>1935585536.3723998</v>
      </c>
      <c r="AK50" s="26">
        <f>股权价值增加表!AK47</f>
        <v>64706942.448399305</v>
      </c>
      <c r="AL50" s="26">
        <f>股权价值增加表!AL47</f>
        <v>3380763712.4631991</v>
      </c>
      <c r="AM50" s="26">
        <f>股权价值增加表!AM47</f>
        <v>2842541239.7175999</v>
      </c>
      <c r="AN50" s="26">
        <f>股权价值增加表!AN47</f>
        <v>1875484146.7236009</v>
      </c>
      <c r="AO50" s="26">
        <f>股权价值增加表!AO47</f>
        <v>270199969.49679959</v>
      </c>
      <c r="AP50" s="26">
        <f>股权价值增加表!AP47</f>
        <v>3080485879.4340005</v>
      </c>
      <c r="AQ50" s="26">
        <f>股权价值增加表!AQ47</f>
        <v>2439638402.2927995</v>
      </c>
      <c r="AR50" s="26">
        <f>股权价值增加表!AR47</f>
        <v>1563568475.5124011</v>
      </c>
      <c r="AS50" s="26">
        <f>股权价值增加表!AS47</f>
        <v>174173443.3876003</v>
      </c>
      <c r="AT50" s="26">
        <f>股权价值增加表!AT47</f>
        <v>2296544047.3147993</v>
      </c>
      <c r="AU50" s="26">
        <f>股权价值增加表!AU47</f>
        <v>1112990010.2336001</v>
      </c>
      <c r="AV50" s="26">
        <f>股权价值增加表!AV47</f>
        <v>396395289.77080011</v>
      </c>
      <c r="AW50" s="26">
        <f>股权价值增加表!AW47</f>
        <v>90370562.612800121</v>
      </c>
      <c r="AX50" s="26">
        <f>股权价值增加表!AX47</f>
        <v>1093883520.1456001</v>
      </c>
      <c r="AY50" s="26">
        <f>股权价值增加表!AY47</f>
        <v>560411026.17120004</v>
      </c>
      <c r="AZ50" s="26">
        <f>股权价值增加表!AZ47</f>
        <v>229332047.01879984</v>
      </c>
      <c r="BA50" s="26">
        <f>股权价值增加表!BA47</f>
        <v>21434893.270800054</v>
      </c>
      <c r="BB50" s="26">
        <f>股权价值增加表!BB47</f>
        <v>756081554.22840047</v>
      </c>
      <c r="BC50" s="26">
        <f>股权价值增加表!BC47</f>
        <v>353346496.09760004</v>
      </c>
      <c r="BD50" s="26">
        <f>股权价值增加表!BD47</f>
        <v>127324641.39000005</v>
      </c>
      <c r="BE50" s="26">
        <f>股权价值增加表!BE47</f>
        <v>15888258.920799851</v>
      </c>
      <c r="BF50" s="26">
        <f>股权价值增加表!BF47</f>
        <v>516833673.30160034</v>
      </c>
      <c r="BG50" s="26">
        <f>股权价值增加表!BG47</f>
        <v>225954586.75960004</v>
      </c>
      <c r="BH50" s="26">
        <f>股权价值增加表!BH47</f>
        <v>58681091.745599985</v>
      </c>
      <c r="BI50" s="26">
        <f>股权价值增加表!BI47</f>
        <v>-26892768.313199937</v>
      </c>
      <c r="BJ50" s="26">
        <f>股权价值增加表!BJ47</f>
        <v>329426161.85559964</v>
      </c>
      <c r="BK50" s="26">
        <f>股权价值增加表!BK47</f>
        <v>108900643.19279984</v>
      </c>
      <c r="BL50" s="26">
        <f>股权价值增加表!BL47</f>
        <v>10769404.566800028</v>
      </c>
      <c r="BM50" s="26">
        <f>股权价值增加表!BM47</f>
        <v>-24249522.394800007</v>
      </c>
      <c r="BN50" s="26">
        <f>股权价值增加表!BN47</f>
        <v>159257637.51480016</v>
      </c>
      <c r="BO50" s="26">
        <f>股权价值增加表!BO47</f>
        <v>88887925.902400017</v>
      </c>
      <c r="BP50" s="26">
        <f>股权价值增加表!BP47</f>
        <v>22883478.717599899</v>
      </c>
      <c r="BQ50" s="26">
        <f>股权价值增加表!BQ47</f>
        <v>-7097217.4980000854</v>
      </c>
      <c r="BR50" s="26">
        <f>股权价值增加表!BR47</f>
        <v>138130856.80519965</v>
      </c>
      <c r="BS50" s="26">
        <f>股权价值增加表!BS47</f>
        <v>184180656.35080001</v>
      </c>
      <c r="BT50" s="26">
        <f>股权价值增加表!BT47</f>
        <v>220731910.8867999</v>
      </c>
      <c r="BU50" s="26">
        <f>股权价值增加表!BU47</f>
        <v>192482036.36159995</v>
      </c>
      <c r="BV50" s="26">
        <f>股权价值增加表!BV47</f>
        <v>127131201.37160002</v>
      </c>
      <c r="BW50" s="26">
        <f>股权价值增加表!BW47</f>
        <v>0</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150000000000006" customHeight="1">
      <c r="A51" s="283" t="s">
        <v>683</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c r="A53" s="20" t="s">
        <v>670</v>
      </c>
      <c r="E53" s="1">
        <f>E1</f>
        <v>43190</v>
      </c>
      <c r="F53" s="1">
        <f t="shared" ref="F53:AC53" si="40">F1</f>
        <v>43100</v>
      </c>
      <c r="G53" s="1">
        <f t="shared" si="40"/>
        <v>43008</v>
      </c>
      <c r="H53" s="1">
        <f t="shared" si="40"/>
        <v>42916</v>
      </c>
      <c r="I53" s="1">
        <f t="shared" si="40"/>
        <v>42825</v>
      </c>
      <c r="J53" s="1">
        <f t="shared" si="40"/>
        <v>42735</v>
      </c>
      <c r="K53" s="1">
        <f t="shared" si="40"/>
        <v>42643</v>
      </c>
      <c r="L53" s="1">
        <f t="shared" si="40"/>
        <v>42551</v>
      </c>
      <c r="M53" s="1">
        <f t="shared" si="40"/>
        <v>42460</v>
      </c>
      <c r="N53" s="1">
        <f t="shared" si="40"/>
        <v>42369</v>
      </c>
      <c r="O53" s="1">
        <f t="shared" si="40"/>
        <v>42277</v>
      </c>
      <c r="P53" s="1">
        <f t="shared" si="40"/>
        <v>42185</v>
      </c>
      <c r="Q53" s="1">
        <f t="shared" si="40"/>
        <v>42094</v>
      </c>
      <c r="R53" s="1">
        <f t="shared" si="40"/>
        <v>42004</v>
      </c>
      <c r="S53" s="1">
        <f t="shared" si="40"/>
        <v>41912</v>
      </c>
      <c r="T53" s="1">
        <f t="shared" si="40"/>
        <v>41820</v>
      </c>
      <c r="U53" s="1">
        <f t="shared" si="40"/>
        <v>41729</v>
      </c>
      <c r="V53" s="1">
        <f t="shared" si="40"/>
        <v>41639</v>
      </c>
      <c r="W53" s="1">
        <f t="shared" si="40"/>
        <v>41547</v>
      </c>
      <c r="X53" s="1">
        <f t="shared" si="40"/>
        <v>41455</v>
      </c>
      <c r="Y53" s="1">
        <f t="shared" si="40"/>
        <v>41364</v>
      </c>
      <c r="Z53" s="1">
        <f t="shared" si="40"/>
        <v>41274</v>
      </c>
      <c r="AA53" s="1">
        <f t="shared" si="40"/>
        <v>41182</v>
      </c>
      <c r="AB53" s="1">
        <f t="shared" si="40"/>
        <v>41090</v>
      </c>
      <c r="AC53" s="1">
        <f t="shared" si="40"/>
        <v>40999</v>
      </c>
    </row>
    <row r="54" spans="1:88">
      <c r="A54" s="17" t="s">
        <v>671</v>
      </c>
      <c r="E54" s="191">
        <f>E39</f>
        <v>11321402798.460001</v>
      </c>
      <c r="F54" s="191">
        <f t="shared" ref="F54:AC54" si="41">F39</f>
        <v>35978587210.640007</v>
      </c>
      <c r="G54" s="191">
        <f t="shared" si="41"/>
        <v>26528236613.080006</v>
      </c>
      <c r="H54" s="191">
        <f t="shared" si="41"/>
        <v>14814695462.619999</v>
      </c>
      <c r="I54" s="191">
        <f t="shared" si="41"/>
        <v>8225134959.460001</v>
      </c>
      <c r="J54" s="191">
        <f t="shared" si="41"/>
        <v>22756639226.669998</v>
      </c>
      <c r="K54" s="191">
        <f t="shared" si="41"/>
        <v>17227507745.170002</v>
      </c>
      <c r="L54" s="191">
        <f t="shared" si="41"/>
        <v>12247072521.300001</v>
      </c>
      <c r="M54" s="191">
        <f t="shared" si="41"/>
        <v>7081068177.4899988</v>
      </c>
      <c r="N54" s="191">
        <f t="shared" si="41"/>
        <v>21208979600.699997</v>
      </c>
      <c r="O54" s="191">
        <f t="shared" si="41"/>
        <v>15561168975.67</v>
      </c>
      <c r="P54" s="191">
        <f t="shared" si="41"/>
        <v>10736952028.18</v>
      </c>
      <c r="Q54" s="191">
        <f t="shared" si="41"/>
        <v>6116754798.7699995</v>
      </c>
      <c r="R54" s="191">
        <f t="shared" si="41"/>
        <v>21174563229.219997</v>
      </c>
      <c r="S54" s="191">
        <f t="shared" si="41"/>
        <v>14672272457.400002</v>
      </c>
      <c r="T54" s="191">
        <f t="shared" si="41"/>
        <v>9904117345.6399994</v>
      </c>
      <c r="U54" s="191">
        <f t="shared" si="41"/>
        <v>5600321769.0299997</v>
      </c>
      <c r="V54" s="191">
        <f t="shared" si="41"/>
        <v>20890089186.68</v>
      </c>
      <c r="W54" s="191">
        <f t="shared" si="41"/>
        <v>15272192006.340002</v>
      </c>
      <c r="X54" s="191">
        <f t="shared" si="41"/>
        <v>9877177661.1199989</v>
      </c>
      <c r="Y54" s="191">
        <f t="shared" si="41"/>
        <v>5424477158.3999987</v>
      </c>
      <c r="Z54" s="191">
        <f t="shared" si="41"/>
        <v>18279514546.670002</v>
      </c>
      <c r="AA54" s="191">
        <f t="shared" si="41"/>
        <v>14287791468.48</v>
      </c>
      <c r="AB54" s="191">
        <f t="shared" si="41"/>
        <v>9612975360.0600014</v>
      </c>
      <c r="AC54" s="191">
        <f t="shared" si="41"/>
        <v>4428361671.79</v>
      </c>
    </row>
    <row r="55" spans="1:88" s="63" customFormat="1">
      <c r="A55" s="63" t="s">
        <v>672</v>
      </c>
      <c r="E55" s="63">
        <f>E54/E2</f>
        <v>0.6481904814675753</v>
      </c>
      <c r="F55" s="63">
        <f t="shared" ref="F55:AC55" si="42">F54/F2</f>
        <v>0.6179991225799798</v>
      </c>
      <c r="G55" s="63">
        <f t="shared" si="42"/>
        <v>0.62492213102420502</v>
      </c>
      <c r="H55" s="63">
        <f t="shared" si="42"/>
        <v>0.61242980387053547</v>
      </c>
      <c r="I55" s="63">
        <f t="shared" si="42"/>
        <v>0.61802975548497596</v>
      </c>
      <c r="J55" s="63">
        <f t="shared" si="42"/>
        <v>0.58557274384889602</v>
      </c>
      <c r="K55" s="63">
        <f t="shared" si="42"/>
        <v>0.64687529144358835</v>
      </c>
      <c r="L55" s="63">
        <f t="shared" si="42"/>
        <v>0.67390713548639614</v>
      </c>
      <c r="M55" s="63">
        <f t="shared" si="42"/>
        <v>0.7089040703381484</v>
      </c>
      <c r="N55" s="63">
        <f t="shared" si="42"/>
        <v>0.64939528253335588</v>
      </c>
      <c r="O55" s="63">
        <f t="shared" si="42"/>
        <v>0.67222679444009936</v>
      </c>
      <c r="P55" s="63">
        <f t="shared" si="42"/>
        <v>0.68047353560247315</v>
      </c>
      <c r="Q55" s="63">
        <f t="shared" si="42"/>
        <v>0.71588940178318505</v>
      </c>
      <c r="R55" s="63">
        <f t="shared" si="42"/>
        <v>0.67063441942204216</v>
      </c>
      <c r="S55" s="63">
        <f t="shared" si="42"/>
        <v>0.67557531358470191</v>
      </c>
      <c r="T55" s="63">
        <f t="shared" si="42"/>
        <v>0.69154966648227734</v>
      </c>
      <c r="U55" s="63">
        <f t="shared" si="42"/>
        <v>0.75173862536971237</v>
      </c>
      <c r="V55" s="63">
        <f t="shared" si="42"/>
        <v>0.67557801606678736</v>
      </c>
      <c r="W55" s="63">
        <f t="shared" si="42"/>
        <v>0.69622500872630766</v>
      </c>
      <c r="X55" s="63">
        <f t="shared" si="42"/>
        <v>0.69912730120617494</v>
      </c>
      <c r="Y55" s="63">
        <f t="shared" si="42"/>
        <v>0.75699682780517841</v>
      </c>
      <c r="Z55" s="63">
        <f t="shared" si="42"/>
        <v>0.69095758722996325</v>
      </c>
      <c r="AA55" s="63">
        <f t="shared" si="42"/>
        <v>0.71684697501644024</v>
      </c>
      <c r="AB55" s="63">
        <f t="shared" si="42"/>
        <v>0.72471788692567307</v>
      </c>
      <c r="AC55" s="63">
        <f t="shared" si="42"/>
        <v>0.73610129940582358</v>
      </c>
    </row>
    <row r="56" spans="1:88">
      <c r="A56" s="17" t="s">
        <v>673</v>
      </c>
      <c r="E56" s="191">
        <f>E23</f>
        <v>8220004848.8565598</v>
      </c>
      <c r="F56" s="191">
        <f t="shared" ref="F56:AC56" si="43">F23</f>
        <v>26257155482.86937</v>
      </c>
      <c r="G56" s="191">
        <f t="shared" si="43"/>
        <v>19404451814.334373</v>
      </c>
      <c r="H56" s="191">
        <f t="shared" si="43"/>
        <v>10783278621.240543</v>
      </c>
      <c r="I56" s="191">
        <f t="shared" si="43"/>
        <v>5951029399.4619694</v>
      </c>
      <c r="J56" s="191">
        <f t="shared" si="43"/>
        <v>16736856268.190777</v>
      </c>
      <c r="K56" s="191">
        <f t="shared" si="43"/>
        <v>12517741132.533356</v>
      </c>
      <c r="L56" s="191">
        <f t="shared" si="43"/>
        <v>8860710403.007576</v>
      </c>
      <c r="M56" s="191">
        <f t="shared" si="43"/>
        <v>4974506066.2872</v>
      </c>
      <c r="N56" s="191">
        <f t="shared" si="43"/>
        <v>15686115598.435617</v>
      </c>
      <c r="O56" s="191">
        <f t="shared" si="43"/>
        <v>11545123600.416145</v>
      </c>
      <c r="P56" s="191">
        <f t="shared" si="43"/>
        <v>7965069932.5876713</v>
      </c>
      <c r="Q56" s="191">
        <f t="shared" si="43"/>
        <v>4417846663.1033487</v>
      </c>
      <c r="R56" s="191">
        <f t="shared" si="43"/>
        <v>15592229550.398281</v>
      </c>
      <c r="S56" s="191">
        <f t="shared" si="43"/>
        <v>10891196920.650229</v>
      </c>
      <c r="T56" s="191">
        <f t="shared" si="43"/>
        <v>7357086282.0197487</v>
      </c>
      <c r="U56" s="191">
        <f t="shared" si="43"/>
        <v>3817708355.8481092</v>
      </c>
      <c r="V56" s="191">
        <f t="shared" si="43"/>
        <v>15530429941.193651</v>
      </c>
      <c r="W56" s="191">
        <f t="shared" si="43"/>
        <v>11352927207.672548</v>
      </c>
      <c r="X56" s="191">
        <f t="shared" si="43"/>
        <v>7429540783.5980339</v>
      </c>
      <c r="Y56" s="191">
        <f t="shared" si="43"/>
        <v>3688329829.7353325</v>
      </c>
      <c r="Z56" s="191">
        <f t="shared" si="43"/>
        <v>13690774960.379147</v>
      </c>
      <c r="AA56" s="191">
        <f t="shared" si="43"/>
        <v>10712573284.959608</v>
      </c>
      <c r="AB56" s="191">
        <f t="shared" si="43"/>
        <v>7206234643.9572573</v>
      </c>
      <c r="AC56" s="191">
        <f t="shared" si="43"/>
        <v>3055848532.6007786</v>
      </c>
    </row>
    <row r="57" spans="1:88" s="63" customFormat="1">
      <c r="A57" s="63" t="s">
        <v>674</v>
      </c>
      <c r="E57" s="63">
        <f>E56/E2</f>
        <v>0.47062444429332539</v>
      </c>
      <c r="F57" s="63">
        <f t="shared" ref="F57:AC57" si="44">F56/F2</f>
        <v>0.45101545969155143</v>
      </c>
      <c r="G57" s="63">
        <f t="shared" si="44"/>
        <v>0.4571080828339476</v>
      </c>
      <c r="H57" s="63">
        <f t="shared" si="44"/>
        <v>0.44577367302289167</v>
      </c>
      <c r="I57" s="63">
        <f t="shared" si="44"/>
        <v>0.44715536739045164</v>
      </c>
      <c r="J57" s="63">
        <f t="shared" si="44"/>
        <v>0.43067197887828035</v>
      </c>
      <c r="K57" s="63">
        <f t="shared" si="44"/>
        <v>0.4700283734072413</v>
      </c>
      <c r="L57" s="63">
        <f t="shared" si="44"/>
        <v>0.48756925017632752</v>
      </c>
      <c r="M57" s="63">
        <f t="shared" si="44"/>
        <v>0.498010682840624</v>
      </c>
      <c r="N57" s="63">
        <f t="shared" si="44"/>
        <v>0.48029135124260181</v>
      </c>
      <c r="O57" s="63">
        <f t="shared" si="44"/>
        <v>0.49873768747430047</v>
      </c>
      <c r="P57" s="63">
        <f t="shared" si="44"/>
        <v>0.50480055085685449</v>
      </c>
      <c r="Q57" s="63">
        <f t="shared" si="44"/>
        <v>0.51705352083998413</v>
      </c>
      <c r="R57" s="63">
        <f t="shared" si="44"/>
        <v>0.49383242047688514</v>
      </c>
      <c r="S57" s="63">
        <f t="shared" si="44"/>
        <v>0.50147813137630759</v>
      </c>
      <c r="T57" s="63">
        <f t="shared" si="44"/>
        <v>0.51370459244930566</v>
      </c>
      <c r="U57" s="63">
        <f t="shared" si="44"/>
        <v>0.51245606053539405</v>
      </c>
      <c r="V57" s="63">
        <f t="shared" si="44"/>
        <v>0.50224855215198361</v>
      </c>
      <c r="W57" s="63">
        <f t="shared" si="44"/>
        <v>0.51755450959165916</v>
      </c>
      <c r="X57" s="63">
        <f t="shared" si="44"/>
        <v>0.52587844174194198</v>
      </c>
      <c r="Y57" s="63">
        <f t="shared" si="44"/>
        <v>0.51471393453749992</v>
      </c>
      <c r="Z57" s="63">
        <f t="shared" si="44"/>
        <v>0.51750525484580012</v>
      </c>
      <c r="AA57" s="63">
        <f t="shared" si="44"/>
        <v>0.53747115297044445</v>
      </c>
      <c r="AB57" s="63">
        <f t="shared" si="44"/>
        <v>0.54327478727945955</v>
      </c>
      <c r="AC57" s="63">
        <f t="shared" si="44"/>
        <v>0.50795626968868846</v>
      </c>
    </row>
    <row r="58" spans="1:88" ht="93" customHeight="1">
      <c r="A58" s="279" t="s">
        <v>675</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3" customFormat="1">
      <c r="A60" s="225" t="s">
        <v>677</v>
      </c>
      <c r="B60" s="221"/>
      <c r="C60" s="221"/>
      <c r="D60" s="221"/>
      <c r="E60" s="226">
        <f>E53</f>
        <v>43190</v>
      </c>
      <c r="F60" s="226">
        <f t="shared" ref="F60:AC60" si="45">F53</f>
        <v>43100</v>
      </c>
      <c r="G60" s="226">
        <f t="shared" si="45"/>
        <v>43008</v>
      </c>
      <c r="H60" s="226">
        <f t="shared" si="45"/>
        <v>42916</v>
      </c>
      <c r="I60" s="226">
        <f t="shared" si="45"/>
        <v>42825</v>
      </c>
      <c r="J60" s="226">
        <f t="shared" si="45"/>
        <v>42735</v>
      </c>
      <c r="K60" s="226">
        <f t="shared" si="45"/>
        <v>42643</v>
      </c>
      <c r="L60" s="226">
        <f t="shared" si="45"/>
        <v>42551</v>
      </c>
      <c r="M60" s="226">
        <f t="shared" si="45"/>
        <v>42460</v>
      </c>
      <c r="N60" s="226">
        <f t="shared" si="45"/>
        <v>42369</v>
      </c>
      <c r="O60" s="226">
        <f t="shared" si="45"/>
        <v>42277</v>
      </c>
      <c r="P60" s="226">
        <f t="shared" si="45"/>
        <v>42185</v>
      </c>
      <c r="Q60" s="226">
        <f t="shared" si="45"/>
        <v>42094</v>
      </c>
      <c r="R60" s="226">
        <f t="shared" si="45"/>
        <v>42004</v>
      </c>
      <c r="S60" s="226">
        <f t="shared" si="45"/>
        <v>41912</v>
      </c>
      <c r="T60" s="226">
        <f t="shared" si="45"/>
        <v>41820</v>
      </c>
      <c r="U60" s="226">
        <f t="shared" si="45"/>
        <v>41729</v>
      </c>
      <c r="V60" s="226">
        <f t="shared" si="45"/>
        <v>41639</v>
      </c>
      <c r="W60" s="226">
        <f t="shared" si="45"/>
        <v>41547</v>
      </c>
      <c r="X60" s="226">
        <f t="shared" si="45"/>
        <v>41455</v>
      </c>
      <c r="Y60" s="226">
        <f t="shared" si="45"/>
        <v>41364</v>
      </c>
      <c r="Z60" s="226">
        <f t="shared" si="45"/>
        <v>41274</v>
      </c>
      <c r="AA60" s="226">
        <f t="shared" si="45"/>
        <v>41182</v>
      </c>
      <c r="AB60" s="226">
        <f t="shared" si="45"/>
        <v>41090</v>
      </c>
      <c r="AC60" s="226">
        <f t="shared" si="45"/>
        <v>40999</v>
      </c>
    </row>
    <row r="61" spans="1:88" s="191" customFormat="1">
      <c r="A61" s="89" t="s">
        <v>678</v>
      </c>
      <c r="B61" s="89"/>
      <c r="C61" s="89"/>
      <c r="D61" s="89"/>
      <c r="E61" s="89">
        <f>股权价值增加表!E38</f>
        <v>11264175984.110001</v>
      </c>
      <c r="F61" s="89">
        <f>股权价值增加表!F38</f>
        <v>36034275142.830009</v>
      </c>
      <c r="G61" s="89">
        <f>股权价值增加表!G38</f>
        <v>26567486508.830006</v>
      </c>
      <c r="H61" s="89">
        <f>股权价值增加表!H38</f>
        <v>14852183854.499998</v>
      </c>
      <c r="I61" s="89">
        <f>股权价值增加表!I38</f>
        <v>8183137442.4400005</v>
      </c>
      <c r="J61" s="89">
        <f>股权价值增加表!J38</f>
        <v>22789814415.189999</v>
      </c>
      <c r="K61" s="89">
        <f>股权价值增加表!K38</f>
        <v>17228809769.170002</v>
      </c>
      <c r="L61" s="89">
        <f>股权价值增加表!L38</f>
        <v>12259298641.900002</v>
      </c>
      <c r="M61" s="89">
        <f>股权价值增加表!M38</f>
        <v>6973838522.8899984</v>
      </c>
      <c r="N61" s="89">
        <f>股权价值增加表!N38</f>
        <v>21276246401.669998</v>
      </c>
      <c r="O61" s="89">
        <f>股权价值增加表!O38</f>
        <v>15613301029.969999</v>
      </c>
      <c r="P61" s="89">
        <f>股权价值增加表!P38</f>
        <v>10755947628.290001</v>
      </c>
      <c r="Q61" s="89">
        <f>股权价值增加表!Q38</f>
        <v>5988934856.7999992</v>
      </c>
      <c r="R61" s="89">
        <f>股权价值增加表!R38</f>
        <v>21297732023.059998</v>
      </c>
      <c r="S61" s="89">
        <f>股权价值增加表!S38</f>
        <v>14768044594.980001</v>
      </c>
      <c r="T61" s="89">
        <f>股权价值增加表!T38</f>
        <v>9958006581.3799992</v>
      </c>
      <c r="U61" s="89">
        <f>股权价值增加表!U38</f>
        <v>5194935628.4899998</v>
      </c>
      <c r="V61" s="89">
        <f>股权价值增加表!V38</f>
        <v>21319163551.360001</v>
      </c>
      <c r="W61" s="89">
        <f>股权价值增加表!W38</f>
        <v>15616018837.020002</v>
      </c>
      <c r="X61" s="89">
        <f>股权价值增加表!X38</f>
        <v>10115968194.529999</v>
      </c>
      <c r="Y61" s="89">
        <f>股权价值增加表!Y38</f>
        <v>5117285038.1499987</v>
      </c>
      <c r="Z61" s="89">
        <f>股权价值增加表!Z38</f>
        <v>18700490469.160004</v>
      </c>
      <c r="AA61" s="89">
        <f>股权价值增加表!AA38</f>
        <v>14585256656</v>
      </c>
      <c r="AB61" s="89">
        <f>股权价值增加表!AB38</f>
        <v>9800176180.670002</v>
      </c>
      <c r="AC61" s="89">
        <f>股权价值增加表!AC38</f>
        <v>4173461662.4699998</v>
      </c>
    </row>
    <row r="62" spans="1:88" s="191" customFormat="1">
      <c r="A62" s="89" t="s">
        <v>679</v>
      </c>
      <c r="B62" s="89"/>
      <c r="C62" s="89"/>
      <c r="D62" s="89"/>
      <c r="E62" s="89">
        <f>股权价值增加表!E40</f>
        <v>3041997000.2800002</v>
      </c>
      <c r="F62" s="89">
        <f>股权价值增加表!F40</f>
        <v>9733648906.6000004</v>
      </c>
      <c r="G62" s="89">
        <f>股权价值增加表!G40</f>
        <v>7131368591.2299995</v>
      </c>
      <c r="H62" s="89">
        <f>股权价值增加表!H40</f>
        <v>4039090821.9699998</v>
      </c>
      <c r="I62" s="89">
        <f>股权价值增加表!I40</f>
        <v>2210206968.8800001</v>
      </c>
      <c r="J62" s="89">
        <f>股权价值增加表!J40</f>
        <v>6027237847.2299995</v>
      </c>
      <c r="K62" s="89">
        <f>股权价值增加表!K40</f>
        <v>4707793040.1099997</v>
      </c>
      <c r="L62" s="89">
        <f>股权价值增加表!L40</f>
        <v>3388082316.0900002</v>
      </c>
      <c r="M62" s="89">
        <f>股权价值增加表!M40</f>
        <v>1994656882.6400001</v>
      </c>
      <c r="N62" s="89">
        <f>股权价值增加表!N40</f>
        <v>5546718336.1199999</v>
      </c>
      <c r="O62" s="89">
        <f>股权价值增加表!O40</f>
        <v>4035440224.8800001</v>
      </c>
      <c r="P62" s="89">
        <f>股权价值增加表!P40</f>
        <v>2784913019.29</v>
      </c>
      <c r="Q62" s="89">
        <f>股权价值增加表!Q40</f>
        <v>1573695806.3099999</v>
      </c>
      <c r="R62" s="89">
        <f>股权价值增加表!R40</f>
        <v>5612970927.5</v>
      </c>
      <c r="S62" s="89">
        <f>股权价值增加表!S40</f>
        <v>3803506856.02</v>
      </c>
      <c r="T62" s="89">
        <f>股权价值增加表!T40</f>
        <v>2558640928.77</v>
      </c>
      <c r="U62" s="89">
        <f>股权价值增加表!U40</f>
        <v>1359416643.96</v>
      </c>
      <c r="V62" s="89">
        <f>股权价值增加表!V40</f>
        <v>5467460544.9200001</v>
      </c>
      <c r="W62" s="89">
        <f>股权价值增加表!W40</f>
        <v>4005211849.6700001</v>
      </c>
      <c r="X62" s="89">
        <f>股权价值增加表!X40</f>
        <v>2504491374.79</v>
      </c>
      <c r="Y62" s="89">
        <f>股权价值增加表!Y40</f>
        <v>1344524985.23</v>
      </c>
      <c r="Z62" s="89">
        <f>股权价值增加表!Z40</f>
        <v>4692039766.9899998</v>
      </c>
      <c r="AA62" s="89">
        <f>股权价值增加表!AA40</f>
        <v>3647276882.3000002</v>
      </c>
      <c r="AB62" s="89">
        <f>股权价值增加表!AB40</f>
        <v>2451236642.1199999</v>
      </c>
      <c r="AC62" s="89">
        <f>股权价值增加表!AC40</f>
        <v>1045438170.21</v>
      </c>
    </row>
    <row r="63" spans="1:88">
      <c r="A63" s="182" t="s">
        <v>680</v>
      </c>
      <c r="B63" s="64"/>
      <c r="C63" s="64"/>
      <c r="D63" s="64"/>
      <c r="E63" s="64">
        <f>股权价值增加表!E42</f>
        <v>8222178983.8299999</v>
      </c>
      <c r="F63" s="64">
        <f>股权价值增加表!F42</f>
        <v>26300626236.230011</v>
      </c>
      <c r="G63" s="64">
        <f>股权价值增加表!G42</f>
        <v>19436117917.600006</v>
      </c>
      <c r="H63" s="64">
        <f>股权价值增加表!H42</f>
        <v>10813093032.529999</v>
      </c>
      <c r="I63" s="64">
        <f>股权价值增加表!I42</f>
        <v>5972930473.5600004</v>
      </c>
      <c r="J63" s="64">
        <f>股权价值增加表!J42</f>
        <v>16762576567.959999</v>
      </c>
      <c r="K63" s="64">
        <f>股权价值增加表!K42</f>
        <v>12521016729.060001</v>
      </c>
      <c r="L63" s="64">
        <f>股权价值增加表!L42</f>
        <v>8871216325.8100014</v>
      </c>
      <c r="M63" s="64">
        <f>股权价值增加表!M42</f>
        <v>4979181640.2499981</v>
      </c>
      <c r="N63" s="64">
        <f>股权价值增加表!N42</f>
        <v>15729528065.549999</v>
      </c>
      <c r="O63" s="64">
        <f>股权价值增加表!O42</f>
        <v>11577860805.09</v>
      </c>
      <c r="P63" s="64">
        <f>股权价值增加表!P42</f>
        <v>7971034609.000001</v>
      </c>
      <c r="Q63" s="64">
        <f>股权价值增加表!Q42</f>
        <v>4415239050.4899998</v>
      </c>
      <c r="R63" s="64">
        <f>股权价值增加表!R42</f>
        <v>15684761095.559998</v>
      </c>
      <c r="S63" s="64">
        <f>股权价值增加表!S42</f>
        <v>10964537738.960001</v>
      </c>
      <c r="T63" s="64">
        <f>股权价值增加表!T42</f>
        <v>7399365652.6099987</v>
      </c>
      <c r="U63" s="64">
        <f>股权价值增加表!U42</f>
        <v>3835518984.5299997</v>
      </c>
      <c r="V63" s="64">
        <f>股权价值增加表!V42</f>
        <v>15851703006.440001</v>
      </c>
      <c r="W63" s="64">
        <f>股权价值增加表!W42</f>
        <v>11610806987.350002</v>
      </c>
      <c r="X63" s="64">
        <f>股权价值增加表!X42</f>
        <v>7611476819.7399988</v>
      </c>
      <c r="Y63" s="64">
        <f>股权价值增加表!Y42</f>
        <v>3772760052.9199986</v>
      </c>
      <c r="Z63" s="64">
        <f>股权价值增加表!Z42</f>
        <v>14008450702.170004</v>
      </c>
      <c r="AA63" s="64">
        <f>股权价值增加表!AA42</f>
        <v>10937979773.700001</v>
      </c>
      <c r="AB63" s="64">
        <f>股权价值增加表!AB42</f>
        <v>7348939538.5500021</v>
      </c>
      <c r="AC63" s="64">
        <f>股权价值增加表!AC42</f>
        <v>3128023492.2599998</v>
      </c>
    </row>
    <row r="64" spans="1:88" s="63" customFormat="1">
      <c r="A64" s="212" t="s">
        <v>681</v>
      </c>
      <c r="B64" s="212"/>
      <c r="C64" s="212"/>
      <c r="D64" s="212"/>
      <c r="E64" s="212">
        <f>1-E63/E61</f>
        <v>0.27005943484647654</v>
      </c>
      <c r="F64" s="212">
        <f t="shared" ref="F64:AC64" si="46">1-F63/F61</f>
        <v>0.27012195660987981</v>
      </c>
      <c r="G64" s="212">
        <f t="shared" si="46"/>
        <v>0.26842466218472749</v>
      </c>
      <c r="H64" s="212">
        <f t="shared" si="46"/>
        <v>0.27195265433953086</v>
      </c>
      <c r="I64" s="212">
        <f t="shared" si="46"/>
        <v>0.27009285673454031</v>
      </c>
      <c r="J64" s="212">
        <f t="shared" si="46"/>
        <v>0.26447068578200839</v>
      </c>
      <c r="K64" s="212">
        <f t="shared" si="46"/>
        <v>0.27325120557859628</v>
      </c>
      <c r="L64" s="212">
        <f t="shared" si="46"/>
        <v>0.27636836454168479</v>
      </c>
      <c r="M64" s="212">
        <f t="shared" si="46"/>
        <v>0.28601994096837835</v>
      </c>
      <c r="N64" s="212">
        <f t="shared" si="46"/>
        <v>0.26070004226331156</v>
      </c>
      <c r="O64" s="212">
        <f t="shared" si="46"/>
        <v>0.25846169347109249</v>
      </c>
      <c r="P64" s="212">
        <f t="shared" si="46"/>
        <v>0.25891842499913231</v>
      </c>
      <c r="Q64" s="212">
        <f t="shared" si="46"/>
        <v>0.26276722721790546</v>
      </c>
      <c r="R64" s="212">
        <f t="shared" si="46"/>
        <v>0.26354782384446329</v>
      </c>
      <c r="S64" s="212">
        <f t="shared" si="46"/>
        <v>0.25754979486674223</v>
      </c>
      <c r="T64" s="212">
        <f t="shared" si="46"/>
        <v>0.2569430847288533</v>
      </c>
      <c r="U64" s="212">
        <f t="shared" si="46"/>
        <v>0.26168113354566025</v>
      </c>
      <c r="V64" s="212">
        <f t="shared" si="46"/>
        <v>0.25645755433829942</v>
      </c>
      <c r="W64" s="212">
        <f t="shared" si="46"/>
        <v>0.25648098221904503</v>
      </c>
      <c r="X64" s="212">
        <f t="shared" si="46"/>
        <v>0.24757801988189843</v>
      </c>
      <c r="Y64" s="212">
        <f t="shared" si="46"/>
        <v>0.26274185924887872</v>
      </c>
      <c r="Z64" s="212">
        <f t="shared" si="46"/>
        <v>0.25090463668468466</v>
      </c>
      <c r="AA64" s="212">
        <f t="shared" si="46"/>
        <v>0.25006600626390785</v>
      </c>
      <c r="AB64" s="212">
        <f t="shared" si="46"/>
        <v>0.25012169137886031</v>
      </c>
      <c r="AC64" s="212">
        <f t="shared" si="46"/>
        <v>0.25049665116398201</v>
      </c>
    </row>
    <row r="65" spans="1:29" ht="42.6" customHeight="1">
      <c r="A65" s="281" t="s">
        <v>682</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9" customHeight="1">
      <c r="A68" s="279" t="s">
        <v>734</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c r="A69" s="286" t="s">
        <v>702</v>
      </c>
      <c r="B69" s="286"/>
      <c r="C69" s="286"/>
      <c r="D69" s="286"/>
      <c r="E69" s="286"/>
      <c r="F69" s="255"/>
      <c r="G69" s="255"/>
      <c r="H69" s="255"/>
      <c r="I69" s="255" t="s">
        <v>706</v>
      </c>
      <c r="J69" s="255"/>
      <c r="K69" s="255"/>
      <c r="L69" s="255"/>
      <c r="M69" s="255" t="s">
        <v>707</v>
      </c>
    </row>
    <row r="70" spans="1:29" ht="40.5">
      <c r="A70" s="287" t="s">
        <v>703</v>
      </c>
      <c r="B70" s="65"/>
      <c r="C70" s="65"/>
      <c r="D70" s="65"/>
      <c r="E70" s="65" t="s">
        <v>704</v>
      </c>
      <c r="F70" s="65"/>
      <c r="G70" s="65"/>
      <c r="H70" s="65"/>
      <c r="I70" s="256" t="s">
        <v>708</v>
      </c>
      <c r="J70" s="257"/>
      <c r="K70" s="257"/>
      <c r="L70" s="257"/>
      <c r="M70" s="256" t="s">
        <v>709</v>
      </c>
    </row>
    <row r="71" spans="1:29" ht="54.6" customHeight="1">
      <c r="A71" s="287"/>
      <c r="B71" s="65"/>
      <c r="C71" s="65"/>
      <c r="D71" s="65"/>
      <c r="E71" s="65" t="s">
        <v>705</v>
      </c>
      <c r="F71" s="65"/>
      <c r="G71" s="65"/>
      <c r="H71" s="65"/>
      <c r="I71" s="256" t="s">
        <v>710</v>
      </c>
      <c r="J71" s="257"/>
      <c r="K71" s="257"/>
      <c r="L71" s="257"/>
      <c r="M71" s="256" t="s">
        <v>711</v>
      </c>
    </row>
    <row r="72" spans="1:29" ht="40.5">
      <c r="A72" s="287" t="s">
        <v>719</v>
      </c>
      <c r="B72" s="65"/>
      <c r="C72" s="65"/>
      <c r="D72" s="65"/>
      <c r="E72" s="65" t="s">
        <v>712</v>
      </c>
      <c r="F72" s="65"/>
      <c r="G72" s="65"/>
      <c r="H72" s="65"/>
      <c r="I72" s="256" t="s">
        <v>720</v>
      </c>
      <c r="J72" s="257"/>
      <c r="K72" s="257"/>
      <c r="L72" s="257"/>
      <c r="M72" s="256" t="s">
        <v>721</v>
      </c>
    </row>
    <row r="73" spans="1:29" ht="40.5">
      <c r="A73" s="287"/>
      <c r="B73" s="65"/>
      <c r="C73" s="65"/>
      <c r="D73" s="65"/>
      <c r="E73" s="65" t="s">
        <v>713</v>
      </c>
      <c r="F73" s="65"/>
      <c r="G73" s="65"/>
      <c r="H73" s="65"/>
      <c r="I73" s="256" t="s">
        <v>722</v>
      </c>
      <c r="J73" s="257"/>
      <c r="K73" s="257"/>
      <c r="L73" s="257"/>
      <c r="M73" s="256" t="s">
        <v>723</v>
      </c>
    </row>
    <row r="74" spans="1:29" ht="54">
      <c r="A74" s="287"/>
      <c r="B74" s="65"/>
      <c r="C74" s="65"/>
      <c r="D74" s="65"/>
      <c r="E74" s="65" t="s">
        <v>714</v>
      </c>
      <c r="F74" s="65"/>
      <c r="G74" s="65"/>
      <c r="H74" s="65"/>
      <c r="I74" s="256" t="s">
        <v>724</v>
      </c>
      <c r="J74" s="257"/>
      <c r="K74" s="257"/>
      <c r="L74" s="257"/>
      <c r="M74" s="256" t="s">
        <v>725</v>
      </c>
    </row>
    <row r="75" spans="1:29" ht="54">
      <c r="A75" s="287"/>
      <c r="B75" s="65"/>
      <c r="C75" s="65"/>
      <c r="D75" s="65"/>
      <c r="E75" s="65" t="s">
        <v>715</v>
      </c>
      <c r="F75" s="65"/>
      <c r="G75" s="65"/>
      <c r="H75" s="65"/>
      <c r="I75" s="256" t="s">
        <v>726</v>
      </c>
      <c r="J75" s="257"/>
      <c r="K75" s="257"/>
      <c r="L75" s="257"/>
      <c r="M75" s="256" t="s">
        <v>727</v>
      </c>
    </row>
    <row r="76" spans="1:29">
      <c r="A76" s="287"/>
      <c r="B76" s="65"/>
      <c r="C76" s="65"/>
      <c r="D76" s="65"/>
      <c r="E76" s="65" t="s">
        <v>716</v>
      </c>
      <c r="F76" s="65"/>
      <c r="G76" s="65"/>
      <c r="H76" s="65"/>
      <c r="I76" s="256" t="s">
        <v>728</v>
      </c>
      <c r="J76" s="257"/>
      <c r="K76" s="257"/>
      <c r="L76" s="257"/>
      <c r="M76" s="256" t="s">
        <v>729</v>
      </c>
    </row>
    <row r="77" spans="1:29" ht="40.5">
      <c r="A77" s="287"/>
      <c r="B77" s="65"/>
      <c r="C77" s="65"/>
      <c r="D77" s="65"/>
      <c r="E77" s="65" t="s">
        <v>717</v>
      </c>
      <c r="F77" s="65"/>
      <c r="G77" s="65"/>
      <c r="H77" s="65"/>
      <c r="I77" s="256" t="s">
        <v>730</v>
      </c>
      <c r="J77" s="257"/>
      <c r="K77" s="257"/>
      <c r="L77" s="257"/>
      <c r="M77" s="256" t="s">
        <v>731</v>
      </c>
    </row>
    <row r="78" spans="1:29" ht="54">
      <c r="A78" s="287"/>
      <c r="B78" s="65"/>
      <c r="C78" s="65"/>
      <c r="D78" s="65"/>
      <c r="E78" s="65" t="s">
        <v>718</v>
      </c>
      <c r="F78" s="65"/>
      <c r="G78" s="65"/>
      <c r="H78" s="65"/>
      <c r="I78" s="256" t="s">
        <v>732</v>
      </c>
      <c r="J78" s="257"/>
      <c r="K78" s="257"/>
      <c r="L78" s="257"/>
      <c r="M78" s="256" t="s">
        <v>733</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2"/>
  <sheetViews>
    <sheetView topLeftCell="A51" workbookViewId="0">
      <selection activeCell="A68" sqref="A68:XFD68"/>
    </sheetView>
  </sheetViews>
  <sheetFormatPr defaultRowHeight="13.5"/>
  <cols>
    <col min="1" max="1" width="48.875" style="17" bestFit="1" customWidth="1"/>
    <col min="2" max="2" width="11.625" bestFit="1" customWidth="1"/>
    <col min="3" max="4" width="11.625" hidden="1" customWidth="1"/>
    <col min="5" max="5" width="21.625" hidden="1" customWidth="1"/>
    <col min="6" max="6" width="21.625" bestFit="1" customWidth="1"/>
    <col min="7" max="9" width="21.625" hidden="1" customWidth="1"/>
    <col min="10" max="10" width="21.625" bestFit="1" customWidth="1"/>
    <col min="11" max="13" width="21.625" hidden="1" customWidth="1"/>
    <col min="14" max="14" width="21.625" bestFit="1" customWidth="1"/>
    <col min="15" max="17" width="21.625" hidden="1" customWidth="1"/>
    <col min="18" max="18" width="21.625" bestFit="1" customWidth="1"/>
    <col min="19" max="21" width="21.625" hidden="1" customWidth="1"/>
    <col min="22" max="22" width="21.625" bestFit="1" customWidth="1"/>
    <col min="23" max="25" width="21.625" hidden="1" customWidth="1"/>
    <col min="26" max="26" width="20.5" bestFit="1" customWidth="1"/>
    <col min="27" max="29" width="20.5" hidden="1" customWidth="1"/>
    <col min="30" max="30" width="20.5" bestFit="1" customWidth="1"/>
    <col min="31" max="33" width="20.5" hidden="1" customWidth="1"/>
    <col min="34" max="34" width="20.5" bestFit="1" customWidth="1"/>
    <col min="35" max="37" width="20.5" hidden="1" customWidth="1"/>
    <col min="38" max="38" width="20.5" bestFit="1" customWidth="1"/>
    <col min="39" max="41" width="20.5" hidden="1" customWidth="1"/>
    <col min="42" max="42" width="20.5" bestFit="1" customWidth="1"/>
    <col min="43" max="45" width="20.5" hidden="1" customWidth="1"/>
    <col min="46" max="46" width="20.5" bestFit="1" customWidth="1"/>
    <col min="47" max="49" width="20.5" hidden="1" customWidth="1"/>
    <col min="50" max="50" width="20.5" bestFit="1" customWidth="1"/>
    <col min="51" max="53" width="20.5" hidden="1" customWidth="1"/>
    <col min="54" max="54" width="20.5" bestFit="1" customWidth="1"/>
    <col min="55" max="55" width="20.5" hidden="1" customWidth="1"/>
    <col min="56" max="57" width="19.375" hidden="1" customWidth="1"/>
    <col min="58" max="58" width="19.375" bestFit="1" customWidth="1"/>
    <col min="59" max="61" width="19.375" hidden="1" customWidth="1"/>
    <col min="62" max="62" width="19.375" bestFit="1" customWidth="1"/>
    <col min="63" max="65" width="19.375" hidden="1" customWidth="1"/>
    <col min="66" max="66" width="19.375" bestFit="1" customWidth="1"/>
    <col min="67" max="69" width="19.375" hidden="1" customWidth="1"/>
    <col min="70" max="70" width="19.375" bestFit="1" customWidth="1"/>
    <col min="71" max="71" width="18.375" hidden="1" customWidth="1"/>
    <col min="72" max="72" width="19.375" bestFit="1" customWidth="1"/>
    <col min="73" max="74" width="18.375" bestFit="1" customWidth="1"/>
    <col min="75" max="75" width="9.625" hidden="1" customWidth="1"/>
    <col min="76" max="78" width="19.375" bestFit="1" customWidth="1"/>
    <col min="79" max="81" width="18.375" bestFit="1" customWidth="1"/>
    <col min="82" max="82" width="9.625" bestFit="1" customWidth="1"/>
    <col min="83" max="84" width="19.375" bestFit="1" customWidth="1"/>
    <col min="85" max="87" width="17.25" bestFit="1" customWidth="1"/>
    <col min="88" max="89" width="16.125" bestFit="1" customWidth="1"/>
  </cols>
  <sheetData>
    <row r="1" spans="1:89" s="26" customFormat="1">
      <c r="A1" s="17">
        <v>600519</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37529</v>
      </c>
      <c r="BP1" s="1">
        <v>37437</v>
      </c>
      <c r="BQ1" s="1">
        <v>37346</v>
      </c>
      <c r="BR1" s="1">
        <v>37256</v>
      </c>
      <c r="BS1" s="1">
        <v>37072</v>
      </c>
      <c r="BT1" s="1">
        <v>36891</v>
      </c>
      <c r="BU1" s="1">
        <v>36525</v>
      </c>
      <c r="BV1" s="1">
        <v>36160</v>
      </c>
      <c r="BW1" s="1">
        <v>25569</v>
      </c>
      <c r="BX1" s="1"/>
      <c r="BY1" s="1"/>
      <c r="BZ1" s="1"/>
      <c r="CA1" s="1"/>
      <c r="CB1" s="1"/>
      <c r="CC1" s="1"/>
      <c r="CD1" s="1"/>
      <c r="CE1" s="1"/>
      <c r="CF1" s="1"/>
      <c r="CG1" s="1"/>
      <c r="CH1" s="1"/>
      <c r="CI1" s="1"/>
      <c r="CJ1" s="1"/>
      <c r="CK1" s="1"/>
    </row>
    <row r="2" spans="1:89" s="26" customFormat="1">
      <c r="A2" s="17" t="s">
        <v>424</v>
      </c>
      <c r="E2" s="26">
        <f>股权价值增加表!E42</f>
        <v>8222178983.8299999</v>
      </c>
      <c r="F2" s="26">
        <f>股权价值增加表!F42</f>
        <v>26300626236.230011</v>
      </c>
      <c r="G2" s="26">
        <f>股权价值增加表!G42</f>
        <v>19436117917.600006</v>
      </c>
      <c r="H2" s="26">
        <f>股权价值增加表!H42</f>
        <v>10813093032.529999</v>
      </c>
      <c r="I2" s="26">
        <f>股权价值增加表!I42</f>
        <v>5972930473.5600004</v>
      </c>
      <c r="J2" s="26">
        <f>股权价值增加表!J42</f>
        <v>16762576567.959999</v>
      </c>
      <c r="K2" s="26">
        <f>股权价值增加表!K42</f>
        <v>12521016729.060001</v>
      </c>
      <c r="L2" s="26">
        <f>股权价值增加表!L42</f>
        <v>8871216325.8100014</v>
      </c>
      <c r="M2" s="26">
        <f>股权价值增加表!M42</f>
        <v>4979181640.2499981</v>
      </c>
      <c r="N2" s="26">
        <f>股权价值增加表!N42</f>
        <v>15729528065.549999</v>
      </c>
      <c r="O2" s="26">
        <f>股权价值增加表!O42</f>
        <v>11577860805.09</v>
      </c>
      <c r="P2" s="26">
        <f>股权价值增加表!P42</f>
        <v>7971034609.000001</v>
      </c>
      <c r="Q2" s="26">
        <f>股权价值增加表!Q42</f>
        <v>4415239050.4899998</v>
      </c>
      <c r="R2" s="26">
        <f>股权价值增加表!R42</f>
        <v>15684761095.559998</v>
      </c>
      <c r="S2" s="26">
        <f>股权价值增加表!S42</f>
        <v>10964537738.960001</v>
      </c>
      <c r="T2" s="26">
        <f>股权价值增加表!T42</f>
        <v>7399365652.6099987</v>
      </c>
      <c r="U2" s="26">
        <f>股权价值增加表!U42</f>
        <v>3835518984.5299997</v>
      </c>
      <c r="V2" s="26">
        <f>股权价值增加表!V42</f>
        <v>15851703006.440001</v>
      </c>
      <c r="W2" s="26">
        <f>股权价值增加表!W42</f>
        <v>11610806987.350002</v>
      </c>
      <c r="X2" s="26">
        <f>股权价值增加表!X42</f>
        <v>7611476819.7399988</v>
      </c>
      <c r="Y2" s="26">
        <f>股权价值增加表!Y42</f>
        <v>3772760052.9199986</v>
      </c>
      <c r="Z2" s="26">
        <f>股权价值增加表!Z42</f>
        <v>14008450702.170004</v>
      </c>
      <c r="AA2" s="26">
        <f>股权价值增加表!AA42</f>
        <v>10937979773.700001</v>
      </c>
      <c r="AB2" s="26">
        <f>股权价值增加表!AB42</f>
        <v>7348939538.5500021</v>
      </c>
      <c r="AC2" s="26">
        <f>股权价值增加表!AC42</f>
        <v>3128023492.2599998</v>
      </c>
      <c r="AD2" s="26">
        <f>股权价值增加表!AD42</f>
        <v>9250323807.6200008</v>
      </c>
      <c r="AE2" s="26">
        <f>股权价值增加表!AE42</f>
        <v>6930714312.6100006</v>
      </c>
      <c r="AF2" s="26">
        <f>股权价值增加表!AF42</f>
        <v>5166306192.5299997</v>
      </c>
      <c r="AG2" s="26">
        <f>股权价值增加表!AG42</f>
        <v>1991007144.8600001</v>
      </c>
      <c r="AH2" s="26">
        <f>股权价值增加表!AH42</f>
        <v>5339761496.9699993</v>
      </c>
      <c r="AI2" s="26">
        <f>股权价值增加表!AI42</f>
        <v>4411104477.8300009</v>
      </c>
      <c r="AJ2" s="26">
        <f>股权价值增加表!AJ42</f>
        <v>3274562600.0699997</v>
      </c>
      <c r="AK2" s="26">
        <f>股权价值增加表!AK42</f>
        <v>1344382797.8099995</v>
      </c>
      <c r="AL2" s="26">
        <f>股权价值增加表!AL42</f>
        <v>4552888943.999999</v>
      </c>
      <c r="AM2" s="26">
        <f>股权价值增加表!AM42</f>
        <v>3979795618.1999998</v>
      </c>
      <c r="AN2" s="26">
        <f>股权价值增加表!AN42</f>
        <v>2928842256.250001</v>
      </c>
      <c r="AO2" s="26">
        <f>股权价值增加表!AO42</f>
        <v>1278840567.8199997</v>
      </c>
      <c r="AP2" s="26">
        <f>股权价值增加表!AP42</f>
        <v>4000759343.1100006</v>
      </c>
      <c r="AQ2" s="26">
        <f>股权价值增加表!AQ42</f>
        <v>3304198780.9999995</v>
      </c>
      <c r="AR2" s="26">
        <f>股权价值增加表!AR42</f>
        <v>2351939273.6300011</v>
      </c>
      <c r="AS2" s="26">
        <f>股权价值增加表!AS42</f>
        <v>917048744.59000039</v>
      </c>
      <c r="AT2" s="26">
        <f>股权价值增加表!AT42</f>
        <v>2966052508.9499993</v>
      </c>
      <c r="AU2" s="26">
        <f>股权价值增加表!AU42</f>
        <v>1669221956.1800003</v>
      </c>
      <c r="AV2" s="26">
        <f>股权价值增加表!AV42</f>
        <v>893948241.41000009</v>
      </c>
      <c r="AW2" s="26">
        <f>股权价值增加表!AW42</f>
        <v>561440706.10000014</v>
      </c>
      <c r="AX2" s="26">
        <f>股权价值增加表!AX42</f>
        <v>1573485812.1000001</v>
      </c>
      <c r="AY2" s="26">
        <f>股权价值增加表!AY42</f>
        <v>993614580.42000008</v>
      </c>
      <c r="AZ2" s="26">
        <f>股权价值增加表!AZ42</f>
        <v>634009995.50999987</v>
      </c>
      <c r="BA2" s="26">
        <f>股权价值增加表!BA42</f>
        <v>468498539.01000005</v>
      </c>
      <c r="BB2" s="26">
        <f>股权价值增加表!BB42</f>
        <v>1169073160.7500005</v>
      </c>
      <c r="BC2" s="26">
        <f>股权价值增加表!BC42</f>
        <v>734586763.86000001</v>
      </c>
      <c r="BD2" s="26">
        <f>股权价值增加表!BD42</f>
        <v>502671627.85000002</v>
      </c>
      <c r="BE2" s="26">
        <f>股权价值增加表!BE42</f>
        <v>383940192.03999984</v>
      </c>
      <c r="BF2" s="26">
        <f>股权价值增加表!BF42</f>
        <v>854170293.04000032</v>
      </c>
      <c r="BG2" s="26">
        <f>股权价值增加表!BG42</f>
        <v>537992536.05000007</v>
      </c>
      <c r="BH2" s="26">
        <f>股权价值增加表!BH42</f>
        <v>364052715.39999998</v>
      </c>
      <c r="BI2" s="26">
        <f>股权价值增加表!BI42</f>
        <v>271330791.21000004</v>
      </c>
      <c r="BJ2" s="26">
        <f>股权价值增加表!BJ42</f>
        <v>607068089.12999964</v>
      </c>
      <c r="BK2" s="26">
        <f>股权价值增加表!BK42</f>
        <v>367421973.21999985</v>
      </c>
      <c r="BL2" s="26">
        <f>股权价值增加表!BL42</f>
        <v>260751258.37000003</v>
      </c>
      <c r="BM2" s="26">
        <f>股权价值增加表!BM42</f>
        <v>223788291.70999998</v>
      </c>
      <c r="BN2" s="26">
        <f>股权价值增加表!BN42</f>
        <v>389236355.33000016</v>
      </c>
      <c r="BO2" s="26">
        <f>股权价值增加表!BO42</f>
        <v>317512273.94</v>
      </c>
      <c r="BP2" s="26">
        <f>股权价值增加表!BP42</f>
        <v>245607697.97999993</v>
      </c>
      <c r="BQ2" s="26">
        <f>股权价值增加表!BQ42</f>
        <v>213019772.62999991</v>
      </c>
      <c r="BR2" s="26">
        <f>股权价值增加表!BR42</f>
        <v>341141393.10999966</v>
      </c>
      <c r="BS2" s="26">
        <f>股权价值增加表!BS42</f>
        <v>229104288.61000001</v>
      </c>
      <c r="BT2" s="26">
        <f>股权价值增加表!BT42</f>
        <v>256234280.7299999</v>
      </c>
      <c r="BU2" s="26">
        <f>股权价值增加表!BU42</f>
        <v>215310984.77999994</v>
      </c>
      <c r="BV2" s="26">
        <f>股权价值增加表!BV42</f>
        <v>145858523.61000001</v>
      </c>
      <c r="BW2" s="26">
        <f>股权价值增加表!BW42</f>
        <v>0</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429</v>
      </c>
      <c r="E3" s="26">
        <f>资产资本表!E107</f>
        <v>105149681155.38</v>
      </c>
      <c r="F3" s="26">
        <f>资产资本表!F107</f>
        <v>96019627475.080002</v>
      </c>
      <c r="G3" s="26">
        <f>资产资本表!G107</f>
        <v>88380845274.130005</v>
      </c>
      <c r="H3" s="26">
        <f>资产资本表!H107</f>
        <v>79063250670.459991</v>
      </c>
      <c r="I3" s="26">
        <f>资产资本表!I107</f>
        <v>82453887315.580002</v>
      </c>
      <c r="J3" s="26">
        <f>资产资本表!J107</f>
        <v>75898542854.720001</v>
      </c>
      <c r="K3" s="26">
        <f>资产资本表!K107</f>
        <v>71283503461.069992</v>
      </c>
      <c r="L3" s="26">
        <f>资产资本表!L107</f>
        <v>67353161683.379997</v>
      </c>
      <c r="M3" s="26">
        <f>资产资本表!M107</f>
        <v>70941258989.619995</v>
      </c>
      <c r="N3" s="26">
        <f>资产资本表!N107</f>
        <v>66234170421.290001</v>
      </c>
      <c r="O3" s="26">
        <f>资产资本表!O107</f>
        <v>61918842558.079994</v>
      </c>
      <c r="P3" s="26">
        <f>资产资本表!P107</f>
        <v>63661782189.540001</v>
      </c>
      <c r="Q3" s="26">
        <f>资产资本表!Q107</f>
        <v>59930148126.959999</v>
      </c>
      <c r="R3" s="26">
        <f>资产资本表!R107</f>
        <v>55311550841.119995</v>
      </c>
      <c r="S3" s="26">
        <f>资产资本表!S107</f>
        <v>50341328571.509995</v>
      </c>
      <c r="T3" s="26">
        <f>资产资本表!T107</f>
        <v>46624176881.220001</v>
      </c>
      <c r="U3" s="26">
        <f>资产资本表!U107</f>
        <v>47453571644.629997</v>
      </c>
      <c r="V3" s="26">
        <f>资产资本表!V107</f>
        <v>44129092273.259995</v>
      </c>
      <c r="W3" s="26">
        <f>资产资本表!W107</f>
        <v>39820367702.190002</v>
      </c>
      <c r="X3" s="26">
        <f>资产资本表!X107</f>
        <v>35779107183.520004</v>
      </c>
      <c r="Y3" s="26">
        <f>资产资本表!Y107</f>
        <v>38595633055.419998</v>
      </c>
      <c r="Z3" s="26">
        <f>资产资本表!Z107</f>
        <v>35454036397.25</v>
      </c>
      <c r="AA3" s="26">
        <f>资产资本表!AA107</f>
        <v>31991565468.779999</v>
      </c>
      <c r="AB3" s="26">
        <f>资产资本表!AB107</f>
        <v>28404775233.629997</v>
      </c>
      <c r="AC3" s="26">
        <f>资产资本表!AC107</f>
        <v>28530620402.029999</v>
      </c>
      <c r="AD3" s="26">
        <f>资产资本表!AD107</f>
        <v>25403379611.289997</v>
      </c>
      <c r="AE3" s="26">
        <f>资产资本表!AE107</f>
        <v>23083770116.279999</v>
      </c>
      <c r="AF3" s="26">
        <f>资产资本表!AF107</f>
        <v>21544955887.150002</v>
      </c>
      <c r="AG3" s="26">
        <f>资产资本表!AG107</f>
        <v>20540681024.259998</v>
      </c>
      <c r="AH3" s="26">
        <f>资产资本表!AH107</f>
        <v>18549389694.619999</v>
      </c>
      <c r="AI3" s="26">
        <f>资产资本表!AI107</f>
        <v>17721770193.439999</v>
      </c>
      <c r="AJ3" s="26">
        <f>资产资本表!AJ107</f>
        <v>16737213296.220001</v>
      </c>
      <c r="AK3" s="26">
        <f>资产资本表!AK107</f>
        <v>15995948192.019999</v>
      </c>
      <c r="AL3" s="26">
        <f>资产资本表!AL107</f>
        <v>14651565394.209999</v>
      </c>
      <c r="AM3" s="26">
        <f>资产资本表!AM107</f>
        <v>14215679731.030001</v>
      </c>
      <c r="AN3" s="26">
        <f>资产资本表!AN107</f>
        <v>13166976369.08</v>
      </c>
      <c r="AO3" s="26">
        <f>资产资本表!AO107</f>
        <v>12608007479.039999</v>
      </c>
      <c r="AP3" s="26">
        <f>资产资本表!AP107</f>
        <v>11503418295.949999</v>
      </c>
      <c r="AQ3" s="26">
        <f>资产资本表!AQ107</f>
        <v>10807004733.84</v>
      </c>
      <c r="AR3" s="26">
        <f>资产资本表!AR107</f>
        <v>9854634976.4699993</v>
      </c>
      <c r="AS3" s="26">
        <f>资产资本表!AS107</f>
        <v>9285941265.0299988</v>
      </c>
      <c r="AT3" s="26">
        <f>资产资本表!AT107</f>
        <v>8368855770.4400005</v>
      </c>
      <c r="AU3" s="26">
        <f>资产资本表!AU107</f>
        <v>6952899324.3299999</v>
      </c>
      <c r="AV3" s="26">
        <f>资产资本表!AV107</f>
        <v>6219411895.4899998</v>
      </c>
      <c r="AW3" s="26">
        <f>资产资本表!AW107</f>
        <v>5888376793.5900002</v>
      </c>
      <c r="AX3" s="26">
        <f>资产资本表!AX107</f>
        <v>5995028649.4300003</v>
      </c>
      <c r="AY3" s="26">
        <f>资产资本表!AY107</f>
        <v>5415044428.1099997</v>
      </c>
      <c r="AZ3" s="26">
        <f>资产资本表!AZ107</f>
        <v>5058474356.1400003</v>
      </c>
      <c r="BA3" s="26">
        <f>资产资本表!BA107</f>
        <v>5588295571.7399998</v>
      </c>
      <c r="BB3" s="26">
        <f>资产资本表!BB107</f>
        <v>5162395081.5200005</v>
      </c>
      <c r="BC3" s="26">
        <f>资产资本表!BC107</f>
        <v>4765503347.0299997</v>
      </c>
      <c r="BD3" s="26">
        <f>资产资本表!BD107</f>
        <v>4691837330.75</v>
      </c>
      <c r="BE3" s="26">
        <f>资产资本表!BE107</f>
        <v>4600649163.9900007</v>
      </c>
      <c r="BF3" s="26">
        <f>资产资本表!BF107</f>
        <v>4216707746.73</v>
      </c>
      <c r="BG3" s="26">
        <f>资产资本表!BG107</f>
        <v>3900474366.1300001</v>
      </c>
      <c r="BH3" s="26">
        <f>资产资本表!BH107</f>
        <v>3817145295.6799998</v>
      </c>
      <c r="BI3" s="26">
        <f>资产资本表!BI107</f>
        <v>3727794494.04</v>
      </c>
      <c r="BJ3" s="26">
        <f>资产资本表!BJ107</f>
        <v>3470524090.9299998</v>
      </c>
      <c r="BK3" s="26">
        <f>资产资本表!BK107</f>
        <v>3231516625.3400002</v>
      </c>
      <c r="BL3" s="26">
        <f>资产资本表!BL107</f>
        <v>3124773172.54</v>
      </c>
      <c r="BM3" s="26">
        <f>资产资本表!BM107</f>
        <v>3100472676.3099999</v>
      </c>
      <c r="BN3" s="26">
        <f>资产资本表!BN107</f>
        <v>2874733972.6900001</v>
      </c>
      <c r="BO3" s="26">
        <f>资产资本表!BO107</f>
        <v>2857804350.4700003</v>
      </c>
      <c r="BP3" s="26">
        <f>资产资本表!BP107</f>
        <v>2784052740.7799997</v>
      </c>
      <c r="BQ3" s="26">
        <f>资产资本表!BQ107</f>
        <v>2751462376.5999999</v>
      </c>
      <c r="BR3" s="26">
        <f>资产资本表!BR107</f>
        <v>2537631703.8100004</v>
      </c>
      <c r="BS3" s="26">
        <f>资产资本表!BS107</f>
        <v>561545403.24000001</v>
      </c>
      <c r="BT3" s="26">
        <f>资产资本表!BT107</f>
        <v>443779623.04000002</v>
      </c>
      <c r="BU3" s="26">
        <f>资产资本表!BU107</f>
        <v>285361855.23000002</v>
      </c>
      <c r="BV3" s="26">
        <f>资产资本表!BV107</f>
        <v>234091527.97999999</v>
      </c>
      <c r="BW3" s="26">
        <f>资产资本表!BW107</f>
        <v>0</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44" t="s">
        <v>430</v>
      </c>
      <c r="E4" s="59">
        <f>E2/E3</f>
        <v>7.8194996822482613E-2</v>
      </c>
      <c r="F4" s="59">
        <f t="shared" ref="F4:BQ4" si="0">F2/F3</f>
        <v>0.27390885517709201</v>
      </c>
      <c r="G4" s="59">
        <f t="shared" si="0"/>
        <v>0.21991323863576082</v>
      </c>
      <c r="H4" s="59">
        <f t="shared" si="0"/>
        <v>0.13676509555115018</v>
      </c>
      <c r="I4" s="59">
        <f t="shared" si="0"/>
        <v>7.2439646789477577E-2</v>
      </c>
      <c r="J4" s="59">
        <f t="shared" si="0"/>
        <v>0.22085505119704105</v>
      </c>
      <c r="K4" s="59">
        <f t="shared" si="0"/>
        <v>0.17565097282147607</v>
      </c>
      <c r="L4" s="59">
        <f t="shared" si="0"/>
        <v>0.13171195091794857</v>
      </c>
      <c r="M4" s="59">
        <f t="shared" si="0"/>
        <v>7.0187387581866059E-2</v>
      </c>
      <c r="N4" s="59">
        <f t="shared" si="0"/>
        <v>0.23748358234881695</v>
      </c>
      <c r="O4" s="59">
        <f t="shared" si="0"/>
        <v>0.18698445136841738</v>
      </c>
      <c r="P4" s="59">
        <f t="shared" si="0"/>
        <v>0.12520910246068617</v>
      </c>
      <c r="Q4" s="59">
        <f t="shared" si="0"/>
        <v>7.3673087560812714E-2</v>
      </c>
      <c r="R4" s="59">
        <f t="shared" si="0"/>
        <v>0.28357116835530044</v>
      </c>
      <c r="S4" s="59">
        <f t="shared" si="0"/>
        <v>0.2178039008919847</v>
      </c>
      <c r="T4" s="59">
        <f t="shared" si="0"/>
        <v>0.15870233315776622</v>
      </c>
      <c r="U4" s="59">
        <f t="shared" si="0"/>
        <v>8.0826771338802686E-2</v>
      </c>
      <c r="V4" s="59">
        <f t="shared" si="0"/>
        <v>0.35921207960231111</v>
      </c>
      <c r="W4" s="59">
        <f t="shared" si="0"/>
        <v>0.29157960253369136</v>
      </c>
      <c r="X4" s="59">
        <f t="shared" si="0"/>
        <v>0.21273523625670221</v>
      </c>
      <c r="Y4" s="59">
        <f t="shared" si="0"/>
        <v>9.7750956630317243E-2</v>
      </c>
      <c r="Z4" s="59">
        <f t="shared" si="0"/>
        <v>0.39511582109326687</v>
      </c>
      <c r="AA4" s="59">
        <f t="shared" si="0"/>
        <v>0.34190198614613532</v>
      </c>
      <c r="AB4" s="59">
        <f t="shared" si="0"/>
        <v>0.25872197467168068</v>
      </c>
      <c r="AC4" s="59">
        <f t="shared" si="0"/>
        <v>0.10963741580738412</v>
      </c>
      <c r="AD4" s="59">
        <f t="shared" si="0"/>
        <v>0.36413752615454714</v>
      </c>
      <c r="AE4" s="59">
        <f t="shared" si="0"/>
        <v>0.30024187027066535</v>
      </c>
      <c r="AF4" s="59">
        <f t="shared" si="0"/>
        <v>0.23979191322509624</v>
      </c>
      <c r="AG4" s="59">
        <f t="shared" si="0"/>
        <v>9.6929948062991669E-2</v>
      </c>
      <c r="AH4" s="59">
        <f t="shared" si="0"/>
        <v>0.28786723363296018</v>
      </c>
      <c r="AI4" s="59">
        <f t="shared" si="0"/>
        <v>0.24890879577384672</v>
      </c>
      <c r="AJ4" s="59">
        <f t="shared" si="0"/>
        <v>0.19564562762724305</v>
      </c>
      <c r="AK4" s="59">
        <f t="shared" si="0"/>
        <v>8.4045208303480279E-2</v>
      </c>
      <c r="AL4" s="59">
        <f t="shared" si="0"/>
        <v>0.31074419841849854</v>
      </c>
      <c r="AM4" s="59">
        <f t="shared" si="0"/>
        <v>0.27995816545535263</v>
      </c>
      <c r="AN4" s="59">
        <f t="shared" si="0"/>
        <v>0.2224384835327721</v>
      </c>
      <c r="AO4" s="59">
        <f t="shared" si="0"/>
        <v>0.10143082243137862</v>
      </c>
      <c r="AP4" s="59">
        <f t="shared" si="0"/>
        <v>0.3477887389801817</v>
      </c>
      <c r="AQ4" s="59">
        <f t="shared" si="0"/>
        <v>0.30574602883753293</v>
      </c>
      <c r="AR4" s="59">
        <f t="shared" si="0"/>
        <v>0.23866325635051402</v>
      </c>
      <c r="AS4" s="59">
        <f t="shared" si="0"/>
        <v>9.8756681570184135E-2</v>
      </c>
      <c r="AT4" s="59">
        <f t="shared" si="0"/>
        <v>0.35441553664080605</v>
      </c>
      <c r="AU4" s="59">
        <f t="shared" si="0"/>
        <v>0.24007566891396792</v>
      </c>
      <c r="AV4" s="59">
        <f t="shared" si="0"/>
        <v>0.14373517246192452</v>
      </c>
      <c r="AW4" s="59">
        <f t="shared" si="0"/>
        <v>9.5347279187564249E-2</v>
      </c>
      <c r="AX4" s="59">
        <f t="shared" si="0"/>
        <v>0.26246510302325332</v>
      </c>
      <c r="AY4" s="59">
        <f t="shared" si="0"/>
        <v>0.18349149182637436</v>
      </c>
      <c r="AZ4" s="59">
        <f t="shared" si="0"/>
        <v>0.12533620828589068</v>
      </c>
      <c r="BA4" s="59">
        <f t="shared" si="0"/>
        <v>8.3835676369588663E-2</v>
      </c>
      <c r="BB4" s="59">
        <f t="shared" si="0"/>
        <v>0.22645945191893024</v>
      </c>
      <c r="BC4" s="59">
        <f t="shared" si="0"/>
        <v>0.15414673128239767</v>
      </c>
      <c r="BD4" s="59">
        <f t="shared" si="0"/>
        <v>0.10713747992828364</v>
      </c>
      <c r="BE4" s="59">
        <f t="shared" si="0"/>
        <v>8.3453481966231993E-2</v>
      </c>
      <c r="BF4" s="59">
        <f t="shared" si="0"/>
        <v>0.20256805648966256</v>
      </c>
      <c r="BG4" s="59">
        <f t="shared" si="0"/>
        <v>0.13793002736325871</v>
      </c>
      <c r="BH4" s="59">
        <f t="shared" si="0"/>
        <v>9.5373030681334417E-2</v>
      </c>
      <c r="BI4" s="59">
        <f t="shared" si="0"/>
        <v>7.2785876915641104E-2</v>
      </c>
      <c r="BJ4" s="59">
        <f t="shared" si="0"/>
        <v>0.17492115692743196</v>
      </c>
      <c r="BK4" s="59">
        <f t="shared" si="0"/>
        <v>0.11369954600847582</v>
      </c>
      <c r="BL4" s="59">
        <f t="shared" si="0"/>
        <v>8.3446459621914257E-2</v>
      </c>
      <c r="BM4" s="59">
        <f t="shared" si="0"/>
        <v>7.2178765973303027E-2</v>
      </c>
      <c r="BN4" s="59">
        <f t="shared" si="0"/>
        <v>0.13539908702083367</v>
      </c>
      <c r="BO4" s="59">
        <f t="shared" si="0"/>
        <v>0.11110357288377047</v>
      </c>
      <c r="BP4" s="59">
        <f t="shared" si="0"/>
        <v>8.8219484632029194E-2</v>
      </c>
      <c r="BQ4" s="59">
        <f t="shared" si="0"/>
        <v>7.7420565311610706E-2</v>
      </c>
      <c r="BR4" s="59">
        <f t="shared" ref="BR4:CJ4" si="1">BR2/BR3</f>
        <v>0.13443298040366139</v>
      </c>
      <c r="BS4" s="59">
        <f t="shared" si="1"/>
        <v>0.40798889508865355</v>
      </c>
      <c r="BT4" s="59">
        <f t="shared" si="1"/>
        <v>0.5773908206391537</v>
      </c>
      <c r="BU4" s="59">
        <f t="shared" si="1"/>
        <v>0.75451915115445445</v>
      </c>
      <c r="BV4" s="59">
        <f t="shared" si="1"/>
        <v>0.62308330792074496</v>
      </c>
      <c r="BW4" s="59" t="e">
        <f t="shared" si="1"/>
        <v>#DIV/0!</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426</v>
      </c>
      <c r="E5" s="26">
        <f>股权价值增加表!E47</f>
        <v>-189795508.60040092</v>
      </c>
      <c r="F5" s="26">
        <f>股权价值增加表!F47</f>
        <v>18619056038.22361</v>
      </c>
      <c r="G5" s="26">
        <f>股权价值增加表!G47</f>
        <v>12365650295.669605</v>
      </c>
      <c r="H5" s="26">
        <f>股权价值增加表!H47</f>
        <v>4488032978.893198</v>
      </c>
      <c r="I5" s="26">
        <f>股权价值增加表!I47</f>
        <v>-623380511.68639946</v>
      </c>
      <c r="J5" s="26">
        <f>股权价值增加表!J47</f>
        <v>10690693139.582397</v>
      </c>
      <c r="K5" s="26">
        <f>股权价值增加表!K47</f>
        <v>6818336452.1744003</v>
      </c>
      <c r="L5" s="26">
        <f>股权价值增加表!L47</f>
        <v>3482963391.1396017</v>
      </c>
      <c r="M5" s="26">
        <f>股权价值增加表!M47</f>
        <v>-696119078.91960144</v>
      </c>
      <c r="N5" s="26">
        <f>股权价值增加表!N47</f>
        <v>10430794431.846798</v>
      </c>
      <c r="O5" s="26">
        <f>股权价值增加表!O47</f>
        <v>6624353400.4435997</v>
      </c>
      <c r="P5" s="26">
        <f>股权价值增加表!P47</f>
        <v>2878092033.8368006</v>
      </c>
      <c r="Q5" s="26">
        <f>股权价值增加表!Q47</f>
        <v>-379172799.6668005</v>
      </c>
      <c r="R5" s="26">
        <f>股权价值增加表!R47</f>
        <v>11259837028.270397</v>
      </c>
      <c r="S5" s="26">
        <f>股权价值增加表!S47</f>
        <v>6937231453.2392006</v>
      </c>
      <c r="T5" s="26">
        <f>股权价值增加表!T47</f>
        <v>3669431502.1123986</v>
      </c>
      <c r="U5" s="26">
        <f>股权价值增加表!U47</f>
        <v>39233252.959599972</v>
      </c>
      <c r="V5" s="26">
        <f>股权价值增加表!V47</f>
        <v>12321375624.579201</v>
      </c>
      <c r="W5" s="26">
        <f>股权价值增加表!W47</f>
        <v>8425177571.1748018</v>
      </c>
      <c r="X5" s="26">
        <f>股权价值增加表!X47</f>
        <v>4749148245.0583992</v>
      </c>
      <c r="Y5" s="26">
        <f>股权价值增加表!Y47</f>
        <v>685109408.4863987</v>
      </c>
      <c r="Z5" s="26">
        <f>股权价值增加表!Z47</f>
        <v>11172127790.390003</v>
      </c>
      <c r="AA5" s="26">
        <f>股权价值增加表!AA47</f>
        <v>8378654536.1976013</v>
      </c>
      <c r="AB5" s="26">
        <f>股权价值增加表!AB47</f>
        <v>5076557519.859602</v>
      </c>
      <c r="AC5" s="26">
        <f>股权价值增加表!AC47</f>
        <v>845573860.09759998</v>
      </c>
      <c r="AD5" s="26">
        <f>股权价值增加表!AD47</f>
        <v>7218053438.7168007</v>
      </c>
      <c r="AE5" s="26">
        <f>股权价值增加表!AE47</f>
        <v>5084012703.307601</v>
      </c>
      <c r="AF5" s="26">
        <f>股权价值增加表!AF47</f>
        <v>3442709721.5579996</v>
      </c>
      <c r="AG5" s="26">
        <f>股权价值增加表!AG47</f>
        <v>347752662.91920018</v>
      </c>
      <c r="AH5" s="26">
        <f>股权价值增加表!AH47</f>
        <v>3855810321.4003992</v>
      </c>
      <c r="AI5" s="26">
        <f>股权价值增加表!AI47</f>
        <v>2993362862.3548012</v>
      </c>
      <c r="AJ5" s="26">
        <f>股权价值增加表!AJ47</f>
        <v>1935585536.3723998</v>
      </c>
      <c r="AK5" s="26">
        <f>股权价值增加表!AK47</f>
        <v>64706942.448399305</v>
      </c>
      <c r="AL5" s="26">
        <f>股权价值增加表!AL47</f>
        <v>3380763712.4631991</v>
      </c>
      <c r="AM5" s="26">
        <f>股权价值增加表!AM47</f>
        <v>2842541239.7175999</v>
      </c>
      <c r="AN5" s="26">
        <f>股权价值增加表!AN47</f>
        <v>1875484146.7236009</v>
      </c>
      <c r="AO5" s="26">
        <f>股权价值增加表!AO47</f>
        <v>270199969.49679959</v>
      </c>
      <c r="AP5" s="26">
        <f>股权价值增加表!AP47</f>
        <v>3080485879.4340005</v>
      </c>
      <c r="AQ5" s="26">
        <f>股权价值增加表!AQ47</f>
        <v>2439638402.2927995</v>
      </c>
      <c r="AR5" s="26">
        <f>股权价值增加表!AR47</f>
        <v>1563568475.5124011</v>
      </c>
      <c r="AS5" s="26">
        <f>股权价值增加表!AS47</f>
        <v>174173443.3876003</v>
      </c>
      <c r="AT5" s="26">
        <f>股权价值增加表!AT47</f>
        <v>2296544047.3147993</v>
      </c>
      <c r="AU5" s="26">
        <f>股权价值增加表!AU47</f>
        <v>1112990010.2336001</v>
      </c>
      <c r="AV5" s="26">
        <f>股权价值增加表!AV47</f>
        <v>396395289.77080011</v>
      </c>
      <c r="AW5" s="26">
        <f>股权价值增加表!AW47</f>
        <v>90370562.612800121</v>
      </c>
      <c r="AX5" s="26">
        <f>股权价值增加表!AX47</f>
        <v>1093883520.1456001</v>
      </c>
      <c r="AY5" s="26">
        <f>股权价值增加表!AY47</f>
        <v>560411026.17120004</v>
      </c>
      <c r="AZ5" s="26">
        <f>股权价值增加表!AZ47</f>
        <v>229332047.01879984</v>
      </c>
      <c r="BA5" s="26">
        <f>股权价值增加表!BA47</f>
        <v>21434893.270800054</v>
      </c>
      <c r="BB5" s="26">
        <f>股权价值增加表!BB47</f>
        <v>756081554.22840047</v>
      </c>
      <c r="BC5" s="26">
        <f>股权价值增加表!BC47</f>
        <v>353346496.09760004</v>
      </c>
      <c r="BD5" s="26">
        <f>股权价值增加表!BD47</f>
        <v>127324641.39000005</v>
      </c>
      <c r="BE5" s="26">
        <f>股权价值增加表!BE47</f>
        <v>15888258.920799851</v>
      </c>
      <c r="BF5" s="26">
        <f>股权价值增加表!BF47</f>
        <v>516833673.30160034</v>
      </c>
      <c r="BG5" s="26">
        <f>股权价值增加表!BG47</f>
        <v>225954586.75960004</v>
      </c>
      <c r="BH5" s="26">
        <f>股权价值增加表!BH47</f>
        <v>58681091.745599985</v>
      </c>
      <c r="BI5" s="26">
        <f>股权价值增加表!BI47</f>
        <v>-26892768.313199937</v>
      </c>
      <c r="BJ5" s="26">
        <f>股权价值增加表!BJ47</f>
        <v>329426161.85559964</v>
      </c>
      <c r="BK5" s="26">
        <f>股权价值增加表!BK47</f>
        <v>108900643.19279984</v>
      </c>
      <c r="BL5" s="26">
        <f>股权价值增加表!BL47</f>
        <v>10769404.566800028</v>
      </c>
      <c r="BM5" s="26">
        <f>股权价值增加表!BM47</f>
        <v>-24249522.394800007</v>
      </c>
      <c r="BN5" s="26">
        <f>股权价值增加表!BN47</f>
        <v>159257637.51480016</v>
      </c>
      <c r="BO5" s="26">
        <f>股权价值增加表!BO47</f>
        <v>88887925.902400017</v>
      </c>
      <c r="BP5" s="26">
        <f>股权价值增加表!BP47</f>
        <v>22883478.717599899</v>
      </c>
      <c r="BQ5" s="26">
        <f>股权价值增加表!BQ47</f>
        <v>-7097217.4980000854</v>
      </c>
      <c r="BR5" s="26">
        <f>股权价值增加表!BR47</f>
        <v>138130856.80519965</v>
      </c>
      <c r="BS5" s="26">
        <f>股权价值增加表!BS47</f>
        <v>184180656.35080001</v>
      </c>
      <c r="BT5" s="26">
        <f>股权价值增加表!BT47</f>
        <v>220731910.8867999</v>
      </c>
      <c r="BU5" s="26">
        <f>股权价值增加表!BU47</f>
        <v>192482036.36159995</v>
      </c>
      <c r="BV5" s="26">
        <f>股权价值增加表!BV47</f>
        <v>127131201.37160002</v>
      </c>
      <c r="BW5" s="26">
        <f>股权价值增加表!BW47</f>
        <v>0</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c r="A6" s="156" t="s">
        <v>437</v>
      </c>
      <c r="E6" s="156">
        <f>股权价值增加表!E31/股权价值增加表!E4</f>
        <v>0.6481904814675753</v>
      </c>
      <c r="F6" s="156">
        <f>股权价值增加表!F31/股权价值增加表!F4</f>
        <v>0.6179991225799798</v>
      </c>
      <c r="G6" s="156">
        <f>股权价值增加表!G31/股权价值增加表!G4</f>
        <v>0.62492213102420502</v>
      </c>
      <c r="H6" s="156">
        <f>股权价值增加表!H31/股权价值增加表!H4</f>
        <v>0.61242980387053547</v>
      </c>
      <c r="I6" s="156">
        <f>股权价值增加表!I31/股权价值增加表!I4</f>
        <v>0.61802975548497596</v>
      </c>
      <c r="J6" s="156">
        <f>股权价值增加表!J31/股权价值增加表!J4</f>
        <v>0.58557274384889602</v>
      </c>
      <c r="K6" s="156">
        <f>股权价值增加表!K31/股权价值增加表!K4</f>
        <v>0.64687529144358835</v>
      </c>
      <c r="L6" s="156">
        <f>股权价值增加表!L31/股权价值增加表!L4</f>
        <v>0.67390713548639614</v>
      </c>
      <c r="M6" s="156">
        <f>股权价值增加表!M31/股权价值增加表!M4</f>
        <v>0.7089040703381484</v>
      </c>
      <c r="N6" s="156">
        <f>股权价值增加表!N31/股权价值增加表!N4</f>
        <v>0.64939528253335588</v>
      </c>
      <c r="O6" s="156">
        <f>股权价值增加表!O31/股权价值增加表!O4</f>
        <v>0.67222679444009936</v>
      </c>
      <c r="P6" s="156">
        <f>股权价值增加表!P31/股权价值增加表!P4</f>
        <v>0.68047353560247315</v>
      </c>
      <c r="Q6" s="156">
        <f>股权价值增加表!Q31/股权价值增加表!Q4</f>
        <v>0.71588940178318505</v>
      </c>
      <c r="R6" s="156">
        <f>股权价值增加表!R31/股权价值增加表!R4</f>
        <v>0.67063441942204216</v>
      </c>
      <c r="S6" s="156">
        <f>股权价值增加表!S31/股权价值增加表!S4</f>
        <v>0.67557531358470191</v>
      </c>
      <c r="T6" s="156">
        <f>股权价值增加表!T31/股权价值增加表!T4</f>
        <v>0.69154966648227734</v>
      </c>
      <c r="U6" s="156">
        <f>股权价值增加表!U31/股权价值增加表!U4</f>
        <v>0.75173862536971237</v>
      </c>
      <c r="V6" s="156">
        <f>股权价值增加表!V31/股权价值增加表!V4</f>
        <v>0.67557801606678736</v>
      </c>
      <c r="W6" s="156">
        <f>股权价值增加表!W31/股权价值增加表!W4</f>
        <v>0.69622500872630766</v>
      </c>
      <c r="X6" s="156">
        <f>股权价值增加表!X31/股权价值增加表!X4</f>
        <v>0.69912730120617494</v>
      </c>
      <c r="Y6" s="156">
        <f>股权价值增加表!Y31/股权价值增加表!Y4</f>
        <v>0.75699682780517841</v>
      </c>
      <c r="Z6" s="156">
        <f>股权价值增加表!Z31/股权价值增加表!Z4</f>
        <v>0.69095758722996325</v>
      </c>
      <c r="AA6" s="156">
        <f>股权价值增加表!AA31/股权价值增加表!AA4</f>
        <v>0.71684697501644024</v>
      </c>
      <c r="AB6" s="156">
        <f>股权价值增加表!AB31/股权价值增加表!AB4</f>
        <v>0.72471788692567307</v>
      </c>
      <c r="AC6" s="156">
        <f>股权价值增加表!AC31/股权价值增加表!AC4</f>
        <v>0.73610129940582358</v>
      </c>
      <c r="AD6" s="156">
        <f>股权价值增加表!AD31/股权价值增加表!AD4</f>
        <v>0.65121604500526786</v>
      </c>
      <c r="AE6" s="156">
        <f>股权价值增加表!AE31/股权价值增加表!AE4</f>
        <v>0.6642494215508844</v>
      </c>
      <c r="AF6" s="156">
        <f>股权价值增加表!AF31/股权价值增加表!AF4</f>
        <v>0.68579070190074742</v>
      </c>
      <c r="AG6" s="156">
        <f>股权价值增加表!AG31/股权价值增加表!AG4</f>
        <v>0.6580146337191437</v>
      </c>
      <c r="AH6" s="156">
        <f>股权价值增加表!AH31/股权价值增加表!AH4</f>
        <v>0.60050454046192714</v>
      </c>
      <c r="AI6" s="156">
        <f>股权价值增加表!AI31/股权价值增加表!AI4</f>
        <v>0.61735789227548898</v>
      </c>
      <c r="AJ6" s="156">
        <f>股权价值增加表!AJ31/股权价值增加表!AJ4</f>
        <v>0.64939556102217189</v>
      </c>
      <c r="AK6" s="156">
        <f>股权价值增加表!AK31/股权价值增加表!AK4</f>
        <v>0.57453506859782288</v>
      </c>
      <c r="AL6" s="156">
        <f>股权价值增加表!AL31/股权价值增加表!AL4</f>
        <v>0.61498493729380277</v>
      </c>
      <c r="AM6" s="156">
        <f>股权价值增加表!AM31/股权价值增加表!AM4</f>
        <v>0.66796493285718606</v>
      </c>
      <c r="AN6" s="156">
        <f>股权价值增加表!AN31/股权价值增加表!AN4</f>
        <v>0.68842594247087951</v>
      </c>
      <c r="AO6" s="156">
        <f>股权价值增加表!AO31/股权价值增加表!AO4</f>
        <v>0.64625343037592131</v>
      </c>
      <c r="AP6" s="156">
        <f>股权价值增加表!AP31/股权价值增加表!AP4</f>
        <v>0.6409853702542313</v>
      </c>
      <c r="AQ6" s="156">
        <f>股权价值增加表!AQ31/股权价值增加表!AQ4</f>
        <v>0.66934361021450361</v>
      </c>
      <c r="AR6" s="156">
        <f>股权价值增加表!AR31/股权价值增加表!AR4</f>
        <v>0.6687426009725902</v>
      </c>
      <c r="AS6" s="156">
        <f>股权价值增加表!AS31/股权价值增加表!AS4</f>
        <v>0.59336817095024186</v>
      </c>
      <c r="AT6" s="156">
        <f>股权价值增加表!AT31/股权价值增加表!AT4</f>
        <v>0.61862853648190685</v>
      </c>
      <c r="AU6" s="156">
        <f>股权价值增加表!AU31/股权价值增加表!AU4</f>
        <v>0.55398765985575849</v>
      </c>
      <c r="AV6" s="156">
        <f>股权价值增加表!AV31/股权价值增加表!AV4</f>
        <v>0.5051537867820014</v>
      </c>
      <c r="AW6" s="156">
        <f>股权价值增加表!AW31/股权价值增加表!AW4</f>
        <v>0.53379285031709489</v>
      </c>
      <c r="AX6" s="156">
        <f>股权价值增加表!AX31/股权价值增加表!AX4</f>
        <v>0.50285992934043011</v>
      </c>
      <c r="AY6" s="156">
        <f>股权价值增加表!AY31/股权价值增加表!AY4</f>
        <v>0.47773577980595677</v>
      </c>
      <c r="AZ6" s="156">
        <f>股权价值增加表!AZ31/股权价值增加表!AZ4</f>
        <v>0.47564614920213238</v>
      </c>
      <c r="BA6" s="156">
        <f>股权价值增加表!BA31/股权价值增加表!BA4</f>
        <v>0.49436277633323894</v>
      </c>
      <c r="BB6" s="156">
        <f>股权价值增加表!BB31/股权价值增加表!BB4</f>
        <v>0.48032705398643405</v>
      </c>
      <c r="BC6" s="156">
        <f>股权价值增加表!BC31/股权价值增加表!BC4</f>
        <v>0.44045277146639189</v>
      </c>
      <c r="BD6" s="156">
        <f>股权价值增加表!BD31/股权价值增加表!BD4</f>
        <v>0.44400633066914535</v>
      </c>
      <c r="BE6" s="156">
        <f>股权价值增加表!BE31/股权价值增加表!BE4</f>
        <v>0.48404918310143191</v>
      </c>
      <c r="BF6" s="156">
        <f>股权价值增加表!BF31/股权价值增加表!BF4</f>
        <v>0.48663698262229338</v>
      </c>
      <c r="BG6" s="156">
        <f>股权价值增加表!BG31/股权价值增加表!BG4</f>
        <v>0.41221405809362216</v>
      </c>
      <c r="BH6" s="156">
        <f>股权价值增加表!BH31/股权价值增加表!BH4</f>
        <v>0.42595722633311411</v>
      </c>
      <c r="BI6" s="156">
        <f>股权价值增加表!BI31/股权价值增加表!BI4</f>
        <v>0.46216082178523865</v>
      </c>
      <c r="BJ6" s="156">
        <f>股权价值增加表!BJ31/股权价值增加表!BJ4</f>
        <v>0.39964673581997839</v>
      </c>
      <c r="BK6" s="156">
        <f>股权价值增加表!BK31/股权价值增加表!BK4</f>
        <v>0.37459767513986664</v>
      </c>
      <c r="BL6" s="156">
        <f>股权价值增加表!BL31/股权价值增加表!BL4</f>
        <v>0.40149792799636852</v>
      </c>
      <c r="BM6" s="156">
        <f>股权价值增加表!BM31/股权价值增加表!BM4</f>
        <v>0.46041824503920242</v>
      </c>
      <c r="BN6" s="156">
        <f>股权价值增加表!BN31/股权价值增加表!BN4</f>
        <v>0.34255808943582672</v>
      </c>
      <c r="BO6" s="156">
        <f>股权价值增加表!BO31/股权价值增加表!BO4</f>
        <v>0.37428195465095471</v>
      </c>
      <c r="BP6" s="156">
        <f>股权价值增加表!BP31/股权价值增加表!BP4</f>
        <v>0.40728966731899918</v>
      </c>
      <c r="BQ6" s="156">
        <f>股权价值增加表!BQ31/股权价值增加表!BQ4</f>
        <v>0.46595739994149604</v>
      </c>
      <c r="BR6" s="156">
        <f>股权价值增加表!BR31/股权价值增加表!BR4</f>
        <v>0.37100996641529893</v>
      </c>
      <c r="BS6" s="156">
        <f>股权价值增加表!BS31/股权价值增加表!BS4</f>
        <v>0.4272585462238267</v>
      </c>
      <c r="BT6" s="156">
        <f>股权价值增加表!BT31/股权价值增加表!BT4</f>
        <v>0.40617109948589908</v>
      </c>
      <c r="BU6" s="156">
        <f>股权价值增加表!BU31/股权价值增加表!BU4</f>
        <v>0.4091457106252514</v>
      </c>
      <c r="BV6" s="156">
        <f>股权价值增加表!BV31/股权价值增加表!BV4</f>
        <v>0.41365813248575828</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c r="A7" s="241" t="s">
        <v>431</v>
      </c>
      <c r="E7" s="61">
        <f>股权价值增加表!E4/资产资本表!E70</f>
        <v>0.15359040029561918</v>
      </c>
      <c r="F7" s="61">
        <f>股权价值增加表!F4/资产资本表!F70</f>
        <v>0.54661755626369213</v>
      </c>
      <c r="G7" s="61">
        <f>股权价值增加表!G4/资产资本表!G70</f>
        <v>0.42321710401383611</v>
      </c>
      <c r="H7" s="61">
        <f>股权价值增加表!H4/资产资本表!H70</f>
        <v>0.25087938127842063</v>
      </c>
      <c r="I7" s="61">
        <f>股权价值增加表!I4/资产资本表!I70</f>
        <v>0.14304378042228041</v>
      </c>
      <c r="J7" s="61">
        <f>股权价值增加表!J4/资产资本表!J70</f>
        <v>0.45020111623305775</v>
      </c>
      <c r="K7" s="61">
        <f>股权价值增加表!K4/资产资本表!K70</f>
        <v>0.31785517280611442</v>
      </c>
      <c r="L7" s="61">
        <f>股权价值增加表!L4/资产资本表!L70</f>
        <v>0.22700315987884262</v>
      </c>
      <c r="M7" s="61">
        <f>股权价值增加表!M4/资产资本表!M70</f>
        <v>0.12882010334094621</v>
      </c>
      <c r="N7" s="61">
        <f>股权价值增加表!N4/资产资本表!N70</f>
        <v>0.45216592105499809</v>
      </c>
      <c r="O7" s="61">
        <f>股权价值增加表!O4/资产资本表!O70</f>
        <v>0.33892111098811772</v>
      </c>
      <c r="P7" s="61">
        <f>股权价值增加表!P4/资产资本表!P70</f>
        <v>0.23640595663293892</v>
      </c>
      <c r="Q7" s="61">
        <f>股权价值增加表!Q4/资产资本表!Q70</f>
        <v>0.13608048746215601</v>
      </c>
      <c r="R7" s="61">
        <f>股权价值增加表!R4/资产资本表!R70</f>
        <v>0.53203200724537647</v>
      </c>
      <c r="S7" s="61">
        <f>股权价值增加表!S4/资产资本表!S70</f>
        <v>0.39903295182288107</v>
      </c>
      <c r="T7" s="61">
        <f>股权价值增加表!T4/资产资本表!T70</f>
        <v>0.28187807949080346</v>
      </c>
      <c r="U7" s="61">
        <f>股权价值增加表!U4/资产资本表!U70</f>
        <v>0.14748300355248037</v>
      </c>
      <c r="V7" s="61">
        <f>股权价值增加表!V4/资产资本表!V70</f>
        <v>0.65889669453581912</v>
      </c>
      <c r="W7" s="61">
        <f>股权价值增加表!W4/资产资本表!W70</f>
        <v>0.50957928363612259</v>
      </c>
      <c r="X7" s="61">
        <f>股权价值增加表!X4/资产资本表!X70</f>
        <v>0.35829562968408452</v>
      </c>
      <c r="Y7" s="61">
        <f>股权价值增加表!Y4/资产资本表!Y70</f>
        <v>0.18268345480723971</v>
      </c>
      <c r="Z7" s="61">
        <f>股权价值增加表!Z4/资产资本表!Z70</f>
        <v>0.74618683346988424</v>
      </c>
      <c r="AA7" s="61">
        <f>股权价值增加表!AA4/资产资本表!AA70</f>
        <v>0.61923389448106247</v>
      </c>
      <c r="AB7" s="61">
        <f>股权价值增加表!AB4/资产资本表!AB70</f>
        <v>0.40640413555097327</v>
      </c>
      <c r="AC7" s="61">
        <f>股权价值增加表!AC4/资产资本表!AC70</f>
        <v>0.21084341171619342</v>
      </c>
      <c r="AD7" s="61">
        <f>股权价值增加表!AD4/资产资本表!AD70</f>
        <v>0.72440578729616978</v>
      </c>
      <c r="AE7" s="61">
        <f>股权价值增加表!AE4/资产资本表!AE70</f>
        <v>0.58526159168643799</v>
      </c>
      <c r="AF7" s="61">
        <f>股权价值增加表!AF4/资产资本表!AF70</f>
        <v>0.41260643503471278</v>
      </c>
      <c r="AG7" s="61">
        <f>股权价值增加表!AG4/资产资本表!AG70</f>
        <v>0.20233642236745644</v>
      </c>
      <c r="AH7" s="61">
        <f>股权价值增加表!AH4/资产资本表!AH70</f>
        <v>0.61656242516768323</v>
      </c>
      <c r="AI7" s="61">
        <f>股权价值增加表!AI4/资产资本表!AI70</f>
        <v>0.5198734262030501</v>
      </c>
      <c r="AJ7" s="61">
        <f>股权价值增加表!AJ4/资产资本表!AJ70</f>
        <v>0.36751345690269577</v>
      </c>
      <c r="AK7" s="61">
        <f>股权价值增加表!AK4/资产资本表!AK70</f>
        <v>0.19004225719651538</v>
      </c>
      <c r="AL7" s="61">
        <f>股权价值增加表!AL4/资产资本表!AL70</f>
        <v>0.65387432941396284</v>
      </c>
      <c r="AM7" s="61">
        <f>股权价值增加表!AM4/资产资本表!AM70</f>
        <v>0.54919655855347049</v>
      </c>
      <c r="AN7" s="61">
        <f>股权价值增加表!AN4/资产资本表!AN70</f>
        <v>0.38986044192954289</v>
      </c>
      <c r="AO7" s="61">
        <f>股权价值增加表!AO4/资产资本表!AO70</f>
        <v>0.19659209375670628</v>
      </c>
      <c r="AP7" s="61">
        <f>股权价值增加表!AP4/资产资本表!AP70</f>
        <v>0.71645534849512038</v>
      </c>
      <c r="AQ7" s="61">
        <f>股权价值增加表!AQ4/资产资本表!AQ70</f>
        <v>0.59387334315931173</v>
      </c>
      <c r="AR7" s="61">
        <f>股权价值增加表!AR4/资产资本表!AR70</f>
        <v>0.46323073256178476</v>
      </c>
      <c r="AS7" s="61">
        <f>股权价值增加表!AS4/资产资本表!AS70</f>
        <v>0.21371678863817892</v>
      </c>
      <c r="AT7" s="61">
        <f>股权价值增加表!AT4/资产资本表!AT70</f>
        <v>0.8605065951120322</v>
      </c>
      <c r="AU7" s="61">
        <f>股权价值增加表!AU4/资产资本表!AU70</f>
        <v>0.63739377598988722</v>
      </c>
      <c r="AV7" s="61">
        <f>股权价值增加表!AV4/资产资本表!AV70</f>
        <v>0.37870663343417982</v>
      </c>
      <c r="AW7" s="61">
        <f>股权价值增加表!AW4/资产资本表!AW70</f>
        <v>0.24013347680436695</v>
      </c>
      <c r="AX7" s="61">
        <f>股权价值增加表!AX4/资产资本表!AX70</f>
        <v>0.8154889336443315</v>
      </c>
      <c r="AY7" s="61">
        <f>股权价值增加表!AY4/资产资本表!AY70</f>
        <v>0.59382553395474158</v>
      </c>
      <c r="AZ7" s="61">
        <f>股权价值增加表!AZ4/资产资本表!AZ70</f>
        <v>0.40102930555114602</v>
      </c>
      <c r="BA7" s="61">
        <f>股权价值增加表!BA4/资产资本表!BA70</f>
        <v>0.23870874852668136</v>
      </c>
      <c r="BB7" s="61">
        <f>股权价值增加表!BB4/资产资本表!BB70</f>
        <v>0.75451940780538673</v>
      </c>
      <c r="BC7" s="61">
        <f>股权价值增加表!BC4/资产资本表!BC70</f>
        <v>0.53587033037856291</v>
      </c>
      <c r="BD7" s="61">
        <f>股权价值增加表!BD4/资产资本表!BD70</f>
        <v>0.35642882626529887</v>
      </c>
      <c r="BE7" s="61">
        <f>股权价值增加表!BE4/资产资本表!BE70</f>
        <v>0.24500920018652175</v>
      </c>
      <c r="BF7" s="61">
        <f>股权价值增加表!BF4/资产资本表!BF70</f>
        <v>0.70832053148913032</v>
      </c>
      <c r="BG7" s="61">
        <f>股权价值增加表!BG4/资产资本表!BG70</f>
        <v>0.51388827589290353</v>
      </c>
      <c r="BH7" s="61">
        <f>股权价值增加表!BH4/资产资本表!BH70</f>
        <v>0.33785167019568396</v>
      </c>
      <c r="BI7" s="61">
        <f>股权价值增加表!BI4/资产资本表!BI70</f>
        <v>0.22409127203419721</v>
      </c>
      <c r="BJ7" s="61">
        <f>股权价值增加表!BJ4/资产资本表!BJ70</f>
        <v>0.68876047830353038</v>
      </c>
      <c r="BK7" s="61">
        <f>股权价值增加表!BK4/资产资本表!BK70</f>
        <v>0.47032103629957323</v>
      </c>
      <c r="BL7" s="61">
        <f>股权价值增加表!BL4/资产资本表!BL70</f>
        <v>0.31558637565330733</v>
      </c>
      <c r="BM7" s="61">
        <f>股权价值增加表!BM4/资产资本表!BM70</f>
        <v>0.23149784326717585</v>
      </c>
      <c r="BN7" s="61">
        <f>股权价值增加表!BN4/资产资本表!BN70</f>
        <v>0.62394140332773351</v>
      </c>
      <c r="BO7" s="61">
        <f>股权价值增加表!BO4/资产资本表!BO70</f>
        <v>0.45372170277840052</v>
      </c>
      <c r="BP7" s="61">
        <f>股权价值增加表!BP4/资产资本表!BP70</f>
        <v>0.32329115071875597</v>
      </c>
      <c r="BQ7" s="61">
        <f>股权价值增加表!BQ4/资产资本表!BQ70</f>
        <v>0.24527473566639435</v>
      </c>
      <c r="BR7" s="61">
        <f>股权价值增加表!BR4/资产资本表!BR70</f>
        <v>0.60360492351673289</v>
      </c>
      <c r="BS7" s="61">
        <f>股权价值增加表!BS4/资产资本表!BS70</f>
        <v>1.0433722801664813</v>
      </c>
      <c r="BT7" s="61">
        <f>股权价值增加表!BT4/资产资本表!BT70</f>
        <v>2.0022300488058793</v>
      </c>
      <c r="BU7" s="61">
        <f>股权价值增加表!BU4/资产资本表!BU70</f>
        <v>1.9488162999161038</v>
      </c>
      <c r="BV7" s="61">
        <f>股权价值增加表!BV4/资产资本表!BV70</f>
        <v>1.3977548747223965</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438</v>
      </c>
      <c r="E8" s="63">
        <f>股权价值增加表!E31/资产资本表!E70</f>
        <v>9.9555835516415003E-2</v>
      </c>
      <c r="F8" s="63">
        <f>股权价值增加表!F31/资产资本表!F70</f>
        <v>0.33780917015777445</v>
      </c>
      <c r="G8" s="63">
        <f>股权价值增加表!G31/资产资本表!G70</f>
        <v>0.26447773452621903</v>
      </c>
      <c r="H8" s="63">
        <f>股权价值增加表!H31/资产资本表!H70</f>
        <v>0.15364601027150443</v>
      </c>
      <c r="I8" s="63">
        <f>股权价值增加表!I31/资产资本表!I70</f>
        <v>8.840531263802856E-2</v>
      </c>
      <c r="J8" s="63">
        <f>股权价值增加表!J31/资产资本表!J70</f>
        <v>0.26362550291642739</v>
      </c>
      <c r="K8" s="63">
        <f>股权价值增加表!K31/资产资本表!K70</f>
        <v>0.20561265754580738</v>
      </c>
      <c r="L8" s="63">
        <f>股权价值增加表!L31/资产资本表!L70</f>
        <v>0.15297904922031122</v>
      </c>
      <c r="M8" s="63">
        <f>股权价值增加表!M31/资产资本表!M70</f>
        <v>9.1321095599777691E-2</v>
      </c>
      <c r="N8" s="63">
        <f>股权价值增加表!N31/资产资本表!N70</f>
        <v>0.29363441605546559</v>
      </c>
      <c r="O8" s="63">
        <f>股权价值增加表!O31/资产资本表!O70</f>
        <v>0.22783185200761955</v>
      </c>
      <c r="P8" s="63">
        <f>股权价值增加表!P31/资产资本表!P70</f>
        <v>0.16086799714750089</v>
      </c>
      <c r="Q8" s="63">
        <f>股权价值增加表!Q31/资产资本表!Q70</f>
        <v>9.7418578763647082E-2</v>
      </c>
      <c r="R8" s="63">
        <f>股权价值增加表!R31/资产资本表!R70</f>
        <v>0.35679897629294677</v>
      </c>
      <c r="S8" s="63">
        <f>股权价值增加表!S31/资产资本表!S70</f>
        <v>0.2695768115583721</v>
      </c>
      <c r="T8" s="63">
        <f>股权价值增加表!T31/资产资本表!T70</f>
        <v>0.19493269186053</v>
      </c>
      <c r="U8" s="63">
        <f>股权价值增加表!U31/资产资本表!U70</f>
        <v>0.11086867035593799</v>
      </c>
      <c r="V8" s="63">
        <f>股权价值增加表!V31/资产资本表!V70</f>
        <v>0.44513612168747269</v>
      </c>
      <c r="W8" s="63">
        <f>股权价值增加表!W31/资产资本表!W70</f>
        <v>0.35478184119630507</v>
      </c>
      <c r="X8" s="63">
        <f>股权价值增加表!X31/资产资本表!X70</f>
        <v>0.25049425661500108</v>
      </c>
      <c r="Y8" s="63">
        <f>股权价值增加表!Y31/资产资本表!Y70</f>
        <v>0.13829079578157114</v>
      </c>
      <c r="Z8" s="63">
        <f>股权价值增加表!Z31/资产资本表!Z70</f>
        <v>0.51558345407711759</v>
      </c>
      <c r="AA8" s="63">
        <f>股权价值增加表!AA31/资产资本表!AA70</f>
        <v>0.44389594408639921</v>
      </c>
      <c r="AB8" s="63">
        <f>股权价值增加表!AB31/资产资本表!AB70</f>
        <v>0.29452834635435615</v>
      </c>
      <c r="AC8" s="63">
        <f>股权价值增加表!AC31/资产资本表!AC70</f>
        <v>0.15520210933544701</v>
      </c>
      <c r="AD8" s="63">
        <f>股权价值增加表!AD31/资产资本表!AD70</f>
        <v>0.47174467178193896</v>
      </c>
      <c r="AE8" s="63">
        <f>股权价值增加表!AE31/资产资本表!AE70</f>
        <v>0.38875967373366632</v>
      </c>
      <c r="AF8" s="63">
        <f>股权价值增加表!AF31/资产资本表!AF70</f>
        <v>0.28296165669122081</v>
      </c>
      <c r="AG8" s="63">
        <f>股权价值增加表!AG31/资产资本表!AG70</f>
        <v>0.13314032685216382</v>
      </c>
      <c r="AH8" s="63">
        <f>股权价值增加表!AH31/资产资本表!AH70</f>
        <v>0.37024853579141098</v>
      </c>
      <c r="AI8" s="63">
        <f>股权价值增加表!AI31/资产资本表!AI70</f>
        <v>0.32094796265075198</v>
      </c>
      <c r="AJ8" s="63">
        <f>股权价值增加表!AJ31/资产资本表!AJ70</f>
        <v>0.23866160752852392</v>
      </c>
      <c r="AK8" s="63">
        <f>股权价值增加表!AK31/资产资本表!AK70</f>
        <v>0.10918594127488507</v>
      </c>
      <c r="AL8" s="63">
        <f>股权价值增加表!AL31/资产资本表!AL70</f>
        <v>0.40212286347267329</v>
      </c>
      <c r="AM8" s="63">
        <f>股权价值增加表!AM31/资产资本表!AM70</f>
        <v>0.36684404235956652</v>
      </c>
      <c r="AN8" s="63">
        <f>股权价值增加表!AN31/资产资本表!AN70</f>
        <v>0.26839004216745915</v>
      </c>
      <c r="AO8" s="63">
        <f>股权价值增加表!AO31/资产资本表!AO70</f>
        <v>0.1270483149750562</v>
      </c>
      <c r="AP8" s="63">
        <f>股权价值增加表!AP31/资产资本表!AP70</f>
        <v>0.45923739682576897</v>
      </c>
      <c r="AQ8" s="63">
        <f>股权价值增加表!AQ31/资产资本表!AQ70</f>
        <v>0.39750532752041046</v>
      </c>
      <c r="AR8" s="63">
        <f>股权价值增加表!AR31/资产资本表!AR70</f>
        <v>0.30978212494380625</v>
      </c>
      <c r="AS8" s="63">
        <f>股权价值增加表!AS31/资产资本表!AS70</f>
        <v>0.12681273997559564</v>
      </c>
      <c r="AT8" s="63">
        <f>股权价值增加表!AT31/资产资本表!AT70</f>
        <v>0.53233393556718533</v>
      </c>
      <c r="AU8" s="63">
        <f>股权价值增加表!AU31/资产资本表!AU70</f>
        <v>0.3531082863672631</v>
      </c>
      <c r="AV8" s="63">
        <f>股权价值增加表!AV31/资产资本表!AV70</f>
        <v>0.19130508995873924</v>
      </c>
      <c r="AW8" s="63">
        <f>股权价值增加表!AW31/资产资本表!AW70</f>
        <v>0.12818153303995702</v>
      </c>
      <c r="AX8" s="63">
        <f>股权价值增加表!AX31/资产资本表!AX70</f>
        <v>0.41007670755029124</v>
      </c>
      <c r="AY8" s="63">
        <f>股权价值增加表!AY31/资产资本表!AY70</f>
        <v>0.2836917045325571</v>
      </c>
      <c r="AZ8" s="63">
        <f>股权价值增加表!AZ31/资产资本表!AZ70</f>
        <v>0.19074804490260791</v>
      </c>
      <c r="BA8" s="63">
        <f>股权价值增加表!BA31/资产资本表!BA70</f>
        <v>0.11800871965668316</v>
      </c>
      <c r="BB8" s="63">
        <f>股权价值增加表!BB31/资产资本表!BB70</f>
        <v>0.36241608432675027</v>
      </c>
      <c r="BC8" s="63">
        <f>股权价值增加表!BC31/资产资本表!BC70</f>
        <v>0.23602557216184908</v>
      </c>
      <c r="BD8" s="63">
        <f>股权价值增加表!BD31/资产资本表!BD70</f>
        <v>0.15825665529476568</v>
      </c>
      <c r="BE8" s="63">
        <f>股权价值增加表!BE31/资产资本表!BE70</f>
        <v>0.11859650320262106</v>
      </c>
      <c r="BF8" s="63">
        <f>股权价值增加表!BF31/资产资本表!BF70</f>
        <v>0.34469496617328954</v>
      </c>
      <c r="BG8" s="63">
        <f>股权价值增加表!BG31/资产资本表!BG70</f>
        <v>0.21183197161254869</v>
      </c>
      <c r="BH8" s="63">
        <f>股权价值增加表!BH31/资产资本表!BH70</f>
        <v>0.14391036034856358</v>
      </c>
      <c r="BI8" s="63">
        <f>股权价值增加表!BI31/资产资本表!BI70</f>
        <v>0.10356620643822405</v>
      </c>
      <c r="BJ8" s="63">
        <f>股权价值增加表!BJ31/资产资本表!BJ70</f>
        <v>0.27526087691581297</v>
      </c>
      <c r="BK8" s="63">
        <f>股权价值增加表!BK31/资产资本表!BK70</f>
        <v>0.17618116676719298</v>
      </c>
      <c r="BL8" s="63">
        <f>股权价值增加表!BL31/资产资本表!BL70</f>
        <v>0.1267072759286865</v>
      </c>
      <c r="BM8" s="63">
        <f>股权价值增加表!BM31/资产资本表!BM70</f>
        <v>0.10658583072743345</v>
      </c>
      <c r="BN8" s="63">
        <f>股权价值增加表!BN31/资产资本表!BN70</f>
        <v>0.21373617504385697</v>
      </c>
      <c r="BO8" s="63">
        <f>股权价值增加表!BO31/资产资本表!BO70</f>
        <v>0.16981984578345924</v>
      </c>
      <c r="BP8" s="63">
        <f>股权价值增加表!BP31/资产资本表!BP70</f>
        <v>0.13167314522341855</v>
      </c>
      <c r="BQ8" s="63">
        <f>股权价值增加表!BQ31/资产资本表!BQ70</f>
        <v>0.11428757810245084</v>
      </c>
      <c r="BR8" s="63">
        <f>股权价值增加表!BR31/资产资本表!BR70</f>
        <v>0.22394344240205216</v>
      </c>
      <c r="BS8" s="63">
        <f>股权价值增加表!BS31/资产资本表!BS70</f>
        <v>0.44578972359417007</v>
      </c>
      <c r="BT8" s="63">
        <f>股权价值增加表!BT31/资产资本表!BT70</f>
        <v>0.81324798034718926</v>
      </c>
      <c r="BU8" s="63">
        <f>股权价值增加表!BU31/资产资本表!BU70</f>
        <v>0.79734982990724734</v>
      </c>
      <c r="BV8" s="63">
        <f>股权价值增加表!BV31/资产资本表!BV70</f>
        <v>0.57819267115053152</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c r="A9" s="156" t="s">
        <v>432</v>
      </c>
      <c r="E9" s="156">
        <f>股权价值增加表!E38/股权价值增加表!E31</f>
        <v>0.99494525410245238</v>
      </c>
      <c r="F9" s="156">
        <f>股权价值增加表!F38/股权价值增加表!F31</f>
        <v>1.0015478076408051</v>
      </c>
      <c r="G9" s="156">
        <f>股权价值增加表!G38/股权价值增加表!G31</f>
        <v>1.0014795516310588</v>
      </c>
      <c r="H9" s="156">
        <f>股权价值增加表!H38/股权价值增加表!H31</f>
        <v>1.002530486838193</v>
      </c>
      <c r="I9" s="156">
        <f>股权价值增加表!I38/股权价值增加表!I31</f>
        <v>0.99489400268481942</v>
      </c>
      <c r="J9" s="156">
        <f>股权价值增加表!J38/股权价值增加表!J31</f>
        <v>1.0014578246018473</v>
      </c>
      <c r="K9" s="156">
        <f>股权价值增加表!K38/股权价值增加表!K31</f>
        <v>1.0000755781984985</v>
      </c>
      <c r="L9" s="156">
        <f>股权价值增加表!L38/股权价值增加表!L31</f>
        <v>1.0009982892302416</v>
      </c>
      <c r="M9" s="156">
        <f>股权价值增加表!M38/股权价值增加表!M31</f>
        <v>0.9848568532441373</v>
      </c>
      <c r="N9" s="156">
        <f>股权价值增加表!N38/股权价值增加表!N31</f>
        <v>1.0031716189197419</v>
      </c>
      <c r="O9" s="156">
        <f>股权价值增加表!O38/股权价值增加表!O31</f>
        <v>1.0033501374081542</v>
      </c>
      <c r="P9" s="156">
        <f>股权价值增加表!P38/股权价值增加表!P31</f>
        <v>1.0017691799367405</v>
      </c>
      <c r="Q9" s="156">
        <f>股权价值增加表!Q38/股权价值增加表!Q31</f>
        <v>0.97910330785276811</v>
      </c>
      <c r="R9" s="156">
        <f>股权价值增加表!R38/股权价值增加表!R31</f>
        <v>1.005816828073697</v>
      </c>
      <c r="S9" s="156">
        <f>股权价值增加表!S38/股权价值增加表!S31</f>
        <v>1.0065274236051756</v>
      </c>
      <c r="T9" s="156">
        <f>股权价值增加表!T38/股权价值增加表!T31</f>
        <v>1.0054410942297369</v>
      </c>
      <c r="U9" s="156">
        <f>股权价值增加表!U38/股权价值增加表!U31</f>
        <v>0.92761377698299385</v>
      </c>
      <c r="V9" s="156">
        <f>股权价值增加表!V38/股权价值增加表!V31</f>
        <v>1.0205396138257556</v>
      </c>
      <c r="W9" s="156">
        <f>股权价值增加表!W38/股权价值增加表!W31</f>
        <v>1.0225132600832458</v>
      </c>
      <c r="X9" s="156">
        <f>股权价值增加表!X38/股权价值增加表!X31</f>
        <v>1.0241759884860593</v>
      </c>
      <c r="Y9" s="156">
        <f>股权价值增加表!Y38/股权价值增加表!Y31</f>
        <v>0.94336926651552</v>
      </c>
      <c r="Z9" s="156">
        <f>股权价值增加表!Z38/股权价值增加表!Z31</f>
        <v>1.0230299290178191</v>
      </c>
      <c r="AA9" s="156">
        <f>股权价值增加表!AA38/股权价值增加表!AA31</f>
        <v>1.0208195359077177</v>
      </c>
      <c r="AB9" s="156">
        <f>股权价值增加表!AB38/股权价值增加表!AB31</f>
        <v>1.0194737647396646</v>
      </c>
      <c r="AC9" s="156">
        <f>股权价值增加表!AC38/股权价值增加表!AC31</f>
        <v>0.94243920704494621</v>
      </c>
      <c r="AD9" s="156">
        <f>股权价值增加表!AD38/股权价值增加表!AD31</f>
        <v>1.0292685381369875</v>
      </c>
      <c r="AE9" s="156">
        <f>股权价值增加表!AE38/股权价值增加表!AE31</f>
        <v>1.0240366074704546</v>
      </c>
      <c r="AF9" s="156">
        <f>股权价值增加表!AF38/股权价值增加表!AF31</f>
        <v>1.0220953425206931</v>
      </c>
      <c r="AG9" s="156">
        <f>股权价值增加表!AG38/股权价值增加表!AG31</f>
        <v>0.95557140275676711</v>
      </c>
      <c r="AH9" s="156">
        <f>股权价值增加表!AH38/股权价值增加表!AH31</f>
        <v>1.0252764209214125</v>
      </c>
      <c r="AI9" s="156">
        <f>股权价值增加表!AI38/股权价值增加表!AI31</f>
        <v>1.0238485189294926</v>
      </c>
      <c r="AJ9" s="156">
        <f>股权价值增加表!AJ38/股权价值增加表!AJ31</f>
        <v>1.0233241706371434</v>
      </c>
      <c r="AK9" s="156">
        <f>股权价值增加表!AK38/股权价值增加表!AK31</f>
        <v>1.0264799005372471</v>
      </c>
      <c r="AL9" s="156">
        <f>股权价值增加表!AL38/股权价值增加表!AL31</f>
        <v>1.0224715450214217</v>
      </c>
      <c r="AM9" s="156">
        <f>股权价值增加表!AM38/股权价值增加表!AM31</f>
        <v>1.0173404657528446</v>
      </c>
      <c r="AN9" s="156">
        <f>股权价值增加表!AN38/股权价值增加表!AN31</f>
        <v>1.0229922466615908</v>
      </c>
      <c r="AO9" s="156">
        <f>股权价值增加表!AO38/股权价值增加表!AO31</f>
        <v>1.0500742786605</v>
      </c>
      <c r="AP9" s="156">
        <f>股权价值增加表!AP38/股权价值增加表!AP31</f>
        <v>1.0194027348749612</v>
      </c>
      <c r="AQ9" s="156">
        <f>股权价值增加表!AQ38/股权价值增加表!AQ31</f>
        <v>1.0143220161737427</v>
      </c>
      <c r="AR9" s="156">
        <f>股权价值增加表!AR38/股权价值增加表!AR31</f>
        <v>1.0149292793728335</v>
      </c>
      <c r="AS9" s="156">
        <f>股权价值增加表!AS38/股权价值增加表!AS31</f>
        <v>1.0335457173669231</v>
      </c>
      <c r="AT9" s="156">
        <f>股权价值增加表!AT38/股权价值增加表!AT31</f>
        <v>1.0099935257674102</v>
      </c>
      <c r="AU9" s="156">
        <f>股权价值增加表!AU38/股权价值增加表!AU31</f>
        <v>1.015449286015532</v>
      </c>
      <c r="AV9" s="156">
        <f>股权价值增加表!AV38/股权价值增加表!AV31</f>
        <v>1.0248221467103418</v>
      </c>
      <c r="AW9" s="156">
        <f>股权价值增加表!AW38/股权价值增加表!AW31</f>
        <v>1.0315688020129494</v>
      </c>
      <c r="AX9" s="156">
        <f>股权价值增加表!AX38/股权价值增加表!AX31</f>
        <v>1.0102629490669031</v>
      </c>
      <c r="AY9" s="156">
        <f>股权价值增加表!AY38/股权价值增加表!AY31</f>
        <v>1.0093205350283265</v>
      </c>
      <c r="AZ9" s="156">
        <f>股权价值增加表!AZ38/股权价值增加表!AZ31</f>
        <v>1.0069389765256416</v>
      </c>
      <c r="BA9" s="156">
        <f>股权价值增加表!BA38/股权价值增加表!BA31</f>
        <v>1.0042100996485857</v>
      </c>
      <c r="BB9" s="156">
        <f>股权价值增加表!BB38/股权价值增加表!BB31</f>
        <v>1.0170899058849789</v>
      </c>
      <c r="BC9" s="156">
        <f>股权价值增加表!BC38/股权价值增加表!BC31</f>
        <v>1.012517198719519</v>
      </c>
      <c r="BD9" s="156">
        <f>股权价值增加表!BD38/股权价值增加表!BD31</f>
        <v>1.0108298745156596</v>
      </c>
      <c r="BE9" s="156">
        <f>股权价值增加表!BE38/股权价值增加表!BE31</f>
        <v>1.0067663240849329</v>
      </c>
      <c r="BF9" s="156">
        <f>股权价值增加表!BF38/股权价值增加表!BF31</f>
        <v>1.0177471199694148</v>
      </c>
      <c r="BG9" s="156">
        <f>股权价值增加表!BG38/股权价值增加表!BG31</f>
        <v>1.0261370762768431</v>
      </c>
      <c r="BH9" s="156">
        <f>股权价值增加表!BH38/股权价值增加表!BH31</f>
        <v>1.0177914876663841</v>
      </c>
      <c r="BI9" s="156">
        <f>股权价值增加表!BI38/股权价值增加表!BI31</f>
        <v>1.0171070799781836</v>
      </c>
      <c r="BJ9" s="156">
        <f>股权价值增加表!BJ38/股权价值增加表!BJ31</f>
        <v>1.0167266695626287</v>
      </c>
      <c r="BK9" s="156">
        <f>股权价值增加表!BK38/股权价值增加表!BK31</f>
        <v>1.0210520397913179</v>
      </c>
      <c r="BL9" s="156">
        <f>股权价值增加表!BL38/股权价值增加表!BL31</f>
        <v>1.0107893318739034</v>
      </c>
      <c r="BM9" s="156">
        <f>股权价值增加表!BM38/股权价值增加表!BM31</f>
        <v>1.0065438757745946</v>
      </c>
      <c r="BN9" s="156">
        <f>股权价值增加表!BN38/股权价值增加表!BN31</f>
        <v>1.0277802001212222</v>
      </c>
      <c r="BO9" s="156">
        <f>股权价值增加表!BO38/股权价值增加表!BO31</f>
        <v>1.0298924115660437</v>
      </c>
      <c r="BP9" s="156">
        <f>股权价值增加表!BP38/股权价值增加表!BP31</f>
        <v>1.0305996337322434</v>
      </c>
      <c r="BQ9" s="156">
        <f>股权价值增加表!BQ38/股权价值增加表!BQ31</f>
        <v>1.0079564971480586</v>
      </c>
      <c r="BR9" s="156">
        <f>股权价值增加表!BR38/股权价值增加表!BR31</f>
        <v>1.0095656239996698</v>
      </c>
      <c r="BS9" s="156">
        <f>股权价值增加表!BS38/股权价值增加表!BS31</f>
        <v>0.99642114362372569</v>
      </c>
      <c r="BT9" s="156">
        <f>股权价值增加表!BT38/股权价值增加表!BT31</f>
        <v>0.98523660616076891</v>
      </c>
      <c r="BU9" s="156">
        <f>股权价值增加表!BU38/股权价值增加表!BU31</f>
        <v>0.96906008255353426</v>
      </c>
      <c r="BV9" s="156">
        <f>股权价值增加表!BV38/股权价值增加表!BV31</f>
        <v>0.83867542396073969</v>
      </c>
      <c r="BW9" s="156" t="e">
        <f>股权价值增加表!BW38/股权价值增加表!BW31</f>
        <v>#DIV/0!</v>
      </c>
      <c r="BX9" s="156" t="e">
        <f>股权价值增加表!BX38/股权价值增加表!BX31</f>
        <v>#DIV/0!</v>
      </c>
      <c r="BY9" s="156" t="e">
        <f>股权价值增加表!BY38/股权价值增加表!BY31</f>
        <v>#DIV/0!</v>
      </c>
      <c r="BZ9" s="156" t="e">
        <f>股权价值增加表!BZ38/股权价值增加表!BZ31</f>
        <v>#DIV/0!</v>
      </c>
      <c r="CA9" s="156" t="e">
        <f>股权价值增加表!CA38/股权价值增加表!CA31</f>
        <v>#DIV/0!</v>
      </c>
      <c r="CB9" s="156" t="e">
        <f>股权价值增加表!CB38/股权价值增加表!CB31</f>
        <v>#DIV/0!</v>
      </c>
      <c r="CC9" s="156" t="e">
        <f>股权价值增加表!CC38/股权价值增加表!CC31</f>
        <v>#DIV/0!</v>
      </c>
      <c r="CD9" s="156" t="e">
        <f>股权价值增加表!CD38/股权价值增加表!CD31</f>
        <v>#DIV/0!</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c r="A10" s="241" t="s">
        <v>433</v>
      </c>
      <c r="E10" s="61">
        <f>资产资本表!E70/资产资本表!E107</f>
        <v>1.0814976014430981</v>
      </c>
      <c r="F10" s="61">
        <f>资产资本表!F70/资产资本表!F107</f>
        <v>1.1092071342448337</v>
      </c>
      <c r="G10" s="61">
        <f>资产资本表!G70/资产资本表!G107</f>
        <v>1.1349091971831378</v>
      </c>
      <c r="H10" s="61">
        <f>资产资本表!H70/资产资本表!H107</f>
        <v>1.2195420365070477</v>
      </c>
      <c r="I10" s="61">
        <f>资产资本表!I70/资产资本表!I107</f>
        <v>1.1283752012000037</v>
      </c>
      <c r="J10" s="61">
        <f>资产资本表!J70/资产资本表!J107</f>
        <v>1.1373320168664054</v>
      </c>
      <c r="K10" s="61">
        <f>资产资本表!K70/资产资本表!K107</f>
        <v>1.1753942750504416</v>
      </c>
      <c r="L10" s="61">
        <f>资产资本表!L70/资产资本表!L107</f>
        <v>1.1886181155496498</v>
      </c>
      <c r="M10" s="61">
        <f>资产资本表!M70/资产资本表!M107</f>
        <v>1.0930216670239186</v>
      </c>
      <c r="N10" s="61">
        <f>资产资本表!N70/资产资本表!N107</f>
        <v>1.0905126720603266</v>
      </c>
      <c r="O10" s="61">
        <f>资产资本表!O70/资产资本表!O107</f>
        <v>1.1030747631694411</v>
      </c>
      <c r="P10" s="61">
        <f>资产资本表!P70/资产资本表!P107</f>
        <v>1.048413405940376</v>
      </c>
      <c r="Q10" s="61">
        <f>资产资本表!Q70/资产资本表!Q107</f>
        <v>1.0476927312925195</v>
      </c>
      <c r="R10" s="61">
        <f>资产资本表!R70/资产资本表!R107</f>
        <v>1.0729389852526203</v>
      </c>
      <c r="S10" s="61">
        <f>资产资本表!S70/资产资本表!S107</f>
        <v>1.0811605181829125</v>
      </c>
      <c r="T10" s="61">
        <f>资产资本表!T70/资产资本表!T107</f>
        <v>1.0897325403905451</v>
      </c>
      <c r="U10" s="61">
        <f>资产资本表!U70/资产资本表!U107</f>
        <v>1.0644744348598727</v>
      </c>
      <c r="V10" s="61">
        <f>资产资本表!V70/资产资本表!V107</f>
        <v>1.0634631904750738</v>
      </c>
      <c r="W10" s="61">
        <f>资产资本表!W70/资产资本表!W107</f>
        <v>1.0810224825240013</v>
      </c>
      <c r="X10" s="61">
        <f>资产资本表!X70/资产资本表!X107</f>
        <v>1.1020608981733326</v>
      </c>
      <c r="Y10" s="61">
        <f>资产资本表!Y70/资产资本表!Y107</f>
        <v>1.0163105650817044</v>
      </c>
      <c r="Z10" s="61">
        <f>资产资本表!Z70/资产资本表!Z107</f>
        <v>1</v>
      </c>
      <c r="AA10" s="61">
        <f>资产资本表!AA70/资产资本表!AA107</f>
        <v>1.0061168765301896</v>
      </c>
      <c r="AB10" s="61">
        <f>资产资本表!AB70/资产资本表!AB107</f>
        <v>1.1490511799071521</v>
      </c>
      <c r="AC10" s="61">
        <f>资产资本表!AC70/资产资本表!AC107</f>
        <v>1.0000788626383967</v>
      </c>
      <c r="AD10" s="61">
        <f>资产资本表!AD70/资产资本表!AD107</f>
        <v>1.0000000000000002</v>
      </c>
      <c r="AE10" s="61">
        <f>资产资本表!AE70/资产资本表!AE107</f>
        <v>1.0097728356249269</v>
      </c>
      <c r="AF10" s="61">
        <f>资产资本表!AF70/资产资本表!AF107</f>
        <v>1.1053182717033707</v>
      </c>
      <c r="AG10" s="61">
        <f>资产资本表!AG70/资产资本表!AG107</f>
        <v>1.0155099140049804</v>
      </c>
      <c r="AH10" s="61">
        <f>资产资本表!AH70/资产资本表!AH107</f>
        <v>1.0171749152686358</v>
      </c>
      <c r="AI10" s="61">
        <f>资产资本表!AI70/资产资本表!AI107</f>
        <v>1.0124280292502343</v>
      </c>
      <c r="AJ10" s="61">
        <f>资产资本表!AJ70/资产资本表!AJ107</f>
        <v>1.0708997774634323</v>
      </c>
      <c r="AK10" s="61">
        <f>资产资本表!AK70/资产资本表!AK107</f>
        <v>1</v>
      </c>
      <c r="AL10" s="61">
        <f>资产资本表!AL70/资产资本表!AL107</f>
        <v>1.0093647101131067</v>
      </c>
      <c r="AM10" s="61">
        <f>资产资本表!AM70/资产资本表!AM107</f>
        <v>0.99999999999999989</v>
      </c>
      <c r="AN10" s="61">
        <f>资产资本表!AN70/资产资本表!AN107</f>
        <v>1.0804013312696459</v>
      </c>
      <c r="AO10" s="61">
        <f>资产资本表!AO70/资产资本表!AO107</f>
        <v>1.0136779253198169</v>
      </c>
      <c r="AP10" s="61">
        <f>资产资本表!AP70/资产资本表!AP107</f>
        <v>1</v>
      </c>
      <c r="AQ10" s="61">
        <f>资产资本表!AQ70/资产资本表!AQ107</f>
        <v>1.0106770544208876</v>
      </c>
      <c r="AR10" s="61">
        <f>资产资本表!AR70/资产资本表!AR107</f>
        <v>1.0119929666499261</v>
      </c>
      <c r="AS10" s="61">
        <f>资产资本表!AS70/资产资本表!AS107</f>
        <v>1.0045021777380223</v>
      </c>
      <c r="AT10" s="61">
        <f>资产资本表!AT70/资产资本表!AT107</f>
        <v>1.0049955405119619</v>
      </c>
      <c r="AU10" s="61">
        <f>资产资本表!AU70/资产资本表!AU107</f>
        <v>1.0060128812585718</v>
      </c>
      <c r="AV10" s="61">
        <f>资产资本表!AV70/资产资本表!AV107</f>
        <v>1.1162283162937303</v>
      </c>
      <c r="AW10" s="61">
        <f>资产资本表!AW70/资产资本表!AW107</f>
        <v>1.1227313623011879</v>
      </c>
      <c r="AX10" s="61">
        <f>资产资本表!AX70/资产资本表!AX107</f>
        <v>1.0014946943749554</v>
      </c>
      <c r="AY10" s="61">
        <f>资产资本表!AY70/资产资本表!AY107</f>
        <v>1.0105304408942593</v>
      </c>
      <c r="AZ10" s="61">
        <f>资产资本表!AZ70/资产资本表!AZ107</f>
        <v>1.0004266622202758</v>
      </c>
      <c r="BA10" s="61">
        <f>资产资本表!BA70/资产资本表!BA107</f>
        <v>1.0153848514339106</v>
      </c>
      <c r="BB10" s="61">
        <f>资产资本表!BB70/资产资本表!BB107</f>
        <v>1.0090851865169896</v>
      </c>
      <c r="BC10" s="61">
        <f>资产资本表!BC70/资产资本表!BC107</f>
        <v>1.0104268728529944</v>
      </c>
      <c r="BD10" s="61">
        <f>资产资本表!BD70/资产资本表!BD107</f>
        <v>1.0082749619270783</v>
      </c>
      <c r="BE10" s="61">
        <f>资产资本表!BE70/资产资本表!BE107</f>
        <v>1.0149183180837194</v>
      </c>
      <c r="BF10" s="61">
        <f>资产资本表!BF70/资产资本表!BF107</f>
        <v>1.0077049004084275</v>
      </c>
      <c r="BG10" s="61">
        <f>资产资本表!BG70/资产资本表!BG107</f>
        <v>1.0329424567857082</v>
      </c>
      <c r="BH10" s="61">
        <f>资产资本表!BH70/资产资本表!BH107</f>
        <v>1.0189824338444764</v>
      </c>
      <c r="BI10" s="61">
        <f>资产资本表!BI70/资产资本表!BI107</f>
        <v>1.0216260791867391</v>
      </c>
      <c r="BJ10" s="61">
        <f>资产资本表!BJ70/资产资本表!BJ107</f>
        <v>1.0044587856400251</v>
      </c>
      <c r="BK10" s="61">
        <f>资产资本表!BK70/资产资本表!BK107</f>
        <v>1.0216429954813062</v>
      </c>
      <c r="BL10" s="61">
        <f>资产资本表!BL70/资产资本表!BL107</f>
        <v>1.0232338429291448</v>
      </c>
      <c r="BM10" s="61">
        <f>资产资本表!BM70/资产资本表!BM107</f>
        <v>1.0224820016259453</v>
      </c>
      <c r="BN10" s="61">
        <f>资产资本表!BN70/资产资本表!BN107</f>
        <v>1.0229879788939782</v>
      </c>
      <c r="BO10" s="61">
        <f>资产资本表!BO70/资产资本表!BO107</f>
        <v>1.0518555349478798</v>
      </c>
      <c r="BP10" s="61">
        <f>资产资本表!BP70/资产资本表!BP107</f>
        <v>1.061767684620738</v>
      </c>
      <c r="BQ10" s="61">
        <f>资产资本表!BQ70/资产资本表!BQ107</f>
        <v>1.0639397540399571</v>
      </c>
      <c r="BR10" s="61">
        <f>资产资本表!BR70/资产资本表!BR107</f>
        <v>1.0563544746250171</v>
      </c>
      <c r="BS10" s="61">
        <f>资产资本表!BS70/资产资本表!BS107</f>
        <v>1.4914868151134044</v>
      </c>
      <c r="BT10" s="61">
        <f>资产资本表!BT70/资产资本表!BT107</f>
        <v>1.2537304563662912</v>
      </c>
      <c r="BU10" s="61">
        <f>资产资本表!BU70/资产资本表!BU107</f>
        <v>1.6019234230922617</v>
      </c>
      <c r="BV10" s="61">
        <f>资产资本表!BV70/资产资本表!BV107</f>
        <v>1.9198639693120263</v>
      </c>
      <c r="BW10" s="61" t="e">
        <f>资产资本表!BW70/资产资本表!BW107</f>
        <v>#DIV/0!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439</v>
      </c>
      <c r="E11" s="28">
        <f>E9*E10</f>
        <v>1.0760309058789961</v>
      </c>
      <c r="F11" s="28">
        <f t="shared" ref="F11:BQ11" si="2">F9*F10</f>
        <v>1.1109239735224534</v>
      </c>
      <c r="G11" s="28">
        <f t="shared" si="2"/>
        <v>1.1365883539369337</v>
      </c>
      <c r="H11" s="28">
        <f t="shared" si="2"/>
        <v>1.2226280715790518</v>
      </c>
      <c r="I11" s="28">
        <f t="shared" si="2"/>
        <v>1.12261372045216</v>
      </c>
      <c r="J11" s="28">
        <f t="shared" si="2"/>
        <v>1.1389900474610619</v>
      </c>
      <c r="K11" s="28">
        <f t="shared" si="2"/>
        <v>1.1754831092322753</v>
      </c>
      <c r="L11" s="28">
        <f t="shared" si="2"/>
        <v>1.189804700213273</v>
      </c>
      <c r="M11" s="28">
        <f t="shared" si="2"/>
        <v>1.0764698795128376</v>
      </c>
      <c r="N11" s="28">
        <f t="shared" si="2"/>
        <v>1.0939713626832515</v>
      </c>
      <c r="O11" s="28">
        <f t="shared" si="2"/>
        <v>1.1067702151975258</v>
      </c>
      <c r="P11" s="28">
        <f t="shared" si="2"/>
        <v>1.0502682379035755</v>
      </c>
      <c r="Q11" s="28">
        <f t="shared" si="2"/>
        <v>1.0257994188218071</v>
      </c>
      <c r="R11" s="28">
        <f t="shared" si="2"/>
        <v>1.0791800868634018</v>
      </c>
      <c r="S11" s="28">
        <f t="shared" si="2"/>
        <v>1.0882177108702835</v>
      </c>
      <c r="T11" s="28">
        <f t="shared" si="2"/>
        <v>1.0956618778280207</v>
      </c>
      <c r="U11" s="28">
        <f t="shared" si="2"/>
        <v>0.9874211510222044</v>
      </c>
      <c r="V11" s="28">
        <f t="shared" si="2"/>
        <v>1.0853063137253378</v>
      </c>
      <c r="W11" s="28">
        <f t="shared" si="2"/>
        <v>1.1053598228289003</v>
      </c>
      <c r="X11" s="28">
        <f t="shared" si="2"/>
        <v>1.1287043097585072</v>
      </c>
      <c r="Y11" s="28">
        <f t="shared" si="2"/>
        <v>0.95875615233310107</v>
      </c>
      <c r="Z11" s="28">
        <f t="shared" si="2"/>
        <v>1.0230299290178191</v>
      </c>
      <c r="AA11" s="28">
        <f t="shared" si="2"/>
        <v>1.0270637629684707</v>
      </c>
      <c r="AB11" s="28">
        <f t="shared" si="2"/>
        <v>1.1714275322584979</v>
      </c>
      <c r="AC11" s="28">
        <f t="shared" si="2"/>
        <v>0.9425135302873423</v>
      </c>
      <c r="AD11" s="28">
        <f t="shared" si="2"/>
        <v>1.0292685381369877</v>
      </c>
      <c r="AE11" s="28">
        <f t="shared" si="2"/>
        <v>1.0340443489091711</v>
      </c>
      <c r="AF11" s="28">
        <f t="shared" si="2"/>
        <v>1.1297406575110371</v>
      </c>
      <c r="AG11" s="28">
        <f t="shared" si="2"/>
        <v>0.97039223303914302</v>
      </c>
      <c r="AH11" s="28">
        <f t="shared" si="2"/>
        <v>1.042885456577668</v>
      </c>
      <c r="AI11" s="28">
        <f t="shared" si="2"/>
        <v>1.0365729382705575</v>
      </c>
      <c r="AJ11" s="28">
        <f t="shared" si="2"/>
        <v>1.0958776266082684</v>
      </c>
      <c r="AK11" s="28">
        <f t="shared" si="2"/>
        <v>1.0264799005372471</v>
      </c>
      <c r="AL11" s="28">
        <f t="shared" si="2"/>
        <v>1.0320466946394475</v>
      </c>
      <c r="AM11" s="28">
        <f t="shared" si="2"/>
        <v>1.0173404657528444</v>
      </c>
      <c r="AN11" s="28">
        <f t="shared" si="2"/>
        <v>1.1052421851717087</v>
      </c>
      <c r="AO11" s="28">
        <f t="shared" si="2"/>
        <v>1.0644371162242789</v>
      </c>
      <c r="AP11" s="28">
        <f t="shared" si="2"/>
        <v>1.0194027348749612</v>
      </c>
      <c r="AQ11" s="28">
        <f t="shared" si="2"/>
        <v>1.0251519875407342</v>
      </c>
      <c r="AR11" s="28">
        <f t="shared" si="2"/>
        <v>1.0271012923723855</v>
      </c>
      <c r="AS11" s="28">
        <f t="shared" si="2"/>
        <v>1.0381989238868807</v>
      </c>
      <c r="AT11" s="28">
        <f t="shared" si="2"/>
        <v>1.0150389893422005</v>
      </c>
      <c r="AU11" s="28">
        <f t="shared" si="2"/>
        <v>1.0215550619964449</v>
      </c>
      <c r="AV11" s="28">
        <f t="shared" si="2"/>
        <v>1.1439354993230111</v>
      </c>
      <c r="AW11" s="28">
        <f t="shared" si="2"/>
        <v>1.1581746463914031</v>
      </c>
      <c r="AX11" s="28">
        <f t="shared" si="2"/>
        <v>1.0117729834140992</v>
      </c>
      <c r="AY11" s="28">
        <f t="shared" si="2"/>
        <v>1.0199491252658044</v>
      </c>
      <c r="AZ11" s="28">
        <f t="shared" si="2"/>
        <v>1.0073685993450483</v>
      </c>
      <c r="BA11" s="28">
        <f t="shared" si="2"/>
        <v>1.0196597228401116</v>
      </c>
      <c r="BB11" s="28">
        <f t="shared" si="2"/>
        <v>1.0263303573844915</v>
      </c>
      <c r="BC11" s="28">
        <f t="shared" si="2"/>
        <v>1.0230745868120374</v>
      </c>
      <c r="BD11" s="28">
        <f t="shared" si="2"/>
        <v>1.0191944532420301</v>
      </c>
      <c r="BE11" s="28">
        <f t="shared" si="2"/>
        <v>1.0217855843436088</v>
      </c>
      <c r="BF11" s="28">
        <f t="shared" si="2"/>
        <v>1.0255887601697431</v>
      </c>
      <c r="BG11" s="28">
        <f t="shared" si="2"/>
        <v>1.0599405525683059</v>
      </c>
      <c r="BH11" s="28">
        <f t="shared" si="2"/>
        <v>1.0371116472484825</v>
      </c>
      <c r="BI11" s="28">
        <f t="shared" si="2"/>
        <v>1.0391031182311847</v>
      </c>
      <c r="BJ11" s="28">
        <f t="shared" si="2"/>
        <v>1.021260035836705</v>
      </c>
      <c r="BK11" s="28">
        <f t="shared" si="2"/>
        <v>1.0431506644747</v>
      </c>
      <c r="BL11" s="28">
        <f t="shared" si="2"/>
        <v>1.0342738524451169</v>
      </c>
      <c r="BM11" s="28">
        <f t="shared" si="2"/>
        <v>1.0291729968263443</v>
      </c>
      <c r="BN11" s="28">
        <f t="shared" si="2"/>
        <v>1.0514067896692576</v>
      </c>
      <c r="BO11" s="28">
        <f t="shared" si="2"/>
        <v>1.083298033506563</v>
      </c>
      <c r="BP11" s="28">
        <f t="shared" si="2"/>
        <v>1.0942573868788648</v>
      </c>
      <c r="BQ11" s="28">
        <f t="shared" si="2"/>
        <v>1.0724049876586821</v>
      </c>
      <c r="BR11" s="28">
        <f t="shared" ref="BR11:CJ11" si="3">BR9*BR10</f>
        <v>1.0664591643396486</v>
      </c>
      <c r="BS11" s="28">
        <f t="shared" si="3"/>
        <v>1.4861489980150067</v>
      </c>
      <c r="BT11" s="28">
        <f t="shared" si="3"/>
        <v>1.2352211398707167</v>
      </c>
      <c r="BU11" s="28">
        <f t="shared" si="3"/>
        <v>1.5523600446262273</v>
      </c>
      <c r="BV11" s="28">
        <f t="shared" si="3"/>
        <v>1.6101427284097123</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6" customFormat="1">
      <c r="A12" s="156" t="s">
        <v>434</v>
      </c>
      <c r="E12" s="156">
        <f>E2/股权价值增加表!E38</f>
        <v>0.72994056515352346</v>
      </c>
      <c r="F12" s="156">
        <f>F2/股权价值增加表!F38</f>
        <v>0.72987804339012019</v>
      </c>
      <c r="G12" s="156">
        <f>G2/股权价值增加表!G38</f>
        <v>0.73157533781527251</v>
      </c>
      <c r="H12" s="156">
        <f>H2/股权价值增加表!H38</f>
        <v>0.72804734566046914</v>
      </c>
      <c r="I12" s="156">
        <f>I2/股权价值增加表!I38</f>
        <v>0.72990714326545969</v>
      </c>
      <c r="J12" s="156">
        <f>J2/股权价值增加表!J38</f>
        <v>0.73552931421799161</v>
      </c>
      <c r="K12" s="156">
        <f>K2/股权价值增加表!K38</f>
        <v>0.72674879442140372</v>
      </c>
      <c r="L12" s="156">
        <f>L2/股权价值增加表!L38</f>
        <v>0.72363163545831521</v>
      </c>
      <c r="M12" s="156">
        <f>M2/股权价值增加表!M38</f>
        <v>0.71398005903162165</v>
      </c>
      <c r="N12" s="156">
        <f>N2/股权价值增加表!N38</f>
        <v>0.73929995773668844</v>
      </c>
      <c r="O12" s="156">
        <f>O2/股权价值增加表!O38</f>
        <v>0.74153830652890751</v>
      </c>
      <c r="P12" s="156">
        <f>P2/股权价值增加表!P38</f>
        <v>0.74108157500086769</v>
      </c>
      <c r="Q12" s="156">
        <f>Q2/股权价值增加表!Q38</f>
        <v>0.73723277278209454</v>
      </c>
      <c r="R12" s="156">
        <f>R2/股权价值增加表!R38</f>
        <v>0.73645217615553671</v>
      </c>
      <c r="S12" s="156">
        <f>S2/股权价值增加表!S38</f>
        <v>0.74245020513325777</v>
      </c>
      <c r="T12" s="156">
        <f>T2/股权价值增加表!T38</f>
        <v>0.7430569152711467</v>
      </c>
      <c r="U12" s="156">
        <f>U2/股权价值增加表!U38</f>
        <v>0.73831886645433975</v>
      </c>
      <c r="V12" s="156">
        <f>V2/股权价值增加表!V38</f>
        <v>0.74354244566170058</v>
      </c>
      <c r="W12" s="156">
        <f>W2/股权价值增加表!W38</f>
        <v>0.74351901778095497</v>
      </c>
      <c r="X12" s="156">
        <f>X2/股权价值增加表!X38</f>
        <v>0.75242198011810157</v>
      </c>
      <c r="Y12" s="156">
        <f>Y2/股权价值增加表!Y38</f>
        <v>0.73725814075112128</v>
      </c>
      <c r="Z12" s="156">
        <f>Z2/股权价值增加表!Z38</f>
        <v>0.74909536331531534</v>
      </c>
      <c r="AA12" s="156">
        <f>AA2/股权价值增加表!AA38</f>
        <v>0.74993399373609215</v>
      </c>
      <c r="AB12" s="156">
        <f>AB2/股权价值增加表!AB38</f>
        <v>0.74987830862113969</v>
      </c>
      <c r="AC12" s="156">
        <f>AC2/股权价值增加表!AC38</f>
        <v>0.74950334883601799</v>
      </c>
      <c r="AD12" s="156">
        <f>AD2/股权价值增加表!AD38</f>
        <v>0.74994555604254964</v>
      </c>
      <c r="AE12" s="156">
        <f>AE2/股权价值增加表!AE38</f>
        <v>0.74688008977724707</v>
      </c>
      <c r="AF12" s="156">
        <f>AF2/股权价值增加表!AF38</f>
        <v>0.75011557789127126</v>
      </c>
      <c r="AG12" s="156">
        <f>AG2/股权价值增加表!AG38</f>
        <v>0.75024144081099597</v>
      </c>
      <c r="AH12" s="156">
        <f>AH2/股权价值增加表!AH38</f>
        <v>0.74552510657232174</v>
      </c>
      <c r="AI12" s="156">
        <f>AI2/股权价值增加表!AI38</f>
        <v>0.7481794130696009</v>
      </c>
      <c r="AJ12" s="156">
        <f>AJ2/股权价值增加表!AJ38</f>
        <v>0.74804121083676578</v>
      </c>
      <c r="AK12" s="156">
        <f>AK2/股权价值增加表!AK38</f>
        <v>0.74988693236112292</v>
      </c>
      <c r="AL12" s="156">
        <f>AL2/股权价值增加表!AL38</f>
        <v>0.74876393056824009</v>
      </c>
      <c r="AM12" s="156">
        <f>AM2/股权价值增加表!AM38</f>
        <v>0.75014522508766512</v>
      </c>
      <c r="AN12" s="156">
        <f>AN2/股权价值增加表!AN38</f>
        <v>0.74987016417334484</v>
      </c>
      <c r="AO12" s="156">
        <f>AO2/股权价值增加表!AO38</f>
        <v>0.75003413260957497</v>
      </c>
      <c r="AP12" s="156">
        <f>AP2/股权价值增加表!AP38</f>
        <v>0.74290362078595906</v>
      </c>
      <c r="AQ12" s="156">
        <f>AQ2/股权价值增加表!AQ38</f>
        <v>0.75029078633494317</v>
      </c>
      <c r="AR12" s="156">
        <f>AR2/股权价值增加表!AR38</f>
        <v>0.75009441483563544</v>
      </c>
      <c r="AS12" s="156">
        <f>AS2/股权价值增加表!AS38</f>
        <v>0.75010667076424409</v>
      </c>
      <c r="AT12" s="156">
        <f>AT2/股权价值增加表!AT38</f>
        <v>0.65591245039585455</v>
      </c>
      <c r="AU12" s="156">
        <f>AU2/股权价值增加表!AU38</f>
        <v>0.66554658323337124</v>
      </c>
      <c r="AV12" s="156">
        <f>AV2/股权价值增加表!AV38</f>
        <v>0.65680279413389253</v>
      </c>
      <c r="AW12" s="156">
        <f>AW2/股权价值增加表!AW38</f>
        <v>0.64225691612328073</v>
      </c>
      <c r="AX12" s="156">
        <f>AX2/股权价值增加表!AX38</f>
        <v>0.63259155209141427</v>
      </c>
      <c r="AY12" s="156">
        <f>AY2/股权价值增加表!AY38</f>
        <v>0.63414823062911219</v>
      </c>
      <c r="AZ12" s="156">
        <f>AZ2/股权价值增加表!AZ38</f>
        <v>0.65227096589842637</v>
      </c>
      <c r="BA12" s="156">
        <f>BA2/股权价值增加表!BA38</f>
        <v>0.69672197597827601</v>
      </c>
      <c r="BB12" s="156">
        <f>BB2/股权价值增加表!BB38</f>
        <v>0.60882967634143004</v>
      </c>
      <c r="BC12" s="156">
        <f>BC2/股权价值增加表!BC38</f>
        <v>0.63836337744637084</v>
      </c>
      <c r="BD12" s="156">
        <f>BD2/股权价值增加表!BD38</f>
        <v>0.66423597381333777</v>
      </c>
      <c r="BE12" s="156">
        <f>BE2/股权价值增加表!BE38</f>
        <v>0.68867260334397318</v>
      </c>
      <c r="BF12" s="156">
        <f>BF2/股权价值增加表!BF38</f>
        <v>0.57301074729734525</v>
      </c>
      <c r="BG12" s="156">
        <f>BG2/股权价值增加表!BG38</f>
        <v>0.61430748316584061</v>
      </c>
      <c r="BH12" s="156">
        <f>BH2/股权价值增加表!BH38</f>
        <v>0.63901052475107667</v>
      </c>
      <c r="BI12" s="156">
        <f>BI2/股权价值增加表!BI38</f>
        <v>0.67634829879120983</v>
      </c>
      <c r="BJ12" s="156">
        <f>BJ2/股权价值增加表!BJ38</f>
        <v>0.62224514200069869</v>
      </c>
      <c r="BK12" s="156">
        <f>BK2/股权价值增加表!BK38</f>
        <v>0.61866024576613554</v>
      </c>
      <c r="BL12" s="156">
        <f>BL2/股权价值增加表!BL38</f>
        <v>0.63675273066631644</v>
      </c>
      <c r="BM12" s="156">
        <f>BM2/股权价值增加表!BM38</f>
        <v>0.6579934879941739</v>
      </c>
      <c r="BN12" s="156">
        <f>BN2/股权价值增加表!BN38</f>
        <v>0.60251369892796292</v>
      </c>
      <c r="BO12" s="156">
        <f>BO2/股权价值增加表!BO38</f>
        <v>0.60393698748715829</v>
      </c>
      <c r="BP12" s="156">
        <f>BP2/股权价值增加表!BP38</f>
        <v>0.61227682265456806</v>
      </c>
      <c r="BQ12" s="156">
        <f>BQ2/股权价值增加表!BQ38</f>
        <v>0.63168197337425669</v>
      </c>
      <c r="BR12" s="156">
        <f>BR2/股权价值增加表!BR38</f>
        <v>0.56288962862173497</v>
      </c>
      <c r="BS12" s="156">
        <f>BS2/股权价值增加表!BS38</f>
        <v>0.61582304453722259</v>
      </c>
      <c r="BT12" s="156">
        <f>BT2/股权价值增加表!BT38</f>
        <v>0.57478068562988605</v>
      </c>
      <c r="BU12" s="156">
        <f>BU2/股权价值增加表!BU38</f>
        <v>0.60957746766693421</v>
      </c>
      <c r="BV12" s="156">
        <f>BV2/股权价值增加表!BV38</f>
        <v>0.66928202206139853</v>
      </c>
      <c r="BW12" s="156" t="e">
        <f>BW2/股权价值增加表!BW38</f>
        <v>#DIV/0!</v>
      </c>
      <c r="BX12" s="156">
        <f>BX2/股权价值增加表!BX38</f>
        <v>-5.948062846312304</v>
      </c>
      <c r="BY12" s="156">
        <f>BY2/股权价值增加表!BY38</f>
        <v>-5.0894858138564683</v>
      </c>
      <c r="BZ12" s="156">
        <f>BZ2/股权价值增加表!BZ38</f>
        <v>-10.640426755835241</v>
      </c>
      <c r="CA12" s="156">
        <f>CA2/股权价值增加表!CA38</f>
        <v>15.20372750495731</v>
      </c>
      <c r="CB12" s="156">
        <f>CB2/股权价值增加表!CB38</f>
        <v>8.8774211764848925</v>
      </c>
      <c r="CC12" s="156">
        <f>CC2/股权价值增加表!CC38</f>
        <v>9.6111449985966146</v>
      </c>
      <c r="CD12" s="156" t="e">
        <f>CD2/股权价值增加表!CD38</f>
        <v>#DIV/0!</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c r="A13" s="17" t="s">
        <v>435</v>
      </c>
      <c r="E13" s="63">
        <f>1-E2/股权价值增加表!E38</f>
        <v>0.27005943484647654</v>
      </c>
      <c r="F13" s="63">
        <f>1-F2/股权价值增加表!F38</f>
        <v>0.27012195660987981</v>
      </c>
      <c r="G13" s="63">
        <f>1-G2/股权价值增加表!G38</f>
        <v>0.26842466218472749</v>
      </c>
      <c r="H13" s="63">
        <f>1-H2/股权价值增加表!H38</f>
        <v>0.27195265433953086</v>
      </c>
      <c r="I13" s="63">
        <f>1-I2/股权价值增加表!I38</f>
        <v>0.27009285673454031</v>
      </c>
      <c r="J13" s="63">
        <f>1-J2/股权价值增加表!J38</f>
        <v>0.26447068578200839</v>
      </c>
      <c r="K13" s="63">
        <f>1-K2/股权价值增加表!K38</f>
        <v>0.27325120557859628</v>
      </c>
      <c r="L13" s="63">
        <f>1-L2/股权价值增加表!L38</f>
        <v>0.27636836454168479</v>
      </c>
      <c r="M13" s="63">
        <f>1-M2/股权价值增加表!M38</f>
        <v>0.28601994096837835</v>
      </c>
      <c r="N13" s="63">
        <f>1-N2/股权价值增加表!N38</f>
        <v>0.26070004226331156</v>
      </c>
      <c r="O13" s="63">
        <f>1-O2/股权价值增加表!O38</f>
        <v>0.25846169347109249</v>
      </c>
      <c r="P13" s="63">
        <f>1-P2/股权价值增加表!P38</f>
        <v>0.25891842499913231</v>
      </c>
      <c r="Q13" s="63">
        <f>1-Q2/股权价值增加表!Q38</f>
        <v>0.26276722721790546</v>
      </c>
      <c r="R13" s="63">
        <f>1-R2/股权价值增加表!R38</f>
        <v>0.26354782384446329</v>
      </c>
      <c r="S13" s="63">
        <f>1-S2/股权价值增加表!S38</f>
        <v>0.25754979486674223</v>
      </c>
      <c r="T13" s="63">
        <f>1-T2/股权价值增加表!T38</f>
        <v>0.2569430847288533</v>
      </c>
      <c r="U13" s="63">
        <f>1-U2/股权价值增加表!U38</f>
        <v>0.26168113354566025</v>
      </c>
      <c r="V13" s="63">
        <f>1-V2/股权价值增加表!V38</f>
        <v>0.25645755433829942</v>
      </c>
      <c r="W13" s="63">
        <f>1-W2/股权价值增加表!W38</f>
        <v>0.25648098221904503</v>
      </c>
      <c r="X13" s="63">
        <f>1-X2/股权价值增加表!X38</f>
        <v>0.24757801988189843</v>
      </c>
      <c r="Y13" s="63">
        <f>1-Y2/股权价值增加表!Y38</f>
        <v>0.26274185924887872</v>
      </c>
      <c r="Z13" s="63">
        <f>1-Z2/股权价值增加表!Z38</f>
        <v>0.25090463668468466</v>
      </c>
      <c r="AA13" s="63">
        <f>1-AA2/股权价值增加表!AA38</f>
        <v>0.25006600626390785</v>
      </c>
      <c r="AB13" s="63">
        <f>1-AB2/股权价值增加表!AB38</f>
        <v>0.25012169137886031</v>
      </c>
      <c r="AC13" s="63">
        <f>1-AC2/股权价值增加表!AC38</f>
        <v>0.25049665116398201</v>
      </c>
      <c r="AD13" s="63">
        <f>1-AD2/股权价值增加表!AD38</f>
        <v>0.25005444395745036</v>
      </c>
      <c r="AE13" s="63">
        <f>1-AE2/股权价值增加表!AE38</f>
        <v>0.25311991022275293</v>
      </c>
      <c r="AF13" s="63">
        <f>1-AF2/股权价值增加表!AF38</f>
        <v>0.24988442210872874</v>
      </c>
      <c r="AG13" s="63">
        <f>1-AG2/股权价值增加表!AG38</f>
        <v>0.24975855918900403</v>
      </c>
      <c r="AH13" s="63">
        <f>1-AH2/股权价值增加表!AH38</f>
        <v>0.25447489342767826</v>
      </c>
      <c r="AI13" s="63">
        <f>1-AI2/股权价值增加表!AI38</f>
        <v>0.2518205869303991</v>
      </c>
      <c r="AJ13" s="63">
        <f>1-AJ2/股权价值增加表!AJ38</f>
        <v>0.25195878916323422</v>
      </c>
      <c r="AK13" s="63">
        <f>1-AK2/股权价值增加表!AK38</f>
        <v>0.25011306763887708</v>
      </c>
      <c r="AL13" s="63">
        <f>1-AL2/股权价值增加表!AL38</f>
        <v>0.25123606943175991</v>
      </c>
      <c r="AM13" s="63">
        <f>1-AM2/股权价值增加表!AM38</f>
        <v>0.24985477491233488</v>
      </c>
      <c r="AN13" s="63">
        <f>1-AN2/股权价值增加表!AN38</f>
        <v>0.25012983582665516</v>
      </c>
      <c r="AO13" s="63">
        <f>1-AO2/股权价值增加表!AO38</f>
        <v>0.24996586739042503</v>
      </c>
      <c r="AP13" s="63">
        <f>1-AP2/股权价值增加表!AP38</f>
        <v>0.25709637921404094</v>
      </c>
      <c r="AQ13" s="63">
        <f>1-AQ2/股权价值增加表!AQ38</f>
        <v>0.24970921366505683</v>
      </c>
      <c r="AR13" s="63">
        <f>1-AR2/股权价值增加表!AR38</f>
        <v>0.24990558516436456</v>
      </c>
      <c r="AS13" s="63">
        <f>1-AS2/股权价值增加表!AS38</f>
        <v>0.24989332923575591</v>
      </c>
      <c r="AT13" s="63">
        <f>1-AT2/股权价值增加表!AT38</f>
        <v>0.34408754960414545</v>
      </c>
      <c r="AU13" s="63">
        <f>1-AU2/股权价值增加表!AU38</f>
        <v>0.33445341676662876</v>
      </c>
      <c r="AV13" s="63">
        <f>1-AV2/股权价值增加表!AV38</f>
        <v>0.34319720586610747</v>
      </c>
      <c r="AW13" s="63">
        <f>1-AW2/股权价值增加表!AW38</f>
        <v>0.35774308387671927</v>
      </c>
      <c r="AX13" s="63">
        <f>1-AX2/股权价值增加表!AX38</f>
        <v>0.36740844790858573</v>
      </c>
      <c r="AY13" s="63">
        <f>1-AY2/股权价值增加表!AY38</f>
        <v>0.36585176937088781</v>
      </c>
      <c r="AZ13" s="63">
        <f>1-AZ2/股权价值增加表!AZ38</f>
        <v>0.34772903410157363</v>
      </c>
      <c r="BA13" s="63">
        <f>1-BA2/股权价值增加表!BA38</f>
        <v>0.30327802402172399</v>
      </c>
      <c r="BB13" s="63">
        <f>1-BB2/股权价值增加表!BB38</f>
        <v>0.39117032365856996</v>
      </c>
      <c r="BC13" s="63">
        <f>1-BC2/股权价值增加表!BC38</f>
        <v>0.36163662255362916</v>
      </c>
      <c r="BD13" s="63">
        <f>1-BD2/股权价值增加表!BD38</f>
        <v>0.33576402618666223</v>
      </c>
      <c r="BE13" s="63">
        <f>1-BE2/股权价值增加表!BE38</f>
        <v>0.31132739665602682</v>
      </c>
      <c r="BF13" s="63">
        <f>1-BF2/股权价值增加表!BF38</f>
        <v>0.42698925270265475</v>
      </c>
      <c r="BG13" s="63">
        <f>1-BG2/股权价值增加表!BG38</f>
        <v>0.38569251683415939</v>
      </c>
      <c r="BH13" s="63">
        <f>1-BH2/股权价值增加表!BH38</f>
        <v>0.36098947524892333</v>
      </c>
      <c r="BI13" s="63">
        <f>1-BI2/股权价值增加表!BI38</f>
        <v>0.32365170120879017</v>
      </c>
      <c r="BJ13" s="63">
        <f>1-BJ2/股权价值增加表!BJ38</f>
        <v>0.37775485799930131</v>
      </c>
      <c r="BK13" s="63">
        <f>1-BK2/股权价值增加表!BK38</f>
        <v>0.38133975423386446</v>
      </c>
      <c r="BL13" s="63">
        <f>1-BL2/股权价值增加表!BL38</f>
        <v>0.36324726933368356</v>
      </c>
      <c r="BM13" s="63">
        <f>1-BM2/股权价值增加表!BM38</f>
        <v>0.3420065120058261</v>
      </c>
      <c r="BN13" s="63">
        <f>1-BN2/股权价值增加表!BN38</f>
        <v>0.39748630107203708</v>
      </c>
      <c r="BO13" s="63">
        <f>1-BO2/股权价值增加表!BO38</f>
        <v>0.39606301251284171</v>
      </c>
      <c r="BP13" s="63">
        <f>1-BP2/股权价值增加表!BP38</f>
        <v>0.38772317734543194</v>
      </c>
      <c r="BQ13" s="63">
        <f>1-BQ2/股权价值增加表!BQ38</f>
        <v>0.36831802662574331</v>
      </c>
      <c r="BR13" s="63">
        <f>1-BR2/股权价值增加表!BR38</f>
        <v>0.43711037137826503</v>
      </c>
      <c r="BS13" s="63">
        <f>1-BS2/股权价值增加表!BS38</f>
        <v>0.38417695546277741</v>
      </c>
      <c r="BT13" s="63">
        <f>1-BT2/股权价值增加表!BT38</f>
        <v>0.42521931437011395</v>
      </c>
      <c r="BU13" s="63">
        <f>1-BU2/股权价值增加表!BU38</f>
        <v>0.39042253233306579</v>
      </c>
      <c r="BV13" s="63">
        <f>1-BV2/股权价值增加表!BV38</f>
        <v>0.33071797793860147</v>
      </c>
      <c r="BW13" s="63" t="e">
        <f>1-BW2/股权价值增加表!BW38</f>
        <v>#DIV/0!</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44" t="s">
        <v>436</v>
      </c>
      <c r="E14" s="59">
        <f>E6*E7*E9*E10*E12</f>
        <v>7.819499682248264E-2</v>
      </c>
      <c r="F14" s="59">
        <f t="shared" ref="F14:BQ14" si="4">F6*F7*F9*F10*F12</f>
        <v>0.27390885517709196</v>
      </c>
      <c r="G14" s="59">
        <f t="shared" si="4"/>
        <v>0.21991323863576082</v>
      </c>
      <c r="H14" s="59">
        <f t="shared" si="4"/>
        <v>0.13676509555115016</v>
      </c>
      <c r="I14" s="59">
        <f t="shared" si="4"/>
        <v>7.2439646789477577E-2</v>
      </c>
      <c r="J14" s="59">
        <f t="shared" si="4"/>
        <v>0.22085505119704107</v>
      </c>
      <c r="K14" s="59">
        <f t="shared" si="4"/>
        <v>0.1756509728214761</v>
      </c>
      <c r="L14" s="59">
        <f t="shared" si="4"/>
        <v>0.1317119509179486</v>
      </c>
      <c r="M14" s="59">
        <f t="shared" si="4"/>
        <v>7.0187387581866045E-2</v>
      </c>
      <c r="N14" s="59">
        <f t="shared" si="4"/>
        <v>0.23748358234881695</v>
      </c>
      <c r="O14" s="59">
        <f t="shared" si="4"/>
        <v>0.18698445136841732</v>
      </c>
      <c r="P14" s="59">
        <f t="shared" si="4"/>
        <v>0.1252091024606862</v>
      </c>
      <c r="Q14" s="59">
        <f t="shared" si="4"/>
        <v>7.36730875608127E-2</v>
      </c>
      <c r="R14" s="59">
        <f t="shared" si="4"/>
        <v>0.28357116835530044</v>
      </c>
      <c r="S14" s="59">
        <f t="shared" si="4"/>
        <v>0.2178039008919847</v>
      </c>
      <c r="T14" s="59">
        <f t="shared" si="4"/>
        <v>0.15870233315776622</v>
      </c>
      <c r="U14" s="59">
        <f t="shared" si="4"/>
        <v>8.0826771338802686E-2</v>
      </c>
      <c r="V14" s="59">
        <f t="shared" si="4"/>
        <v>0.35921207960231105</v>
      </c>
      <c r="W14" s="59">
        <f t="shared" si="4"/>
        <v>0.29157960253369136</v>
      </c>
      <c r="X14" s="59">
        <f t="shared" si="4"/>
        <v>0.21273523625670215</v>
      </c>
      <c r="Y14" s="59">
        <f t="shared" si="4"/>
        <v>9.7750956630317257E-2</v>
      </c>
      <c r="Z14" s="59">
        <f t="shared" si="4"/>
        <v>0.39511582109326687</v>
      </c>
      <c r="AA14" s="59">
        <f t="shared" si="4"/>
        <v>0.34190198614613537</v>
      </c>
      <c r="AB14" s="59">
        <f t="shared" si="4"/>
        <v>0.25872197467168062</v>
      </c>
      <c r="AC14" s="59">
        <f t="shared" si="4"/>
        <v>0.10963741580738413</v>
      </c>
      <c r="AD14" s="59">
        <f t="shared" si="4"/>
        <v>0.3641375261545472</v>
      </c>
      <c r="AE14" s="59">
        <f t="shared" si="4"/>
        <v>0.30024187027066529</v>
      </c>
      <c r="AF14" s="59">
        <f t="shared" si="4"/>
        <v>0.23979191322509627</v>
      </c>
      <c r="AG14" s="59">
        <f t="shared" si="4"/>
        <v>9.6929948062991655E-2</v>
      </c>
      <c r="AH14" s="59">
        <f t="shared" si="4"/>
        <v>0.28786723363296018</v>
      </c>
      <c r="AI14" s="59">
        <f t="shared" si="4"/>
        <v>0.24890879577384675</v>
      </c>
      <c r="AJ14" s="59">
        <f t="shared" si="4"/>
        <v>0.19564562762724311</v>
      </c>
      <c r="AK14" s="59">
        <f t="shared" si="4"/>
        <v>8.4045208303480279E-2</v>
      </c>
      <c r="AL14" s="59">
        <f t="shared" si="4"/>
        <v>0.31074419841849854</v>
      </c>
      <c r="AM14" s="59">
        <f t="shared" si="4"/>
        <v>0.27995816545535268</v>
      </c>
      <c r="AN14" s="59">
        <f t="shared" si="4"/>
        <v>0.22243848353277212</v>
      </c>
      <c r="AO14" s="59">
        <f t="shared" si="4"/>
        <v>0.10143082243137862</v>
      </c>
      <c r="AP14" s="59">
        <f t="shared" si="4"/>
        <v>0.3477887389801817</v>
      </c>
      <c r="AQ14" s="59">
        <f t="shared" si="4"/>
        <v>0.30574602883753299</v>
      </c>
      <c r="AR14" s="59">
        <f t="shared" si="4"/>
        <v>0.238663256350514</v>
      </c>
      <c r="AS14" s="59">
        <f t="shared" si="4"/>
        <v>9.8756681570184135E-2</v>
      </c>
      <c r="AT14" s="59">
        <f t="shared" si="4"/>
        <v>0.35441553664080594</v>
      </c>
      <c r="AU14" s="59">
        <f t="shared" si="4"/>
        <v>0.24007566891396795</v>
      </c>
      <c r="AV14" s="59">
        <f t="shared" si="4"/>
        <v>0.14373517246192455</v>
      </c>
      <c r="AW14" s="59">
        <f t="shared" si="4"/>
        <v>9.5347279187564249E-2</v>
      </c>
      <c r="AX14" s="59">
        <f t="shared" si="4"/>
        <v>0.26246510302325327</v>
      </c>
      <c r="AY14" s="59">
        <f t="shared" si="4"/>
        <v>0.18349149182637439</v>
      </c>
      <c r="AZ14" s="59">
        <f t="shared" si="4"/>
        <v>0.1253362082858907</v>
      </c>
      <c r="BA14" s="59">
        <f t="shared" si="4"/>
        <v>8.3835676369588663E-2</v>
      </c>
      <c r="BB14" s="59">
        <f t="shared" si="4"/>
        <v>0.22645945191893022</v>
      </c>
      <c r="BC14" s="59">
        <f t="shared" si="4"/>
        <v>0.15414673128239767</v>
      </c>
      <c r="BD14" s="59">
        <f t="shared" si="4"/>
        <v>0.10713747992828364</v>
      </c>
      <c r="BE14" s="59">
        <f t="shared" si="4"/>
        <v>8.3453481966231993E-2</v>
      </c>
      <c r="BF14" s="59">
        <f t="shared" si="4"/>
        <v>0.20256805648966253</v>
      </c>
      <c r="BG14" s="59">
        <f t="shared" si="4"/>
        <v>0.13793002736325871</v>
      </c>
      <c r="BH14" s="59">
        <f t="shared" si="4"/>
        <v>9.5373030681334403E-2</v>
      </c>
      <c r="BI14" s="59">
        <f t="shared" si="4"/>
        <v>7.2785876915641104E-2</v>
      </c>
      <c r="BJ14" s="59">
        <f t="shared" si="4"/>
        <v>0.17492115692743196</v>
      </c>
      <c r="BK14" s="59">
        <f t="shared" si="4"/>
        <v>0.11369954600847579</v>
      </c>
      <c r="BL14" s="59">
        <f t="shared" si="4"/>
        <v>8.3446459621914243E-2</v>
      </c>
      <c r="BM14" s="59">
        <f t="shared" si="4"/>
        <v>7.2178765973303013E-2</v>
      </c>
      <c r="BN14" s="59">
        <f t="shared" si="4"/>
        <v>0.13539908702083364</v>
      </c>
      <c r="BO14" s="59">
        <f t="shared" si="4"/>
        <v>0.11110357288377047</v>
      </c>
      <c r="BP14" s="59">
        <f t="shared" si="4"/>
        <v>8.8219484632029194E-2</v>
      </c>
      <c r="BQ14" s="59">
        <f t="shared" si="4"/>
        <v>7.7420565311610692E-2</v>
      </c>
      <c r="BR14" s="59">
        <f t="shared" ref="BR14:CJ14" si="5">BR6*BR7*BR9*BR10*BR12</f>
        <v>0.13443298040366142</v>
      </c>
      <c r="BS14" s="59">
        <f t="shared" si="5"/>
        <v>0.4079888950886536</v>
      </c>
      <c r="BT14" s="59">
        <f t="shared" si="5"/>
        <v>0.5773908206391537</v>
      </c>
      <c r="BU14" s="59">
        <f t="shared" si="5"/>
        <v>0.75451915115445445</v>
      </c>
      <c r="BV14" s="59">
        <f t="shared" si="5"/>
        <v>0.62308330792074496</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c r="A15" s="279" t="s">
        <v>697</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4.25" thickBot="1"/>
    <row r="18" spans="1:89" s="248" customFormat="1">
      <c r="A18" s="247" t="s">
        <v>440</v>
      </c>
      <c r="B18" s="1">
        <v>43465</v>
      </c>
      <c r="C18" s="1">
        <v>43373</v>
      </c>
      <c r="D18" s="1">
        <v>43281</v>
      </c>
      <c r="E18" s="1">
        <v>43190</v>
      </c>
      <c r="F18" s="1">
        <v>43100</v>
      </c>
      <c r="G18" s="1">
        <v>43008</v>
      </c>
      <c r="H18" s="1">
        <v>42916</v>
      </c>
      <c r="I18" s="1">
        <v>42825</v>
      </c>
      <c r="J18" s="1">
        <v>42735</v>
      </c>
      <c r="K18" s="1">
        <v>42643</v>
      </c>
      <c r="L18" s="1">
        <v>42551</v>
      </c>
      <c r="M18" s="1">
        <v>42460</v>
      </c>
      <c r="N18" s="1">
        <v>42369</v>
      </c>
      <c r="O18" s="1">
        <v>42277</v>
      </c>
      <c r="P18" s="1">
        <v>42185</v>
      </c>
      <c r="Q18" s="1">
        <v>42094</v>
      </c>
      <c r="R18" s="1">
        <v>42004</v>
      </c>
      <c r="S18" s="1">
        <v>41912</v>
      </c>
      <c r="T18" s="1">
        <v>41820</v>
      </c>
      <c r="U18" s="1">
        <v>41729</v>
      </c>
      <c r="V18" s="1">
        <v>41639</v>
      </c>
      <c r="W18" s="1">
        <v>41547</v>
      </c>
      <c r="X18" s="1">
        <v>41455</v>
      </c>
      <c r="Y18" s="1">
        <v>41364</v>
      </c>
      <c r="Z18" s="1">
        <v>41274</v>
      </c>
      <c r="AA18" s="1">
        <v>41182</v>
      </c>
      <c r="AB18" s="1">
        <v>41090</v>
      </c>
      <c r="AC18" s="1">
        <v>40999</v>
      </c>
      <c r="AD18" s="1">
        <v>40908</v>
      </c>
      <c r="AE18" s="1">
        <v>40816</v>
      </c>
      <c r="AF18" s="1">
        <v>40724</v>
      </c>
      <c r="AG18" s="1">
        <v>40633</v>
      </c>
      <c r="AH18" s="1">
        <v>40543</v>
      </c>
      <c r="AI18" s="1">
        <v>40451</v>
      </c>
      <c r="AJ18" s="1">
        <v>40359</v>
      </c>
      <c r="AK18" s="1">
        <v>40268</v>
      </c>
      <c r="AL18" s="1">
        <v>40178</v>
      </c>
      <c r="AM18" s="1">
        <v>40086</v>
      </c>
      <c r="AN18" s="1">
        <v>39994</v>
      </c>
      <c r="AO18" s="1">
        <v>39903</v>
      </c>
      <c r="AP18" s="1">
        <v>39813</v>
      </c>
      <c r="AQ18" s="1">
        <v>39721</v>
      </c>
      <c r="AR18" s="1">
        <v>39629</v>
      </c>
      <c r="AS18" s="1">
        <v>39538</v>
      </c>
      <c r="AT18" s="1">
        <v>39447</v>
      </c>
      <c r="AU18" s="1">
        <v>39355</v>
      </c>
      <c r="AV18" s="1">
        <v>39263</v>
      </c>
      <c r="AW18" s="1">
        <v>39172</v>
      </c>
      <c r="AX18" s="1">
        <v>39082</v>
      </c>
      <c r="AY18" s="1">
        <v>38990</v>
      </c>
      <c r="AZ18" s="1">
        <v>38898</v>
      </c>
      <c r="BA18" s="1">
        <v>38807</v>
      </c>
      <c r="BB18" s="1">
        <v>38717</v>
      </c>
      <c r="BC18" s="1">
        <v>38625</v>
      </c>
      <c r="BD18" s="1">
        <v>38533</v>
      </c>
      <c r="BE18" s="1">
        <v>38442</v>
      </c>
      <c r="BF18" s="1">
        <v>38352</v>
      </c>
      <c r="BG18" s="1">
        <v>38260</v>
      </c>
      <c r="BH18" s="1">
        <v>38168</v>
      </c>
      <c r="BI18" s="1">
        <v>38077</v>
      </c>
      <c r="BJ18" s="1">
        <v>37986</v>
      </c>
      <c r="BK18" s="1">
        <v>37894</v>
      </c>
      <c r="BL18" s="1">
        <v>37802</v>
      </c>
      <c r="BM18" s="1">
        <v>37711</v>
      </c>
      <c r="BN18" s="1">
        <v>37621</v>
      </c>
      <c r="BO18" s="1">
        <v>37529</v>
      </c>
      <c r="BP18" s="1">
        <v>37437</v>
      </c>
      <c r="BQ18" s="1">
        <v>37346</v>
      </c>
      <c r="BR18" s="1">
        <v>37256</v>
      </c>
      <c r="BS18" s="1">
        <v>37072</v>
      </c>
      <c r="BT18" s="1">
        <v>36891</v>
      </c>
      <c r="BU18" s="1">
        <v>36525</v>
      </c>
      <c r="BV18" s="1">
        <v>36160</v>
      </c>
      <c r="BW18" s="1">
        <v>25569</v>
      </c>
      <c r="BX18" s="1"/>
      <c r="BY18" s="1"/>
      <c r="BZ18" s="1"/>
      <c r="CA18" s="1"/>
      <c r="CB18" s="1"/>
      <c r="CC18" s="1"/>
      <c r="CD18" s="1"/>
      <c r="CE18" s="1"/>
      <c r="CF18" s="1"/>
      <c r="CG18" s="1"/>
      <c r="CH18" s="1"/>
      <c r="CI18" s="1"/>
      <c r="CJ18" s="1"/>
      <c r="CK18" s="1"/>
    </row>
    <row r="19" spans="1:89" s="116" customFormat="1">
      <c r="A19" s="157" t="s">
        <v>446</v>
      </c>
      <c r="B19" s="76">
        <v>43373</v>
      </c>
      <c r="C19" s="76">
        <v>43281</v>
      </c>
      <c r="D19" s="76">
        <v>43190</v>
      </c>
      <c r="E19" s="76">
        <f>股权价值增加表!E4</f>
        <v>17466166384.959999</v>
      </c>
      <c r="F19" s="76">
        <f>股权价值增加表!F4</f>
        <v>58217861314.169998</v>
      </c>
      <c r="G19" s="76">
        <f>股权价值增加表!G4</f>
        <v>42450467500.010002</v>
      </c>
      <c r="H19" s="76">
        <f>股权价值增加表!H4</f>
        <v>24190030218.959999</v>
      </c>
      <c r="I19" s="76">
        <f>股权价值增加表!I4</f>
        <v>13308639084.870001</v>
      </c>
      <c r="J19" s="76">
        <f>股权价值增加表!J4</f>
        <v>38862189993.839996</v>
      </c>
      <c r="K19" s="76">
        <f>股权价值增加表!K4</f>
        <v>26631884032.43</v>
      </c>
      <c r="L19" s="76">
        <f>股权价值增加表!L4</f>
        <v>18173234673.439999</v>
      </c>
      <c r="M19" s="76">
        <f>股权价值增加表!M4</f>
        <v>9988753730.9699993</v>
      </c>
      <c r="N19" s="76">
        <f>股权价值增加表!N4</f>
        <v>32659583725.279999</v>
      </c>
      <c r="O19" s="76">
        <f>股权价值增加表!O4</f>
        <v>23148688960.889999</v>
      </c>
      <c r="P19" s="76">
        <f>股权价值增加表!P4</f>
        <v>15778647465.950001</v>
      </c>
      <c r="Q19" s="76">
        <f>股权价值增加表!Q4</f>
        <v>8544273436</v>
      </c>
      <c r="R19" s="76">
        <f>股权价值增加表!R4</f>
        <v>31573928530.939999</v>
      </c>
      <c r="S19" s="76">
        <f>股权价值增加表!S4</f>
        <v>21718189167.610001</v>
      </c>
      <c r="T19" s="76">
        <f>股权价值增加表!T4</f>
        <v>14321628403.09</v>
      </c>
      <c r="U19" s="76">
        <f>股权价值增加表!U4</f>
        <v>7449825750.6400003</v>
      </c>
      <c r="V19" s="76">
        <f>股权价值增加表!V4</f>
        <v>30921801316.599998</v>
      </c>
      <c r="W19" s="76">
        <f>股权价值增加表!W4</f>
        <v>21935713045.240002</v>
      </c>
      <c r="X19" s="76">
        <f>股权价值增加表!X4</f>
        <v>14127867191.110001</v>
      </c>
      <c r="Y19" s="76">
        <f>股权价值增加表!Y4</f>
        <v>7165785851.6099997</v>
      </c>
      <c r="Z19" s="76">
        <f>股权价值增加表!Z4</f>
        <v>26455335152.990002</v>
      </c>
      <c r="AA19" s="76">
        <f>股权价值增加表!AA4</f>
        <v>19931438600.48</v>
      </c>
      <c r="AB19" s="76">
        <f>股权价值增加表!AB4</f>
        <v>13264437836.41</v>
      </c>
      <c r="AC19" s="76">
        <f>股权价值增加表!AC4</f>
        <v>6015967741.6199999</v>
      </c>
      <c r="AD19" s="76">
        <f>股权价值增加表!AD4</f>
        <v>18402355207.299999</v>
      </c>
      <c r="AE19" s="76">
        <f>股权价值增加表!AE4</f>
        <v>13642075480.07</v>
      </c>
      <c r="AF19" s="76">
        <f>股权价值增加表!AF4</f>
        <v>9825823427.0799999</v>
      </c>
      <c r="AG19" s="76">
        <f>股权价值增加表!AG4</f>
        <v>4220589097.9400001</v>
      </c>
      <c r="AH19" s="76">
        <f>股权价值增加表!AH4</f>
        <v>11633283740.18</v>
      </c>
      <c r="AI19" s="76">
        <f>股权价值增加表!AI4</f>
        <v>9327577784.1200008</v>
      </c>
      <c r="AJ19" s="76">
        <f>股权价值增加表!AJ4</f>
        <v>6587266362.7799997</v>
      </c>
      <c r="AK19" s="76">
        <f>股权价值增加表!AK4</f>
        <v>3039906100.4099998</v>
      </c>
      <c r="AL19" s="76">
        <f>股权价值增加表!AL4</f>
        <v>9669999065.3899994</v>
      </c>
      <c r="AM19" s="76">
        <f>股权价值增加表!AM4</f>
        <v>7807202385.7799997</v>
      </c>
      <c r="AN19" s="76">
        <f>股权价值增加表!AN4</f>
        <v>5546006031.29</v>
      </c>
      <c r="AO19" s="76">
        <f>股权价值增加表!AO4</f>
        <v>2512537167.1999998</v>
      </c>
      <c r="AP19" s="76">
        <f>股权价值增加表!AP4</f>
        <v>8241685564.1099997</v>
      </c>
      <c r="AQ19" s="76">
        <f>股权价值增加表!AQ4</f>
        <v>6486517281.0100002</v>
      </c>
      <c r="AR19" s="76">
        <f>股权价值增加表!AR4</f>
        <v>4619717309.6000004</v>
      </c>
      <c r="AS19" s="76">
        <f>股权价值增加表!AS4</f>
        <v>1993496395.46</v>
      </c>
      <c r="AT19" s="76">
        <f>股权价值增加表!AT4</f>
        <v>7237430747.1199999</v>
      </c>
      <c r="AU19" s="76">
        <f>股权价值增加表!AU4</f>
        <v>4458382249.2600002</v>
      </c>
      <c r="AV19" s="76">
        <f>股权价值增加表!AV4</f>
        <v>2629088876.4200001</v>
      </c>
      <c r="AW19" s="76">
        <f>股权价值增加表!AW4</f>
        <v>1587538095.6800001</v>
      </c>
      <c r="AX19" s="76">
        <f>股权价值增加表!AX4</f>
        <v>4896186901.21</v>
      </c>
      <c r="AY19" s="76">
        <f>股权价值增加表!AY4</f>
        <v>3249453246.71</v>
      </c>
      <c r="AZ19" s="76">
        <f>股权价值增加表!AZ4</f>
        <v>2029461983.6600001</v>
      </c>
      <c r="BA19" s="76">
        <f>股权价值增加表!BA4</f>
        <v>1354498050.1700001</v>
      </c>
      <c r="BB19" s="76">
        <f>股权价值增加表!BB4</f>
        <v>3930515237.6100001</v>
      </c>
      <c r="BC19" s="76">
        <f>股权价值增加表!BC4</f>
        <v>2580318873.25</v>
      </c>
      <c r="BD19" s="76">
        <f>股权价值增加表!BD4</f>
        <v>1686144341.9100001</v>
      </c>
      <c r="BE19" s="76">
        <f>股权价值增加表!BE4</f>
        <v>1144017320.6199999</v>
      </c>
      <c r="BF19" s="76">
        <f>股权价值增加表!BF4</f>
        <v>3009793519.9200001</v>
      </c>
      <c r="BG19" s="76">
        <f>股权价值增加表!BG4</f>
        <v>2070438172.6500001</v>
      </c>
      <c r="BH19" s="76">
        <f>股权价值增加表!BH4</f>
        <v>1314109209.0599999</v>
      </c>
      <c r="BI19" s="76">
        <f>股权价值增加表!BI4</f>
        <v>853431905.86000001</v>
      </c>
      <c r="BJ19" s="76">
        <f>股权价值增加表!BJ4</f>
        <v>2401017934.9299998</v>
      </c>
      <c r="BK19" s="76">
        <f>股权价值增加表!BK4</f>
        <v>1552744360.0999999</v>
      </c>
      <c r="BL19" s="76">
        <f>股权价值增加表!BL4</f>
        <v>1009047565.48</v>
      </c>
      <c r="BM19" s="76">
        <f>股权价值增加表!BM4</f>
        <v>733889255.88999999</v>
      </c>
      <c r="BN19" s="76">
        <f>股权价值增加表!BN4</f>
        <v>1834898294.9000001</v>
      </c>
      <c r="BO19" s="76">
        <f>股权价值增加表!BO4</f>
        <v>1363886224.3199999</v>
      </c>
      <c r="BP19" s="76">
        <f>股权价值增加表!BP4</f>
        <v>955654212.62</v>
      </c>
      <c r="BQ19" s="76">
        <f>股权价值增加表!BQ4</f>
        <v>718014858.52999997</v>
      </c>
      <c r="BR19" s="76">
        <f>股权价值增加表!BR4</f>
        <v>1618046660.3099999</v>
      </c>
      <c r="BS19" s="76">
        <f>股权价值增加表!BS4</f>
        <v>873863478.94000006</v>
      </c>
      <c r="BT19" s="76">
        <f>股权价值增加表!BT4</f>
        <v>1114000813.26</v>
      </c>
      <c r="BU19" s="76">
        <f>股权价值增加表!BU4</f>
        <v>890858185.63999999</v>
      </c>
      <c r="BV19" s="76">
        <f>股权价值增加表!BV4</f>
        <v>628184433.19000006</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57" t="s">
        <v>447</v>
      </c>
      <c r="E20" s="76">
        <f>股权价值增加表!E15</f>
        <v>11261197474.52</v>
      </c>
      <c r="F20" s="76">
        <f>股权价值增加表!F15</f>
        <v>35974716215.480003</v>
      </c>
      <c r="G20" s="76">
        <f>股权价值增加表!G15</f>
        <v>26524201693.680004</v>
      </c>
      <c r="H20" s="76">
        <f>股权价值增加表!H15</f>
        <v>14811232656.109999</v>
      </c>
      <c r="I20" s="76">
        <f>股权价值增加表!I15</f>
        <v>8153132154.3700008</v>
      </c>
      <c r="J20" s="76">
        <f>股权价值增加表!J15</f>
        <v>22754845992.759998</v>
      </c>
      <c r="K20" s="76">
        <f>股权价值增加表!K15</f>
        <v>17224302576.93</v>
      </c>
      <c r="L20" s="76">
        <f>股权价值增加表!L15</f>
        <v>12244780312.01</v>
      </c>
      <c r="M20" s="76">
        <f>股权价值增加表!M15</f>
        <v>6967289917.079999</v>
      </c>
      <c r="N20" s="76">
        <f>股权价值增加表!N15</f>
        <v>21217525355.279999</v>
      </c>
      <c r="O20" s="76">
        <f>股权价值增加表!O15</f>
        <v>15569153338.09</v>
      </c>
      <c r="P20" s="76">
        <f>股权价值增加表!P15</f>
        <v>10747899018.51</v>
      </c>
      <c r="Q20" s="76">
        <f>股权价值增加表!Q15</f>
        <v>5992471884.3299999</v>
      </c>
      <c r="R20" s="76">
        <f>股权价值增加表!R15</f>
        <v>21172087007.459999</v>
      </c>
      <c r="S20" s="76">
        <f>股权价值增加表!S15</f>
        <v>14669262457.400002</v>
      </c>
      <c r="T20" s="76">
        <f>股权价值增加表!T15</f>
        <v>9901107345.6399994</v>
      </c>
      <c r="U20" s="76">
        <f>股权价值增加表!U15</f>
        <v>5170812408.1700001</v>
      </c>
      <c r="V20" s="76">
        <f>股权价值增加表!V15</f>
        <v>20887079186.68</v>
      </c>
      <c r="W20" s="76">
        <f>股权价值增加表!W15</f>
        <v>15269182006.340002</v>
      </c>
      <c r="X20" s="76">
        <f>股权价值增加表!X15</f>
        <v>9874167661.1199989</v>
      </c>
      <c r="Y20" s="76">
        <f>股权价值增加表!Y15</f>
        <v>5002765823.6199989</v>
      </c>
      <c r="Z20" s="76">
        <f>股权价值增加表!Z15</f>
        <v>18276411296.670002</v>
      </c>
      <c r="AA20" s="76">
        <f>股权价值增加表!AA15</f>
        <v>14284688218.48</v>
      </c>
      <c r="AB20" s="76">
        <f>股权价值增加表!AB15</f>
        <v>9609872110.0600014</v>
      </c>
      <c r="AC20" s="76">
        <f>股权价值增加表!AC15</f>
        <v>4077164614.8699999</v>
      </c>
      <c r="AD20" s="76">
        <f>股权价值增加表!AD15</f>
        <v>11980525976.880001</v>
      </c>
      <c r="AE20" s="76">
        <f>股权价值增加表!AE15</f>
        <v>9058450996.3900013</v>
      </c>
      <c r="AF20" s="76">
        <f>股权价值增加表!AF15</f>
        <v>6735261844.8100004</v>
      </c>
      <c r="AG20" s="76">
        <f>股权价值增加表!AG15</f>
        <v>2600254929.6700001</v>
      </c>
      <c r="AH20" s="76">
        <f>股权价值增加表!AH15</f>
        <v>6985370656.46</v>
      </c>
      <c r="AI20" s="76">
        <f>股权价值增加表!AI15</f>
        <v>5758077960.8400002</v>
      </c>
      <c r="AJ20" s="76">
        <f>股权价值增加表!AJ15</f>
        <v>4277458985.2599998</v>
      </c>
      <c r="AK20" s="76">
        <f>股权价值增加表!AK15</f>
        <v>1746532659.9299996</v>
      </c>
      <c r="AL20" s="76">
        <f>股权价值增加表!AL15</f>
        <v>5945694321.5999994</v>
      </c>
      <c r="AM20" s="76">
        <f>股权价值增加表!AM15</f>
        <v>5213965295.1599998</v>
      </c>
      <c r="AN20" s="76">
        <f>股权价值增加表!AN15</f>
        <v>3817279631.7800002</v>
      </c>
      <c r="AO20" s="76">
        <f>股权价值增加表!AO15</f>
        <v>1623434688.2499998</v>
      </c>
      <c r="AP20" s="76">
        <f>股权价值增加表!AP15</f>
        <v>5281477622.8300009</v>
      </c>
      <c r="AQ20" s="76">
        <f>股权价值增加表!AQ15</f>
        <v>4340687719.5899992</v>
      </c>
      <c r="AR20" s="76">
        <f>股权价值增加表!AR15</f>
        <v>3088681669.3800011</v>
      </c>
      <c r="AS20" s="76">
        <f>股权价值增加表!AS15</f>
        <v>1182458284.9700003</v>
      </c>
      <c r="AT20" s="76">
        <f>股权价值增加表!AT15</f>
        <v>4475466240.9799995</v>
      </c>
      <c r="AU20" s="76">
        <f>股权价值增加表!AU15</f>
        <v>2469028799.0100002</v>
      </c>
      <c r="AV20" s="76">
        <f>股权价值增加表!AV15</f>
        <v>1327234251.7100003</v>
      </c>
      <c r="AW20" s="76">
        <f>股权价值增加表!AW15</f>
        <v>847416485.08000016</v>
      </c>
      <c r="AX20" s="76">
        <f>股权价值增加表!AX15</f>
        <v>2459083270.2400002</v>
      </c>
      <c r="AY20" s="76">
        <f>股权价值增加表!AY15</f>
        <v>1552235645.4000001</v>
      </c>
      <c r="AZ20" s="76">
        <f>股权价值增加表!AZ15</f>
        <v>965161342.11999989</v>
      </c>
      <c r="BA20" s="76">
        <f>股权价值增加表!BA15</f>
        <v>669613416.62</v>
      </c>
      <c r="BB20" s="76">
        <f>股权价值增加表!BB15</f>
        <v>1887504851.1300004</v>
      </c>
      <c r="BC20" s="76">
        <f>股权价值增加表!BC15</f>
        <v>1136484880.76</v>
      </c>
      <c r="BD20" s="76">
        <f>股权价值增加表!BD15</f>
        <v>748635044</v>
      </c>
      <c r="BE20" s="76">
        <f>股权价值增加表!BE15</f>
        <v>553948308.0999999</v>
      </c>
      <c r="BF20" s="76">
        <f>股权价值增加表!BF15</f>
        <v>1464361773.1400003</v>
      </c>
      <c r="BG20" s="76">
        <f>股权价值增加表!BG15</f>
        <v>853463721.18000007</v>
      </c>
      <c r="BH20" s="76">
        <f>股权价值增加表!BH15</f>
        <v>559754313.78999996</v>
      </c>
      <c r="BI20" s="76">
        <f>股权价值增加表!BI15</f>
        <v>394422790.95000005</v>
      </c>
      <c r="BJ20" s="76">
        <f>股权价值增加表!BJ15</f>
        <v>959558980.33999968</v>
      </c>
      <c r="BK20" s="76">
        <f>股权价值增加表!BK15</f>
        <v>581654427.37999988</v>
      </c>
      <c r="BL20" s="76">
        <f>股权价值增加表!BL15</f>
        <v>405130506.79000002</v>
      </c>
      <c r="BM20" s="76">
        <f>股权价值增加表!BM15</f>
        <v>337896003.24999994</v>
      </c>
      <c r="BN20" s="76">
        <f>股权价值增加表!BN15</f>
        <v>628559254.21000016</v>
      </c>
      <c r="BO20" s="76">
        <f>股权价值增加表!BO15</f>
        <v>510478001.96000004</v>
      </c>
      <c r="BP20" s="76">
        <f>股权价值增加表!BP15</f>
        <v>389228086.32999992</v>
      </c>
      <c r="BQ20" s="76">
        <f>股权价值增加表!BQ15</f>
        <v>334564336.5999999</v>
      </c>
      <c r="BR20" s="76">
        <f>股权价值增加表!BR15</f>
        <v>600311437.09999967</v>
      </c>
      <c r="BS20" s="76">
        <f>股权价值增加表!BS15</f>
        <v>373365639.61000001</v>
      </c>
      <c r="BT20" s="76">
        <f>股权价值增加表!BT15</f>
        <v>452474935.14999992</v>
      </c>
      <c r="BU20" s="76">
        <f>股权价值增加表!BU15</f>
        <v>364490805.42999995</v>
      </c>
      <c r="BV20" s="76">
        <f>股权价值增加表!BV15</f>
        <v>259853599.49000001</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2" customFormat="1">
      <c r="A21" s="232" t="s">
        <v>448</v>
      </c>
      <c r="E21" s="242">
        <f>E20/E19</f>
        <v>0.64474351304800026</v>
      </c>
      <c r="F21" s="242">
        <f t="shared" ref="F21:BQ21" si="6">F20/F19</f>
        <v>0.61793263104159923</v>
      </c>
      <c r="G21" s="242">
        <f t="shared" si="6"/>
        <v>0.62482708096615791</v>
      </c>
      <c r="H21" s="242">
        <f t="shared" si="6"/>
        <v>0.61228665371823487</v>
      </c>
      <c r="I21" s="242">
        <f t="shared" si="6"/>
        <v>0.61261952498501016</v>
      </c>
      <c r="J21" s="242">
        <f t="shared" si="6"/>
        <v>0.58552660044034688</v>
      </c>
      <c r="K21" s="242">
        <f t="shared" si="6"/>
        <v>0.64675494065518369</v>
      </c>
      <c r="L21" s="242">
        <f t="shared" si="6"/>
        <v>0.67378100442986211</v>
      </c>
      <c r="M21" s="242">
        <f t="shared" si="6"/>
        <v>0.6975134340811715</v>
      </c>
      <c r="N21" s="242">
        <f t="shared" si="6"/>
        <v>0.64965694400007534</v>
      </c>
      <c r="O21" s="242">
        <f t="shared" si="6"/>
        <v>0.67257171083832346</v>
      </c>
      <c r="P21" s="242">
        <f t="shared" si="6"/>
        <v>0.68116732069106345</v>
      </c>
      <c r="Q21" s="242">
        <f t="shared" si="6"/>
        <v>0.70134364603567445</v>
      </c>
      <c r="R21" s="242">
        <f t="shared" si="6"/>
        <v>0.6705559932687184</v>
      </c>
      <c r="S21" s="242">
        <f t="shared" si="6"/>
        <v>0.67543672007781375</v>
      </c>
      <c r="T21" s="242">
        <f t="shared" si="6"/>
        <v>0.69133949485128099</v>
      </c>
      <c r="U21" s="242">
        <f t="shared" si="6"/>
        <v>0.69408501369656672</v>
      </c>
      <c r="V21" s="242">
        <f t="shared" si="6"/>
        <v>0.6754806737428658</v>
      </c>
      <c r="W21" s="242">
        <f t="shared" si="6"/>
        <v>0.69608778957169015</v>
      </c>
      <c r="X21" s="242">
        <f t="shared" si="6"/>
        <v>0.69891424710825045</v>
      </c>
      <c r="Y21" s="242">
        <f t="shared" si="6"/>
        <v>0.69814615273438352</v>
      </c>
      <c r="Z21" s="242">
        <f t="shared" si="6"/>
        <v>0.6908402857487288</v>
      </c>
      <c r="AA21" s="242">
        <f t="shared" si="6"/>
        <v>0.71669127877884276</v>
      </c>
      <c r="AB21" s="242">
        <f t="shared" si="6"/>
        <v>0.72448393430451619</v>
      </c>
      <c r="AC21" s="242">
        <f t="shared" si="6"/>
        <v>0.67772381601436038</v>
      </c>
      <c r="AD21" s="242">
        <f t="shared" si="6"/>
        <v>0.65103220984058963</v>
      </c>
      <c r="AE21" s="242">
        <f t="shared" si="6"/>
        <v>0.66400827422657838</v>
      </c>
      <c r="AF21" s="242">
        <f t="shared" si="6"/>
        <v>0.6854653856538474</v>
      </c>
      <c r="AG21" s="242">
        <f t="shared" si="6"/>
        <v>0.61608815009713735</v>
      </c>
      <c r="AH21" s="242">
        <f t="shared" si="6"/>
        <v>0.60046422080580286</v>
      </c>
      <c r="AI21" s="242">
        <f t="shared" si="6"/>
        <v>0.61731760314483819</v>
      </c>
      <c r="AJ21" s="242">
        <f t="shared" si="6"/>
        <v>0.64935266766027655</v>
      </c>
      <c r="AK21" s="242">
        <f t="shared" si="6"/>
        <v>0.57453506859782288</v>
      </c>
      <c r="AL21" s="242">
        <f t="shared" si="6"/>
        <v>0.61485986517623359</v>
      </c>
      <c r="AM21" s="242">
        <f t="shared" si="6"/>
        <v>0.66784041677422001</v>
      </c>
      <c r="AN21" s="242">
        <f t="shared" si="6"/>
        <v>0.68829345122296981</v>
      </c>
      <c r="AO21" s="242">
        <f t="shared" si="6"/>
        <v>0.64613360130277153</v>
      </c>
      <c r="AP21" s="242">
        <f t="shared" si="6"/>
        <v>0.64082493583948508</v>
      </c>
      <c r="AQ21" s="242">
        <f t="shared" si="6"/>
        <v>0.66918617981606932</v>
      </c>
      <c r="AR21" s="242">
        <f t="shared" si="6"/>
        <v>0.66858672563396215</v>
      </c>
      <c r="AS21" s="242">
        <f t="shared" si="6"/>
        <v>0.59315797493436029</v>
      </c>
      <c r="AT21" s="242">
        <f t="shared" si="6"/>
        <v>0.61837776378874887</v>
      </c>
      <c r="AU21" s="242">
        <f t="shared" si="6"/>
        <v>0.55379477599073257</v>
      </c>
      <c r="AV21" s="242">
        <f t="shared" si="6"/>
        <v>0.50482669628014998</v>
      </c>
      <c r="AW21" s="242">
        <f t="shared" si="6"/>
        <v>0.53379285031709489</v>
      </c>
      <c r="AX21" s="242">
        <f t="shared" si="6"/>
        <v>0.50224456701852704</v>
      </c>
      <c r="AY21" s="242">
        <f t="shared" si="6"/>
        <v>0.47769133067897024</v>
      </c>
      <c r="AZ21" s="242">
        <f t="shared" si="6"/>
        <v>0.47557497991630049</v>
      </c>
      <c r="BA21" s="242">
        <f t="shared" si="6"/>
        <v>0.49436277633323894</v>
      </c>
      <c r="BB21" s="242">
        <f t="shared" si="6"/>
        <v>0.48021817421517532</v>
      </c>
      <c r="BC21" s="242">
        <f t="shared" si="6"/>
        <v>0.44044357949006446</v>
      </c>
      <c r="BD21" s="242">
        <f t="shared" si="6"/>
        <v>0.44399226412133541</v>
      </c>
      <c r="BE21" s="242">
        <f t="shared" si="6"/>
        <v>0.48421321785564203</v>
      </c>
      <c r="BF21" s="242">
        <f t="shared" si="6"/>
        <v>0.48653230311258128</v>
      </c>
      <c r="BG21" s="242">
        <f t="shared" si="6"/>
        <v>0.41221405809362216</v>
      </c>
      <c r="BH21" s="242">
        <f t="shared" si="6"/>
        <v>0.42595722633311411</v>
      </c>
      <c r="BI21" s="242">
        <f t="shared" si="6"/>
        <v>0.46216082178523865</v>
      </c>
      <c r="BJ21" s="242">
        <f t="shared" si="6"/>
        <v>0.39964673581997839</v>
      </c>
      <c r="BK21" s="242">
        <f t="shared" si="6"/>
        <v>0.37459767513986664</v>
      </c>
      <c r="BL21" s="242">
        <f t="shared" si="6"/>
        <v>0.40149792799636852</v>
      </c>
      <c r="BM21" s="242">
        <f t="shared" si="6"/>
        <v>0.46041824503920242</v>
      </c>
      <c r="BN21" s="242">
        <f t="shared" si="6"/>
        <v>0.34255808943582672</v>
      </c>
      <c r="BO21" s="242">
        <f t="shared" si="6"/>
        <v>0.37428195465095471</v>
      </c>
      <c r="BP21" s="242">
        <f t="shared" si="6"/>
        <v>0.40728966731899918</v>
      </c>
      <c r="BQ21" s="242">
        <f t="shared" si="6"/>
        <v>0.46595739994149604</v>
      </c>
      <c r="BR21" s="242">
        <f t="shared" ref="BR21:CK21" si="7">BR20/BR19</f>
        <v>0.37100996641529893</v>
      </c>
      <c r="BS21" s="242">
        <f t="shared" si="7"/>
        <v>0.4272585462238267</v>
      </c>
      <c r="BT21" s="242">
        <f t="shared" si="7"/>
        <v>0.40617109948589908</v>
      </c>
      <c r="BU21" s="242">
        <f t="shared" si="7"/>
        <v>0.4091457106252514</v>
      </c>
      <c r="BV21" s="242">
        <f t="shared" si="7"/>
        <v>0.41365813248575828</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c r="A22" s="26" t="s">
        <v>684</v>
      </c>
      <c r="E22" s="26">
        <f>资产资本表!E69</f>
        <v>25620543530.799999</v>
      </c>
      <c r="F22" s="191">
        <f>资产资本表!F69</f>
        <v>18333177293.660004</v>
      </c>
      <c r="G22" s="191">
        <f>资产资本表!G69</f>
        <v>19038618531.790001</v>
      </c>
      <c r="H22" s="191">
        <f>资产资本表!H69</f>
        <v>22375469750.970001</v>
      </c>
      <c r="I22" s="191">
        <f>资产资本表!I69</f>
        <v>19819663109.770004</v>
      </c>
      <c r="J22" s="191">
        <f>资产资本表!J69</f>
        <v>19236142330.050003</v>
      </c>
      <c r="K22" s="191">
        <f>资产资本表!K69</f>
        <v>21462163431.490002</v>
      </c>
      <c r="L22" s="191">
        <f>资产资本表!L69</f>
        <v>32248320744.110001</v>
      </c>
      <c r="M22" s="191">
        <f>资产资本表!M69</f>
        <v>33465523930.550003</v>
      </c>
      <c r="N22" s="191">
        <f>资产资本表!N69</f>
        <v>35294605221.290001</v>
      </c>
      <c r="O22" s="191">
        <f>资产资本表!O69</f>
        <v>37578209319.600006</v>
      </c>
      <c r="P22" s="191">
        <f>资产资本表!P69</f>
        <v>36261021443.699997</v>
      </c>
      <c r="Q22" s="191">
        <f>资产资本表!Q69</f>
        <v>34165256625.169998</v>
      </c>
      <c r="R22" s="191">
        <f>资产资本表!R69</f>
        <v>31459788629.68</v>
      </c>
      <c r="S22" s="191">
        <f>资产资本表!S69</f>
        <v>31513581175.470001</v>
      </c>
      <c r="T22" s="191">
        <f>资产资本表!T69</f>
        <v>29600828359.630001</v>
      </c>
      <c r="U22" s="191">
        <f>资产资本表!U69</f>
        <v>27005784131.07</v>
      </c>
      <c r="V22" s="191">
        <f>资产资本表!V69</f>
        <v>21411529282.779999</v>
      </c>
      <c r="W22" s="191">
        <f>资产资本表!W69</f>
        <v>20665520717.809998</v>
      </c>
      <c r="X22" s="191">
        <f>资产资本表!X69</f>
        <v>20864084058.559998</v>
      </c>
      <c r="Y22" s="191">
        <f>资产资本表!Y69</f>
        <v>17266112795.889999</v>
      </c>
      <c r="Z22" s="191">
        <f>资产资本表!Z69</f>
        <v>13073423733.859999</v>
      </c>
      <c r="AA22" s="191">
        <f>资产资本表!AA69</f>
        <v>13177266167.59</v>
      </c>
      <c r="AB22" s="191">
        <f>资产资本表!AB69</f>
        <v>11388895016.580002</v>
      </c>
      <c r="AC22" s="191">
        <f>资产资本表!AC69</f>
        <v>9472857395.9499989</v>
      </c>
      <c r="AD22" s="191">
        <f>资产资本表!AD69</f>
        <v>6859506689.1999989</v>
      </c>
      <c r="AE22" s="191">
        <f>资产资本表!AE69</f>
        <v>4780928465.1400023</v>
      </c>
      <c r="AF22" s="191">
        <f>资产资本表!AF69</f>
        <v>6330739827.5599995</v>
      </c>
      <c r="AG22" s="191">
        <f>资产资本表!AG69</f>
        <v>4757328279.9800014</v>
      </c>
      <c r="AH22" s="191">
        <f>资产资本表!AH69</f>
        <v>5872851576.2800007</v>
      </c>
      <c r="AI22" s="191">
        <f>资产资本表!AI69</f>
        <v>6774650753.2599993</v>
      </c>
      <c r="AJ22" s="191">
        <f>资产资本表!AJ69</f>
        <v>7541572650</v>
      </c>
      <c r="AK22" s="191">
        <f>资产资本表!AK69</f>
        <v>6001329308.4499989</v>
      </c>
      <c r="AL22" s="191">
        <f>资产资本表!AL69</f>
        <v>5029708301.5900011</v>
      </c>
      <c r="AM22" s="191">
        <f>资产资本表!AM69</f>
        <v>6287723893.2299995</v>
      </c>
      <c r="AN22" s="191">
        <f>资产资本表!AN69</f>
        <v>6397372476.7400007</v>
      </c>
      <c r="AO22" s="191">
        <f>资产资本表!AO69</f>
        <v>5059053107.4699993</v>
      </c>
      <c r="AP22" s="191">
        <f>资产资本表!AP69</f>
        <v>3360912854.7899995</v>
      </c>
      <c r="AQ22" s="191">
        <f>资产资本表!AQ69</f>
        <v>4476893441.9700003</v>
      </c>
      <c r="AR22" s="191">
        <f>资产资本表!AR69</f>
        <v>4863768054.29</v>
      </c>
      <c r="AS22" s="191">
        <f>资产资本表!AS69</f>
        <v>3720424578.7800002</v>
      </c>
      <c r="AT22" s="191">
        <f>资产资本表!AT69</f>
        <v>3622372028.46</v>
      </c>
      <c r="AU22" s="191">
        <f>资产资本表!AU69</f>
        <v>2176691346.0199995</v>
      </c>
      <c r="AV22" s="191">
        <f>资产资本表!AV69</f>
        <v>2067789212.2799997</v>
      </c>
      <c r="AW22" s="191">
        <f>资产资本表!AW69</f>
        <v>1891810367.920001</v>
      </c>
      <c r="AX22" s="191">
        <f>资产资本表!AX69</f>
        <v>1486635400.0999994</v>
      </c>
      <c r="AY22" s="191">
        <f>资产资本表!AY69</f>
        <v>1377391992.3499999</v>
      </c>
      <c r="AZ22" s="191">
        <f>资产资本表!AZ69</f>
        <v>1631145242.6799998</v>
      </c>
      <c r="BA22" s="191">
        <f>资产资本表!BA69</f>
        <v>1688319464.6699998</v>
      </c>
      <c r="BB22" s="191">
        <f>资产资本表!BB69</f>
        <v>1307063952.8499997</v>
      </c>
      <c r="BC22" s="191">
        <f>资产资本表!BC69</f>
        <v>1588346585.8</v>
      </c>
      <c r="BD22" s="191">
        <f>资产资本表!BD69</f>
        <v>1655608553.8800004</v>
      </c>
      <c r="BE22" s="191">
        <f>资产资本表!BE69</f>
        <v>1634730365.1000001</v>
      </c>
      <c r="BF22" s="191">
        <f>资产资本表!BF69</f>
        <v>1341054577.3899999</v>
      </c>
      <c r="BG22" s="191">
        <f>资产资本表!BG69</f>
        <v>1605676607.9200003</v>
      </c>
      <c r="BH22" s="191">
        <f>资产资本表!BH69</f>
        <v>1712813847.1399999</v>
      </c>
      <c r="BI22" s="191">
        <f>资产资本表!BI69</f>
        <v>1702963227.2399995</v>
      </c>
      <c r="BJ22" s="191">
        <f>资产资本表!BJ69</f>
        <v>1141951027.0599999</v>
      </c>
      <c r="BK22" s="191">
        <f>资产资本表!BK69</f>
        <v>1428663361.3499999</v>
      </c>
      <c r="BL22" s="191">
        <f>资产资本表!BL69</f>
        <v>1657124345.98</v>
      </c>
      <c r="BM22" s="191">
        <f>资产资本表!BM69</f>
        <v>1481219769.5</v>
      </c>
      <c r="BN22" s="191">
        <f>资产资本表!BN69</f>
        <v>1156510605.9400001</v>
      </c>
      <c r="BO22" s="191">
        <f>资产资本表!BO69</f>
        <v>1324772403.8</v>
      </c>
      <c r="BP22" s="191">
        <f>资产资本表!BP69</f>
        <v>1438216942.6100001</v>
      </c>
      <c r="BQ22" s="191">
        <f>资产资本表!BQ69</f>
        <v>1049460358.12</v>
      </c>
      <c r="BR22" s="191">
        <f>资产资本表!BR69</f>
        <v>724202035.17000008</v>
      </c>
      <c r="BS22" s="191">
        <f>资产资本表!BS69</f>
        <v>501098351.51999992</v>
      </c>
      <c r="BT22" s="191">
        <f>资产资本表!BT69</f>
        <v>95396445.859999955</v>
      </c>
      <c r="BU22" s="191">
        <f>资产资本表!BU69</f>
        <v>258737224.83000001</v>
      </c>
      <c r="BV22" s="191">
        <f>资产资本表!BV69</f>
        <v>324658521.35000002</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c r="A23" s="243" t="s">
        <v>685</v>
      </c>
      <c r="E23" s="244">
        <f>E19/E22</f>
        <v>0.68172505255256854</v>
      </c>
      <c r="F23" s="244">
        <f t="shared" ref="F23:BQ23" si="8">F19/F22</f>
        <v>3.1755467359333811</v>
      </c>
      <c r="G23" s="244">
        <f t="shared" si="8"/>
        <v>2.2297031388662858</v>
      </c>
      <c r="H23" s="244">
        <f t="shared" si="8"/>
        <v>1.0810959719811619</v>
      </c>
      <c r="I23" s="244">
        <f t="shared" si="8"/>
        <v>0.67148664491222221</v>
      </c>
      <c r="J23" s="244">
        <f t="shared" si="8"/>
        <v>2.0202694140566266</v>
      </c>
      <c r="K23" s="244">
        <f t="shared" si="8"/>
        <v>1.2408760243319559</v>
      </c>
      <c r="L23" s="244">
        <f t="shared" si="8"/>
        <v>0.56354049619030944</v>
      </c>
      <c r="M23" s="244">
        <f t="shared" si="8"/>
        <v>0.29847892869388093</v>
      </c>
      <c r="N23" s="244">
        <f t="shared" si="8"/>
        <v>0.92534208898246761</v>
      </c>
      <c r="O23" s="244">
        <f t="shared" si="8"/>
        <v>0.6160136254501124</v>
      </c>
      <c r="P23" s="244">
        <f t="shared" si="8"/>
        <v>0.4351407334304806</v>
      </c>
      <c r="Q23" s="244">
        <f t="shared" si="8"/>
        <v>0.25008661663923581</v>
      </c>
      <c r="R23" s="244">
        <f t="shared" si="8"/>
        <v>1.0036281204112196</v>
      </c>
      <c r="S23" s="244">
        <f t="shared" si="8"/>
        <v>0.68916918856925469</v>
      </c>
      <c r="T23" s="244">
        <f t="shared" si="8"/>
        <v>0.48382525749252425</v>
      </c>
      <c r="U23" s="244">
        <f t="shared" si="8"/>
        <v>0.27586037548411779</v>
      </c>
      <c r="V23" s="244">
        <f t="shared" si="8"/>
        <v>1.4441659401446181</v>
      </c>
      <c r="W23" s="244">
        <f t="shared" si="8"/>
        <v>1.0614643272131694</v>
      </c>
      <c r="X23" s="244">
        <f t="shared" si="8"/>
        <v>0.67713814569845443</v>
      </c>
      <c r="Y23" s="244">
        <f t="shared" si="8"/>
        <v>0.41502021539646916</v>
      </c>
      <c r="Z23" s="244">
        <f t="shared" si="8"/>
        <v>2.0235965491175065</v>
      </c>
      <c r="AA23" s="244">
        <f t="shared" si="8"/>
        <v>1.5125624956640968</v>
      </c>
      <c r="AB23" s="244">
        <f t="shared" si="8"/>
        <v>1.1646817199648933</v>
      </c>
      <c r="AC23" s="244">
        <f t="shared" si="8"/>
        <v>0.6350742431942501</v>
      </c>
      <c r="AD23" s="244">
        <f t="shared" si="8"/>
        <v>2.6827519880217805</v>
      </c>
      <c r="AE23" s="244">
        <f t="shared" si="8"/>
        <v>2.8534364359435176</v>
      </c>
      <c r="AF23" s="244">
        <f t="shared" si="8"/>
        <v>1.5520813830169797</v>
      </c>
      <c r="AG23" s="244">
        <f t="shared" si="8"/>
        <v>0.8871763413303364</v>
      </c>
      <c r="AH23" s="244">
        <f t="shared" si="8"/>
        <v>1.9808577807697278</v>
      </c>
      <c r="AI23" s="244">
        <f t="shared" si="8"/>
        <v>1.3768352235178352</v>
      </c>
      <c r="AJ23" s="244">
        <f t="shared" si="8"/>
        <v>0.87346057228262597</v>
      </c>
      <c r="AK23" s="244">
        <f t="shared" si="8"/>
        <v>0.50653879235217902</v>
      </c>
      <c r="AL23" s="244">
        <f t="shared" si="8"/>
        <v>1.9225765164817015</v>
      </c>
      <c r="AM23" s="244">
        <f t="shared" si="8"/>
        <v>1.2416579541900725</v>
      </c>
      <c r="AN23" s="244">
        <f t="shared" si="8"/>
        <v>0.86691935657249031</v>
      </c>
      <c r="AO23" s="244">
        <f t="shared" si="8"/>
        <v>0.4966417852957673</v>
      </c>
      <c r="AP23" s="244">
        <f t="shared" si="8"/>
        <v>2.4522163829281931</v>
      </c>
      <c r="AQ23" s="244">
        <f t="shared" si="8"/>
        <v>1.4488880213677122</v>
      </c>
      <c r="AR23" s="244">
        <f t="shared" si="8"/>
        <v>0.94982270084307596</v>
      </c>
      <c r="AS23" s="244">
        <f t="shared" si="8"/>
        <v>0.53582497192127099</v>
      </c>
      <c r="AT23" s="244">
        <f t="shared" si="8"/>
        <v>1.9979810715899577</v>
      </c>
      <c r="AU23" s="244">
        <f t="shared" si="8"/>
        <v>2.0482381470445907</v>
      </c>
      <c r="AV23" s="244">
        <f t="shared" si="8"/>
        <v>1.2714491693866108</v>
      </c>
      <c r="AW23" s="244">
        <f t="shared" si="8"/>
        <v>0.83916343974024155</v>
      </c>
      <c r="AX23" s="244">
        <f t="shared" si="8"/>
        <v>3.2934685269035402</v>
      </c>
      <c r="AY23" s="244">
        <f t="shared" si="8"/>
        <v>2.3591347014919362</v>
      </c>
      <c r="AZ23" s="244">
        <f t="shared" si="8"/>
        <v>1.2441945269849539</v>
      </c>
      <c r="BA23" s="244">
        <f t="shared" si="8"/>
        <v>0.80227591905110873</v>
      </c>
      <c r="BB23" s="244">
        <f t="shared" si="8"/>
        <v>3.0071330702982602</v>
      </c>
      <c r="BC23" s="244">
        <f t="shared" si="8"/>
        <v>1.6245313814493296</v>
      </c>
      <c r="BD23" s="244">
        <f t="shared" si="8"/>
        <v>1.0184438452908675</v>
      </c>
      <c r="BE23" s="244">
        <f t="shared" si="8"/>
        <v>0.69982019361952563</v>
      </c>
      <c r="BF23" s="244">
        <f t="shared" si="8"/>
        <v>2.244348269387924</v>
      </c>
      <c r="BG23" s="244">
        <f t="shared" si="8"/>
        <v>1.2894490474841342</v>
      </c>
      <c r="BH23" s="244">
        <f t="shared" si="8"/>
        <v>0.76722243415666924</v>
      </c>
      <c r="BI23" s="244">
        <f t="shared" si="8"/>
        <v>0.50114523449996107</v>
      </c>
      <c r="BJ23" s="244">
        <f t="shared" si="8"/>
        <v>2.1025577087237441</v>
      </c>
      <c r="BK23" s="244">
        <f t="shared" si="8"/>
        <v>1.0868511100002949</v>
      </c>
      <c r="BL23" s="244">
        <f t="shared" si="8"/>
        <v>0.60891481555251881</v>
      </c>
      <c r="BM23" s="244">
        <f t="shared" si="8"/>
        <v>0.49546277399317412</v>
      </c>
      <c r="BN23" s="244">
        <f t="shared" si="8"/>
        <v>1.5865814679741854</v>
      </c>
      <c r="BO23" s="244">
        <f t="shared" si="8"/>
        <v>1.0295249360628325</v>
      </c>
      <c r="BP23" s="244">
        <f t="shared" si="8"/>
        <v>0.66447153020303684</v>
      </c>
      <c r="BQ23" s="244">
        <f t="shared" si="8"/>
        <v>0.68417530302549923</v>
      </c>
      <c r="BR23" s="244">
        <f t="shared" ref="BR23:CK23" si="9">BR19/BR22</f>
        <v>2.2342476018176027</v>
      </c>
      <c r="BS23" s="244">
        <f t="shared" si="9"/>
        <v>1.743896135936744</v>
      </c>
      <c r="BT23" s="244">
        <f t="shared" si="9"/>
        <v>11.677592421995087</v>
      </c>
      <c r="BU23" s="244">
        <f t="shared" si="9"/>
        <v>3.4431001809860446</v>
      </c>
      <c r="BV23" s="244">
        <f t="shared" si="9"/>
        <v>1.9349081939321167</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4.25" thickBot="1">
      <c r="A24" s="158" t="s">
        <v>692</v>
      </c>
      <c r="E24" s="159">
        <f>E21*E23</f>
        <v>0.43953780531557562</v>
      </c>
      <c r="F24" s="159">
        <f t="shared" ref="F24:BQ24" si="10">F21*F23</f>
        <v>1.9622739495308767</v>
      </c>
      <c r="G24" s="159">
        <f t="shared" si="10"/>
        <v>1.3931789036789013</v>
      </c>
      <c r="H24" s="159">
        <f t="shared" si="10"/>
        <v>0.66194063503260825</v>
      </c>
      <c r="I24" s="159">
        <f t="shared" si="10"/>
        <v>0.41136582943990374</v>
      </c>
      <c r="J24" s="159">
        <f t="shared" si="10"/>
        <v>1.1829214819861882</v>
      </c>
      <c r="K24" s="159">
        <f t="shared" si="10"/>
        <v>0.80254269947725443</v>
      </c>
      <c r="L24" s="159">
        <f t="shared" si="10"/>
        <v>0.37970288156000959</v>
      </c>
      <c r="M24" s="159">
        <f t="shared" si="10"/>
        <v>0.208193062554138</v>
      </c>
      <c r="N24" s="159">
        <f t="shared" si="10"/>
        <v>0.60115491368299567</v>
      </c>
      <c r="O24" s="159">
        <f t="shared" si="10"/>
        <v>0.41431333796870029</v>
      </c>
      <c r="P24" s="159">
        <f t="shared" si="10"/>
        <v>0.29640364751438475</v>
      </c>
      <c r="Q24" s="159">
        <f t="shared" si="10"/>
        <v>0.17539665953848763</v>
      </c>
      <c r="R24" s="159">
        <f t="shared" si="10"/>
        <v>0.67298885115476226</v>
      </c>
      <c r="S24" s="159">
        <f t="shared" si="10"/>
        <v>0.46549017630590572</v>
      </c>
      <c r="T24" s="159">
        <f t="shared" si="10"/>
        <v>0.33448750911117264</v>
      </c>
      <c r="U24" s="159">
        <f t="shared" si="10"/>
        <v>0.19147055249623393</v>
      </c>
      <c r="V24" s="159">
        <f t="shared" si="10"/>
        <v>0.97550618224538588</v>
      </c>
      <c r="W24" s="159">
        <f t="shared" si="10"/>
        <v>0.73887235723901634</v>
      </c>
      <c r="X24" s="159">
        <f t="shared" si="10"/>
        <v>0.4732614972891121</v>
      </c>
      <c r="Y24" s="159">
        <f t="shared" si="10"/>
        <v>0.2897447666860401</v>
      </c>
      <c r="Z24" s="159">
        <f t="shared" si="10"/>
        <v>1.3979820182324798</v>
      </c>
      <c r="AA24" s="159">
        <f t="shared" si="10"/>
        <v>1.0840403492504194</v>
      </c>
      <c r="AB24" s="159">
        <f t="shared" si="10"/>
        <v>0.84379319469271674</v>
      </c>
      <c r="AC24" s="159">
        <f t="shared" si="10"/>
        <v>0.43040493955003911</v>
      </c>
      <c r="AD24" s="159">
        <f t="shared" si="10"/>
        <v>1.7465579552160548</v>
      </c>
      <c r="AE24" s="159">
        <f t="shared" si="10"/>
        <v>1.8947054034460937</v>
      </c>
      <c r="AF24" s="159">
        <f t="shared" si="10"/>
        <v>1.0638980637758908</v>
      </c>
      <c r="AG24" s="159">
        <f t="shared" si="10"/>
        <v>0.54657883094015347</v>
      </c>
      <c r="AH24" s="159">
        <f t="shared" si="10"/>
        <v>1.1894342238570066</v>
      </c>
      <c r="AI24" s="159">
        <f t="shared" si="10"/>
        <v>0.84994462010741756</v>
      </c>
      <c r="AJ24" s="159">
        <f t="shared" si="10"/>
        <v>0.56718395270779498</v>
      </c>
      <c r="AK24" s="159">
        <f t="shared" si="10"/>
        <v>0.29102429981151756</v>
      </c>
      <c r="AL24" s="159">
        <f t="shared" si="10"/>
        <v>1.1821151377149317</v>
      </c>
      <c r="AM24" s="159">
        <f t="shared" si="10"/>
        <v>0.82922936561732341</v>
      </c>
      <c r="AN24" s="159">
        <f t="shared" si="10"/>
        <v>0.59669491586727574</v>
      </c>
      <c r="AO24" s="159">
        <f t="shared" si="10"/>
        <v>0.32089694529059198</v>
      </c>
      <c r="AP24" s="159">
        <f t="shared" si="10"/>
        <v>1.5714414062544935</v>
      </c>
      <c r="AQ24" s="159">
        <f t="shared" si="10"/>
        <v>0.96957584000032271</v>
      </c>
      <c r="AR24" s="159">
        <f t="shared" si="10"/>
        <v>0.63503884948947853</v>
      </c>
      <c r="AS24" s="159">
        <f t="shared" si="10"/>
        <v>0.31782885526408156</v>
      </c>
      <c r="AT24" s="159">
        <f t="shared" si="10"/>
        <v>1.2355070671420463</v>
      </c>
      <c r="AU24" s="159">
        <f t="shared" si="10"/>
        <v>1.1343035858182322</v>
      </c>
      <c r="AV24" s="159">
        <f t="shared" si="10"/>
        <v>0.64186148366958351</v>
      </c>
      <c r="AW24" s="159">
        <f t="shared" si="10"/>
        <v>0.44793944438084121</v>
      </c>
      <c r="AX24" s="159">
        <f t="shared" si="10"/>
        <v>1.6541266742838145</v>
      </c>
      <c r="AY24" s="159">
        <f t="shared" si="10"/>
        <v>1.1269381948066182</v>
      </c>
      <c r="AZ24" s="159">
        <f t="shared" si="10"/>
        <v>0.59170778718284045</v>
      </c>
      <c r="BA24" s="159">
        <f t="shared" si="10"/>
        <v>0.396615350727407</v>
      </c>
      <c r="BB24" s="159">
        <f t="shared" si="10"/>
        <v>1.4440799526407049</v>
      </c>
      <c r="BC24" s="159">
        <f t="shared" si="10"/>
        <v>0.71551441663948201</v>
      </c>
      <c r="BD24" s="159">
        <f t="shared" si="10"/>
        <v>0.45218118875113134</v>
      </c>
      <c r="BE24" s="159">
        <f t="shared" si="10"/>
        <v>0.33886218787286893</v>
      </c>
      <c r="BF24" s="159">
        <f t="shared" si="10"/>
        <v>1.0919479324920427</v>
      </c>
      <c r="BG24" s="159">
        <f t="shared" si="10"/>
        <v>0.53152902456839068</v>
      </c>
      <c r="BH24" s="159">
        <f t="shared" si="10"/>
        <v>0.32680394003391511</v>
      </c>
      <c r="BI24" s="159">
        <f t="shared" si="10"/>
        <v>0.23160969341025814</v>
      </c>
      <c r="BJ24" s="159">
        <f t="shared" si="10"/>
        <v>0.84028032516457729</v>
      </c>
      <c r="BK24" s="159">
        <f t="shared" si="10"/>
        <v>0.40713189902929392</v>
      </c>
      <c r="BL24" s="159">
        <f t="shared" si="10"/>
        <v>0.24447803677062721</v>
      </c>
      <c r="BM24" s="159">
        <f t="shared" si="10"/>
        <v>0.22812010088419221</v>
      </c>
      <c r="BN24" s="159">
        <f t="shared" si="10"/>
        <v>0.54349631640352625</v>
      </c>
      <c r="BO24" s="159">
        <f t="shared" si="10"/>
        <v>0.38533260543149611</v>
      </c>
      <c r="BP24" s="159">
        <f t="shared" si="10"/>
        <v>0.27063238847934118</v>
      </c>
      <c r="BQ24" s="159">
        <f t="shared" si="10"/>
        <v>0.31879654530194679</v>
      </c>
      <c r="BR24" s="159">
        <f t="shared" ref="BR24:CK24" si="11">BR21*BR23</f>
        <v>0.82892812771381097</v>
      </c>
      <c r="BS24" s="159">
        <f t="shared" si="11"/>
        <v>0.74509452780568208</v>
      </c>
      <c r="BT24" s="159">
        <f t="shared" si="11"/>
        <v>4.7431005533899473</v>
      </c>
      <c r="BU24" s="159">
        <f t="shared" si="11"/>
        <v>1.4087296703034669</v>
      </c>
      <c r="BV24" s="159">
        <f t="shared" si="11"/>
        <v>0.80039051003335082</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c r="A25" s="245" t="s">
        <v>441</v>
      </c>
      <c r="B25" s="1">
        <v>43465</v>
      </c>
      <c r="C25" s="1">
        <v>43373</v>
      </c>
      <c r="D25" s="1">
        <v>43281</v>
      </c>
      <c r="E25" s="1">
        <v>43190</v>
      </c>
      <c r="F25" s="1">
        <v>43100</v>
      </c>
      <c r="G25" s="1">
        <v>43008</v>
      </c>
      <c r="H25" s="1">
        <v>42916</v>
      </c>
      <c r="I25" s="1">
        <v>42825</v>
      </c>
      <c r="J25" s="1">
        <v>42735</v>
      </c>
      <c r="K25" s="1">
        <v>42643</v>
      </c>
      <c r="L25" s="1">
        <v>42551</v>
      </c>
      <c r="M25" s="1">
        <v>42460</v>
      </c>
      <c r="N25" s="1">
        <v>42369</v>
      </c>
      <c r="O25" s="1">
        <v>42277</v>
      </c>
      <c r="P25" s="1">
        <v>42185</v>
      </c>
      <c r="Q25" s="1">
        <v>42094</v>
      </c>
      <c r="R25" s="1">
        <v>42004</v>
      </c>
      <c r="S25" s="1">
        <v>41912</v>
      </c>
      <c r="T25" s="1">
        <v>41820</v>
      </c>
      <c r="U25" s="1">
        <v>41729</v>
      </c>
      <c r="V25" s="1">
        <v>41639</v>
      </c>
      <c r="W25" s="1">
        <v>41547</v>
      </c>
      <c r="X25" s="1">
        <v>41455</v>
      </c>
      <c r="Y25" s="1">
        <v>41364</v>
      </c>
      <c r="Z25" s="1">
        <v>41274</v>
      </c>
      <c r="AA25" s="1">
        <v>41182</v>
      </c>
      <c r="AB25" s="1">
        <v>41090</v>
      </c>
      <c r="AC25" s="1">
        <v>40999</v>
      </c>
      <c r="AD25" s="1">
        <v>40908</v>
      </c>
      <c r="AE25" s="1">
        <v>40816</v>
      </c>
      <c r="AF25" s="1">
        <v>40724</v>
      </c>
      <c r="AG25" s="1">
        <v>40633</v>
      </c>
      <c r="AH25" s="1">
        <v>40543</v>
      </c>
      <c r="AI25" s="1">
        <v>40451</v>
      </c>
      <c r="AJ25" s="1">
        <v>40359</v>
      </c>
      <c r="AK25" s="1">
        <v>40268</v>
      </c>
      <c r="AL25" s="1">
        <v>40178</v>
      </c>
      <c r="AM25" s="1">
        <v>40086</v>
      </c>
      <c r="AN25" s="1">
        <v>39994</v>
      </c>
      <c r="AO25" s="1">
        <v>39903</v>
      </c>
      <c r="AP25" s="1">
        <v>39813</v>
      </c>
      <c r="AQ25" s="1">
        <v>39721</v>
      </c>
      <c r="AR25" s="1">
        <v>39629</v>
      </c>
      <c r="AS25" s="1">
        <v>39538</v>
      </c>
      <c r="AT25" s="1">
        <v>39447</v>
      </c>
      <c r="AU25" s="1">
        <v>39355</v>
      </c>
      <c r="AV25" s="1">
        <v>39263</v>
      </c>
      <c r="AW25" s="1">
        <v>39172</v>
      </c>
      <c r="AX25" s="1">
        <v>39082</v>
      </c>
      <c r="AY25" s="1">
        <v>38990</v>
      </c>
      <c r="AZ25" s="1">
        <v>38898</v>
      </c>
      <c r="BA25" s="1">
        <v>38807</v>
      </c>
      <c r="BB25" s="1">
        <v>38717</v>
      </c>
      <c r="BC25" s="1">
        <v>38625</v>
      </c>
      <c r="BD25" s="1">
        <v>38533</v>
      </c>
      <c r="BE25" s="1">
        <v>38442</v>
      </c>
      <c r="BF25" s="1">
        <v>38352</v>
      </c>
      <c r="BG25" s="1">
        <v>38260</v>
      </c>
      <c r="BH25" s="1">
        <v>38168</v>
      </c>
      <c r="BI25" s="1">
        <v>38077</v>
      </c>
      <c r="BJ25" s="1">
        <v>37986</v>
      </c>
      <c r="BK25" s="1">
        <v>37894</v>
      </c>
      <c r="BL25" s="1">
        <v>37802</v>
      </c>
      <c r="BM25" s="1">
        <v>37711</v>
      </c>
      <c r="BN25" s="1">
        <v>37621</v>
      </c>
      <c r="BO25" s="1">
        <v>37529</v>
      </c>
      <c r="BP25" s="1">
        <v>37437</v>
      </c>
      <c r="BQ25" s="1">
        <v>37346</v>
      </c>
      <c r="BR25" s="1">
        <v>37256</v>
      </c>
      <c r="BS25" s="1">
        <v>37072</v>
      </c>
      <c r="BT25" s="1">
        <v>36891</v>
      </c>
      <c r="BU25" s="1">
        <v>36525</v>
      </c>
      <c r="BV25" s="1">
        <v>36160</v>
      </c>
      <c r="BW25" s="1">
        <v>25569</v>
      </c>
      <c r="BX25" s="1"/>
      <c r="BY25" s="1"/>
      <c r="BZ25" s="1"/>
      <c r="CA25" s="1"/>
      <c r="CB25" s="1"/>
      <c r="CC25" s="1"/>
      <c r="CD25" s="1"/>
      <c r="CE25" s="1"/>
      <c r="CF25" s="1"/>
      <c r="CG25" s="1"/>
      <c r="CH25" s="1"/>
      <c r="CI25" s="1"/>
      <c r="CJ25" s="1"/>
      <c r="CK25" s="1"/>
    </row>
    <row r="26" spans="1:89" s="76" customFormat="1">
      <c r="A26" s="145" t="s">
        <v>442</v>
      </c>
      <c r="E26" s="76">
        <f>利润表!E14</f>
        <v>56228697.509999998</v>
      </c>
      <c r="F26" s="76">
        <f>利润表!F14</f>
        <v>280139998.44999999</v>
      </c>
      <c r="G26" s="76">
        <f>利润表!G14</f>
        <v>234266318.96000001</v>
      </c>
      <c r="H26" s="76">
        <f>利润表!H14</f>
        <v>154141558.41</v>
      </c>
      <c r="I26" s="76">
        <f>利润表!I14</f>
        <v>66598248.350000001</v>
      </c>
      <c r="J26" s="76">
        <f>利润表!J14</f>
        <v>275673512.30000001</v>
      </c>
      <c r="K26" s="76">
        <f>利润表!K14</f>
        <v>212366929.50999999</v>
      </c>
      <c r="L26" s="76">
        <f>利润表!L14</f>
        <v>135412552.55000001</v>
      </c>
      <c r="M26" s="76">
        <f>利润表!M14</f>
        <v>51533212.600000001</v>
      </c>
      <c r="N26" s="76">
        <f>利润表!N14</f>
        <v>216718386.62</v>
      </c>
      <c r="O26" s="76">
        <f>利润表!O14</f>
        <v>215475533.71000001</v>
      </c>
      <c r="P26" s="76">
        <f>利润表!P14</f>
        <v>160132633.30000001</v>
      </c>
      <c r="Q26" s="76">
        <f>利润表!Q14</f>
        <v>69799508.150000006</v>
      </c>
      <c r="R26" s="76">
        <f>利润表!R14</f>
        <v>308344285.94</v>
      </c>
      <c r="S26" s="76">
        <f>利润表!S14</f>
        <v>267878359.22999999</v>
      </c>
      <c r="T26" s="76">
        <f>利润表!T14</f>
        <v>181016731.13</v>
      </c>
      <c r="U26" s="76">
        <f>利润表!U14</f>
        <v>90165233.569999993</v>
      </c>
      <c r="V26" s="76">
        <f>利润表!V14</f>
        <v>367880015.48000002</v>
      </c>
      <c r="W26" s="76">
        <f>利润表!W14</f>
        <v>300622194.08999997</v>
      </c>
      <c r="X26" s="76">
        <f>利润表!X14</f>
        <v>210398153.75999999</v>
      </c>
      <c r="Y26" s="76">
        <f>利润表!Y14</f>
        <v>90435164.069999993</v>
      </c>
      <c r="Z26" s="76">
        <f>利润表!Z14</f>
        <v>280633741.67000002</v>
      </c>
      <c r="AA26" s="76">
        <f>利润表!AA14</f>
        <v>228566939.72999999</v>
      </c>
      <c r="AB26" s="76">
        <f>利润表!AB14</f>
        <v>164164241.12</v>
      </c>
      <c r="AC26" s="76">
        <f>利润表!AC14</f>
        <v>78989878.340000004</v>
      </c>
      <c r="AD26" s="76">
        <f>利润表!AD14</f>
        <v>342563567.56999999</v>
      </c>
      <c r="AE26" s="76">
        <f>利润表!AE14</f>
        <v>279997039.87</v>
      </c>
      <c r="AF26" s="76">
        <f>利润表!AF14</f>
        <v>202217265.75999999</v>
      </c>
      <c r="AG26" s="76">
        <f>利润表!AG14</f>
        <v>95149442.810000002</v>
      </c>
      <c r="AH26" s="76">
        <f>利润表!AH14</f>
        <v>366534973.06</v>
      </c>
      <c r="AI26" s="76">
        <f>利润表!AI14</f>
        <v>273398414.92000002</v>
      </c>
      <c r="AJ26" s="76">
        <f>利润表!AJ14</f>
        <v>178068309.30000001</v>
      </c>
      <c r="AK26" s="76">
        <f>利润表!AK14</f>
        <v>80554286.239999995</v>
      </c>
      <c r="AL26" s="76">
        <f>利润表!AL14</f>
        <v>247042330.38</v>
      </c>
      <c r="AM26" s="76">
        <f>利润表!AM14</f>
        <v>197074394.38</v>
      </c>
      <c r="AN26" s="76">
        <f>利润表!AN14</f>
        <v>126588071.23999999</v>
      </c>
      <c r="AO26" s="76">
        <f>利润表!AO14</f>
        <v>48014654.869999997</v>
      </c>
      <c r="AP26" s="76">
        <f>利润表!AP14</f>
        <v>236135104.5</v>
      </c>
      <c r="AQ26" s="76">
        <f>利润表!AQ14</f>
        <v>197168703.81</v>
      </c>
      <c r="AR26" s="76">
        <f>利润表!AR14</f>
        <v>142283418.91</v>
      </c>
      <c r="AS26" s="76">
        <f>利润表!AS14</f>
        <v>47837272.439999998</v>
      </c>
      <c r="AT26" s="76">
        <f>利润表!AT14</f>
        <v>250408277.59</v>
      </c>
      <c r="AU26" s="76">
        <f>利润表!AU14</f>
        <v>214420749.16999999</v>
      </c>
      <c r="AV26" s="76">
        <f>利润表!AV14</f>
        <v>145953407.36000001</v>
      </c>
      <c r="AW26" s="76">
        <f>利润表!AW14</f>
        <v>28092424.260000002</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45" t="s">
        <v>443</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0</v>
      </c>
      <c r="O27" s="76">
        <f>资产资本表!O19</f>
        <v>0</v>
      </c>
      <c r="P27" s="76">
        <f>资产资本表!P19</f>
        <v>0</v>
      </c>
      <c r="Q27" s="76">
        <f>资产资本表!Q19</f>
        <v>0</v>
      </c>
      <c r="R27" s="76">
        <f>资产资本表!R19</f>
        <v>0</v>
      </c>
      <c r="S27" s="76">
        <f>资产资本表!S19</f>
        <v>2750000</v>
      </c>
      <c r="T27" s="76">
        <f>资产资本表!T19</f>
        <v>6750000</v>
      </c>
      <c r="U27" s="76">
        <f>资产资本表!U19</f>
        <v>6750000</v>
      </c>
      <c r="V27" s="76">
        <f>资产资本表!V19</f>
        <v>4000000</v>
      </c>
      <c r="W27" s="76">
        <f>资产资本表!W19</f>
        <v>4000000</v>
      </c>
      <c r="X27" s="76">
        <f>资产资本表!X19</f>
        <v>4000000</v>
      </c>
      <c r="Y27" s="76">
        <f>资产资本表!Y19</f>
        <v>4000000</v>
      </c>
      <c r="Z27" s="76">
        <f>资产资本表!Z19</f>
        <v>4000000</v>
      </c>
      <c r="AA27" s="76">
        <f>资产资本表!AA19</f>
        <v>4000000</v>
      </c>
      <c r="AB27" s="76">
        <f>资产资本表!AB19</f>
        <v>4000000</v>
      </c>
      <c r="AC27" s="76">
        <f>资产资本表!AC19</f>
        <v>4000000</v>
      </c>
      <c r="AD27" s="76">
        <f>资产资本表!AD19</f>
        <v>4000000</v>
      </c>
      <c r="AE27" s="76">
        <f>资产资本表!AE19</f>
        <v>4000000</v>
      </c>
      <c r="AF27" s="76">
        <f>资产资本表!AF19</f>
        <v>4000000</v>
      </c>
      <c r="AG27" s="76">
        <f>资产资本表!AG19</f>
        <v>4000000</v>
      </c>
      <c r="AH27" s="76">
        <f>资产资本表!AH19</f>
        <v>4000000</v>
      </c>
      <c r="AI27" s="76">
        <f>资产资本表!AI19</f>
        <v>4000000</v>
      </c>
      <c r="AJ27" s="76">
        <f>资产资本表!AJ19</f>
        <v>4000000</v>
      </c>
      <c r="AK27" s="76">
        <f>资产资本表!AK19</f>
        <v>4000000</v>
      </c>
      <c r="AL27" s="76">
        <f>资产资本表!AL19</f>
        <v>4000000</v>
      </c>
      <c r="AM27" s="76">
        <f>资产资本表!AM19</f>
        <v>4000000</v>
      </c>
      <c r="AN27" s="76">
        <f>资产资本表!AN19</f>
        <v>4000000</v>
      </c>
      <c r="AO27" s="76">
        <f>资产资本表!AO19</f>
        <v>4000000</v>
      </c>
      <c r="AP27" s="76">
        <f>资产资本表!AP19</f>
        <v>4000000</v>
      </c>
      <c r="AQ27" s="76">
        <f>资产资本表!AQ19</f>
        <v>4000000</v>
      </c>
      <c r="AR27" s="76">
        <f>资产资本表!AR19</f>
        <v>4000000</v>
      </c>
      <c r="AS27" s="76">
        <f>资产资本表!AS19</f>
        <v>4000000</v>
      </c>
      <c r="AT27" s="76">
        <f>资产资本表!AT19</f>
        <v>4000000</v>
      </c>
      <c r="AU27" s="76">
        <f>资产资本表!AU19</f>
        <v>4000000</v>
      </c>
      <c r="AV27" s="76">
        <f>资产资本表!AV19</f>
        <v>4000000</v>
      </c>
      <c r="AW27" s="76">
        <f>资产资本表!AW19</f>
        <v>4000000</v>
      </c>
      <c r="AX27" s="76">
        <f>资产资本表!AX19</f>
        <v>11486496.289999999</v>
      </c>
      <c r="AY27" s="76">
        <f>资产资本表!AY19</f>
        <v>10767452.710000001</v>
      </c>
      <c r="AZ27" s="76">
        <f>资产资本表!AZ19</f>
        <v>10387452.699999999</v>
      </c>
      <c r="BA27" s="76">
        <f>资产资本表!BA19</f>
        <v>10243017.33</v>
      </c>
      <c r="BB27" s="76">
        <f>资产资本表!BB19</f>
        <v>10243017.33</v>
      </c>
      <c r="BC27" s="76">
        <f>资产资本表!BC19</f>
        <v>9838781.9600000009</v>
      </c>
      <c r="BD27" s="76">
        <f>资产资本表!BD19</f>
        <v>9838781.9600000009</v>
      </c>
      <c r="BE27" s="76">
        <f>资产资本表!BE19</f>
        <v>9627405.1300000008</v>
      </c>
      <c r="BF27" s="76">
        <f>资产资本表!BF19</f>
        <v>9815063.7300000004</v>
      </c>
      <c r="BG27" s="76">
        <f>资产资本表!BG19</f>
        <v>4000000</v>
      </c>
      <c r="BH27" s="76">
        <f>资产资本表!BH19</f>
        <v>4000000</v>
      </c>
      <c r="BI27" s="76">
        <f>资产资本表!BI19</f>
        <v>4000000</v>
      </c>
      <c r="BJ27" s="76">
        <f>资产资本表!BJ19</f>
        <v>4000000</v>
      </c>
      <c r="BK27" s="76">
        <f>资产资本表!BK19</f>
        <v>4000000</v>
      </c>
      <c r="BL27" s="76">
        <f>资产资本表!BL19</f>
        <v>4000000</v>
      </c>
      <c r="BM27" s="76">
        <f>资产资本表!BM19</f>
        <v>4000000</v>
      </c>
      <c r="BN27" s="76">
        <f>资产资本表!BN19</f>
        <v>4000000</v>
      </c>
      <c r="BO27" s="76">
        <f>资产资本表!BO19</f>
        <v>4000000</v>
      </c>
      <c r="BP27" s="76">
        <f>资产资本表!BP19</f>
        <v>4000000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c r="A28" s="143" t="s">
        <v>444</v>
      </c>
      <c r="E28" s="110" t="e">
        <f>E26/E27</f>
        <v>#DIV/0!</v>
      </c>
      <c r="F28" s="110" t="e">
        <f t="shared" ref="F28:BQ28" si="12">F26/F27</f>
        <v>#DIV/0!</v>
      </c>
      <c r="G28" s="110" t="e">
        <f t="shared" si="12"/>
        <v>#DIV/0!</v>
      </c>
      <c r="H28" s="110" t="e">
        <f t="shared" si="12"/>
        <v>#DIV/0!</v>
      </c>
      <c r="I28" s="110" t="e">
        <f t="shared" si="12"/>
        <v>#DIV/0!</v>
      </c>
      <c r="J28" s="110" t="e">
        <f t="shared" si="12"/>
        <v>#DIV/0!</v>
      </c>
      <c r="K28" s="110" t="e">
        <f t="shared" si="12"/>
        <v>#DIV/0!</v>
      </c>
      <c r="L28" s="110" t="e">
        <f t="shared" si="12"/>
        <v>#DIV/0!</v>
      </c>
      <c r="M28" s="110" t="e">
        <f t="shared" si="12"/>
        <v>#DIV/0!</v>
      </c>
      <c r="N28" s="110" t="e">
        <f t="shared" si="12"/>
        <v>#DIV/0!</v>
      </c>
      <c r="O28" s="110" t="e">
        <f t="shared" si="12"/>
        <v>#DIV/0!</v>
      </c>
      <c r="P28" s="110" t="e">
        <f t="shared" si="12"/>
        <v>#DIV/0!</v>
      </c>
      <c r="Q28" s="110" t="e">
        <f t="shared" si="12"/>
        <v>#DIV/0!</v>
      </c>
      <c r="R28" s="110" t="e">
        <f t="shared" si="12"/>
        <v>#DIV/0!</v>
      </c>
      <c r="S28" s="110">
        <f t="shared" si="12"/>
        <v>97.41031244727273</v>
      </c>
      <c r="T28" s="110">
        <f t="shared" si="12"/>
        <v>26.817293500740739</v>
      </c>
      <c r="U28" s="110">
        <f t="shared" si="12"/>
        <v>13.357812380740739</v>
      </c>
      <c r="V28" s="110">
        <f t="shared" si="12"/>
        <v>91.970003869999999</v>
      </c>
      <c r="W28" s="110">
        <f t="shared" si="12"/>
        <v>75.155548522499998</v>
      </c>
      <c r="X28" s="110">
        <f t="shared" si="12"/>
        <v>52.599538439999996</v>
      </c>
      <c r="Y28" s="110">
        <f t="shared" si="12"/>
        <v>22.6087910175</v>
      </c>
      <c r="Z28" s="110">
        <f t="shared" si="12"/>
        <v>70.158435417500002</v>
      </c>
      <c r="AA28" s="110">
        <f t="shared" si="12"/>
        <v>57.1417349325</v>
      </c>
      <c r="AB28" s="110">
        <f t="shared" si="12"/>
        <v>41.041060280000004</v>
      </c>
      <c r="AC28" s="110">
        <f t="shared" si="12"/>
        <v>19.747469585000001</v>
      </c>
      <c r="AD28" s="110">
        <f t="shared" si="12"/>
        <v>85.640891892499994</v>
      </c>
      <c r="AE28" s="110">
        <f t="shared" si="12"/>
        <v>69.999259967499995</v>
      </c>
      <c r="AF28" s="110">
        <f t="shared" si="12"/>
        <v>50.554316440000001</v>
      </c>
      <c r="AG28" s="110">
        <f t="shared" si="12"/>
        <v>23.787360702499999</v>
      </c>
      <c r="AH28" s="110">
        <f t="shared" si="12"/>
        <v>91.633743265000007</v>
      </c>
      <c r="AI28" s="110">
        <f t="shared" si="12"/>
        <v>68.349603729999998</v>
      </c>
      <c r="AJ28" s="110">
        <f t="shared" si="12"/>
        <v>44.517077325000002</v>
      </c>
      <c r="AK28" s="110">
        <f t="shared" si="12"/>
        <v>20.138571559999999</v>
      </c>
      <c r="AL28" s="110">
        <f t="shared" si="12"/>
        <v>61.760582594999995</v>
      </c>
      <c r="AM28" s="110">
        <f t="shared" si="12"/>
        <v>49.268598595</v>
      </c>
      <c r="AN28" s="110">
        <f t="shared" si="12"/>
        <v>31.647017809999998</v>
      </c>
      <c r="AO28" s="110">
        <f t="shared" si="12"/>
        <v>12.003663717499998</v>
      </c>
      <c r="AP28" s="110">
        <f t="shared" si="12"/>
        <v>59.033776125000003</v>
      </c>
      <c r="AQ28" s="110">
        <f t="shared" si="12"/>
        <v>49.292175952500003</v>
      </c>
      <c r="AR28" s="110">
        <f t="shared" si="12"/>
        <v>35.570854727499999</v>
      </c>
      <c r="AS28" s="110">
        <f t="shared" si="12"/>
        <v>11.95931811</v>
      </c>
      <c r="AT28" s="110">
        <f t="shared" si="12"/>
        <v>62.602069397500003</v>
      </c>
      <c r="AU28" s="110">
        <f t="shared" si="12"/>
        <v>53.605187292499998</v>
      </c>
      <c r="AV28" s="110">
        <f t="shared" si="12"/>
        <v>36.488351840000007</v>
      </c>
      <c r="AW28" s="110">
        <f t="shared" si="12"/>
        <v>7.0231060650000003</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c r="A29" s="290" t="s">
        <v>694</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c r="A30" s="17"/>
    </row>
    <row r="31" spans="1:89" s="116" customFormat="1">
      <c r="A31" s="118" t="s">
        <v>445</v>
      </c>
      <c r="B31" s="1">
        <v>43465</v>
      </c>
      <c r="C31" s="1">
        <v>43373</v>
      </c>
      <c r="D31" s="1">
        <v>43281</v>
      </c>
      <c r="E31" s="1">
        <v>43190</v>
      </c>
      <c r="F31" s="1">
        <v>43100</v>
      </c>
      <c r="G31" s="1">
        <v>43008</v>
      </c>
      <c r="H31" s="1">
        <v>42916</v>
      </c>
      <c r="I31" s="1">
        <v>42825</v>
      </c>
      <c r="J31" s="1">
        <v>42735</v>
      </c>
      <c r="K31" s="1">
        <v>42643</v>
      </c>
      <c r="L31" s="1">
        <v>42551</v>
      </c>
      <c r="M31" s="1">
        <v>42460</v>
      </c>
      <c r="N31" s="1">
        <v>42369</v>
      </c>
      <c r="O31" s="1">
        <v>42277</v>
      </c>
      <c r="P31" s="1">
        <v>42185</v>
      </c>
      <c r="Q31" s="1">
        <v>42094</v>
      </c>
      <c r="R31" s="1">
        <v>42004</v>
      </c>
      <c r="S31" s="1">
        <v>41912</v>
      </c>
      <c r="T31" s="1">
        <v>41820</v>
      </c>
      <c r="U31" s="1">
        <v>41729</v>
      </c>
      <c r="V31" s="1">
        <v>41639</v>
      </c>
      <c r="W31" s="1">
        <v>41547</v>
      </c>
      <c r="X31" s="1">
        <v>41455</v>
      </c>
      <c r="Y31" s="1">
        <v>41364</v>
      </c>
      <c r="Z31" s="1">
        <v>41274</v>
      </c>
      <c r="AA31" s="1">
        <v>41182</v>
      </c>
      <c r="AB31" s="1">
        <v>41090</v>
      </c>
      <c r="AC31" s="1">
        <v>40999</v>
      </c>
      <c r="AD31" s="1">
        <v>40908</v>
      </c>
      <c r="AE31" s="1">
        <v>40816</v>
      </c>
      <c r="AF31" s="1">
        <v>40724</v>
      </c>
      <c r="AG31" s="1">
        <v>40633</v>
      </c>
      <c r="AH31" s="1">
        <v>40543</v>
      </c>
      <c r="AI31" s="1">
        <v>40451</v>
      </c>
      <c r="AJ31" s="1">
        <v>40359</v>
      </c>
      <c r="AK31" s="1">
        <v>40268</v>
      </c>
      <c r="AL31" s="1">
        <v>40178</v>
      </c>
      <c r="AM31" s="1">
        <v>40086</v>
      </c>
      <c r="AN31" s="1">
        <v>39994</v>
      </c>
      <c r="AO31" s="1">
        <v>39903</v>
      </c>
      <c r="AP31" s="1">
        <v>39813</v>
      </c>
      <c r="AQ31" s="1">
        <v>39721</v>
      </c>
      <c r="AR31" s="1">
        <v>39629</v>
      </c>
      <c r="AS31" s="1">
        <v>39538</v>
      </c>
      <c r="AT31" s="1">
        <v>39447</v>
      </c>
      <c r="AU31" s="1">
        <v>39355</v>
      </c>
      <c r="AV31" s="1">
        <v>39263</v>
      </c>
      <c r="AW31" s="1">
        <v>39172</v>
      </c>
      <c r="AX31" s="1">
        <v>39082</v>
      </c>
      <c r="AY31" s="1">
        <v>38990</v>
      </c>
      <c r="AZ31" s="1">
        <v>38898</v>
      </c>
      <c r="BA31" s="1">
        <v>38807</v>
      </c>
      <c r="BB31" s="1">
        <v>38717</v>
      </c>
      <c r="BC31" s="1">
        <v>38625</v>
      </c>
      <c r="BD31" s="1">
        <v>38533</v>
      </c>
      <c r="BE31" s="1">
        <v>38442</v>
      </c>
      <c r="BF31" s="1">
        <v>38352</v>
      </c>
      <c r="BG31" s="1">
        <v>38260</v>
      </c>
      <c r="BH31" s="1">
        <v>38168</v>
      </c>
      <c r="BI31" s="1">
        <v>38077</v>
      </c>
      <c r="BJ31" s="1">
        <v>37986</v>
      </c>
      <c r="BK31" s="1">
        <v>37894</v>
      </c>
      <c r="BL31" s="1">
        <v>37802</v>
      </c>
      <c r="BM31" s="1">
        <v>37711</v>
      </c>
      <c r="BN31" s="1">
        <v>37621</v>
      </c>
      <c r="BO31" s="1">
        <v>37529</v>
      </c>
      <c r="BP31" s="1">
        <v>37437</v>
      </c>
      <c r="BQ31" s="1">
        <v>37346</v>
      </c>
      <c r="BR31" s="1">
        <v>37256</v>
      </c>
      <c r="BS31" s="1">
        <v>37072</v>
      </c>
      <c r="BT31" s="1">
        <v>36891</v>
      </c>
      <c r="BU31" s="1">
        <v>36525</v>
      </c>
      <c r="BV31" s="1">
        <v>36160</v>
      </c>
      <c r="BW31" s="1">
        <v>25569</v>
      </c>
      <c r="BX31" s="1"/>
      <c r="BY31" s="1"/>
      <c r="BZ31" s="1"/>
      <c r="CA31" s="1"/>
      <c r="CB31" s="1"/>
      <c r="CC31" s="1"/>
      <c r="CD31" s="1"/>
      <c r="CE31" s="1"/>
      <c r="CF31" s="1"/>
      <c r="CG31" s="1"/>
      <c r="CH31" s="1"/>
      <c r="CI31" s="1"/>
      <c r="CJ31" s="1"/>
      <c r="CK31" s="1"/>
    </row>
    <row r="32" spans="1:89" s="76" customFormat="1">
      <c r="A32" s="145" t="s">
        <v>449</v>
      </c>
      <c r="E32" s="76">
        <f>股权价值增加表!E29</f>
        <v>43816119.822780401</v>
      </c>
      <c r="F32" s="76">
        <f>股权价值增加表!F29</f>
        <v>3862424.1903167688</v>
      </c>
      <c r="G32" s="76">
        <f>股权价值增加表!G29</f>
        <v>4028561.4934514924</v>
      </c>
      <c r="H32" s="76">
        <f>股权价值增加表!H29</f>
        <v>3458508.0263455091</v>
      </c>
      <c r="I32" s="76">
        <f>股权价值增加表!I29</f>
        <v>52693379.70359917</v>
      </c>
      <c r="J32" s="76">
        <f>股权价值增加表!J29</f>
        <v>1793233.91</v>
      </c>
      <c r="K32" s="76">
        <f>股权价值增加表!K29</f>
        <v>3205168.24</v>
      </c>
      <c r="L32" s="76">
        <f>股权价值增加表!L29</f>
        <v>2292209.29</v>
      </c>
      <c r="M32" s="76">
        <f>股权价值增加表!M29</f>
        <v>82241399.10400866</v>
      </c>
      <c r="N32" s="76">
        <f>股权价值增加表!N29</f>
        <v>-9554475.2313584555</v>
      </c>
      <c r="O32" s="76">
        <f>股权价值增加表!O29</f>
        <v>-8984329.9989195429</v>
      </c>
      <c r="P32" s="76">
        <f>股权价值增加表!P29</f>
        <v>-11812339.686230771</v>
      </c>
      <c r="Q32" s="76">
        <f>股权价值增加表!Q29</f>
        <v>88907852.960750312</v>
      </c>
      <c r="R32" s="76">
        <f>股权价值增加表!R29</f>
        <v>1660471.2073671995</v>
      </c>
      <c r="S32" s="76">
        <f>股权价值增加表!S29</f>
        <v>2234775.1174511062</v>
      </c>
      <c r="T32" s="76">
        <f>股权价值增加表!T29</f>
        <v>2236601.3149661515</v>
      </c>
      <c r="U32" s="76">
        <f>股权价值增加表!U29</f>
        <v>317114864.44168317</v>
      </c>
      <c r="V32" s="76">
        <f>股权价值增加表!V29</f>
        <v>2238062.7614417188</v>
      </c>
      <c r="W32" s="76">
        <f>股权价值增加表!W29</f>
        <v>2237992.2435206743</v>
      </c>
      <c r="X32" s="76">
        <f>股权价值增加表!X29</f>
        <v>2264790.1601554858</v>
      </c>
      <c r="Y32" s="76">
        <f>股权价值增加表!Y29</f>
        <v>310910114.61357641</v>
      </c>
      <c r="Z32" s="76">
        <f>股权价值增加表!Z29</f>
        <v>2324630.1862082523</v>
      </c>
      <c r="AA32" s="76">
        <f>股权价值增加表!AA29</f>
        <v>2327232.666061528</v>
      </c>
      <c r="AB32" s="76">
        <f>股权价值增加表!AB29</f>
        <v>2327059.8612285517</v>
      </c>
      <c r="AC32" s="76">
        <f>股权价值增加表!AC29</f>
        <v>263223370.26289359</v>
      </c>
      <c r="AD32" s="76">
        <f>股权价值增加表!AD29</f>
        <v>2537065.8160919454</v>
      </c>
      <c r="AE32" s="76">
        <f>股权价值增加表!AE29</f>
        <v>2457048.7753446987</v>
      </c>
      <c r="AF32" s="76">
        <f>股权价值增加表!AF29</f>
        <v>2397744.4447294488</v>
      </c>
      <c r="AG32" s="76">
        <f>股权价值增加表!AG29</f>
        <v>132758568.79575691</v>
      </c>
      <c r="AH32" s="76">
        <f>股权价值增加表!AH29</f>
        <v>349688.55123774754</v>
      </c>
      <c r="AI32" s="76">
        <f>股权价值增加表!AI29</f>
        <v>281165.823431556</v>
      </c>
      <c r="AJ32" s="76">
        <f>股权价值增加表!AJ29</f>
        <v>211359.04412192813</v>
      </c>
      <c r="AK32" s="76">
        <f>股权价值增加表!AK29</f>
        <v>0</v>
      </c>
      <c r="AL32" s="76">
        <f>股权价值增加表!AL29</f>
        <v>905590.48421258829</v>
      </c>
      <c r="AM32" s="76">
        <f>股权价值增加表!AM29</f>
        <v>729232.87154042965</v>
      </c>
      <c r="AN32" s="76">
        <f>股权价值增加表!AN29</f>
        <v>551002.54199032392</v>
      </c>
      <c r="AO32" s="76">
        <f>股权价值增加表!AO29</f>
        <v>225816.52647542776</v>
      </c>
      <c r="AP32" s="76">
        <f>股权价值增加表!AP29</f>
        <v>982304.3125842344</v>
      </c>
      <c r="AQ32" s="76">
        <f>股权价值增加表!AQ29</f>
        <v>766178.19373558555</v>
      </c>
      <c r="AR32" s="76">
        <f>股权价值增加表!AR29</f>
        <v>540142.98812314111</v>
      </c>
      <c r="AS32" s="76">
        <f>股权价值增加表!AS29</f>
        <v>314313.44771698734</v>
      </c>
      <c r="AT32" s="76">
        <f>股权价值增加表!AT29</f>
        <v>1190448.3018459564</v>
      </c>
      <c r="AU32" s="76">
        <f>股权价值增加表!AU29</f>
        <v>572336.78425153764</v>
      </c>
      <c r="AV32" s="76">
        <f>股权价值增加表!AV29</f>
        <v>564817.56281544082</v>
      </c>
      <c r="AW32" s="76">
        <f>股权价值增加表!AW29</f>
        <v>0</v>
      </c>
      <c r="AX32" s="76">
        <f>股权价值增加表!AX29</f>
        <v>1905953.3944957396</v>
      </c>
      <c r="AY32" s="76">
        <f>股权价值增加表!AY29</f>
        <v>91593.427984278838</v>
      </c>
      <c r="AZ32" s="76">
        <f>股权价值增加表!AZ29</f>
        <v>94210.991777086922</v>
      </c>
      <c r="BA32" s="76">
        <f>股权价值增加表!BA29</f>
        <v>0</v>
      </c>
      <c r="BB32" s="76">
        <f>股权价值增加表!BB29</f>
        <v>260550.85177714977</v>
      </c>
      <c r="BC32" s="76">
        <f>股权价值增加表!BC29</f>
        <v>15140.849409849834</v>
      </c>
      <c r="BD32" s="76">
        <f>股权价值增加表!BD29</f>
        <v>15754.501601178723</v>
      </c>
      <c r="BE32" s="76">
        <f>股权价值增加表!BE29</f>
        <v>-129235.33660188534</v>
      </c>
      <c r="BF32" s="76">
        <f>股权价值增加表!BF29</f>
        <v>180534.89191337407</v>
      </c>
      <c r="BG32" s="76">
        <f>股权价值增加表!BG29</f>
        <v>0</v>
      </c>
      <c r="BH32" s="76">
        <f>股权价值增加表!BH29</f>
        <v>0</v>
      </c>
      <c r="BI32" s="76">
        <f>股权价值增加表!BI29</f>
        <v>0</v>
      </c>
      <c r="BJ32" s="76">
        <f>股权价值增加表!BJ29</f>
        <v>0</v>
      </c>
      <c r="BK32" s="76">
        <f>股权价值增加表!BK29</f>
        <v>0</v>
      </c>
      <c r="BL32" s="76">
        <f>股权价值增加表!BL29</f>
        <v>0</v>
      </c>
      <c r="BM32" s="76">
        <f>股权价值增加表!BM29</f>
        <v>0</v>
      </c>
      <c r="BN32" s="76">
        <f>股权价值增加表!BN29</f>
        <v>0</v>
      </c>
      <c r="BO32" s="76">
        <f>股权价值增加表!BO29</f>
        <v>0</v>
      </c>
      <c r="BP32" s="76">
        <f>股权价值增加表!BP29</f>
        <v>0</v>
      </c>
      <c r="BQ32" s="76">
        <f>股权价值增加表!BQ29</f>
        <v>0</v>
      </c>
      <c r="BR32" s="76">
        <f>股权价值增加表!BR29</f>
        <v>0</v>
      </c>
      <c r="BS32" s="76">
        <f>股权价值增加表!BS29</f>
        <v>0</v>
      </c>
      <c r="BT32" s="76">
        <f>股权价值增加表!BT29</f>
        <v>0</v>
      </c>
      <c r="BU32" s="76">
        <f>股权价值增加表!BU29</f>
        <v>0</v>
      </c>
      <c r="BV32" s="76">
        <f>股权价值增加表!BV29</f>
        <v>0</v>
      </c>
      <c r="BW32" s="76" t="e">
        <f>股权价值增加表!BW29</f>
        <v>#DIV/0!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46" t="s">
        <v>450</v>
      </c>
    </row>
    <row r="34" spans="1:89" s="76" customFormat="1">
      <c r="A34" s="145" t="s">
        <v>451</v>
      </c>
      <c r="E34" s="76">
        <f>资产资本表!E4</f>
        <v>87211373700.729996</v>
      </c>
      <c r="F34" s="76">
        <f>资产资本表!F4</f>
        <v>87868869913.339996</v>
      </c>
      <c r="G34" s="76">
        <f>资产资本表!G4</f>
        <v>80964678997.119995</v>
      </c>
      <c r="H34" s="76">
        <f>资产资本表!H4</f>
        <v>73635347053.149994</v>
      </c>
      <c r="I34" s="76">
        <f>资产资本表!I4</f>
        <v>72708333794.740005</v>
      </c>
      <c r="J34" s="76">
        <f>资产资本表!J4</f>
        <v>66854962118.220001</v>
      </c>
      <c r="K34" s="76">
        <f>资产资本表!K4</f>
        <v>61999742903.470001</v>
      </c>
      <c r="L34" s="76">
        <f>资产资本表!L4</f>
        <v>47528057097.449997</v>
      </c>
      <c r="M34" s="76">
        <f>资产资本表!M4</f>
        <v>43775736151.699997</v>
      </c>
      <c r="N34" s="76">
        <f>资产资本表!N4</f>
        <v>36800749895.059998</v>
      </c>
      <c r="O34" s="76">
        <f>资产资本表!O4</f>
        <v>30536117619.709999</v>
      </c>
      <c r="P34" s="76">
        <f>资产资本表!P4</f>
        <v>30236504717.380001</v>
      </c>
      <c r="Q34" s="76">
        <f>资产资本表!Q4</f>
        <v>28420683403.889999</v>
      </c>
      <c r="R34" s="76">
        <f>资产资本表!R4</f>
        <v>27710717680.209999</v>
      </c>
      <c r="S34" s="76">
        <f>资产资本表!S4</f>
        <v>22795906975.310001</v>
      </c>
      <c r="T34" s="76">
        <f>资产资本表!T4</f>
        <v>21095077301.209999</v>
      </c>
      <c r="U34" s="76">
        <f>资产资本表!U4</f>
        <v>23364071644.09</v>
      </c>
      <c r="V34" s="76">
        <f>资产资本表!V4</f>
        <v>25185009331.68</v>
      </c>
      <c r="W34" s="76">
        <f>资产资本表!W4</f>
        <v>22011372945.09</v>
      </c>
      <c r="X34" s="76">
        <f>资产资本表!X4</f>
        <v>18274962102.509998</v>
      </c>
      <c r="Y34" s="76">
        <f>资产资本表!Y4</f>
        <v>21735234696.970001</v>
      </c>
      <c r="Z34" s="76">
        <f>资产资本表!Z4</f>
        <v>22061999850.169998</v>
      </c>
      <c r="AA34" s="76">
        <f>资产资本表!AA4</f>
        <v>18690032974.060001</v>
      </c>
      <c r="AB34" s="76">
        <f>资产资本表!AB4</f>
        <v>20981859110.759998</v>
      </c>
      <c r="AC34" s="76">
        <f>资产资本表!AC4</f>
        <v>18851427038.66</v>
      </c>
      <c r="AD34" s="76">
        <f>资产资本表!AD4</f>
        <v>18254690162.040001</v>
      </c>
      <c r="AE34" s="76">
        <f>资产资本表!AE4</f>
        <v>18288326258.07</v>
      </c>
      <c r="AF34" s="76">
        <f>资产资本表!AF4</f>
        <v>17291687378.52</v>
      </c>
      <c r="AG34" s="76">
        <f>资产资本表!AG4</f>
        <v>15998489422.76</v>
      </c>
      <c r="AH34" s="76">
        <f>资产资本表!AH4</f>
        <v>12888393889.290001</v>
      </c>
      <c r="AI34" s="76">
        <f>资产资本表!AI4</f>
        <v>11026669577.42</v>
      </c>
      <c r="AJ34" s="76">
        <f>资产资本表!AJ4</f>
        <v>10268861587.440001</v>
      </c>
      <c r="AK34" s="76">
        <f>资产资本表!AK4</f>
        <v>9980435183.5699997</v>
      </c>
      <c r="AL34" s="76">
        <f>资产资本表!AL4</f>
        <v>9743152155.2399998</v>
      </c>
      <c r="AM34" s="76">
        <f>资产资本表!AM4</f>
        <v>7895280562.8000002</v>
      </c>
      <c r="AN34" s="76">
        <f>资产资本表!AN4</f>
        <v>7795808371.21</v>
      </c>
      <c r="AO34" s="76">
        <f>资产资本表!AO4</f>
        <v>7662321131.3000002</v>
      </c>
      <c r="AP34" s="76">
        <f>资产资本表!AP4</f>
        <v>8093721891.1599998</v>
      </c>
      <c r="AQ34" s="76">
        <f>资产资本表!AQ4</f>
        <v>6402015794.54</v>
      </c>
      <c r="AR34" s="76">
        <f>资产资本表!AR4</f>
        <v>5065871830.8000002</v>
      </c>
      <c r="AS34" s="76">
        <f>资产资本表!AS4</f>
        <v>5564443319.29</v>
      </c>
      <c r="AT34" s="76">
        <f>资产资本表!AT4</f>
        <v>4722706300.0200005</v>
      </c>
      <c r="AU34" s="76">
        <f>资产资本表!AU4</f>
        <v>4753385536.3500004</v>
      </c>
      <c r="AV34" s="76">
        <f>资产资本表!AV4</f>
        <v>4809865056.1599998</v>
      </c>
      <c r="AW34" s="76">
        <f>资产资本表!AW4</f>
        <v>4655485481.29</v>
      </c>
      <c r="AX34" s="76">
        <f>资产资本表!AX4</f>
        <v>4463098038.6400003</v>
      </c>
      <c r="AY34" s="76">
        <f>资产资本表!AY4</f>
        <v>4083907788.3400002</v>
      </c>
      <c r="AZ34" s="76">
        <f>资产资本表!AZ4</f>
        <v>3419099920.6599998</v>
      </c>
      <c r="BA34" s="76">
        <f>资产资本表!BA4</f>
        <v>3975708186.8800001</v>
      </c>
      <c r="BB34" s="76">
        <f>资产资本表!BB4</f>
        <v>3891989433.5300002</v>
      </c>
      <c r="BC34" s="76">
        <f>资产资本表!BC4</f>
        <v>3217007276.75</v>
      </c>
      <c r="BD34" s="76">
        <f>资产资本表!BD4</f>
        <v>3065214770.1900001</v>
      </c>
      <c r="BE34" s="76">
        <f>资产资本表!BE4</f>
        <v>3024925341.3800001</v>
      </c>
      <c r="BF34" s="76">
        <f>资产资本表!BF4</f>
        <v>2898327418.8499999</v>
      </c>
      <c r="BG34" s="76">
        <f>资产资本表!BG4</f>
        <v>2419288966.46</v>
      </c>
      <c r="BH34" s="76">
        <f>资产资本表!BH4</f>
        <v>2172790156.5900002</v>
      </c>
      <c r="BI34" s="76">
        <f>资产资本表!BI4</f>
        <v>2091330580.1099999</v>
      </c>
      <c r="BJ34" s="76">
        <f>资产资本表!BJ4</f>
        <v>2340047386.8499999</v>
      </c>
      <c r="BK34" s="76">
        <f>资产资本表!BK4</f>
        <v>1868792963.71</v>
      </c>
      <c r="BL34" s="76">
        <f>资产资本表!BL4</f>
        <v>1536249315.6400001</v>
      </c>
      <c r="BM34" s="76">
        <f>资产资本表!BM4</f>
        <v>1684957738.5599999</v>
      </c>
      <c r="BN34" s="76">
        <f>资产资本表!BN4</f>
        <v>1780307690.6400001</v>
      </c>
      <c r="BO34" s="76">
        <f>资产资本表!BO4</f>
        <v>1677224920.04</v>
      </c>
      <c r="BP34" s="76">
        <f>资产资本表!BP4</f>
        <v>1513800289.8299999</v>
      </c>
      <c r="BQ34" s="76">
        <f>资产资本表!BQ4</f>
        <v>1877929846.0899999</v>
      </c>
      <c r="BR34" s="76">
        <f>资产资本表!BR4</f>
        <v>1956436570.0999999</v>
      </c>
      <c r="BS34" s="76">
        <f>资产资本表!BS4</f>
        <v>336439213.5</v>
      </c>
      <c r="BT34" s="76">
        <f>资产资本表!BT4</f>
        <v>460983583.45999998</v>
      </c>
      <c r="BU34" s="76">
        <f>资产资本表!BU4</f>
        <v>198390615.12</v>
      </c>
      <c r="BV34" s="76">
        <f>资产资本表!BV4</f>
        <v>124765368.73999999</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45" t="s">
        <v>452</v>
      </c>
      <c r="E35" s="76">
        <f>利润表!E12</f>
        <v>-340582.65</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45" t="s">
        <v>453</v>
      </c>
      <c r="E36" s="76">
        <f>资产资本表!E13</f>
        <v>832616980.51999998</v>
      </c>
      <c r="F36" s="76">
        <f>资产资本表!F13</f>
        <v>241458615.88999999</v>
      </c>
      <c r="G36" s="76">
        <f>资产资本表!G13</f>
        <v>242686627.52000001</v>
      </c>
      <c r="H36" s="76">
        <f>资产资本表!H13</f>
        <v>156890931.40000001</v>
      </c>
      <c r="I36" s="76">
        <f>资产资本表!I13</f>
        <v>239223538.55000001</v>
      </c>
      <c r="J36" s="76">
        <f>资产资本表!J13</f>
        <v>140904856.88</v>
      </c>
      <c r="K36" s="76">
        <f>资产资本表!K13</f>
        <v>125442817.73</v>
      </c>
      <c r="L36" s="76">
        <f>资产资本表!L13</f>
        <v>80171834.959999993</v>
      </c>
      <c r="M36" s="76">
        <f>资产资本表!M13</f>
        <v>133573079.36</v>
      </c>
      <c r="N36" s="76">
        <f>资产资本表!N13</f>
        <v>85347051.469999999</v>
      </c>
      <c r="O36" s="76">
        <f>资产资本表!O13</f>
        <v>136725651.16999999</v>
      </c>
      <c r="P36" s="76">
        <f>资产资本表!P13</f>
        <v>136529732.49000001</v>
      </c>
      <c r="Q36" s="76">
        <f>资产资本表!Q13</f>
        <v>117630548.84</v>
      </c>
      <c r="R36" s="76">
        <f>资产资本表!R13</f>
        <v>80602922.329999998</v>
      </c>
      <c r="S36" s="76">
        <f>资产资本表!S13</f>
        <v>35968733.609999999</v>
      </c>
      <c r="T36" s="76">
        <f>资产资本表!T13</f>
        <v>40227055.549999997</v>
      </c>
      <c r="U36" s="76">
        <f>资产资本表!U13</f>
        <v>69911833.340000004</v>
      </c>
      <c r="V36" s="76">
        <f>资产资本表!V13</f>
        <v>188599147.22999999</v>
      </c>
      <c r="W36" s="76">
        <f>资产资本表!W13</f>
        <v>291069085.54000002</v>
      </c>
      <c r="X36" s="76">
        <f>资产资本表!X13</f>
        <v>237708837.44</v>
      </c>
      <c r="Y36" s="76">
        <f>资产资本表!Y13</f>
        <v>169802147.38</v>
      </c>
      <c r="Z36" s="76">
        <f>资产资本表!Z13</f>
        <v>264612813.22</v>
      </c>
      <c r="AA36" s="76">
        <f>资产资本表!AA13</f>
        <v>265954783.11000001</v>
      </c>
      <c r="AB36" s="76">
        <f>资产资本表!AB13</f>
        <v>213786369.86000001</v>
      </c>
      <c r="AC36" s="76">
        <f>资产资本表!AC13</f>
        <v>154585967.41999999</v>
      </c>
      <c r="AD36" s="76">
        <f>资产资本表!AD13</f>
        <v>225182760.05000001</v>
      </c>
      <c r="AE36" s="76">
        <f>资产资本表!AE13</f>
        <v>176109284.02000001</v>
      </c>
      <c r="AF36" s="76">
        <f>资产资本表!AF13</f>
        <v>127606199.03</v>
      </c>
      <c r="AG36" s="76">
        <f>资产资本表!AG13</f>
        <v>39447517.810000002</v>
      </c>
      <c r="AH36" s="76">
        <f>资产资本表!AH13</f>
        <v>42728425.340000004</v>
      </c>
      <c r="AI36" s="76">
        <f>资产资本表!AI13</f>
        <v>76696541.090000004</v>
      </c>
      <c r="AJ36" s="76">
        <f>资产资本表!AJ13</f>
        <v>49443756.840000004</v>
      </c>
      <c r="AK36" s="76">
        <f>资产资本表!AK13</f>
        <v>183700</v>
      </c>
      <c r="AL36" s="76">
        <f>资产资本表!AL13</f>
        <v>1912600</v>
      </c>
      <c r="AM36" s="76">
        <f>资产资本表!AM13</f>
        <v>1675275</v>
      </c>
      <c r="AN36" s="76">
        <f>资产资本表!AN13</f>
        <v>1437950</v>
      </c>
      <c r="AO36" s="76">
        <f>资产资本表!AO13</f>
        <v>3084625</v>
      </c>
      <c r="AP36" s="76">
        <f>资产资本表!AP13</f>
        <v>2783550</v>
      </c>
      <c r="AQ36" s="76">
        <f>资产资本表!AQ13</f>
        <v>2482475</v>
      </c>
      <c r="AR36" s="76">
        <f>资产资本表!AR13</f>
        <v>2181400</v>
      </c>
      <c r="AS36" s="76">
        <f>资产资本表!AS13</f>
        <v>1880325</v>
      </c>
      <c r="AT36" s="76">
        <f>资产资本表!AT13</f>
        <v>3584400</v>
      </c>
      <c r="AU36" s="76">
        <f>资产资本表!AU13</f>
        <v>2629400</v>
      </c>
      <c r="AV36" s="76">
        <f>资产资本表!AV13</f>
        <v>2629400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45"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10118265.609999999</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45" t="s">
        <v>455</v>
      </c>
      <c r="E38" s="76">
        <f>资产资本表!E8</f>
        <v>29000000</v>
      </c>
      <c r="F38" s="76">
        <f>资产资本表!F8</f>
        <v>29000000</v>
      </c>
      <c r="G38" s="76">
        <f>资产资本表!G8</f>
        <v>29000000</v>
      </c>
      <c r="H38" s="76">
        <f>资产资本表!H8</f>
        <v>29000000</v>
      </c>
      <c r="I38" s="76">
        <f>资产资本表!I8</f>
        <v>29000000</v>
      </c>
      <c r="J38" s="76">
        <f>资产资本表!J8</f>
        <v>29000000</v>
      </c>
      <c r="K38" s="76">
        <f>资产资本表!K8</f>
        <v>29000000</v>
      </c>
      <c r="L38" s="76">
        <f>资产资本表!L8</f>
        <v>29000000</v>
      </c>
      <c r="M38" s="76">
        <f>资产资本表!M8</f>
        <v>29000000</v>
      </c>
      <c r="N38" s="76">
        <f>资产资本表!N8</f>
        <v>29000000</v>
      </c>
      <c r="O38" s="76">
        <f>资产资本表!O8</f>
        <v>29000000</v>
      </c>
      <c r="P38" s="76">
        <f>资产资本表!P8</f>
        <v>29000000</v>
      </c>
      <c r="Q38" s="76">
        <f>资产资本表!Q8</f>
        <v>4000000</v>
      </c>
      <c r="R38" s="76">
        <f>资产资本表!R8</f>
        <v>4000000</v>
      </c>
      <c r="S38" s="76">
        <f>资产资本表!S8</f>
        <v>4000000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45"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50000000</v>
      </c>
      <c r="Q39" s="76">
        <f>资产资本表!Q9</f>
        <v>50000000</v>
      </c>
      <c r="R39" s="76">
        <f>资产资本表!R9</f>
        <v>60000000</v>
      </c>
      <c r="S39" s="76">
        <f>资产资本表!S9</f>
        <v>65000000</v>
      </c>
      <c r="T39" s="76">
        <f>资产资本表!T9</f>
        <v>65000000</v>
      </c>
      <c r="U39" s="76">
        <f>资产资本表!U9</f>
        <v>50000000</v>
      </c>
      <c r="V39" s="76">
        <f>资产资本表!V9</f>
        <v>50000000</v>
      </c>
      <c r="W39" s="76">
        <f>资产资本表!W9</f>
        <v>50000000</v>
      </c>
      <c r="X39" s="76">
        <f>资产资本表!X9</f>
        <v>50000000</v>
      </c>
      <c r="Y39" s="76">
        <f>资产资本表!Y9</f>
        <v>50000000</v>
      </c>
      <c r="Z39" s="76">
        <f>资产资本表!Z9</f>
        <v>50000000</v>
      </c>
      <c r="AA39" s="76">
        <f>资产资本表!AA9</f>
        <v>50000000</v>
      </c>
      <c r="AB39" s="76">
        <f>资产资本表!AB9</f>
        <v>50000000</v>
      </c>
      <c r="AC39" s="76">
        <f>资产资本表!AC9</f>
        <v>50000000</v>
      </c>
      <c r="AD39" s="76">
        <f>资产资本表!AD9</f>
        <v>60000000</v>
      </c>
      <c r="AE39" s="76">
        <f>资产资本表!AE9</f>
        <v>60000000</v>
      </c>
      <c r="AF39" s="76">
        <f>资产资本表!AF9</f>
        <v>60000000</v>
      </c>
      <c r="AG39" s="76">
        <f>资产资本表!AG9</f>
        <v>60000000</v>
      </c>
      <c r="AH39" s="76">
        <f>资产资本表!AH9</f>
        <v>60000000</v>
      </c>
      <c r="AI39" s="76">
        <f>资产资本表!AI9</f>
        <v>60000000</v>
      </c>
      <c r="AJ39" s="76">
        <f>资产资本表!AJ9</f>
        <v>60000000</v>
      </c>
      <c r="AK39" s="76">
        <f>资产资本表!AK9</f>
        <v>10000000</v>
      </c>
      <c r="AL39" s="76">
        <f>资产资本表!AL9</f>
        <v>10000000</v>
      </c>
      <c r="AM39" s="76">
        <f>资产资本表!AM9</f>
        <v>27000000</v>
      </c>
      <c r="AN39" s="76">
        <f>资产资本表!AN9</f>
        <v>27000000</v>
      </c>
      <c r="AO39" s="76">
        <f>资产资本表!AO9</f>
        <v>52000000</v>
      </c>
      <c r="AP39" s="76">
        <f>资产资本表!AP9</f>
        <v>42000000</v>
      </c>
      <c r="AQ39" s="76">
        <f>资产资本表!AQ9</f>
        <v>37000000</v>
      </c>
      <c r="AR39" s="76">
        <f>资产资本表!AR9</f>
        <v>37000000</v>
      </c>
      <c r="AS39" s="76">
        <f>资产资本表!AS9</f>
        <v>37000000</v>
      </c>
      <c r="AT39" s="76">
        <f>资产资本表!AT9</f>
        <v>58000000</v>
      </c>
      <c r="AU39" s="76">
        <f>资产资本表!AU9</f>
        <v>58000000</v>
      </c>
      <c r="AV39" s="76">
        <f>资产资本表!AV9</f>
        <v>58000000</v>
      </c>
      <c r="AW39" s="76">
        <f>资产资本表!AW9</f>
        <v>59769450</v>
      </c>
      <c r="AX39" s="76">
        <f>资产资本表!AX9</f>
        <v>42769450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45"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45"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45"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46" t="s">
        <v>460</v>
      </c>
      <c r="E43" s="76">
        <f>SUM(E34:E42)</f>
        <v>88072650098.600006</v>
      </c>
      <c r="F43" s="76">
        <f t="shared" ref="F43:BQ43" si="14">SUM(F34:F42)</f>
        <v>88139328529.229996</v>
      </c>
      <c r="G43" s="76">
        <f t="shared" si="14"/>
        <v>81236365624.639999</v>
      </c>
      <c r="H43" s="76">
        <f t="shared" si="14"/>
        <v>73821237984.549988</v>
      </c>
      <c r="I43" s="76">
        <f t="shared" si="14"/>
        <v>72976557333.290009</v>
      </c>
      <c r="J43" s="76">
        <f t="shared" si="14"/>
        <v>67024866975.099998</v>
      </c>
      <c r="K43" s="76">
        <f t="shared" si="14"/>
        <v>62154185721.200005</v>
      </c>
      <c r="L43" s="76">
        <f t="shared" si="14"/>
        <v>47637228932.409996</v>
      </c>
      <c r="M43" s="76">
        <f t="shared" si="14"/>
        <v>43938309231.059998</v>
      </c>
      <c r="N43" s="76">
        <f t="shared" si="14"/>
        <v>36915096946.529999</v>
      </c>
      <c r="O43" s="76">
        <f t="shared" si="14"/>
        <v>30701843270.879997</v>
      </c>
      <c r="P43" s="76">
        <f t="shared" si="14"/>
        <v>30452034449.870003</v>
      </c>
      <c r="Q43" s="76">
        <f t="shared" si="14"/>
        <v>28592313952.73</v>
      </c>
      <c r="R43" s="76">
        <f t="shared" si="14"/>
        <v>27855320602.540001</v>
      </c>
      <c r="S43" s="76">
        <f t="shared" si="14"/>
        <v>22900875708.920002</v>
      </c>
      <c r="T43" s="76">
        <f t="shared" si="14"/>
        <v>21200304356.759998</v>
      </c>
      <c r="U43" s="76">
        <f t="shared" si="14"/>
        <v>23483983477.43</v>
      </c>
      <c r="V43" s="76">
        <f t="shared" si="14"/>
        <v>25423608478.91</v>
      </c>
      <c r="W43" s="76">
        <f t="shared" si="14"/>
        <v>22352442030.630001</v>
      </c>
      <c r="X43" s="76">
        <f t="shared" si="14"/>
        <v>18562670939.949997</v>
      </c>
      <c r="Y43" s="76">
        <f t="shared" si="14"/>
        <v>21955036844.350002</v>
      </c>
      <c r="Z43" s="76">
        <f t="shared" si="14"/>
        <v>22376612663.389999</v>
      </c>
      <c r="AA43" s="76">
        <f t="shared" si="14"/>
        <v>19005987757.170002</v>
      </c>
      <c r="AB43" s="76">
        <f t="shared" si="14"/>
        <v>21245645480.619999</v>
      </c>
      <c r="AC43" s="76">
        <f t="shared" si="14"/>
        <v>19056013006.079998</v>
      </c>
      <c r="AD43" s="76">
        <f t="shared" si="14"/>
        <v>18539872922.09</v>
      </c>
      <c r="AE43" s="76">
        <f t="shared" si="14"/>
        <v>18524435542.09</v>
      </c>
      <c r="AF43" s="76">
        <f t="shared" si="14"/>
        <v>17479293577.549999</v>
      </c>
      <c r="AG43" s="76">
        <f t="shared" si="14"/>
        <v>16097936940.57</v>
      </c>
      <c r="AH43" s="76">
        <f t="shared" si="14"/>
        <v>12991122314.630001</v>
      </c>
      <c r="AI43" s="76">
        <f t="shared" si="14"/>
        <v>11163366118.51</v>
      </c>
      <c r="AJ43" s="76">
        <f t="shared" si="14"/>
        <v>10378305344.280001</v>
      </c>
      <c r="AK43" s="76">
        <f t="shared" si="14"/>
        <v>9990618883.5699997</v>
      </c>
      <c r="AL43" s="76">
        <f t="shared" si="14"/>
        <v>9755064755.2399998</v>
      </c>
      <c r="AM43" s="76">
        <f t="shared" si="14"/>
        <v>7923955837.8000002</v>
      </c>
      <c r="AN43" s="76">
        <f t="shared" si="14"/>
        <v>7824246321.21</v>
      </c>
      <c r="AO43" s="76">
        <f t="shared" si="14"/>
        <v>7717405756.3000002</v>
      </c>
      <c r="AP43" s="76">
        <f t="shared" si="14"/>
        <v>8138505441.1599998</v>
      </c>
      <c r="AQ43" s="76">
        <f t="shared" si="14"/>
        <v>6441498269.54</v>
      </c>
      <c r="AR43" s="76">
        <f t="shared" si="14"/>
        <v>5105053230.8000002</v>
      </c>
      <c r="AS43" s="76">
        <f t="shared" si="14"/>
        <v>5603323644.29</v>
      </c>
      <c r="AT43" s="76">
        <f t="shared" si="14"/>
        <v>4784290700.0200005</v>
      </c>
      <c r="AU43" s="76">
        <f t="shared" si="14"/>
        <v>4814014936.3500004</v>
      </c>
      <c r="AV43" s="76">
        <f t="shared" si="14"/>
        <v>4870494456.1599998</v>
      </c>
      <c r="AW43" s="76">
        <f t="shared" si="14"/>
        <v>4715254931.29</v>
      </c>
      <c r="AX43" s="76">
        <f t="shared" si="14"/>
        <v>4505867488.6400003</v>
      </c>
      <c r="AY43" s="76">
        <f t="shared" si="14"/>
        <v>4083907788.3400002</v>
      </c>
      <c r="AZ43" s="76">
        <f t="shared" si="14"/>
        <v>3419099920.6599998</v>
      </c>
      <c r="BA43" s="76">
        <f t="shared" si="14"/>
        <v>3975708186.8800001</v>
      </c>
      <c r="BB43" s="76">
        <f t="shared" si="14"/>
        <v>3891989433.5300002</v>
      </c>
      <c r="BC43" s="76">
        <f t="shared" si="14"/>
        <v>3217007276.75</v>
      </c>
      <c r="BD43" s="76">
        <f t="shared" si="14"/>
        <v>3065214770.1900001</v>
      </c>
      <c r="BE43" s="76">
        <f t="shared" si="14"/>
        <v>3024925341.3800001</v>
      </c>
      <c r="BF43" s="76">
        <f t="shared" si="14"/>
        <v>2898327418.8499999</v>
      </c>
      <c r="BG43" s="76">
        <f t="shared" si="14"/>
        <v>2419288966.46</v>
      </c>
      <c r="BH43" s="76">
        <f t="shared" si="14"/>
        <v>2172790156.5900002</v>
      </c>
      <c r="BI43" s="76">
        <f t="shared" si="14"/>
        <v>2101448845.7199998</v>
      </c>
      <c r="BJ43" s="76">
        <f t="shared" si="14"/>
        <v>2340047386.8499999</v>
      </c>
      <c r="BK43" s="76">
        <f t="shared" si="14"/>
        <v>1868792963.71</v>
      </c>
      <c r="BL43" s="76">
        <f t="shared" si="14"/>
        <v>1536249315.6400001</v>
      </c>
      <c r="BM43" s="76">
        <f t="shared" si="14"/>
        <v>1684957738.5599999</v>
      </c>
      <c r="BN43" s="76">
        <f t="shared" si="14"/>
        <v>1780307690.6400001</v>
      </c>
      <c r="BO43" s="76">
        <f t="shared" si="14"/>
        <v>1677224920.04</v>
      </c>
      <c r="BP43" s="76">
        <f t="shared" si="14"/>
        <v>1513800289.8299999</v>
      </c>
      <c r="BQ43" s="76">
        <f t="shared" si="14"/>
        <v>1877929846.0899999</v>
      </c>
      <c r="BR43" s="76">
        <f t="shared" ref="BR43:CJ43" si="15">SUM(BR34:BR42)</f>
        <v>1956436570.0999999</v>
      </c>
      <c r="BS43" s="76">
        <f t="shared" si="15"/>
        <v>336439213.5</v>
      </c>
      <c r="BT43" s="76">
        <f t="shared" si="15"/>
        <v>460983583.45999998</v>
      </c>
      <c r="BU43" s="76">
        <f t="shared" si="15"/>
        <v>198390615.12</v>
      </c>
      <c r="BV43" s="76">
        <f t="shared" si="15"/>
        <v>124765368.73999999</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c r="A44" s="143" t="s">
        <v>461</v>
      </c>
      <c r="E44" s="110">
        <f>E32/E43</f>
        <v>4.9749973202494672E-4</v>
      </c>
      <c r="F44" s="110">
        <f t="shared" ref="F44:BQ44" si="16">F32/F43</f>
        <v>4.3821801853594312E-5</v>
      </c>
      <c r="G44" s="110">
        <f t="shared" si="16"/>
        <v>4.9590616991235505E-5</v>
      </c>
      <c r="H44" s="110">
        <f t="shared" si="16"/>
        <v>4.6849770076591488E-5</v>
      </c>
      <c r="I44" s="110">
        <f t="shared" si="16"/>
        <v>7.2205899578057814E-4</v>
      </c>
      <c r="J44" s="110">
        <f t="shared" si="16"/>
        <v>2.6754755226387743E-5</v>
      </c>
      <c r="K44" s="110">
        <f t="shared" si="16"/>
        <v>5.1568019157666445E-5</v>
      </c>
      <c r="L44" s="110">
        <f t="shared" si="16"/>
        <v>4.8118023263953856E-5</v>
      </c>
      <c r="M44" s="110">
        <f t="shared" si="16"/>
        <v>1.8717470140128241E-3</v>
      </c>
      <c r="N44" s="110">
        <f t="shared" si="16"/>
        <v>-2.5882297546712989E-4</v>
      </c>
      <c r="O44" s="110">
        <f t="shared" si="16"/>
        <v>-2.9263161562162547E-4</v>
      </c>
      <c r="P44" s="110">
        <f t="shared" si="16"/>
        <v>-3.8789985298605221E-4</v>
      </c>
      <c r="Q44" s="110">
        <f t="shared" si="16"/>
        <v>3.1095018440178176E-3</v>
      </c>
      <c r="R44" s="110">
        <f t="shared" si="16"/>
        <v>5.9610558107013445E-5</v>
      </c>
      <c r="S44" s="110">
        <f t="shared" si="16"/>
        <v>9.7584701382430128E-5</v>
      </c>
      <c r="T44" s="110">
        <f t="shared" si="16"/>
        <v>1.0549854744198432E-4</v>
      </c>
      <c r="U44" s="110">
        <f t="shared" si="16"/>
        <v>1.3503452885088942E-2</v>
      </c>
      <c r="V44" s="110">
        <f t="shared" si="16"/>
        <v>8.803088528122552E-5</v>
      </c>
      <c r="W44" s="110">
        <f t="shared" si="16"/>
        <v>1.001229413973609E-4</v>
      </c>
      <c r="X44" s="110">
        <f t="shared" si="16"/>
        <v>1.2200777396108852E-4</v>
      </c>
      <c r="Y44" s="110">
        <f t="shared" si="16"/>
        <v>1.4161220353113972E-2</v>
      </c>
      <c r="Z44" s="110">
        <f t="shared" si="16"/>
        <v>1.0388659897624008E-4</v>
      </c>
      <c r="AA44" s="110">
        <f t="shared" si="16"/>
        <v>1.2244734111141266E-4</v>
      </c>
      <c r="AB44" s="110">
        <f t="shared" si="16"/>
        <v>1.095311443161972E-4</v>
      </c>
      <c r="AC44" s="110">
        <f t="shared" si="16"/>
        <v>1.3813139725445702E-2</v>
      </c>
      <c r="AD44" s="110">
        <f t="shared" si="16"/>
        <v>1.3684375436409096E-4</v>
      </c>
      <c r="AE44" s="110">
        <f t="shared" si="16"/>
        <v>1.3263825339033703E-4</v>
      </c>
      <c r="AF44" s="110">
        <f t="shared" si="16"/>
        <v>1.3717627855447525E-4</v>
      </c>
      <c r="AG44" s="110">
        <f t="shared" si="16"/>
        <v>8.2469306027146208E-3</v>
      </c>
      <c r="AH44" s="110">
        <f t="shared" si="16"/>
        <v>2.6917501257296643E-5</v>
      </c>
      <c r="AI44" s="110">
        <f t="shared" si="16"/>
        <v>2.5186473367146346E-5</v>
      </c>
      <c r="AJ44" s="110">
        <f t="shared" si="16"/>
        <v>2.0365467878473878E-5</v>
      </c>
      <c r="AK44" s="110">
        <f t="shared" si="16"/>
        <v>0</v>
      </c>
      <c r="AL44" s="110">
        <f t="shared" si="16"/>
        <v>9.2832852157761857E-5</v>
      </c>
      <c r="AM44" s="110">
        <f t="shared" si="16"/>
        <v>9.2028891435984227E-5</v>
      </c>
      <c r="AN44" s="110">
        <f t="shared" si="16"/>
        <v>7.0422443181097693E-5</v>
      </c>
      <c r="AO44" s="110">
        <f t="shared" si="16"/>
        <v>2.9260678213152845E-5</v>
      </c>
      <c r="AP44" s="110">
        <f t="shared" si="16"/>
        <v>1.2069836651042704E-4</v>
      </c>
      <c r="AQ44" s="110">
        <f t="shared" si="16"/>
        <v>1.1894409680409646E-4</v>
      </c>
      <c r="AR44" s="110">
        <f t="shared" si="16"/>
        <v>1.0580555455608769E-4</v>
      </c>
      <c r="AS44" s="110">
        <f t="shared" si="16"/>
        <v>5.6094109080649788E-5</v>
      </c>
      <c r="AT44" s="110">
        <f t="shared" si="16"/>
        <v>2.4882440814914943E-4</v>
      </c>
      <c r="AU44" s="110">
        <f t="shared" si="16"/>
        <v>1.1888969847806184E-4</v>
      </c>
      <c r="AV44" s="110">
        <f t="shared" si="16"/>
        <v>1.159671914010872E-4</v>
      </c>
      <c r="AW44" s="110">
        <f t="shared" si="16"/>
        <v>0</v>
      </c>
      <c r="AX44" s="110">
        <f t="shared" si="16"/>
        <v>4.2299366310725902E-4</v>
      </c>
      <c r="AY44" s="110">
        <f t="shared" si="16"/>
        <v>2.242788836853467E-5</v>
      </c>
      <c r="AZ44" s="110">
        <f t="shared" si="16"/>
        <v>2.7554325396521628E-5</v>
      </c>
      <c r="BA44" s="110">
        <f t="shared" si="16"/>
        <v>0</v>
      </c>
      <c r="BB44" s="110">
        <f t="shared" si="16"/>
        <v>6.6945416021037976E-5</v>
      </c>
      <c r="BC44" s="110">
        <f t="shared" si="16"/>
        <v>4.7065014491188728E-6</v>
      </c>
      <c r="BD44" s="110">
        <f t="shared" si="16"/>
        <v>5.1397708749139836E-6</v>
      </c>
      <c r="BE44" s="110">
        <f t="shared" si="16"/>
        <v>-4.2723479761297825E-5</v>
      </c>
      <c r="BF44" s="110">
        <f t="shared" si="16"/>
        <v>6.2289336511541139E-5</v>
      </c>
      <c r="BG44" s="110">
        <f t="shared" si="16"/>
        <v>0</v>
      </c>
      <c r="BH44" s="110">
        <f t="shared" si="16"/>
        <v>0</v>
      </c>
      <c r="BI44" s="110">
        <f t="shared" si="16"/>
        <v>0</v>
      </c>
      <c r="BJ44" s="110">
        <f t="shared" si="16"/>
        <v>0</v>
      </c>
      <c r="BK44" s="110">
        <f t="shared" si="16"/>
        <v>0</v>
      </c>
      <c r="BL44" s="110">
        <f t="shared" si="16"/>
        <v>0</v>
      </c>
      <c r="BM44" s="110">
        <f t="shared" si="16"/>
        <v>0</v>
      </c>
      <c r="BN44" s="110">
        <f t="shared" si="16"/>
        <v>0</v>
      </c>
      <c r="BO44" s="110">
        <f t="shared" si="16"/>
        <v>0</v>
      </c>
      <c r="BP44" s="110">
        <f t="shared" si="16"/>
        <v>0</v>
      </c>
      <c r="BQ44" s="110">
        <f t="shared" si="16"/>
        <v>0</v>
      </c>
      <c r="BR44" s="110">
        <f t="shared" ref="BR44:CK44" si="17">BR32/BR43</f>
        <v>0</v>
      </c>
      <c r="BS44" s="110">
        <f t="shared" si="17"/>
        <v>0</v>
      </c>
      <c r="BT44" s="110">
        <f t="shared" si="17"/>
        <v>0</v>
      </c>
      <c r="BU44" s="110">
        <f t="shared" si="17"/>
        <v>0</v>
      </c>
      <c r="BV44" s="110">
        <f t="shared" si="17"/>
        <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c r="A45" s="279" t="s">
        <v>695</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c r="A46" s="57" t="s">
        <v>696</v>
      </c>
      <c r="E46" s="57">
        <f>E43/资产资本表!E70</f>
        <v>0.77447525035534337</v>
      </c>
      <c r="F46" s="57">
        <f>F43/资产资本表!F70</f>
        <v>0.82755538049357991</v>
      </c>
      <c r="G46" s="57">
        <f>G43/资产资本表!G70</f>
        <v>0.80989966483316544</v>
      </c>
      <c r="H46" s="57">
        <f>H43/资产资本表!H70</f>
        <v>0.76561402954572999</v>
      </c>
      <c r="I46" s="57">
        <f>I43/资产资本表!I70</f>
        <v>0.78436589771410581</v>
      </c>
      <c r="J46" s="57">
        <f>J43/资产资本表!J70</f>
        <v>0.7764531523402356</v>
      </c>
      <c r="K46" s="57">
        <f>K43/资产资本表!K70</f>
        <v>0.74181869442575576</v>
      </c>
      <c r="L46" s="57">
        <f>L43/资产资本表!L70</f>
        <v>0.59503999644780659</v>
      </c>
      <c r="M46" s="57">
        <f>M43/资产资本表!M70</f>
        <v>0.56665102456399719</v>
      </c>
      <c r="N46" s="57">
        <f>N43/资产资本表!N70</f>
        <v>0.51108271777334735</v>
      </c>
      <c r="O46" s="57">
        <f>O43/资产资本表!O70</f>
        <v>0.44950722040155028</v>
      </c>
      <c r="P46" s="57">
        <f>P43/资产资本表!P70</f>
        <v>0.45625218201218554</v>
      </c>
      <c r="Q46" s="57">
        <f>Q43/资产资本表!Q70</f>
        <v>0.45537587830054355</v>
      </c>
      <c r="R46" s="57">
        <f>R43/资产资本表!R70</f>
        <v>0.46937213144415885</v>
      </c>
      <c r="S46" s="57">
        <f>S43/资产资本表!S70</f>
        <v>0.42076270553383732</v>
      </c>
      <c r="T46" s="57">
        <f>T43/资产资本表!T70</f>
        <v>0.41726407839311597</v>
      </c>
      <c r="U46" s="57">
        <f>U43/资产资本表!U70</f>
        <v>0.46490864814263033</v>
      </c>
      <c r="V46" s="57">
        <f>V43/资产资本表!V70</f>
        <v>0.54173854292679136</v>
      </c>
      <c r="W46" s="57">
        <f>W43/资产资本表!W70</f>
        <v>0.51926013866041476</v>
      </c>
      <c r="X46" s="57">
        <f>X43/资产资本表!X70</f>
        <v>0.47076630768676486</v>
      </c>
      <c r="Y46" s="57">
        <f>Y43/资产资本表!Y70</f>
        <v>0.55971837062992191</v>
      </c>
      <c r="Z46" s="57">
        <f>Z43/资产资本表!Z70</f>
        <v>0.63114429095372748</v>
      </c>
      <c r="AA46" s="57">
        <f>AA43/资产资本表!AA70</f>
        <v>0.5904818038096028</v>
      </c>
      <c r="AB46" s="57">
        <f>AB43/资产资本表!AB70</f>
        <v>0.65093736291433202</v>
      </c>
      <c r="AC46" s="57">
        <f>AC43/资产资本表!AC70</f>
        <v>0.66786175865167208</v>
      </c>
      <c r="AD46" s="57">
        <f>AD43/资产资本表!AD70</f>
        <v>0.7298191502775615</v>
      </c>
      <c r="AE46" s="57">
        <f>AE43/资产资本表!AE70</f>
        <v>0.79472076270910552</v>
      </c>
      <c r="AF46" s="57">
        <f>AF43/资产资本表!AF70</f>
        <v>0.73399131009026397</v>
      </c>
      <c r="AG46" s="57">
        <f>AG43/资产资本表!AG70</f>
        <v>0.77174036431114235</v>
      </c>
      <c r="AH46" s="57">
        <f>AH43/资产资本表!AH70</f>
        <v>0.68852768133671816</v>
      </c>
      <c r="AI46" s="57">
        <f>AI43/资产资本表!AI70</f>
        <v>0.62219126190180207</v>
      </c>
      <c r="AJ46" s="57">
        <f>AJ43/资产资本表!AJ70</f>
        <v>0.5790211999653202</v>
      </c>
      <c r="AK46" s="57">
        <f>AK43/资产资本表!AK70</f>
        <v>0.624571845547367</v>
      </c>
      <c r="AL46" s="57">
        <f>AL43/资产资本表!AL70</f>
        <v>0.65962637453110085</v>
      </c>
      <c r="AM46" s="57">
        <f>AM43/资产资本表!AM70</f>
        <v>0.55740956378635786</v>
      </c>
      <c r="AN46" s="57">
        <f>AN43/资产资本表!AN70</f>
        <v>0.55001096488945156</v>
      </c>
      <c r="AO46" s="57">
        <f>AO43/资产资本表!AO70</f>
        <v>0.60384418420040264</v>
      </c>
      <c r="AP46" s="57">
        <f>AP43/资产资本表!AP70</f>
        <v>0.70748583001848397</v>
      </c>
      <c r="AQ46" s="57">
        <f>AQ43/资产资本表!AQ70</f>
        <v>0.58975162580480966</v>
      </c>
      <c r="AR46" s="57">
        <f>AR43/资产资本表!AR70</f>
        <v>0.51189659223437389</v>
      </c>
      <c r="AS46" s="57">
        <f>AS43/资产资本表!AS70</f>
        <v>0.6007155757518724</v>
      </c>
      <c r="AT46" s="57">
        <f>AT43/资产资本表!AT70</f>
        <v>0.56883635148268885</v>
      </c>
      <c r="AU46" s="57">
        <f>AU43/资产资本表!AU70</f>
        <v>0.68823689544815014</v>
      </c>
      <c r="AV46" s="57">
        <f>AV43/资产资本表!AV70</f>
        <v>0.70156949625978748</v>
      </c>
      <c r="AW46" s="57">
        <f>AW43/资产资本表!AW70</f>
        <v>0.71323678074295471</v>
      </c>
      <c r="AX46" s="57">
        <f>AX43/资产资本表!AX70</f>
        <v>0.75047892320973619</v>
      </c>
      <c r="AY46" s="57">
        <f>AY43/资产资本表!AY70</f>
        <v>0.74631900781718208</v>
      </c>
      <c r="AZ46" s="57">
        <f>AZ43/资产资本表!AZ70</f>
        <v>0.67562697790449044</v>
      </c>
      <c r="BA46" s="57">
        <f>BA43/资产资本表!BA70</f>
        <v>0.70065536504707027</v>
      </c>
      <c r="BB46" s="57">
        <f>BB43/资产资本表!BB70</f>
        <v>0.74712382093638807</v>
      </c>
      <c r="BC46" s="57">
        <f>BC43/资产资本表!BC70</f>
        <v>0.66809523818695871</v>
      </c>
      <c r="BD46" s="57">
        <f>BD43/资产资本表!BD70</f>
        <v>0.64794624969787706</v>
      </c>
      <c r="BE46" s="57">
        <f>BE43/资产资本表!BE70</f>
        <v>0.64783506784127842</v>
      </c>
      <c r="BF46" s="57">
        <f>BF43/资产资本表!BF70</f>
        <v>0.68208825760377012</v>
      </c>
      <c r="BG46" s="57">
        <f>BG43/资产资本表!BG70</f>
        <v>0.60047397323127882</v>
      </c>
      <c r="BH46" s="57">
        <f>BH43/资产资本表!BH70</f>
        <v>0.55861474702986913</v>
      </c>
      <c r="BI46" s="57">
        <f>BI43/资产资本表!BI70</f>
        <v>0.55179135173959726</v>
      </c>
      <c r="BJ46" s="57">
        <f>BJ43/资产资本表!BJ70</f>
        <v>0.6712703532831884</v>
      </c>
      <c r="BK46" s="57">
        <f>BK43/资产资本表!BK70</f>
        <v>0.56605109373241125</v>
      </c>
      <c r="BL46" s="57">
        <f>BL43/资产资本表!BL70</f>
        <v>0.48047224948417044</v>
      </c>
      <c r="BM46" s="57">
        <f>BM43/资产资本表!BM70</f>
        <v>0.53150264749405629</v>
      </c>
      <c r="BN46" s="57">
        <f>BN43/资产资本表!BN70</f>
        <v>0.60537833728469181</v>
      </c>
      <c r="BO46" s="57">
        <f>BO43/资产资本表!BO70</f>
        <v>0.55795955197239999</v>
      </c>
      <c r="BP46" s="57">
        <f>BP43/资产资本表!BP70</f>
        <v>0.51210807339592412</v>
      </c>
      <c r="BQ46" s="57">
        <f>BQ43/资产资本表!BQ70</f>
        <v>0.64150308468931538</v>
      </c>
      <c r="BR46" s="57">
        <f>BR43/资产资本表!BR70</f>
        <v>0.72983973529805346</v>
      </c>
      <c r="BS46" s="57">
        <f>BS43/资产资本表!BS70</f>
        <v>0.40170044610711403</v>
      </c>
      <c r="BT46" s="57">
        <f>BT43/资产资本表!BT70</f>
        <v>0.82854085187674298</v>
      </c>
      <c r="BU46" s="57">
        <f>BU43/资产资本表!BU70</f>
        <v>0.43399372731641039</v>
      </c>
      <c r="BV46" s="57">
        <f>BV43/资产资本表!BV70</f>
        <v>0.27761178586882623</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c r="A48" s="118" t="s">
        <v>462</v>
      </c>
      <c r="B48" s="1">
        <v>43465</v>
      </c>
      <c r="C48" s="1">
        <v>43373</v>
      </c>
      <c r="D48" s="1">
        <v>43281</v>
      </c>
      <c r="E48" s="1">
        <v>43190</v>
      </c>
      <c r="F48" s="1">
        <v>43100</v>
      </c>
      <c r="G48" s="1">
        <v>43008</v>
      </c>
      <c r="H48" s="1">
        <v>42916</v>
      </c>
      <c r="I48" s="1">
        <v>42825</v>
      </c>
      <c r="J48" s="1">
        <v>42735</v>
      </c>
      <c r="K48" s="1">
        <v>42643</v>
      </c>
      <c r="L48" s="1">
        <v>42551</v>
      </c>
      <c r="M48" s="1">
        <v>42460</v>
      </c>
      <c r="N48" s="1">
        <v>42369</v>
      </c>
      <c r="O48" s="1">
        <v>42277</v>
      </c>
      <c r="P48" s="1">
        <v>42185</v>
      </c>
      <c r="Q48" s="1">
        <v>42094</v>
      </c>
      <c r="R48" s="1">
        <v>42004</v>
      </c>
      <c r="S48" s="1">
        <v>41912</v>
      </c>
      <c r="T48" s="1">
        <v>41820</v>
      </c>
      <c r="U48" s="1">
        <v>41729</v>
      </c>
      <c r="V48" s="1">
        <v>41639</v>
      </c>
      <c r="W48" s="1">
        <v>41547</v>
      </c>
      <c r="X48" s="1">
        <v>41455</v>
      </c>
      <c r="Y48" s="1">
        <v>41364</v>
      </c>
      <c r="Z48" s="1">
        <v>41274</v>
      </c>
      <c r="AA48" s="1">
        <v>41182</v>
      </c>
      <c r="AB48" s="1">
        <v>41090</v>
      </c>
      <c r="AC48" s="1">
        <v>40999</v>
      </c>
      <c r="AD48" s="1">
        <v>40908</v>
      </c>
      <c r="AE48" s="1">
        <v>40816</v>
      </c>
      <c r="AF48" s="1">
        <v>40724</v>
      </c>
      <c r="AG48" s="1">
        <v>40633</v>
      </c>
      <c r="AH48" s="1">
        <v>40543</v>
      </c>
      <c r="AI48" s="1">
        <v>40451</v>
      </c>
      <c r="AJ48" s="1">
        <v>40359</v>
      </c>
      <c r="AK48" s="1">
        <v>40268</v>
      </c>
      <c r="AL48" s="1">
        <v>40178</v>
      </c>
      <c r="AM48" s="1">
        <v>40086</v>
      </c>
      <c r="AN48" s="1">
        <v>39994</v>
      </c>
      <c r="AO48" s="1">
        <v>39903</v>
      </c>
      <c r="AP48" s="1">
        <v>39813</v>
      </c>
      <c r="AQ48" s="1">
        <v>39721</v>
      </c>
      <c r="AR48" s="1">
        <v>39629</v>
      </c>
      <c r="AS48" s="1">
        <v>39538</v>
      </c>
      <c r="AT48" s="1">
        <v>39447</v>
      </c>
      <c r="AU48" s="1">
        <v>39355</v>
      </c>
      <c r="AV48" s="1">
        <v>39263</v>
      </c>
      <c r="AW48" s="1">
        <v>39172</v>
      </c>
      <c r="AX48" s="1">
        <v>39082</v>
      </c>
      <c r="AY48" s="1">
        <v>38990</v>
      </c>
      <c r="AZ48" s="1">
        <v>38898</v>
      </c>
      <c r="BA48" s="1">
        <v>38807</v>
      </c>
      <c r="BB48" s="1">
        <v>38717</v>
      </c>
      <c r="BC48" s="1">
        <v>38625</v>
      </c>
      <c r="BD48" s="1">
        <v>38533</v>
      </c>
      <c r="BE48" s="1">
        <v>38442</v>
      </c>
      <c r="BF48" s="1">
        <v>38352</v>
      </c>
      <c r="BG48" s="1">
        <v>38260</v>
      </c>
      <c r="BH48" s="1">
        <v>38168</v>
      </c>
      <c r="BI48" s="1">
        <v>38077</v>
      </c>
      <c r="BJ48" s="1">
        <v>37986</v>
      </c>
      <c r="BK48" s="1">
        <v>37894</v>
      </c>
      <c r="BL48" s="1">
        <v>37802</v>
      </c>
      <c r="BM48" s="1">
        <v>37711</v>
      </c>
      <c r="BN48" s="1">
        <v>37621</v>
      </c>
      <c r="BO48" s="1">
        <v>37529</v>
      </c>
      <c r="BP48" s="1">
        <v>37437</v>
      </c>
      <c r="BQ48" s="1">
        <v>37346</v>
      </c>
      <c r="BR48" s="1">
        <v>37256</v>
      </c>
      <c r="BS48" s="1">
        <v>37072</v>
      </c>
      <c r="BT48" s="1">
        <v>36891</v>
      </c>
      <c r="BU48" s="1">
        <v>36525</v>
      </c>
      <c r="BV48" s="1">
        <v>36160</v>
      </c>
      <c r="BW48" s="1">
        <v>25569</v>
      </c>
      <c r="BX48" s="1"/>
      <c r="BY48" s="1"/>
      <c r="BZ48" s="1"/>
      <c r="CA48" s="1"/>
      <c r="CB48" s="1"/>
      <c r="CC48" s="1"/>
      <c r="CD48" s="1"/>
      <c r="CE48" s="1"/>
      <c r="CF48" s="1"/>
      <c r="CG48" s="1"/>
      <c r="CH48" s="1"/>
      <c r="CI48" s="1"/>
      <c r="CJ48" s="1"/>
      <c r="CK48" s="1"/>
    </row>
    <row r="49" spans="1:89" s="76" customFormat="1">
      <c r="A49" s="145" t="s">
        <v>463</v>
      </c>
      <c r="E49" s="76">
        <f>利润表!E4</f>
        <v>3981658165.3600001</v>
      </c>
      <c r="F49" s="76">
        <f>利润表!F4</f>
        <v>19471146411.049999</v>
      </c>
      <c r="G49" s="76">
        <f>利润表!G4</f>
        <v>14693527606.42</v>
      </c>
      <c r="H49" s="76">
        <f>利润表!H4</f>
        <v>9613219456.0699997</v>
      </c>
      <c r="I49" s="76">
        <f>利润表!I4</f>
        <v>3794547830.4299998</v>
      </c>
      <c r="J49" s="76">
        <f>利润表!J4</f>
        <v>18938551893.709999</v>
      </c>
      <c r="K49" s="76">
        <f>利润表!K4</f>
        <v>14218450906.1</v>
      </c>
      <c r="L49" s="76">
        <f>利润表!L4</f>
        <v>9271315229.1499996</v>
      </c>
      <c r="M49" s="76">
        <f>利润表!M4</f>
        <v>3775359862.3600001</v>
      </c>
      <c r="N49" s="76">
        <f>利润表!N4</f>
        <v>19295534666.82</v>
      </c>
      <c r="O49" s="76">
        <f>利润表!O4</f>
        <v>14753293830.16</v>
      </c>
      <c r="P49" s="76">
        <f>利润表!P4</f>
        <v>9829497798.7700005</v>
      </c>
      <c r="Q49" s="76">
        <f>利润表!Q4</f>
        <v>4151295665.3000002</v>
      </c>
      <c r="R49" s="76">
        <f>利润表!R4</f>
        <v>20778933220.52</v>
      </c>
      <c r="S49" s="76">
        <f>利润表!S4</f>
        <v>15575183289.370001</v>
      </c>
      <c r="T49" s="76">
        <f>利润表!T4</f>
        <v>10136316637.43</v>
      </c>
      <c r="U49" s="76">
        <f>利润表!U4</f>
        <v>4133240256.1999998</v>
      </c>
      <c r="V49" s="76">
        <f>利润表!V4</f>
        <v>19907077075.110001</v>
      </c>
      <c r="W49" s="76">
        <f>利润表!W4</f>
        <v>14618769623.620001</v>
      </c>
      <c r="X49" s="76">
        <f>利润表!X4</f>
        <v>9381540032.2600002</v>
      </c>
      <c r="Y49" s="76">
        <f>利润表!Y4</f>
        <v>3883863244.5599999</v>
      </c>
      <c r="Z49" s="76">
        <f>利润表!Z4</f>
        <v>17743250879.580002</v>
      </c>
      <c r="AA49" s="76">
        <f>利润表!AA4</f>
        <v>13454135360.23</v>
      </c>
      <c r="AB49" s="76">
        <f>利润表!AB4</f>
        <v>7196076462.4799995</v>
      </c>
      <c r="AC49" s="76">
        <f>利润表!AC4</f>
        <v>3198850932.6599998</v>
      </c>
      <c r="AD49" s="76">
        <f>利润表!AD4</f>
        <v>14502379031.75</v>
      </c>
      <c r="AE49" s="76">
        <f>利润表!AE4</f>
        <v>11431577726.110001</v>
      </c>
      <c r="AF49" s="76">
        <f>利润表!AF4</f>
        <v>7366026241.6199999</v>
      </c>
      <c r="AG49" s="76">
        <f>利润表!AG4</f>
        <v>3228286800.9099998</v>
      </c>
      <c r="AH49" s="76">
        <f>利润表!AH4</f>
        <v>13259978831.02</v>
      </c>
      <c r="AI49" s="76">
        <f>利润表!AI4</f>
        <v>9744452405.0200005</v>
      </c>
      <c r="AJ49" s="76">
        <f>利润表!AJ4</f>
        <v>6310896504.9499998</v>
      </c>
      <c r="AK49" s="76">
        <f>利润表!AK4</f>
        <v>2739090225.46</v>
      </c>
      <c r="AL49" s="76">
        <f>利润表!AL4</f>
        <v>10986235317.82</v>
      </c>
      <c r="AM49" s="76">
        <f>利润表!AM4</f>
        <v>8066224111.6300001</v>
      </c>
      <c r="AN49" s="76">
        <f>利润表!AN4</f>
        <v>5180700037.8599997</v>
      </c>
      <c r="AO49" s="76">
        <f>利润表!AO4</f>
        <v>2344474929.9000001</v>
      </c>
      <c r="AP49" s="76">
        <f>利润表!AP4</f>
        <v>10447383090.459999</v>
      </c>
      <c r="AQ49" s="76">
        <f>利润表!AQ4</f>
        <v>7918918582.4499998</v>
      </c>
      <c r="AR49" s="76">
        <f>利润表!AR4</f>
        <v>5191719881.5</v>
      </c>
      <c r="AS49" s="76">
        <f>利润表!AS4</f>
        <v>2316491412.3400002</v>
      </c>
      <c r="AT49" s="76">
        <f>利润表!AT4</f>
        <v>9186192504.1200008</v>
      </c>
      <c r="AU49" s="76">
        <f>利润表!AU4</f>
        <v>6667310641.75</v>
      </c>
      <c r="AV49" s="76">
        <f>利润表!AV4</f>
        <v>4210749706.7199998</v>
      </c>
      <c r="AW49" s="76">
        <f>利润表!AW4</f>
        <v>1893486265.3399999</v>
      </c>
      <c r="AX49" s="76">
        <f>利润表!AX4</f>
        <v>7286223314.4200001</v>
      </c>
      <c r="AY49" s="76">
        <f>利润表!AY4</f>
        <v>5245909976.1700001</v>
      </c>
      <c r="AZ49" s="76">
        <f>利润表!AZ4</f>
        <v>3422503680.1999998</v>
      </c>
      <c r="BA49" s="76">
        <f>利润表!BA4</f>
        <v>1557384662.4200001</v>
      </c>
      <c r="BB49" s="76">
        <f>利润表!BB4</f>
        <v>6831533255.1899996</v>
      </c>
      <c r="BC49" s="76">
        <f>利润表!BC4</f>
        <v>5059322816.5</v>
      </c>
      <c r="BD49" s="76">
        <f>利润表!BD4</f>
        <v>3356863760.23</v>
      </c>
      <c r="BE49" s="76">
        <f>利润表!BE4</f>
        <v>1530956087.8499999</v>
      </c>
      <c r="BF49" s="76">
        <f>利润表!BF4</f>
        <v>6555276828.1199999</v>
      </c>
      <c r="BG49" s="76">
        <f>利润表!BG4</f>
        <v>4802388106.7799997</v>
      </c>
      <c r="BH49" s="76">
        <f>利润表!BH4</f>
        <v>3300403591.21</v>
      </c>
      <c r="BI49" s="76">
        <f>利润表!BI4</f>
        <v>1599628295.23</v>
      </c>
      <c r="BJ49" s="76">
        <f>利润表!BJ4</f>
        <v>5559734783.4700003</v>
      </c>
      <c r="BK49" s="76">
        <f>利润表!BK4</f>
        <v>4073338384.8699999</v>
      </c>
      <c r="BL49" s="76">
        <f>利润表!BL4</f>
        <v>2665555632.9699998</v>
      </c>
      <c r="BM49" s="76">
        <f>利润表!BM4</f>
        <v>1253183034.1500001</v>
      </c>
      <c r="BN49" s="76">
        <f>利润表!BN4</f>
        <v>4468336934.6800003</v>
      </c>
      <c r="BO49" s="76">
        <f>利润表!BO4</f>
        <v>3419871820.3000002</v>
      </c>
      <c r="BP49" s="76">
        <f>利润表!BP4</f>
        <v>2289548356.9299998</v>
      </c>
      <c r="BQ49" s="76">
        <f>利润表!BQ4</f>
        <v>1062734559.6900001</v>
      </c>
      <c r="BR49" s="76">
        <f>利润表!BR4</f>
        <v>3844769510</v>
      </c>
      <c r="BS49" s="76">
        <f>利润表!BS4</f>
        <v>1888676871</v>
      </c>
      <c r="BT49" s="76">
        <f>利润表!BT4</f>
        <v>3624435206.8899999</v>
      </c>
      <c r="BU49" s="76">
        <f>利润表!BU4</f>
        <v>1759872948.4200001</v>
      </c>
      <c r="BV49" s="76">
        <f>利润表!BV4</f>
        <v>3503166528.1399999</v>
      </c>
      <c r="BW49" s="76">
        <f>利润表!BW4</f>
        <v>1640969270.5599999</v>
      </c>
      <c r="BX49" s="76">
        <f>利润表!BX4</f>
        <v>444323044.92000002</v>
      </c>
      <c r="BY49" s="76">
        <f>利润表!BY4</f>
        <v>202091770.88</v>
      </c>
      <c r="BZ49" s="76">
        <f>利润表!BZ4</f>
        <v>918888298.00999999</v>
      </c>
      <c r="CA49" s="76">
        <f>利润表!CA4</f>
        <v>393462052.19999999</v>
      </c>
      <c r="CB49" s="76">
        <f>利润表!CB4</f>
        <v>1350796162.8199999</v>
      </c>
      <c r="CC49" s="76">
        <f>利润表!CC4</f>
        <v>953095812.62</v>
      </c>
      <c r="CD49" s="76">
        <f>利润表!CD4</f>
        <v>1924570651.9100001</v>
      </c>
      <c r="CE49" s="76">
        <f>利润表!CE4</f>
        <v>1099680000</v>
      </c>
      <c r="CF49" s="76">
        <f>利润表!CF4</f>
        <v>1434156000</v>
      </c>
      <c r="CG49" s="76">
        <f>利润表!CG4</f>
        <v>767120945.70000005</v>
      </c>
      <c r="CH49" s="76">
        <f>利润表!CH4</f>
        <v>585220000</v>
      </c>
      <c r="CI49" s="76">
        <f>利润表!CI4</f>
        <v>773370000</v>
      </c>
      <c r="CJ49" s="76">
        <f>利润表!CJ4</f>
        <v>630840000</v>
      </c>
      <c r="CK49" s="76">
        <f>利润表!CK4</f>
        <v>542050000</v>
      </c>
    </row>
    <row r="50" spans="1:89" s="76" customFormat="1">
      <c r="A50" s="145" t="s">
        <v>464</v>
      </c>
      <c r="E50" s="76">
        <f>资产资本表!E50</f>
        <v>3051581351.1100006</v>
      </c>
      <c r="F50" s="76">
        <f>资产资本表!F50</f>
        <v>-3965603619.8199997</v>
      </c>
      <c r="G50" s="76">
        <f>资产资本表!G50</f>
        <v>-3879872811.2099953</v>
      </c>
      <c r="H50" s="76">
        <f>资产资本表!H50</f>
        <v>-356230023.98999786</v>
      </c>
      <c r="I50" s="76">
        <f>资产资本表!I50</f>
        <v>-2997931597.6099968</v>
      </c>
      <c r="J50" s="76">
        <f>资产资本表!J50</f>
        <v>-3428013627.7599945</v>
      </c>
      <c r="K50" s="76">
        <f>资产资本表!K50</f>
        <v>17890197.009998322</v>
      </c>
      <c r="L50" s="76">
        <f>资产资本表!L50</f>
        <v>10855927043.779999</v>
      </c>
      <c r="M50" s="76">
        <f>资产资本表!M50</f>
        <v>12054370526.109999</v>
      </c>
      <c r="N50" s="76">
        <f>资产资本表!N50</f>
        <v>14046155822.110003</v>
      </c>
      <c r="O50" s="76">
        <f>资产资本表!O50</f>
        <v>17366677202.509998</v>
      </c>
      <c r="P50" s="76">
        <f>资产资本表!P50</f>
        <v>17273056685.869999</v>
      </c>
      <c r="Q50" s="76">
        <f>资产资本表!Q50</f>
        <v>15934420088.649998</v>
      </c>
      <c r="R50" s="76">
        <f>资产资本表!R50</f>
        <v>13252362479.369999</v>
      </c>
      <c r="S50" s="76">
        <f>资产资本表!S50</f>
        <v>14934385952.550001</v>
      </c>
      <c r="T50" s="76">
        <f>资产资本表!T50</f>
        <v>13092803795</v>
      </c>
      <c r="U50" s="76">
        <f>资产资本表!U50</f>
        <v>11495522122.059999</v>
      </c>
      <c r="V50" s="76">
        <f>资产资本表!V50</f>
        <v>8033489539.96</v>
      </c>
      <c r="W50" s="76">
        <f>资产资本表!W50</f>
        <v>11310680004.709999</v>
      </c>
      <c r="X50" s="76">
        <f>资产资本表!X50</f>
        <v>11980350746.769999</v>
      </c>
      <c r="Y50" s="76">
        <f>资产资本表!Y50</f>
        <v>8273990580.3700008</v>
      </c>
      <c r="Z50" s="76">
        <f>资产资本表!Z50</f>
        <v>4354291394.2799988</v>
      </c>
      <c r="AA50" s="76">
        <f>资产资本表!AA50</f>
        <v>5882282456.0699997</v>
      </c>
      <c r="AB50" s="76">
        <f>资产资本表!AB50</f>
        <v>4155722505.7600012</v>
      </c>
      <c r="AC50" s="76">
        <f>资产资本表!AC50</f>
        <v>2351899852.6799994</v>
      </c>
      <c r="AD50" s="76">
        <f>资产资本表!AD50</f>
        <v>-147730105.78000069</v>
      </c>
      <c r="AE50" s="76">
        <f>资产资本表!AE50</f>
        <v>-1062664717.4899979</v>
      </c>
      <c r="AF50" s="76">
        <f>资产资本表!AF50</f>
        <v>944075050.65999985</v>
      </c>
      <c r="AG50" s="76">
        <f>资产资本表!AG50</f>
        <v>-583582474.69999886</v>
      </c>
      <c r="AH50" s="76">
        <f>资产资本表!AH50</f>
        <v>649556463.90000057</v>
      </c>
      <c r="AI50" s="76">
        <f>资产资本表!AI50</f>
        <v>1984328661.0199995</v>
      </c>
      <c r="AJ50" s="76">
        <f>资产资本表!AJ50</f>
        <v>2855050075.5199995</v>
      </c>
      <c r="AK50" s="76">
        <f>资产资本表!AK50</f>
        <v>1791831400.9899998</v>
      </c>
      <c r="AL50" s="76">
        <f>资产资本表!AL50</f>
        <v>929670517.26000118</v>
      </c>
      <c r="AM50" s="76">
        <f>资产资本表!AM50</f>
        <v>2425641944.8799996</v>
      </c>
      <c r="AN50" s="76">
        <f>资产资本表!AN50</f>
        <v>2671434887.5800009</v>
      </c>
      <c r="AO50" s="76">
        <f>资产资本表!AO50</f>
        <v>1386375282.5700002</v>
      </c>
      <c r="AP50" s="76">
        <f>资产资本表!AP50</f>
        <v>-106524098.72000027</v>
      </c>
      <c r="AQ50" s="76">
        <f>资产资本表!AQ50</f>
        <v>778879170.97000027</v>
      </c>
      <c r="AR50" s="76">
        <f>资产资本表!AR50</f>
        <v>1378687881.8600001</v>
      </c>
      <c r="AS50" s="76">
        <f>资产资本表!AS50</f>
        <v>423085678.25</v>
      </c>
      <c r="AT50" s="76">
        <f>资产资本表!AT50</f>
        <v>474403091.43000007</v>
      </c>
      <c r="AU50" s="76">
        <f>资产资本表!AU50</f>
        <v>-847444657.22000027</v>
      </c>
      <c r="AV50" s="76">
        <f>资产资本表!AV50</f>
        <v>-823210332.78999996</v>
      </c>
      <c r="AW50" s="76">
        <f>资产资本表!AW50</f>
        <v>-889705035.06999922</v>
      </c>
      <c r="AX50" s="76">
        <f>资产资本表!AX50</f>
        <v>-1097449417.3099999</v>
      </c>
      <c r="AY50" s="76">
        <f>资产资本表!AY50</f>
        <v>-1062230332.1300006</v>
      </c>
      <c r="AZ50" s="76">
        <f>资产资本表!AZ50</f>
        <v>-621895281.67000008</v>
      </c>
      <c r="BA50" s="76">
        <f>资产资本表!BA50</f>
        <v>-417076439.48000026</v>
      </c>
      <c r="BB50" s="76">
        <f>资产资本表!BB50</f>
        <v>-720769206.80000019</v>
      </c>
      <c r="BC50" s="76">
        <f>资产资本表!BC50</f>
        <v>-306771530.96000004</v>
      </c>
      <c r="BD50" s="76">
        <f>资产资本表!BD50</f>
        <v>-115429303.48999977</v>
      </c>
      <c r="BE50" s="76">
        <f>资产资本表!BE50</f>
        <v>-41052018.059999943</v>
      </c>
      <c r="BF50" s="76">
        <f>资产资本表!BF50</f>
        <v>-250144834.6500001</v>
      </c>
      <c r="BG50" s="76">
        <f>资产资本表!BG50</f>
        <v>146105948.47000003</v>
      </c>
      <c r="BH50" s="76">
        <f>资产资本表!BH50</f>
        <v>318020086.88000011</v>
      </c>
      <c r="BI50" s="76">
        <f>资产资本表!BI50</f>
        <v>374663088.67999983</v>
      </c>
      <c r="BJ50" s="76">
        <f>资产资本表!BJ50</f>
        <v>-54385749.870000124</v>
      </c>
      <c r="BK50" s="76">
        <f>资产资本表!BK50</f>
        <v>266752468.06999993</v>
      </c>
      <c r="BL50" s="76">
        <f>资产资本表!BL50</f>
        <v>568191009.9000001</v>
      </c>
      <c r="BM50" s="76">
        <f>资产资本表!BM50</f>
        <v>465445449.63999999</v>
      </c>
      <c r="BN50" s="76">
        <f>资产资本表!BN50</f>
        <v>220861898.69000006</v>
      </c>
      <c r="BO50" s="76">
        <f>资产资本表!BO50</f>
        <v>469171373.13999999</v>
      </c>
      <c r="BP50" s="76">
        <f>资产资本表!BP50</f>
        <v>693395515.64999998</v>
      </c>
      <c r="BQ50" s="76">
        <f>资产资本表!BQ50</f>
        <v>438258677.16999996</v>
      </c>
      <c r="BR50" s="76">
        <f>资产资本表!BR50</f>
        <v>130738590.88999999</v>
      </c>
      <c r="BS50" s="76">
        <f>资产资本表!BS50</f>
        <v>306413823.19999993</v>
      </c>
      <c r="BT50" s="76">
        <f>资产资本表!BT50</f>
        <v>-103489887.68000007</v>
      </c>
      <c r="BU50" s="76">
        <f>资产资本表!BU50</f>
        <v>64397571.980000019</v>
      </c>
      <c r="BV50" s="76">
        <f>资产资本表!BV50</f>
        <v>103717141.55000001</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41" t="s">
        <v>465</v>
      </c>
      <c r="E51" s="44">
        <f>E49/E50</f>
        <v>1.3047851940475674</v>
      </c>
      <c r="F51" s="44">
        <f t="shared" ref="F51:BQ51" si="18">F49/F50</f>
        <v>-4.9100082302057722</v>
      </c>
      <c r="G51" s="44">
        <f t="shared" si="18"/>
        <v>-3.7871157951277294</v>
      </c>
      <c r="H51" s="44">
        <f t="shared" si="18"/>
        <v>-26.985988851798513</v>
      </c>
      <c r="I51" s="44">
        <f t="shared" si="18"/>
        <v>-1.2657219509127824</v>
      </c>
      <c r="J51" s="44">
        <f t="shared" si="18"/>
        <v>-5.5246431170360397</v>
      </c>
      <c r="K51" s="44">
        <f t="shared" si="18"/>
        <v>794.76212017976729</v>
      </c>
      <c r="L51" s="44">
        <f t="shared" si="18"/>
        <v>0.85403256596700172</v>
      </c>
      <c r="M51" s="44">
        <f t="shared" si="18"/>
        <v>0.31319427706179248</v>
      </c>
      <c r="N51" s="44">
        <f t="shared" si="18"/>
        <v>1.3737235234459644</v>
      </c>
      <c r="O51" s="44">
        <f t="shared" si="18"/>
        <v>0.8495173635188954</v>
      </c>
      <c r="P51" s="44">
        <f t="shared" si="18"/>
        <v>0.5690653355413865</v>
      </c>
      <c r="Q51" s="44">
        <f t="shared" si="18"/>
        <v>0.260523799561237</v>
      </c>
      <c r="R51" s="44">
        <f t="shared" si="18"/>
        <v>1.5679418105916316</v>
      </c>
      <c r="S51" s="44">
        <f t="shared" si="18"/>
        <v>1.0429075114876474</v>
      </c>
      <c r="T51" s="44">
        <f t="shared" si="18"/>
        <v>0.77418991349285704</v>
      </c>
      <c r="U51" s="44">
        <f t="shared" si="18"/>
        <v>0.35955219887474954</v>
      </c>
      <c r="V51" s="44">
        <f t="shared" si="18"/>
        <v>2.4780112024903591</v>
      </c>
      <c r="W51" s="44">
        <f t="shared" si="18"/>
        <v>1.2924748660144612</v>
      </c>
      <c r="X51" s="44">
        <f t="shared" si="18"/>
        <v>0.78307724294210179</v>
      </c>
      <c r="Y51" s="44">
        <f t="shared" si="18"/>
        <v>0.46940629274759449</v>
      </c>
      <c r="Z51" s="44">
        <f t="shared" si="18"/>
        <v>4.0748882591753892</v>
      </c>
      <c r="AA51" s="44">
        <f t="shared" si="18"/>
        <v>2.2872304179046199</v>
      </c>
      <c r="AB51" s="44">
        <f t="shared" si="18"/>
        <v>1.7316065864614261</v>
      </c>
      <c r="AC51" s="44">
        <f t="shared" si="18"/>
        <v>1.3601135817985177</v>
      </c>
      <c r="AD51" s="44">
        <f t="shared" si="18"/>
        <v>-98.16806774204106</v>
      </c>
      <c r="AE51" s="44">
        <f t="shared" si="18"/>
        <v>-10.757464266915024</v>
      </c>
      <c r="AF51" s="44">
        <f t="shared" si="18"/>
        <v>7.8023735893353336</v>
      </c>
      <c r="AG51" s="44">
        <f t="shared" si="18"/>
        <v>-5.5318432969899574</v>
      </c>
      <c r="AH51" s="44">
        <f t="shared" si="18"/>
        <v>20.413897125133342</v>
      </c>
      <c r="AI51" s="44">
        <f t="shared" si="18"/>
        <v>4.9107048627776626</v>
      </c>
      <c r="AJ51" s="44">
        <f t="shared" si="18"/>
        <v>2.2104328603765646</v>
      </c>
      <c r="AK51" s="44">
        <f t="shared" si="18"/>
        <v>1.5286539927510105</v>
      </c>
      <c r="AL51" s="44">
        <f t="shared" si="18"/>
        <v>11.817342933708929</v>
      </c>
      <c r="AM51" s="44">
        <f t="shared" si="18"/>
        <v>3.3253976864376202</v>
      </c>
      <c r="AN51" s="44">
        <f t="shared" si="18"/>
        <v>1.9392948942705064</v>
      </c>
      <c r="AO51" s="44">
        <f t="shared" si="18"/>
        <v>1.6910824647377714</v>
      </c>
      <c r="AP51" s="44">
        <f t="shared" si="18"/>
        <v>-98.075301420020054</v>
      </c>
      <c r="AQ51" s="44">
        <f t="shared" si="18"/>
        <v>10.167069396127181</v>
      </c>
      <c r="AR51" s="44">
        <f t="shared" si="18"/>
        <v>3.7656963188040824</v>
      </c>
      <c r="AS51" s="44">
        <f t="shared" si="18"/>
        <v>5.4752300335989927</v>
      </c>
      <c r="AT51" s="44">
        <f t="shared" si="18"/>
        <v>19.363686008937943</v>
      </c>
      <c r="AU51" s="44">
        <f t="shared" si="18"/>
        <v>-7.8675469659833341</v>
      </c>
      <c r="AV51" s="44">
        <f t="shared" si="18"/>
        <v>-5.1150350511867995</v>
      </c>
      <c r="AW51" s="44">
        <f t="shared" si="18"/>
        <v>-2.1282179943952171</v>
      </c>
      <c r="AX51" s="44">
        <f t="shared" si="18"/>
        <v>-6.6392338448541341</v>
      </c>
      <c r="AY51" s="44">
        <f t="shared" si="18"/>
        <v>-4.9385804730795257</v>
      </c>
      <c r="AZ51" s="44">
        <f t="shared" si="18"/>
        <v>-5.5033440212143354</v>
      </c>
      <c r="BA51" s="44">
        <f t="shared" si="18"/>
        <v>-3.7340509196868217</v>
      </c>
      <c r="BB51" s="44">
        <f t="shared" si="18"/>
        <v>-9.4781147567609949</v>
      </c>
      <c r="BC51" s="44">
        <f t="shared" si="18"/>
        <v>-16.492152321525836</v>
      </c>
      <c r="BD51" s="44">
        <f t="shared" si="18"/>
        <v>-29.081556058430365</v>
      </c>
      <c r="BE51" s="44">
        <f t="shared" si="18"/>
        <v>-37.293077422221181</v>
      </c>
      <c r="BF51" s="44">
        <f t="shared" si="18"/>
        <v>-26.205925208458016</v>
      </c>
      <c r="BG51" s="44">
        <f t="shared" si="18"/>
        <v>32.869216873576335</v>
      </c>
      <c r="BH51" s="44">
        <f t="shared" si="18"/>
        <v>10.377972107325899</v>
      </c>
      <c r="BI51" s="44">
        <f t="shared" si="18"/>
        <v>4.2695113117914971</v>
      </c>
      <c r="BJ51" s="44">
        <f t="shared" si="18"/>
        <v>-102.22778571150714</v>
      </c>
      <c r="BK51" s="44">
        <f t="shared" si="18"/>
        <v>15.27010570639254</v>
      </c>
      <c r="BL51" s="44">
        <f t="shared" si="18"/>
        <v>4.6913020208452956</v>
      </c>
      <c r="BM51" s="44">
        <f t="shared" si="18"/>
        <v>2.692438039987882</v>
      </c>
      <c r="BN51" s="44">
        <f t="shared" si="18"/>
        <v>20.231361593751945</v>
      </c>
      <c r="BO51" s="44">
        <f t="shared" si="18"/>
        <v>7.2891740973282184</v>
      </c>
      <c r="BP51" s="44">
        <f t="shared" si="18"/>
        <v>3.3019370694714412</v>
      </c>
      <c r="BQ51" s="44">
        <f t="shared" si="18"/>
        <v>2.4249024949202926</v>
      </c>
      <c r="BR51" s="44">
        <f t="shared" ref="BR51:CJ51" si="19">BR49/BR50</f>
        <v>29.408069062293077</v>
      </c>
      <c r="BS51" s="44">
        <f t="shared" si="19"/>
        <v>6.1638109249635198</v>
      </c>
      <c r="BT51" s="44">
        <f t="shared" si="19"/>
        <v>-35.022119437379963</v>
      </c>
      <c r="BU51" s="44">
        <f t="shared" si="19"/>
        <v>27.32825003039811</v>
      </c>
      <c r="BV51" s="44">
        <f t="shared" si="19"/>
        <v>33.776157689914655</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45" t="s">
        <v>466</v>
      </c>
      <c r="E52" s="76">
        <f>资产资本表!E68</f>
        <v>22568962179.689999</v>
      </c>
      <c r="F52" s="76">
        <f>资产资本表!F68</f>
        <v>22298780913.480003</v>
      </c>
      <c r="G52" s="76">
        <f>资产资本表!G68</f>
        <v>22918491342.999996</v>
      </c>
      <c r="H52" s="76">
        <f>资产资本表!H68</f>
        <v>22731699774.959999</v>
      </c>
      <c r="I52" s="76">
        <f>资产资本表!I68</f>
        <v>22817594707.380001</v>
      </c>
      <c r="J52" s="76">
        <f>资产资本表!J68</f>
        <v>22664155957.809998</v>
      </c>
      <c r="K52" s="76">
        <f>资产资本表!K68</f>
        <v>21444273234.480003</v>
      </c>
      <c r="L52" s="76">
        <f>资产资本表!L68</f>
        <v>21392393700.330002</v>
      </c>
      <c r="M52" s="76">
        <f>资产资本表!M68</f>
        <v>21411153404.440002</v>
      </c>
      <c r="N52" s="76">
        <f>资产资本表!N68</f>
        <v>21248449399.18</v>
      </c>
      <c r="O52" s="76">
        <f>资产资本表!O68</f>
        <v>20211532117.090004</v>
      </c>
      <c r="P52" s="76">
        <f>资产资本表!P68</f>
        <v>18987964757.829998</v>
      </c>
      <c r="Q52" s="76">
        <f>资产资本表!Q68</f>
        <v>18230836536.52</v>
      </c>
      <c r="R52" s="76">
        <f>资产资本表!R68</f>
        <v>18207426150.310001</v>
      </c>
      <c r="S52" s="76">
        <f>资产资本表!S68</f>
        <v>16579195222.92</v>
      </c>
      <c r="T52" s="76">
        <f>资产资本表!T68</f>
        <v>16508024564.630001</v>
      </c>
      <c r="U52" s="76">
        <f>资产资本表!U68</f>
        <v>15510262009.01</v>
      </c>
      <c r="V52" s="76">
        <f>资产资本表!V68</f>
        <v>13378039742.819998</v>
      </c>
      <c r="W52" s="76">
        <f>资产资本表!W68</f>
        <v>9354840713.1000004</v>
      </c>
      <c r="X52" s="76">
        <f>资产资本表!X68</f>
        <v>8883733311.7900009</v>
      </c>
      <c r="Y52" s="76">
        <f>资产资本表!Y68</f>
        <v>8992122215.5200005</v>
      </c>
      <c r="Z52" s="76">
        <f>资产资本表!Z68</f>
        <v>8719132339.5799999</v>
      </c>
      <c r="AA52" s="76">
        <f>资产资本表!AA68</f>
        <v>7294983711.5200014</v>
      </c>
      <c r="AB52" s="76">
        <f>资产资本表!AB68</f>
        <v>7233172510.8199997</v>
      </c>
      <c r="AC52" s="76">
        <f>资产资本表!AC68</f>
        <v>7120957543.2699995</v>
      </c>
      <c r="AD52" s="76">
        <f>资产资本表!AD68</f>
        <v>7007236794.9799995</v>
      </c>
      <c r="AE52" s="76">
        <f>资产资本表!AE68</f>
        <v>5843593182.6300001</v>
      </c>
      <c r="AF52" s="76">
        <f>资产资本表!AF68</f>
        <v>5386664776.8999996</v>
      </c>
      <c r="AG52" s="76">
        <f>资产资本表!AG68</f>
        <v>5340910754.6800003</v>
      </c>
      <c r="AH52" s="76">
        <f>资产资本表!AH68</f>
        <v>5223295112.3800001</v>
      </c>
      <c r="AI52" s="76">
        <f>资产资本表!AI68</f>
        <v>4790322092.2399998</v>
      </c>
      <c r="AJ52" s="76">
        <f>资产资本表!AJ68</f>
        <v>4686522574.4800005</v>
      </c>
      <c r="AK52" s="76">
        <f>资产资本表!AK68</f>
        <v>4209497907.4599996</v>
      </c>
      <c r="AL52" s="76">
        <f>资产资本表!AL68</f>
        <v>4100037784.3299999</v>
      </c>
      <c r="AM52" s="76">
        <f>资产资本表!AM68</f>
        <v>3862081948.3500004</v>
      </c>
      <c r="AN52" s="76">
        <f>资产资本表!AN68</f>
        <v>3725937589.1599998</v>
      </c>
      <c r="AO52" s="76">
        <f>资产资本表!AO68</f>
        <v>3672677824.8999996</v>
      </c>
      <c r="AP52" s="76">
        <f>资产资本表!AP68</f>
        <v>3467436953.5099998</v>
      </c>
      <c r="AQ52" s="76">
        <f>资产资本表!AQ68</f>
        <v>3698014271</v>
      </c>
      <c r="AR52" s="76">
        <f>资产资本表!AR68</f>
        <v>3485080172.4299998</v>
      </c>
      <c r="AS52" s="76">
        <f>资产资本表!AS68</f>
        <v>3297338900.5300002</v>
      </c>
      <c r="AT52" s="76">
        <f>资产资本表!AT68</f>
        <v>3147968937.0299997</v>
      </c>
      <c r="AU52" s="76">
        <f>资产资本表!AU68</f>
        <v>3024136003.2399998</v>
      </c>
      <c r="AV52" s="76">
        <f>资产资本表!AV68</f>
        <v>2890999545.0699997</v>
      </c>
      <c r="AW52" s="76">
        <f>资产资本表!AW68</f>
        <v>2781515402.9900002</v>
      </c>
      <c r="AX52" s="76">
        <f>资产资本表!AX68</f>
        <v>2584084817.4099994</v>
      </c>
      <c r="AY52" s="76">
        <f>资产资本表!AY68</f>
        <v>2439622324.4800005</v>
      </c>
      <c r="AZ52" s="76">
        <f>资产资本表!AZ68</f>
        <v>2253040524.3499999</v>
      </c>
      <c r="BA52" s="76">
        <f>资产资本表!BA68</f>
        <v>2105395904.1500001</v>
      </c>
      <c r="BB52" s="76">
        <f>资产资本表!BB68</f>
        <v>2027833159.6499999</v>
      </c>
      <c r="BC52" s="76">
        <f>资产资本表!BC68</f>
        <v>1895118116.76</v>
      </c>
      <c r="BD52" s="76">
        <f>资产资本表!BD68</f>
        <v>1771037857.3700001</v>
      </c>
      <c r="BE52" s="76">
        <f>资产资本表!BE68</f>
        <v>1675782383.1600001</v>
      </c>
      <c r="BF52" s="76">
        <f>资产资本表!BF68</f>
        <v>1591199412.04</v>
      </c>
      <c r="BG52" s="76">
        <f>资产资本表!BG68</f>
        <v>1459570659.4500003</v>
      </c>
      <c r="BH52" s="76">
        <f>资产资本表!BH68</f>
        <v>1394793760.2599998</v>
      </c>
      <c r="BI52" s="76">
        <f>资产资本表!BI68</f>
        <v>1328300138.5599997</v>
      </c>
      <c r="BJ52" s="76">
        <f>资产资本表!BJ68</f>
        <v>1196336776.9300001</v>
      </c>
      <c r="BK52" s="76">
        <f>资产资本表!BK68</f>
        <v>1161910893.28</v>
      </c>
      <c r="BL52" s="76">
        <f>资产资本表!BL68</f>
        <v>1088933336.0799999</v>
      </c>
      <c r="BM52" s="76">
        <f>资产资本表!BM68</f>
        <v>1015774319.86</v>
      </c>
      <c r="BN52" s="76">
        <f>资产资本表!BN68</f>
        <v>935648707.24999988</v>
      </c>
      <c r="BO52" s="76">
        <f>资产资本表!BO68</f>
        <v>855601030.65999997</v>
      </c>
      <c r="BP52" s="76">
        <f>资产资本表!BP68</f>
        <v>744821426.96000004</v>
      </c>
      <c r="BQ52" s="76">
        <f>资产资本表!BQ68</f>
        <v>611201680.95000005</v>
      </c>
      <c r="BR52" s="76">
        <f>资产资本表!BR68</f>
        <v>593463444.28000009</v>
      </c>
      <c r="BS52" s="76">
        <f>资产资本表!BS68</f>
        <v>194684528.31999999</v>
      </c>
      <c r="BT52" s="76">
        <f>资产资本表!BT68</f>
        <v>198886333.54000002</v>
      </c>
      <c r="BU52" s="76">
        <f>资产资本表!BU68</f>
        <v>194339652.84999999</v>
      </c>
      <c r="BV52" s="76">
        <f>资产资本表!BV68</f>
        <v>220941379.79999998</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41" t="s">
        <v>467</v>
      </c>
      <c r="E53" s="44">
        <f>E49/E52</f>
        <v>0.17642185465413771</v>
      </c>
      <c r="F53" s="44">
        <f t="shared" ref="F53:BQ53" si="20">F49/F52</f>
        <v>0.87319331431609115</v>
      </c>
      <c r="G53" s="44">
        <f t="shared" si="20"/>
        <v>0.64112106623928589</v>
      </c>
      <c r="H53" s="44">
        <f t="shared" si="20"/>
        <v>0.42289927947488548</v>
      </c>
      <c r="I53" s="44">
        <f t="shared" si="20"/>
        <v>0.16629920371066595</v>
      </c>
      <c r="J53" s="44">
        <f t="shared" si="20"/>
        <v>0.83561690666816268</v>
      </c>
      <c r="K53" s="44">
        <f t="shared" si="20"/>
        <v>0.66304186440034329</v>
      </c>
      <c r="L53" s="44">
        <f t="shared" si="20"/>
        <v>0.43339307227722623</v>
      </c>
      <c r="M53" s="44">
        <f t="shared" si="20"/>
        <v>0.17632678590669051</v>
      </c>
      <c r="N53" s="44">
        <f t="shared" si="20"/>
        <v>0.90809142372358875</v>
      </c>
      <c r="O53" s="44">
        <f t="shared" si="20"/>
        <v>0.72994435774046285</v>
      </c>
      <c r="P53" s="44">
        <f t="shared" si="20"/>
        <v>0.51766989901941152</v>
      </c>
      <c r="Q53" s="44">
        <f t="shared" si="20"/>
        <v>0.22770736038272996</v>
      </c>
      <c r="R53" s="44">
        <f t="shared" si="20"/>
        <v>1.1412339695342506</v>
      </c>
      <c r="S53" s="44">
        <f t="shared" si="20"/>
        <v>0.93944145538729185</v>
      </c>
      <c r="T53" s="44">
        <f t="shared" si="20"/>
        <v>0.61402359790207817</v>
      </c>
      <c r="U53" s="44">
        <f t="shared" si="20"/>
        <v>0.26648423178144748</v>
      </c>
      <c r="V53" s="44">
        <f t="shared" si="20"/>
        <v>1.4880414064993446</v>
      </c>
      <c r="W53" s="44">
        <f t="shared" si="20"/>
        <v>1.5626957285492511</v>
      </c>
      <c r="X53" s="44">
        <f t="shared" si="20"/>
        <v>1.0560357569277026</v>
      </c>
      <c r="Y53" s="44">
        <f t="shared" si="20"/>
        <v>0.43191842275637954</v>
      </c>
      <c r="Z53" s="44">
        <f t="shared" si="20"/>
        <v>2.0349789621881911</v>
      </c>
      <c r="AA53" s="44">
        <f t="shared" si="20"/>
        <v>1.8442995751976341</v>
      </c>
      <c r="AB53" s="44">
        <f t="shared" si="20"/>
        <v>0.99487140002751095</v>
      </c>
      <c r="AC53" s="44">
        <f t="shared" si="20"/>
        <v>0.44921640288155157</v>
      </c>
      <c r="AD53" s="44">
        <f t="shared" si="20"/>
        <v>2.0696287932126878</v>
      </c>
      <c r="AE53" s="44">
        <f t="shared" si="20"/>
        <v>1.9562583103988496</v>
      </c>
      <c r="AF53" s="44">
        <f t="shared" si="20"/>
        <v>1.3674558463723658</v>
      </c>
      <c r="AG53" s="44">
        <f t="shared" si="20"/>
        <v>0.60444499996207524</v>
      </c>
      <c r="AH53" s="44">
        <f t="shared" si="20"/>
        <v>2.5386233298577832</v>
      </c>
      <c r="AI53" s="44">
        <f t="shared" si="20"/>
        <v>2.0341956589527372</v>
      </c>
      <c r="AJ53" s="44">
        <f t="shared" si="20"/>
        <v>1.3466053784346135</v>
      </c>
      <c r="AK53" s="44">
        <f t="shared" si="20"/>
        <v>0.65069285831116142</v>
      </c>
      <c r="AL53" s="44">
        <f t="shared" si="20"/>
        <v>2.6795448958564401</v>
      </c>
      <c r="AM53" s="44">
        <f t="shared" si="20"/>
        <v>2.0885688650589453</v>
      </c>
      <c r="AN53" s="44">
        <f t="shared" si="20"/>
        <v>1.3904419797401844</v>
      </c>
      <c r="AO53" s="44">
        <f t="shared" si="20"/>
        <v>0.63835572889212955</v>
      </c>
      <c r="AP53" s="44">
        <f t="shared" si="20"/>
        <v>3.0129987164970293</v>
      </c>
      <c r="AQ53" s="44">
        <f t="shared" si="20"/>
        <v>2.1413975182709617</v>
      </c>
      <c r="AR53" s="44">
        <f t="shared" si="20"/>
        <v>1.4896988375105391</v>
      </c>
      <c r="AS53" s="44">
        <f t="shared" si="20"/>
        <v>0.70253361338370679</v>
      </c>
      <c r="AT53" s="44">
        <f t="shared" si="20"/>
        <v>2.9181331480312691</v>
      </c>
      <c r="AU53" s="44">
        <f t="shared" si="20"/>
        <v>2.2046993371352261</v>
      </c>
      <c r="AV53" s="44">
        <f t="shared" si="20"/>
        <v>1.4565030679096993</v>
      </c>
      <c r="AW53" s="44">
        <f t="shared" si="20"/>
        <v>0.68073909039101121</v>
      </c>
      <c r="AX53" s="44">
        <f t="shared" si="20"/>
        <v>2.819653312201611</v>
      </c>
      <c r="AY53" s="44">
        <f t="shared" si="20"/>
        <v>2.1502959386503209</v>
      </c>
      <c r="AZ53" s="44">
        <f t="shared" si="20"/>
        <v>1.5190599739378363</v>
      </c>
      <c r="BA53" s="44">
        <f t="shared" si="20"/>
        <v>0.73971107255894197</v>
      </c>
      <c r="BB53" s="44">
        <f t="shared" si="20"/>
        <v>3.3688832943086449</v>
      </c>
      <c r="BC53" s="44">
        <f t="shared" si="20"/>
        <v>2.6696609418465704</v>
      </c>
      <c r="BD53" s="44">
        <f t="shared" si="20"/>
        <v>1.8954217981624397</v>
      </c>
      <c r="BE53" s="44">
        <f t="shared" si="20"/>
        <v>0.91357690785786683</v>
      </c>
      <c r="BF53" s="44">
        <f t="shared" si="20"/>
        <v>4.1197079250524586</v>
      </c>
      <c r="BG53" s="44">
        <f t="shared" si="20"/>
        <v>3.2902744897527945</v>
      </c>
      <c r="BH53" s="44">
        <f t="shared" si="20"/>
        <v>2.3662305390545915</v>
      </c>
      <c r="BI53" s="44">
        <f t="shared" si="20"/>
        <v>1.2042672049738286</v>
      </c>
      <c r="BJ53" s="44">
        <f t="shared" si="20"/>
        <v>4.6472990638448879</v>
      </c>
      <c r="BK53" s="44">
        <f t="shared" si="20"/>
        <v>3.5057235528373667</v>
      </c>
      <c r="BL53" s="44">
        <f t="shared" si="20"/>
        <v>2.4478593359678094</v>
      </c>
      <c r="BM53" s="44">
        <f t="shared" si="20"/>
        <v>1.233721910121454</v>
      </c>
      <c r="BN53" s="44">
        <f t="shared" si="20"/>
        <v>4.775656611350489</v>
      </c>
      <c r="BO53" s="44">
        <f t="shared" si="20"/>
        <v>3.9970403234109639</v>
      </c>
      <c r="BP53" s="44">
        <f t="shared" si="20"/>
        <v>3.073956084043965</v>
      </c>
      <c r="BQ53" s="44">
        <f t="shared" si="20"/>
        <v>1.7387624949561258</v>
      </c>
      <c r="BR53" s="44">
        <f t="shared" ref="BR53:CK53" si="21">BR49/BR52</f>
        <v>6.4785279481949214</v>
      </c>
      <c r="BS53" s="44">
        <f t="shared" si="21"/>
        <v>9.7012170782036193</v>
      </c>
      <c r="BT53" s="44">
        <f t="shared" si="21"/>
        <v>18.223651381059089</v>
      </c>
      <c r="BU53" s="44">
        <f t="shared" si="21"/>
        <v>9.0556555114274513</v>
      </c>
      <c r="BV53" s="44">
        <f t="shared" si="21"/>
        <v>15.855637958408369</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45" t="s">
        <v>468</v>
      </c>
      <c r="E54" s="76">
        <f>资产资本表!E17</f>
        <v>88098584431.25</v>
      </c>
      <c r="F54" s="76">
        <f>资产资本表!F17</f>
        <v>88172478529.229996</v>
      </c>
      <c r="G54" s="76">
        <f>资产资本表!G17</f>
        <v>81265615624.639999</v>
      </c>
      <c r="H54" s="76">
        <f>资产资本表!H17</f>
        <v>74045487984.549988</v>
      </c>
      <c r="I54" s="76">
        <f>资产资本表!I17</f>
        <v>73219258579.670013</v>
      </c>
      <c r="J54" s="76">
        <f>资产资本表!J17</f>
        <v>67085700492.129997</v>
      </c>
      <c r="K54" s="76">
        <f>资产资本表!K17</f>
        <v>62324058442.190002</v>
      </c>
      <c r="L54" s="76">
        <f>资产资本表!L17</f>
        <v>47808867372.299995</v>
      </c>
      <c r="M54" s="76">
        <f>资产资本表!M17</f>
        <v>44074809231.059998</v>
      </c>
      <c r="N54" s="76">
        <f>资产资本表!N17</f>
        <v>36934596946.529999</v>
      </c>
      <c r="O54" s="76">
        <f>资产资本表!O17</f>
        <v>30722903270.879997</v>
      </c>
      <c r="P54" s="76">
        <f>资产资本表!P17</f>
        <v>30482844449.870003</v>
      </c>
      <c r="Q54" s="76">
        <f>资产资本表!Q17</f>
        <v>28623123952.73</v>
      </c>
      <c r="R54" s="76">
        <f>资产资本表!R17</f>
        <v>27886130602.540001</v>
      </c>
      <c r="S54" s="76">
        <f>资产资本表!S17</f>
        <v>22910725708.920002</v>
      </c>
      <c r="T54" s="76">
        <f>资产资本表!T17</f>
        <v>21200304356.759998</v>
      </c>
      <c r="U54" s="76">
        <f>资产资本表!U17</f>
        <v>23500579727.43</v>
      </c>
      <c r="V54" s="76">
        <f>资产资本表!V17</f>
        <v>25514135978.91</v>
      </c>
      <c r="W54" s="76">
        <f>资产资本表!W17</f>
        <v>22377192030.630001</v>
      </c>
      <c r="X54" s="76">
        <f>资产资本表!X17</f>
        <v>18562670939.949997</v>
      </c>
      <c r="Y54" s="76">
        <f>资产资本表!Y17</f>
        <v>21955036844.350002</v>
      </c>
      <c r="Z54" s="76">
        <f>资产资本表!Z17</f>
        <v>22376612663.389999</v>
      </c>
      <c r="AA54" s="76">
        <f>资产资本表!AA17</f>
        <v>19005987757.170002</v>
      </c>
      <c r="AB54" s="76">
        <f>资产资本表!AB17</f>
        <v>21245645480.619999</v>
      </c>
      <c r="AC54" s="76">
        <f>资产资本表!AC17</f>
        <v>19056013006.079998</v>
      </c>
      <c r="AD54" s="76">
        <f>资产资本表!AD17</f>
        <v>18539872922.09</v>
      </c>
      <c r="AE54" s="76">
        <f>资产资本表!AE17</f>
        <v>18524435542.09</v>
      </c>
      <c r="AF54" s="76">
        <f>资产资本表!AF17</f>
        <v>17479293577.549999</v>
      </c>
      <c r="AG54" s="76">
        <f>资产资本表!AG17</f>
        <v>16097936940.57</v>
      </c>
      <c r="AH54" s="76">
        <f>资产资本表!AH17</f>
        <v>12991122314.630001</v>
      </c>
      <c r="AI54" s="76">
        <f>资产资本表!AI17</f>
        <v>11163366118.51</v>
      </c>
      <c r="AJ54" s="76">
        <f>资产资本表!AJ17</f>
        <v>10378305344.280001</v>
      </c>
      <c r="AK54" s="76">
        <f>资产资本表!AK17</f>
        <v>9990618883.5699997</v>
      </c>
      <c r="AL54" s="76">
        <f>资产资本表!AL17</f>
        <v>9755064755.2399998</v>
      </c>
      <c r="AM54" s="76">
        <f>资产资本表!AM17</f>
        <v>7923955837.8000002</v>
      </c>
      <c r="AN54" s="76">
        <f>资产资本表!AN17</f>
        <v>7824246321.21</v>
      </c>
      <c r="AO54" s="76">
        <f>资产资本表!AO17</f>
        <v>7717405756.3000002</v>
      </c>
      <c r="AP54" s="76">
        <f>资产资本表!AP17</f>
        <v>8138505441.1599998</v>
      </c>
      <c r="AQ54" s="76">
        <f>资产资本表!AQ17</f>
        <v>6441498269.54</v>
      </c>
      <c r="AR54" s="76">
        <f>资产资本表!AR17</f>
        <v>5105053230.8000002</v>
      </c>
      <c r="AS54" s="76">
        <f>资产资本表!AS17</f>
        <v>5603323644.29</v>
      </c>
      <c r="AT54" s="76">
        <f>资产资本表!AT17</f>
        <v>4784290700.0200005</v>
      </c>
      <c r="AU54" s="76">
        <f>资产资本表!AU17</f>
        <v>4814014936.3500004</v>
      </c>
      <c r="AV54" s="76">
        <f>资产资本表!AV17</f>
        <v>4870494456.1599998</v>
      </c>
      <c r="AW54" s="76">
        <f>资产资本表!AW17</f>
        <v>4715254931.29</v>
      </c>
      <c r="AX54" s="76">
        <f>资产资本表!AX17</f>
        <v>4505867488.6400003</v>
      </c>
      <c r="AY54" s="76">
        <f>资产资本表!AY17</f>
        <v>4083907788.3400002</v>
      </c>
      <c r="AZ54" s="76">
        <f>资产资本表!AZ17</f>
        <v>3419099920.6599998</v>
      </c>
      <c r="BA54" s="76">
        <f>资产资本表!BA17</f>
        <v>3975708186.8800001</v>
      </c>
      <c r="BB54" s="76">
        <f>资产资本表!BB17</f>
        <v>3891989433.5300002</v>
      </c>
      <c r="BC54" s="76">
        <f>资产资本表!BC17</f>
        <v>3217007276.75</v>
      </c>
      <c r="BD54" s="76">
        <f>资产资本表!BD17</f>
        <v>3065214770.1900001</v>
      </c>
      <c r="BE54" s="76">
        <f>资产资本表!BE17</f>
        <v>3024925341.3800001</v>
      </c>
      <c r="BF54" s="76">
        <f>资产资本表!BF17</f>
        <v>2898327418.8499999</v>
      </c>
      <c r="BG54" s="76">
        <f>资产资本表!BG17</f>
        <v>2419288966.46</v>
      </c>
      <c r="BH54" s="76">
        <f>资产资本表!BH17</f>
        <v>2172790156.5900002</v>
      </c>
      <c r="BI54" s="76">
        <f>资产资本表!BI17</f>
        <v>2101448845.7199998</v>
      </c>
      <c r="BJ54" s="76">
        <f>资产资本表!BJ17</f>
        <v>2340047386.8499999</v>
      </c>
      <c r="BK54" s="76">
        <f>资产资本表!BK17</f>
        <v>1868792963.71</v>
      </c>
      <c r="BL54" s="76">
        <f>资产资本表!BL17</f>
        <v>1536249315.6400001</v>
      </c>
      <c r="BM54" s="76">
        <f>资产资本表!BM17</f>
        <v>1684957738.5599999</v>
      </c>
      <c r="BN54" s="76">
        <f>资产资本表!BN17</f>
        <v>1780307690.6400001</v>
      </c>
      <c r="BO54" s="76">
        <f>资产资本表!BO17</f>
        <v>1677224920.04</v>
      </c>
      <c r="BP54" s="76">
        <f>资产资本表!BP17</f>
        <v>1513800289.8299999</v>
      </c>
      <c r="BQ54" s="76">
        <f>资产资本表!BQ17</f>
        <v>1877929846.0899999</v>
      </c>
      <c r="BR54" s="76">
        <f>资产资本表!BR17</f>
        <v>1956436570.0999999</v>
      </c>
      <c r="BS54" s="76">
        <f>资产资本表!BS17</f>
        <v>336439213.5</v>
      </c>
      <c r="BT54" s="76">
        <f>资产资本表!BT17</f>
        <v>460983583.45999998</v>
      </c>
      <c r="BU54" s="76">
        <f>资产资本表!BU17</f>
        <v>198390615.12</v>
      </c>
      <c r="BV54" s="76">
        <f>资产资本表!BV17</f>
        <v>124765368.73999999</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41" t="s">
        <v>469</v>
      </c>
      <c r="E55" s="44">
        <f>E49/E54</f>
        <v>4.5195484025820978E-2</v>
      </c>
      <c r="F55" s="44">
        <f t="shared" ref="F55:BQ55" si="22">F49/F54</f>
        <v>0.22083020388947253</v>
      </c>
      <c r="G55" s="44">
        <f t="shared" si="22"/>
        <v>0.1808086666603049</v>
      </c>
      <c r="H55" s="44">
        <f t="shared" si="22"/>
        <v>0.12982856508523319</v>
      </c>
      <c r="I55" s="44">
        <f t="shared" si="22"/>
        <v>5.1824450343226913E-2</v>
      </c>
      <c r="J55" s="44">
        <f t="shared" si="22"/>
        <v>0.28230385543833936</v>
      </c>
      <c r="K55" s="44">
        <f t="shared" si="22"/>
        <v>0.22813743619229523</v>
      </c>
      <c r="L55" s="44">
        <f t="shared" si="22"/>
        <v>0.19392459471904813</v>
      </c>
      <c r="M55" s="44">
        <f t="shared" si="22"/>
        <v>8.5657996670339825E-2</v>
      </c>
      <c r="N55" s="44">
        <f t="shared" si="22"/>
        <v>0.52242440048158734</v>
      </c>
      <c r="O55" s="44">
        <f t="shared" si="22"/>
        <v>0.48020506721262807</v>
      </c>
      <c r="P55" s="44">
        <f t="shared" si="22"/>
        <v>0.32245999269966158</v>
      </c>
      <c r="Q55" s="44">
        <f t="shared" si="22"/>
        <v>0.14503293463549635</v>
      </c>
      <c r="R55" s="44">
        <f t="shared" si="22"/>
        <v>0.7451350464028651</v>
      </c>
      <c r="S55" s="44">
        <f t="shared" si="22"/>
        <v>0.67982059962884545</v>
      </c>
      <c r="T55" s="44">
        <f t="shared" si="22"/>
        <v>0.47812127915031094</v>
      </c>
      <c r="U55" s="44">
        <f t="shared" si="22"/>
        <v>0.17587822530929567</v>
      </c>
      <c r="V55" s="44">
        <f t="shared" si="22"/>
        <v>0.78023716309912283</v>
      </c>
      <c r="W55" s="44">
        <f t="shared" si="22"/>
        <v>0.65328883103875424</v>
      </c>
      <c r="X55" s="44">
        <f t="shared" si="22"/>
        <v>0.50539817586645597</v>
      </c>
      <c r="Y55" s="44">
        <f t="shared" si="22"/>
        <v>0.17690078463974379</v>
      </c>
      <c r="Z55" s="44">
        <f t="shared" si="22"/>
        <v>0.79293730228478398</v>
      </c>
      <c r="AA55" s="44">
        <f t="shared" si="22"/>
        <v>0.70788929952637858</v>
      </c>
      <c r="AB55" s="44">
        <f t="shared" si="22"/>
        <v>0.33870829996877089</v>
      </c>
      <c r="AC55" s="44">
        <f t="shared" si="22"/>
        <v>0.16786569843541652</v>
      </c>
      <c r="AD55" s="44">
        <f t="shared" si="22"/>
        <v>0.78222645282916781</v>
      </c>
      <c r="AE55" s="44">
        <f t="shared" si="22"/>
        <v>0.61710801930433579</v>
      </c>
      <c r="AF55" s="44">
        <f t="shared" si="22"/>
        <v>0.42141441294176518</v>
      </c>
      <c r="AG55" s="44">
        <f t="shared" si="22"/>
        <v>0.20054040544624546</v>
      </c>
      <c r="AH55" s="44">
        <f t="shared" si="22"/>
        <v>1.0206954033592022</v>
      </c>
      <c r="AI55" s="44">
        <f t="shared" si="22"/>
        <v>0.87289553182912316</v>
      </c>
      <c r="AJ55" s="44">
        <f t="shared" si="22"/>
        <v>0.60808545283630999</v>
      </c>
      <c r="AK55" s="44">
        <f t="shared" si="22"/>
        <v>0.27416622107010319</v>
      </c>
      <c r="AL55" s="44">
        <f t="shared" si="22"/>
        <v>1.1262083434062975</v>
      </c>
      <c r="AM55" s="44">
        <f t="shared" si="22"/>
        <v>1.0179541982239895</v>
      </c>
      <c r="AN55" s="44">
        <f t="shared" si="22"/>
        <v>0.66213406699839394</v>
      </c>
      <c r="AO55" s="44">
        <f t="shared" si="22"/>
        <v>0.30379054878462486</v>
      </c>
      <c r="AP55" s="44">
        <f t="shared" si="22"/>
        <v>1.2836979917249904</v>
      </c>
      <c r="AQ55" s="44">
        <f t="shared" si="22"/>
        <v>1.2293597313991835</v>
      </c>
      <c r="AR55" s="44">
        <f t="shared" si="22"/>
        <v>1.0169766399647155</v>
      </c>
      <c r="AS55" s="44">
        <f t="shared" si="22"/>
        <v>0.41341381640530311</v>
      </c>
      <c r="AT55" s="44">
        <f t="shared" si="22"/>
        <v>1.9200740674227004</v>
      </c>
      <c r="AU55" s="44">
        <f t="shared" si="22"/>
        <v>1.3849792179509051</v>
      </c>
      <c r="AV55" s="44">
        <f t="shared" si="22"/>
        <v>0.8645425520183927</v>
      </c>
      <c r="AW55" s="44">
        <f t="shared" si="22"/>
        <v>0.40156604317934086</v>
      </c>
      <c r="AX55" s="44">
        <f t="shared" si="22"/>
        <v>1.6170522841139279</v>
      </c>
      <c r="AY55" s="44">
        <f t="shared" si="22"/>
        <v>1.2845319356004175</v>
      </c>
      <c r="AZ55" s="44">
        <f t="shared" si="22"/>
        <v>1.0009955133277717</v>
      </c>
      <c r="BA55" s="44">
        <f t="shared" si="22"/>
        <v>0.39172509379824033</v>
      </c>
      <c r="BB55" s="44">
        <f t="shared" si="22"/>
        <v>1.7552805247453764</v>
      </c>
      <c r="BC55" s="44">
        <f t="shared" si="22"/>
        <v>1.572679941716268</v>
      </c>
      <c r="BD55" s="44">
        <f t="shared" si="22"/>
        <v>1.0951479788223524</v>
      </c>
      <c r="BE55" s="44">
        <f t="shared" si="22"/>
        <v>0.50611367722271217</v>
      </c>
      <c r="BF55" s="44">
        <f t="shared" si="22"/>
        <v>2.2617447516405882</v>
      </c>
      <c r="BG55" s="44">
        <f t="shared" si="22"/>
        <v>1.9850411312407403</v>
      </c>
      <c r="BH55" s="44">
        <f t="shared" si="22"/>
        <v>1.5189702425703586</v>
      </c>
      <c r="BI55" s="44">
        <f t="shared" si="22"/>
        <v>0.76120258577216726</v>
      </c>
      <c r="BJ55" s="44">
        <f t="shared" si="22"/>
        <v>2.3759069216773883</v>
      </c>
      <c r="BK55" s="44">
        <f t="shared" si="22"/>
        <v>2.1796627363062471</v>
      </c>
      <c r="BL55" s="44">
        <f t="shared" si="22"/>
        <v>1.7351061483529655</v>
      </c>
      <c r="BM55" s="44">
        <f t="shared" si="22"/>
        <v>0.74374745755997207</v>
      </c>
      <c r="BN55" s="44">
        <f t="shared" si="22"/>
        <v>2.5098677931755069</v>
      </c>
      <c r="BO55" s="44">
        <f t="shared" si="22"/>
        <v>2.0390060864457227</v>
      </c>
      <c r="BP55" s="44">
        <f t="shared" si="22"/>
        <v>1.5124507323136505</v>
      </c>
      <c r="BQ55" s="44">
        <f t="shared" si="22"/>
        <v>0.56590748685458003</v>
      </c>
      <c r="BR55" s="44">
        <f t="shared" ref="BR55:CK55" si="23">BR49/BR54</f>
        <v>1.9651899625876863</v>
      </c>
      <c r="BS55" s="44">
        <f t="shared" si="23"/>
        <v>5.6137239513550341</v>
      </c>
      <c r="BT55" s="44">
        <f t="shared" si="23"/>
        <v>7.8623954017757249</v>
      </c>
      <c r="BU55" s="44">
        <f t="shared" si="23"/>
        <v>8.870746972358095</v>
      </c>
      <c r="BV55" s="44">
        <f t="shared" si="23"/>
        <v>28.078036105037203</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45" t="s">
        <v>443</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0</v>
      </c>
      <c r="O56" s="76">
        <f>资产资本表!O19</f>
        <v>0</v>
      </c>
      <c r="P56" s="76">
        <f>资产资本表!P19</f>
        <v>0</v>
      </c>
      <c r="Q56" s="76">
        <f>资产资本表!Q19</f>
        <v>0</v>
      </c>
      <c r="R56" s="76">
        <f>资产资本表!R19</f>
        <v>0</v>
      </c>
      <c r="S56" s="76">
        <f>资产资本表!S19</f>
        <v>2750000</v>
      </c>
      <c r="T56" s="76">
        <f>资产资本表!T19</f>
        <v>6750000</v>
      </c>
      <c r="U56" s="76">
        <f>资产资本表!U19</f>
        <v>6750000</v>
      </c>
      <c r="V56" s="76">
        <f>资产资本表!V19</f>
        <v>4000000</v>
      </c>
      <c r="W56" s="76">
        <f>资产资本表!W19</f>
        <v>4000000</v>
      </c>
      <c r="X56" s="76">
        <f>资产资本表!X19</f>
        <v>4000000</v>
      </c>
      <c r="Y56" s="76">
        <f>资产资本表!Y19</f>
        <v>4000000</v>
      </c>
      <c r="Z56" s="76">
        <f>资产资本表!Z19</f>
        <v>4000000</v>
      </c>
      <c r="AA56" s="76">
        <f>资产资本表!AA19</f>
        <v>4000000</v>
      </c>
      <c r="AB56" s="76">
        <f>资产资本表!AB19</f>
        <v>4000000</v>
      </c>
      <c r="AC56" s="76">
        <f>资产资本表!AC19</f>
        <v>4000000</v>
      </c>
      <c r="AD56" s="76">
        <f>资产资本表!AD19</f>
        <v>4000000</v>
      </c>
      <c r="AE56" s="76">
        <f>资产资本表!AE19</f>
        <v>4000000</v>
      </c>
      <c r="AF56" s="76">
        <f>资产资本表!AF19</f>
        <v>4000000</v>
      </c>
      <c r="AG56" s="76">
        <f>资产资本表!AG19</f>
        <v>4000000</v>
      </c>
      <c r="AH56" s="76">
        <f>资产资本表!AH19</f>
        <v>4000000</v>
      </c>
      <c r="AI56" s="76">
        <f>资产资本表!AI19</f>
        <v>4000000</v>
      </c>
      <c r="AJ56" s="76">
        <f>资产资本表!AJ19</f>
        <v>4000000</v>
      </c>
      <c r="AK56" s="76">
        <f>资产资本表!AK19</f>
        <v>4000000</v>
      </c>
      <c r="AL56" s="76">
        <f>资产资本表!AL19</f>
        <v>4000000</v>
      </c>
      <c r="AM56" s="76">
        <f>资产资本表!AM19</f>
        <v>4000000</v>
      </c>
      <c r="AN56" s="76">
        <f>资产资本表!AN19</f>
        <v>4000000</v>
      </c>
      <c r="AO56" s="76">
        <f>资产资本表!AO19</f>
        <v>4000000</v>
      </c>
      <c r="AP56" s="76">
        <f>资产资本表!AP19</f>
        <v>4000000</v>
      </c>
      <c r="AQ56" s="76">
        <f>资产资本表!AQ19</f>
        <v>4000000</v>
      </c>
      <c r="AR56" s="76">
        <f>资产资本表!AR19</f>
        <v>4000000</v>
      </c>
      <c r="AS56" s="76">
        <f>资产资本表!AS19</f>
        <v>4000000</v>
      </c>
      <c r="AT56" s="76">
        <f>资产资本表!AT19</f>
        <v>4000000</v>
      </c>
      <c r="AU56" s="76">
        <f>资产资本表!AU19</f>
        <v>4000000</v>
      </c>
      <c r="AV56" s="76">
        <f>资产资本表!AV19</f>
        <v>4000000</v>
      </c>
      <c r="AW56" s="76">
        <f>资产资本表!AW19</f>
        <v>4000000</v>
      </c>
      <c r="AX56" s="76">
        <f>资产资本表!AX19</f>
        <v>11486496.289999999</v>
      </c>
      <c r="AY56" s="76">
        <f>资产资本表!AY19</f>
        <v>10767452.710000001</v>
      </c>
      <c r="AZ56" s="76">
        <f>资产资本表!AZ19</f>
        <v>10387452.699999999</v>
      </c>
      <c r="BA56" s="76">
        <f>资产资本表!BA19</f>
        <v>10243017.33</v>
      </c>
      <c r="BB56" s="76">
        <f>资产资本表!BB19</f>
        <v>10243017.33</v>
      </c>
      <c r="BC56" s="76">
        <f>资产资本表!BC19</f>
        <v>9838781.9600000009</v>
      </c>
      <c r="BD56" s="76">
        <f>资产资本表!BD19</f>
        <v>9838781.9600000009</v>
      </c>
      <c r="BE56" s="76">
        <f>资产资本表!BE19</f>
        <v>9627405.1300000008</v>
      </c>
      <c r="BF56" s="76">
        <f>资产资本表!BF19</f>
        <v>9815063.7300000004</v>
      </c>
      <c r="BG56" s="76">
        <f>资产资本表!BG19</f>
        <v>4000000</v>
      </c>
      <c r="BH56" s="76">
        <f>资产资本表!BH19</f>
        <v>4000000</v>
      </c>
      <c r="BI56" s="76">
        <f>资产资本表!BI19</f>
        <v>4000000</v>
      </c>
      <c r="BJ56" s="76">
        <f>资产资本表!BJ19</f>
        <v>4000000</v>
      </c>
      <c r="BK56" s="76">
        <f>资产资本表!BK19</f>
        <v>4000000</v>
      </c>
      <c r="BL56" s="76">
        <f>资产资本表!BL19</f>
        <v>4000000</v>
      </c>
      <c r="BM56" s="76">
        <f>资产资本表!BM19</f>
        <v>4000000</v>
      </c>
      <c r="BN56" s="76">
        <f>资产资本表!BN19</f>
        <v>4000000</v>
      </c>
      <c r="BO56" s="76">
        <f>资产资本表!BO19</f>
        <v>4000000</v>
      </c>
      <c r="BP56" s="76">
        <f>资产资本表!BP19</f>
        <v>4000000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c r="A57" s="143" t="s">
        <v>470</v>
      </c>
      <c r="E57" s="117" t="e">
        <f>E49/E56</f>
        <v>#DIV/0!</v>
      </c>
      <c r="F57" s="117" t="e">
        <f t="shared" ref="F57:BQ57" si="24">F49/F56</f>
        <v>#DIV/0!</v>
      </c>
      <c r="G57" s="117" t="e">
        <f t="shared" si="24"/>
        <v>#DIV/0!</v>
      </c>
      <c r="H57" s="117" t="e">
        <f t="shared" si="24"/>
        <v>#DIV/0!</v>
      </c>
      <c r="I57" s="117" t="e">
        <f t="shared" si="24"/>
        <v>#DIV/0!</v>
      </c>
      <c r="J57" s="117" t="e">
        <f t="shared" si="24"/>
        <v>#DIV/0!</v>
      </c>
      <c r="K57" s="117" t="e">
        <f t="shared" si="24"/>
        <v>#DIV/0!</v>
      </c>
      <c r="L57" s="117" t="e">
        <f t="shared" si="24"/>
        <v>#DIV/0!</v>
      </c>
      <c r="M57" s="117" t="e">
        <f t="shared" si="24"/>
        <v>#DIV/0!</v>
      </c>
      <c r="N57" s="117" t="e">
        <f t="shared" si="24"/>
        <v>#DIV/0!</v>
      </c>
      <c r="O57" s="117" t="e">
        <f t="shared" si="24"/>
        <v>#DIV/0!</v>
      </c>
      <c r="P57" s="117" t="e">
        <f t="shared" si="24"/>
        <v>#DIV/0!</v>
      </c>
      <c r="Q57" s="117" t="e">
        <f t="shared" si="24"/>
        <v>#DIV/0!</v>
      </c>
      <c r="R57" s="117" t="e">
        <f t="shared" si="24"/>
        <v>#DIV/0!</v>
      </c>
      <c r="S57" s="117">
        <f t="shared" si="24"/>
        <v>5663.7030143163638</v>
      </c>
      <c r="T57" s="117">
        <f t="shared" si="24"/>
        <v>1501.6765388785186</v>
      </c>
      <c r="U57" s="117">
        <f t="shared" si="24"/>
        <v>612.33188980740738</v>
      </c>
      <c r="V57" s="117">
        <f t="shared" si="24"/>
        <v>4976.7692687774997</v>
      </c>
      <c r="W57" s="117">
        <f t="shared" si="24"/>
        <v>3654.6924059050002</v>
      </c>
      <c r="X57" s="117">
        <f t="shared" si="24"/>
        <v>2345.385008065</v>
      </c>
      <c r="Y57" s="117">
        <f t="shared" si="24"/>
        <v>970.96581114000003</v>
      </c>
      <c r="Z57" s="117">
        <f t="shared" si="24"/>
        <v>4435.8127198950006</v>
      </c>
      <c r="AA57" s="117">
        <f t="shared" si="24"/>
        <v>3363.5338400574997</v>
      </c>
      <c r="AB57" s="117">
        <f t="shared" si="24"/>
        <v>1799.0191156199999</v>
      </c>
      <c r="AC57" s="117">
        <f t="shared" si="24"/>
        <v>799.71273316499992</v>
      </c>
      <c r="AD57" s="117">
        <f t="shared" si="24"/>
        <v>3625.5947579375002</v>
      </c>
      <c r="AE57" s="117">
        <f t="shared" si="24"/>
        <v>2857.8944315275003</v>
      </c>
      <c r="AF57" s="117">
        <f t="shared" si="24"/>
        <v>1841.5065604050001</v>
      </c>
      <c r="AG57" s="117">
        <f t="shared" si="24"/>
        <v>807.07170022749995</v>
      </c>
      <c r="AH57" s="117">
        <f t="shared" si="24"/>
        <v>3314.994707755</v>
      </c>
      <c r="AI57" s="117">
        <f t="shared" si="24"/>
        <v>2436.1131012549999</v>
      </c>
      <c r="AJ57" s="117">
        <f t="shared" si="24"/>
        <v>1577.7241262375001</v>
      </c>
      <c r="AK57" s="117">
        <f t="shared" si="24"/>
        <v>684.77255636500001</v>
      </c>
      <c r="AL57" s="117">
        <f t="shared" si="24"/>
        <v>2746.5588294549998</v>
      </c>
      <c r="AM57" s="117">
        <f t="shared" si="24"/>
        <v>2016.5560279075</v>
      </c>
      <c r="AN57" s="117">
        <f t="shared" si="24"/>
        <v>1295.1750094649999</v>
      </c>
      <c r="AO57" s="117">
        <f t="shared" si="24"/>
        <v>586.118732475</v>
      </c>
      <c r="AP57" s="117">
        <f t="shared" si="24"/>
        <v>2611.845772615</v>
      </c>
      <c r="AQ57" s="117">
        <f t="shared" si="24"/>
        <v>1979.7296456125</v>
      </c>
      <c r="AR57" s="117">
        <f t="shared" si="24"/>
        <v>1297.929970375</v>
      </c>
      <c r="AS57" s="117">
        <f t="shared" si="24"/>
        <v>579.12285308500009</v>
      </c>
      <c r="AT57" s="117">
        <f t="shared" si="24"/>
        <v>2296.5481260300003</v>
      </c>
      <c r="AU57" s="117">
        <f t="shared" si="24"/>
        <v>1666.8276604375001</v>
      </c>
      <c r="AV57" s="117">
        <f t="shared" si="24"/>
        <v>1052.68742668</v>
      </c>
      <c r="AW57" s="117">
        <f t="shared" si="24"/>
        <v>473.37156633499995</v>
      </c>
      <c r="AX57" s="117">
        <f t="shared" si="24"/>
        <v>634.32948833695229</v>
      </c>
      <c r="AY57" s="117">
        <f t="shared" si="24"/>
        <v>487.200651580108</v>
      </c>
      <c r="AZ57" s="117">
        <f t="shared" si="24"/>
        <v>329.48440575811236</v>
      </c>
      <c r="BA57" s="117">
        <f t="shared" si="24"/>
        <v>152.04354461635964</v>
      </c>
      <c r="BB57" s="117">
        <f t="shared" si="24"/>
        <v>666.94539656607219</v>
      </c>
      <c r="BC57" s="117">
        <f t="shared" si="24"/>
        <v>514.22247561424763</v>
      </c>
      <c r="BD57" s="117">
        <f t="shared" si="24"/>
        <v>341.18692475120162</v>
      </c>
      <c r="BE57" s="117">
        <f t="shared" si="24"/>
        <v>159.0206361088286</v>
      </c>
      <c r="BF57" s="117">
        <f t="shared" si="24"/>
        <v>667.87919145992134</v>
      </c>
      <c r="BG57" s="117">
        <f t="shared" si="24"/>
        <v>1200.5970266949998</v>
      </c>
      <c r="BH57" s="117">
        <f t="shared" si="24"/>
        <v>825.10089780249996</v>
      </c>
      <c r="BI57" s="117">
        <f t="shared" si="24"/>
        <v>399.90707380750001</v>
      </c>
      <c r="BJ57" s="117">
        <f t="shared" si="24"/>
        <v>1389.9336958675001</v>
      </c>
      <c r="BK57" s="117">
        <f t="shared" si="24"/>
        <v>1018.3345962175</v>
      </c>
      <c r="BL57" s="117">
        <f t="shared" si="24"/>
        <v>666.38890824249995</v>
      </c>
      <c r="BM57" s="117">
        <f t="shared" si="24"/>
        <v>313.29575853750003</v>
      </c>
      <c r="BN57" s="117">
        <f t="shared" si="24"/>
        <v>1117.08423367</v>
      </c>
      <c r="BO57" s="117">
        <f t="shared" si="24"/>
        <v>854.96795507500008</v>
      </c>
      <c r="BP57" s="117">
        <f t="shared" si="24"/>
        <v>572.38708923249999</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5" customHeight="1">
      <c r="A58" s="279" t="s">
        <v>693</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c r="A61" s="118" t="s">
        <v>471</v>
      </c>
      <c r="B61" s="1">
        <v>43465</v>
      </c>
      <c r="C61" s="1">
        <v>43373</v>
      </c>
      <c r="D61" s="1">
        <v>43281</v>
      </c>
      <c r="E61" s="1">
        <v>43190</v>
      </c>
      <c r="F61" s="1">
        <v>43100</v>
      </c>
      <c r="G61" s="1">
        <v>43008</v>
      </c>
      <c r="H61" s="1">
        <v>42916</v>
      </c>
      <c r="I61" s="1">
        <v>42825</v>
      </c>
      <c r="J61" s="1">
        <v>42735</v>
      </c>
      <c r="K61" s="1">
        <v>42643</v>
      </c>
      <c r="L61" s="1">
        <v>42551</v>
      </c>
      <c r="M61" s="1">
        <v>42460</v>
      </c>
      <c r="N61" s="1">
        <v>42369</v>
      </c>
      <c r="O61" s="1">
        <v>42277</v>
      </c>
      <c r="P61" s="1">
        <v>42185</v>
      </c>
      <c r="Q61" s="1">
        <v>42094</v>
      </c>
      <c r="R61" s="1">
        <v>42004</v>
      </c>
      <c r="S61" s="1">
        <v>41912</v>
      </c>
      <c r="T61" s="1">
        <v>41820</v>
      </c>
      <c r="U61" s="1">
        <v>41729</v>
      </c>
      <c r="V61" s="1">
        <v>41639</v>
      </c>
      <c r="W61" s="1">
        <v>41547</v>
      </c>
      <c r="X61" s="1">
        <v>41455</v>
      </c>
      <c r="Y61" s="1">
        <v>41364</v>
      </c>
      <c r="Z61" s="1">
        <v>41274</v>
      </c>
      <c r="AA61" s="1">
        <v>41182</v>
      </c>
      <c r="AB61" s="1">
        <v>41090</v>
      </c>
      <c r="AC61" s="1">
        <v>40999</v>
      </c>
      <c r="AD61" s="1">
        <v>40908</v>
      </c>
      <c r="AE61" s="1">
        <v>40816</v>
      </c>
      <c r="AF61" s="1">
        <v>40724</v>
      </c>
      <c r="AG61" s="1">
        <v>40633</v>
      </c>
      <c r="AH61" s="1">
        <v>40543</v>
      </c>
      <c r="AI61" s="1">
        <v>40451</v>
      </c>
      <c r="AJ61" s="1">
        <v>40359</v>
      </c>
      <c r="AK61" s="1">
        <v>40268</v>
      </c>
      <c r="AL61" s="1">
        <v>40178</v>
      </c>
      <c r="AM61" s="1">
        <v>40086</v>
      </c>
      <c r="AN61" s="1">
        <v>39994</v>
      </c>
      <c r="AO61" s="1">
        <v>39903</v>
      </c>
      <c r="AP61" s="1">
        <v>39813</v>
      </c>
      <c r="AQ61" s="1">
        <v>39721</v>
      </c>
      <c r="AR61" s="1">
        <v>39629</v>
      </c>
      <c r="AS61" s="1">
        <v>39538</v>
      </c>
      <c r="AT61" s="1">
        <v>39447</v>
      </c>
      <c r="AU61" s="1">
        <v>39355</v>
      </c>
      <c r="AV61" s="1">
        <v>39263</v>
      </c>
      <c r="AW61" s="1">
        <v>39172</v>
      </c>
      <c r="AX61" s="1">
        <v>39082</v>
      </c>
      <c r="AY61" s="1">
        <v>38990</v>
      </c>
      <c r="AZ61" s="1">
        <v>38898</v>
      </c>
      <c r="BA61" s="1">
        <v>38807</v>
      </c>
      <c r="BB61" s="1">
        <v>38717</v>
      </c>
      <c r="BC61" s="1">
        <v>38625</v>
      </c>
      <c r="BD61" s="1">
        <v>38533</v>
      </c>
      <c r="BE61" s="1">
        <v>38442</v>
      </c>
      <c r="BF61" s="1">
        <v>38352</v>
      </c>
      <c r="BG61" s="1">
        <v>38260</v>
      </c>
      <c r="BH61" s="1">
        <v>38168</v>
      </c>
      <c r="BI61" s="1">
        <v>38077</v>
      </c>
      <c r="BJ61" s="1">
        <v>37986</v>
      </c>
      <c r="BK61" s="1">
        <v>37894</v>
      </c>
      <c r="BL61" s="1">
        <v>37802</v>
      </c>
      <c r="BM61" s="1">
        <v>37711</v>
      </c>
      <c r="BN61" s="1">
        <v>37621</v>
      </c>
      <c r="BO61" s="1">
        <v>37529</v>
      </c>
      <c r="BP61" s="1">
        <v>37437</v>
      </c>
      <c r="BQ61" s="1">
        <v>37346</v>
      </c>
      <c r="BR61" s="1">
        <v>37256</v>
      </c>
      <c r="BS61" s="1">
        <v>37072</v>
      </c>
      <c r="BT61" s="1">
        <v>36891</v>
      </c>
      <c r="BU61" s="1">
        <v>36525</v>
      </c>
      <c r="BV61" s="1">
        <v>36160</v>
      </c>
      <c r="BW61" s="1">
        <v>25569</v>
      </c>
      <c r="BX61" s="1"/>
      <c r="BY61" s="1"/>
      <c r="BZ61" s="1"/>
      <c r="CA61" s="1"/>
      <c r="CB61" s="1"/>
      <c r="CC61" s="1"/>
      <c r="CD61" s="1"/>
      <c r="CE61" s="1"/>
      <c r="CF61" s="1"/>
      <c r="CG61" s="1"/>
      <c r="CH61" s="1"/>
      <c r="CI61" s="1"/>
      <c r="CJ61" s="1"/>
      <c r="CK61" s="1"/>
    </row>
    <row r="62" spans="1:89" s="76" customFormat="1">
      <c r="A62" s="145"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45" t="s">
        <v>463</v>
      </c>
      <c r="E63" s="76">
        <f>E49</f>
        <v>3981658165.3600001</v>
      </c>
      <c r="F63" s="76">
        <f t="shared" ref="F63:BQ63" si="26">F49</f>
        <v>19471146411.049999</v>
      </c>
      <c r="G63" s="76">
        <f t="shared" si="26"/>
        <v>14693527606.42</v>
      </c>
      <c r="H63" s="76">
        <f t="shared" si="26"/>
        <v>9613219456.0699997</v>
      </c>
      <c r="I63" s="76">
        <f t="shared" si="26"/>
        <v>3794547830.4299998</v>
      </c>
      <c r="J63" s="76">
        <f t="shared" si="26"/>
        <v>18938551893.709999</v>
      </c>
      <c r="K63" s="76">
        <f t="shared" si="26"/>
        <v>14218450906.1</v>
      </c>
      <c r="L63" s="76">
        <f t="shared" si="26"/>
        <v>9271315229.1499996</v>
      </c>
      <c r="M63" s="76">
        <f t="shared" si="26"/>
        <v>3775359862.3600001</v>
      </c>
      <c r="N63" s="76">
        <f t="shared" si="26"/>
        <v>19295534666.82</v>
      </c>
      <c r="O63" s="76">
        <f t="shared" si="26"/>
        <v>14753293830.16</v>
      </c>
      <c r="P63" s="76">
        <f t="shared" si="26"/>
        <v>9829497798.7700005</v>
      </c>
      <c r="Q63" s="76">
        <f t="shared" si="26"/>
        <v>4151295665.3000002</v>
      </c>
      <c r="R63" s="76">
        <f t="shared" si="26"/>
        <v>20778933220.52</v>
      </c>
      <c r="S63" s="76">
        <f t="shared" si="26"/>
        <v>15575183289.370001</v>
      </c>
      <c r="T63" s="76">
        <f t="shared" si="26"/>
        <v>10136316637.43</v>
      </c>
      <c r="U63" s="76">
        <f t="shared" si="26"/>
        <v>4133240256.1999998</v>
      </c>
      <c r="V63" s="76">
        <f t="shared" si="26"/>
        <v>19907077075.110001</v>
      </c>
      <c r="W63" s="76">
        <f t="shared" si="26"/>
        <v>14618769623.620001</v>
      </c>
      <c r="X63" s="76">
        <f t="shared" si="26"/>
        <v>9381540032.2600002</v>
      </c>
      <c r="Y63" s="76">
        <f t="shared" si="26"/>
        <v>3883863244.5599999</v>
      </c>
      <c r="Z63" s="76">
        <f t="shared" si="26"/>
        <v>17743250879.580002</v>
      </c>
      <c r="AA63" s="76">
        <f t="shared" si="26"/>
        <v>13454135360.23</v>
      </c>
      <c r="AB63" s="76">
        <f t="shared" si="26"/>
        <v>7196076462.4799995</v>
      </c>
      <c r="AC63" s="76">
        <f t="shared" si="26"/>
        <v>3198850932.6599998</v>
      </c>
      <c r="AD63" s="76">
        <f t="shared" si="26"/>
        <v>14502379031.75</v>
      </c>
      <c r="AE63" s="76">
        <f t="shared" si="26"/>
        <v>11431577726.110001</v>
      </c>
      <c r="AF63" s="76">
        <f t="shared" si="26"/>
        <v>7366026241.6199999</v>
      </c>
      <c r="AG63" s="76">
        <f t="shared" si="26"/>
        <v>3228286800.9099998</v>
      </c>
      <c r="AH63" s="76">
        <f t="shared" si="26"/>
        <v>13259978831.02</v>
      </c>
      <c r="AI63" s="76">
        <f t="shared" si="26"/>
        <v>9744452405.0200005</v>
      </c>
      <c r="AJ63" s="76">
        <f t="shared" si="26"/>
        <v>6310896504.9499998</v>
      </c>
      <c r="AK63" s="76">
        <f t="shared" si="26"/>
        <v>2739090225.46</v>
      </c>
      <c r="AL63" s="76">
        <f t="shared" si="26"/>
        <v>10986235317.82</v>
      </c>
      <c r="AM63" s="76">
        <f t="shared" si="26"/>
        <v>8066224111.6300001</v>
      </c>
      <c r="AN63" s="76">
        <f t="shared" si="26"/>
        <v>5180700037.8599997</v>
      </c>
      <c r="AO63" s="76">
        <f t="shared" si="26"/>
        <v>2344474929.9000001</v>
      </c>
      <c r="AP63" s="76">
        <f t="shared" si="26"/>
        <v>10447383090.459999</v>
      </c>
      <c r="AQ63" s="76">
        <f t="shared" si="26"/>
        <v>7918918582.4499998</v>
      </c>
      <c r="AR63" s="76">
        <f t="shared" si="26"/>
        <v>5191719881.5</v>
      </c>
      <c r="AS63" s="76">
        <f t="shared" si="26"/>
        <v>2316491412.3400002</v>
      </c>
      <c r="AT63" s="76">
        <f t="shared" si="26"/>
        <v>9186192504.1200008</v>
      </c>
      <c r="AU63" s="76">
        <f t="shared" si="26"/>
        <v>6667310641.75</v>
      </c>
      <c r="AV63" s="76">
        <f t="shared" si="26"/>
        <v>4210749706.7199998</v>
      </c>
      <c r="AW63" s="76">
        <f t="shared" si="26"/>
        <v>1893486265.3399999</v>
      </c>
      <c r="AX63" s="76">
        <f t="shared" si="26"/>
        <v>7286223314.4200001</v>
      </c>
      <c r="AY63" s="76">
        <f t="shared" si="26"/>
        <v>5245909976.1700001</v>
      </c>
      <c r="AZ63" s="76">
        <f t="shared" si="26"/>
        <v>3422503680.1999998</v>
      </c>
      <c r="BA63" s="76">
        <f t="shared" si="26"/>
        <v>1557384662.4200001</v>
      </c>
      <c r="BB63" s="76">
        <f t="shared" si="26"/>
        <v>6831533255.1899996</v>
      </c>
      <c r="BC63" s="76">
        <f t="shared" si="26"/>
        <v>5059322816.5</v>
      </c>
      <c r="BD63" s="76">
        <f t="shared" si="26"/>
        <v>3356863760.23</v>
      </c>
      <c r="BE63" s="76">
        <f t="shared" si="26"/>
        <v>1530956087.8499999</v>
      </c>
      <c r="BF63" s="76">
        <f t="shared" si="26"/>
        <v>6555276828.1199999</v>
      </c>
      <c r="BG63" s="76">
        <f t="shared" si="26"/>
        <v>4802388106.7799997</v>
      </c>
      <c r="BH63" s="76">
        <f t="shared" si="26"/>
        <v>3300403591.21</v>
      </c>
      <c r="BI63" s="76">
        <f t="shared" si="26"/>
        <v>1599628295.23</v>
      </c>
      <c r="BJ63" s="76">
        <f t="shared" si="26"/>
        <v>5559734783.4700003</v>
      </c>
      <c r="BK63" s="76">
        <f t="shared" si="26"/>
        <v>4073338384.8699999</v>
      </c>
      <c r="BL63" s="76">
        <f t="shared" si="26"/>
        <v>2665555632.9699998</v>
      </c>
      <c r="BM63" s="76">
        <f t="shared" si="26"/>
        <v>1253183034.1500001</v>
      </c>
      <c r="BN63" s="76">
        <f t="shared" si="26"/>
        <v>4468336934.6800003</v>
      </c>
      <c r="BO63" s="76">
        <f t="shared" si="26"/>
        <v>3419871820.3000002</v>
      </c>
      <c r="BP63" s="76">
        <f t="shared" si="26"/>
        <v>2289548356.9299998</v>
      </c>
      <c r="BQ63" s="76">
        <f t="shared" si="26"/>
        <v>1062734559.6900001</v>
      </c>
      <c r="BR63" s="76">
        <f t="shared" ref="BR63:CJ63" si="27">BR49</f>
        <v>3844769510</v>
      </c>
      <c r="BS63" s="76">
        <f t="shared" si="27"/>
        <v>1888676871</v>
      </c>
      <c r="BT63" s="76">
        <f t="shared" si="27"/>
        <v>3624435206.8899999</v>
      </c>
      <c r="BU63" s="76">
        <f t="shared" si="27"/>
        <v>1759872948.4200001</v>
      </c>
      <c r="BV63" s="76">
        <f t="shared" si="27"/>
        <v>3503166528.1399999</v>
      </c>
      <c r="BW63" s="76">
        <f t="shared" si="27"/>
        <v>1640969270.5599999</v>
      </c>
      <c r="BX63" s="76">
        <f t="shared" si="27"/>
        <v>444323044.92000002</v>
      </c>
      <c r="BY63" s="76">
        <f t="shared" si="27"/>
        <v>202091770.88</v>
      </c>
      <c r="BZ63" s="76">
        <f t="shared" si="27"/>
        <v>918888298.00999999</v>
      </c>
      <c r="CA63" s="76">
        <f t="shared" si="27"/>
        <v>393462052.19999999</v>
      </c>
      <c r="CB63" s="76">
        <f t="shared" si="27"/>
        <v>1350796162.8199999</v>
      </c>
      <c r="CC63" s="76">
        <f t="shared" si="27"/>
        <v>953095812.62</v>
      </c>
      <c r="CD63" s="76">
        <f t="shared" si="27"/>
        <v>1924570651.9100001</v>
      </c>
      <c r="CE63" s="76">
        <f t="shared" si="27"/>
        <v>1099680000</v>
      </c>
      <c r="CF63" s="76">
        <f t="shared" si="27"/>
        <v>1434156000</v>
      </c>
      <c r="CG63" s="76">
        <f t="shared" si="27"/>
        <v>767120945.70000005</v>
      </c>
      <c r="CH63" s="76">
        <f t="shared" si="27"/>
        <v>585220000</v>
      </c>
      <c r="CI63" s="76">
        <f t="shared" si="27"/>
        <v>773370000</v>
      </c>
      <c r="CJ63" s="76">
        <f t="shared" si="27"/>
        <v>630840000</v>
      </c>
    </row>
    <row r="64" spans="1:89" s="76" customFormat="1">
      <c r="A64" s="145" t="s">
        <v>473</v>
      </c>
      <c r="E64" s="76">
        <f>资产资本表!E22+资产资本表!E23-资产资本表!E37</f>
        <v>-12373321903.540001</v>
      </c>
      <c r="F64" s="76">
        <f>资产资本表!F22+资产资本表!F23-资产资本表!F37</f>
        <v>-13207400863.379999</v>
      </c>
      <c r="G64" s="76">
        <f>资产资本表!G22+资产资本表!G23-资产资本表!G37</f>
        <v>-15641973794.5</v>
      </c>
      <c r="H64" s="76">
        <f>资产资本表!H22+资产资本表!H23-资产资本表!H37</f>
        <v>-16082395195.129999</v>
      </c>
      <c r="I64" s="76">
        <f>资产资本表!I22+资产资本表!I23-资产资本表!I37</f>
        <v>-17810814698.639999</v>
      </c>
      <c r="J64" s="76">
        <f>资产资本表!J22+资产资本表!J23-资产资本表!J37</f>
        <v>-16723455065.009998</v>
      </c>
      <c r="K64" s="76">
        <f>资产资本表!K22+资产资本表!K23-资产资本表!K37</f>
        <v>-16246473210.150002</v>
      </c>
      <c r="L64" s="76">
        <f>资产资本表!L22+资产资本表!L23-资产资本表!L37</f>
        <v>-4918933213.6599998</v>
      </c>
      <c r="M64" s="76">
        <f>资产资本表!M22+资产资本表!M23-资产资本表!M37</f>
        <v>-3866181559.6399994</v>
      </c>
      <c r="N64" s="76">
        <f>资产资本表!N22+资产资本表!N23-资产资本表!N37</f>
        <v>317584102.67000008</v>
      </c>
      <c r="O64" s="76">
        <f>资产资本表!O22+资产资本表!O23-资产资本表!O37</f>
        <v>2689536420.6699991</v>
      </c>
      <c r="P64" s="76">
        <f>资产资本表!P22+资产资本表!P23-资产资本表!P37</f>
        <v>1618708931.3999996</v>
      </c>
      <c r="Q64" s="76">
        <f>资产资本表!Q22+资产资本表!Q23-资产资本表!Q37</f>
        <v>17260526.859999657</v>
      </c>
      <c r="R64" s="76">
        <f>资产资本表!R22+资产资本表!R23-资产资本表!R37</f>
        <v>375911682.98000002</v>
      </c>
      <c r="S64" s="76">
        <f>资产资本表!S22+资产资本表!S23-资产资本表!S37</f>
        <v>297950244.54999995</v>
      </c>
      <c r="T64" s="76">
        <f>资产资本表!T22+资产资本表!T23-资产资本表!T37</f>
        <v>-242181046.96999991</v>
      </c>
      <c r="U64" s="76">
        <f>资产资本表!U22+资产资本表!U23-资产资本表!U37</f>
        <v>-1331011505.1500001</v>
      </c>
      <c r="V64" s="76">
        <f>资产资本表!V22+资产资本表!V23-资产资本表!V37</f>
        <v>-2748102358.3099999</v>
      </c>
      <c r="W64" s="76">
        <f>资产资本表!W22+资产资本表!W23-资产资本表!W37</f>
        <v>-1745123844.6800001</v>
      </c>
      <c r="X64" s="76">
        <f>资产资本表!X22+资产资本表!X23-资产资本表!X37</f>
        <v>-674830517.37</v>
      </c>
      <c r="Y64" s="76">
        <f>资产资本表!Y22+资产资本表!Y23-资产资本表!Y37</f>
        <v>-2794436835.8099999</v>
      </c>
      <c r="Z64" s="76">
        <f>资产资本表!Z22+资产资本表!Z23-资产资本表!Z37</f>
        <v>-4869489004.4800005</v>
      </c>
      <c r="AA64" s="76">
        <f>资产资本表!AA22+资产资本表!AA23-资产资本表!AA37</f>
        <v>-3396851748.3800001</v>
      </c>
      <c r="AB64" s="76">
        <f>资产资本表!AB22+资产资本表!AB23-资产资本表!AB37</f>
        <v>-3821604228.9799995</v>
      </c>
      <c r="AC64" s="76">
        <f>资产资本表!AC22+资产资本表!AC23-资产资本表!AC37</f>
        <v>-5538046930.71</v>
      </c>
      <c r="AD64" s="76">
        <f>资产资本表!AD22+资产资本表!AD23-资产资本表!AD37</f>
        <v>-6772321984.2399998</v>
      </c>
      <c r="AE64" s="76">
        <f>资产资本表!AE22+资产资本表!AE23-资产资本表!AE37</f>
        <v>-6519084262.5799999</v>
      </c>
      <c r="AF64" s="76">
        <f>资产资本表!AF22+资产资本表!AF23-资产资本表!AF37</f>
        <v>-4716159919.3299999</v>
      </c>
      <c r="AG64" s="76">
        <f>资产资本表!AG22+资产资本表!AG23-资产资本表!AG37</f>
        <v>-6166774327.8899994</v>
      </c>
      <c r="AH64" s="76">
        <f>资产资本表!AH22+资产资本表!AH23-资产资本表!AH37</f>
        <v>-4532505049.0500002</v>
      </c>
      <c r="AI64" s="76">
        <f>资产资本表!AI22+资产资本表!AI23-资产资本表!AI37</f>
        <v>-2962793508.6499996</v>
      </c>
      <c r="AJ64" s="76">
        <f>资产资本表!AJ22+资产资本表!AJ23-资产资本表!AJ37</f>
        <v>-1759161424.3200002</v>
      </c>
      <c r="AK64" s="76">
        <f>资产资本表!AK22+资产资本表!AK23-资产资本表!AK37</f>
        <v>-2728517553.1199999</v>
      </c>
      <c r="AL64" s="76">
        <f>资产资本表!AL22+资产资本表!AL23-资产资本表!AL37</f>
        <v>-3114277282.7199998</v>
      </c>
      <c r="AM64" s="76">
        <f>资产资本表!AM22+资产资本表!AM23-资产资本表!AM37</f>
        <v>-974467753.02999997</v>
      </c>
      <c r="AN64" s="76">
        <f>资产资本表!AN22+资产资本表!AN23-资产资本表!AN37</f>
        <v>-459112401.01000005</v>
      </c>
      <c r="AO64" s="76">
        <f>资产资本表!AO22+资产资本表!AO23-资产资本表!AO37</f>
        <v>-1610900321.7</v>
      </c>
      <c r="AP64" s="76">
        <f>资产资本表!AP22+资产资本表!AP23-资产资本表!AP37</f>
        <v>-2730828671.2599998</v>
      </c>
      <c r="AQ64" s="76">
        <f>资产资本表!AQ22+资产资本表!AQ23-资产资本表!AQ37</f>
        <v>-798354756.08000004</v>
      </c>
      <c r="AR64" s="76">
        <f>资产资本表!AR22+资产资本表!AR23-资产资本表!AR37</f>
        <v>-151667319.19999999</v>
      </c>
      <c r="AS64" s="76">
        <f>资产资本表!AS22+资产资本表!AS23-资产资本表!AS37</f>
        <v>-1139326002.03</v>
      </c>
      <c r="AT64" s="76">
        <f>资产资本表!AT22+资产资本表!AT23-资产资本表!AT37</f>
        <v>-977834818.91999996</v>
      </c>
      <c r="AU64" s="76">
        <f>资产资本表!AU22+资产资本表!AU23-资产资本表!AU37</f>
        <v>-2010299695.74</v>
      </c>
      <c r="AV64" s="76">
        <f>资产资本表!AV22+资产资本表!AV23-资产资本表!AV37</f>
        <v>-2197856608.77</v>
      </c>
      <c r="AW64" s="76">
        <f>资产资本表!AW22+资产资本表!AW23-资产资本表!AW37</f>
        <v>-1989696877.2999997</v>
      </c>
      <c r="AX64" s="76">
        <f>资产资本表!AX22+资产资本表!AX23-资产资本表!AX37</f>
        <v>-1883046859.3599999</v>
      </c>
      <c r="AY64" s="76">
        <f>资产资本表!AY22+资产资本表!AY23-资产资本表!AY37</f>
        <v>-2064404628.0899999</v>
      </c>
      <c r="AZ64" s="76">
        <f>资产资本表!AZ22+资产资本表!AZ23-资产资本表!AZ37</f>
        <v>-1748468379.22</v>
      </c>
      <c r="BA64" s="76">
        <f>资产资本表!BA22+资产资本表!BA23-资产资本表!BA37</f>
        <v>-1364292718.72</v>
      </c>
      <c r="BB64" s="76">
        <f>资产资本表!BB22+资产资本表!BB23-资产资本表!BB37</f>
        <v>-1339847096.5599999</v>
      </c>
      <c r="BC64" s="76">
        <f>资产资本表!BC22+资产资本表!BC23-资产资本表!BC37</f>
        <v>-1249151611.9400001</v>
      </c>
      <c r="BD64" s="76">
        <f>资产资本表!BD22+资产资本表!BD23-资产资本表!BD37</f>
        <v>-997547182.08000004</v>
      </c>
      <c r="BE64" s="76">
        <f>资产资本表!BE22+资产资本表!BE23-资产资本表!BE37</f>
        <v>-817122261.11000001</v>
      </c>
      <c r="BF64" s="76">
        <f>资产资本表!BF22+资产资本表!BF23-资产资本表!BF37</f>
        <v>-890241455.54999995</v>
      </c>
      <c r="BG64" s="76">
        <f>资产资本表!BG22+资产资本表!BG23-资产资本表!BG37</f>
        <v>-769524745.37999988</v>
      </c>
      <c r="BH64" s="76">
        <f>资产资本表!BH22+资产资本表!BH23-资产资本表!BH37</f>
        <v>-597188293.14999998</v>
      </c>
      <c r="BI64" s="76">
        <f>资产资本表!BI22+资产资本表!BI23-资产资本表!BI37</f>
        <v>-481975485.78000003</v>
      </c>
      <c r="BJ64" s="76">
        <f>资产资本表!BJ22+资产资本表!BJ23-资产资本表!BJ37</f>
        <v>-671341953.63</v>
      </c>
      <c r="BK64" s="76">
        <f>资产资本表!BK22+资产资本表!BK23-资产资本表!BK37</f>
        <v>-638562088.55000007</v>
      </c>
      <c r="BL64" s="76">
        <f>资产资本表!BL22+资产资本表!BL23-资产资本表!BL37</f>
        <v>-352043449.11000001</v>
      </c>
      <c r="BM64" s="76">
        <f>资产资本表!BM22+资产资本表!BM23-资产资本表!BM37</f>
        <v>-98180636.340000004</v>
      </c>
      <c r="BN64" s="76">
        <f>资产资本表!BN22+资产资本表!BN23-资产资本表!BN37</f>
        <v>-372764222.86000001</v>
      </c>
      <c r="BO64" s="76">
        <f>资产资本表!BO22+资产资本表!BO23-资产资本表!BO37</f>
        <v>-243978365.75999999</v>
      </c>
      <c r="BP64" s="76">
        <f>资产资本表!BP22+资产资本表!BP23-资产资本表!BP37</f>
        <v>-142017958.76999998</v>
      </c>
      <c r="BQ64" s="76">
        <f>资产资本表!BQ22+资产资本表!BQ23-资产资本表!BQ37</f>
        <v>-83103637.959999993</v>
      </c>
      <c r="BR64" s="76">
        <f>资产资本表!BR22+资产资本表!BR23-资产资本表!BR37</f>
        <v>-247706557.39999998</v>
      </c>
      <c r="BS64" s="76">
        <f>资产资本表!BS22+资产资本表!BS23-资产资本表!BS37</f>
        <v>16302231.480000004</v>
      </c>
      <c r="BT64" s="76">
        <f>资产资本表!BT22+资产资本表!BT23-资产资本表!BT37</f>
        <v>-334955393.88</v>
      </c>
      <c r="BU64" s="76">
        <f>资产资本表!BU22+资产资本表!BU23-资产资本表!BU37</f>
        <v>-13840010.219999999</v>
      </c>
      <c r="BV64" s="76">
        <f>资产资本表!BV22+资产资本表!BV23-资产资本表!BV37</f>
        <v>-64494189.560000002</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3" customFormat="1">
      <c r="A65" s="152" t="s">
        <v>691</v>
      </c>
      <c r="E65" s="153">
        <f>E63/(E64+I64)*2</f>
        <v>-0.26382455246855935</v>
      </c>
      <c r="F65" s="153">
        <f t="shared" ref="F65:BQ65" si="28">F63/(F64+J64)*2</f>
        <v>-1.3010751485112886</v>
      </c>
      <c r="G65" s="153">
        <f t="shared" si="28"/>
        <v>-0.92155805544731462</v>
      </c>
      <c r="H65" s="153">
        <f t="shared" si="28"/>
        <v>-0.91548679863950266</v>
      </c>
      <c r="I65" s="153">
        <f t="shared" si="28"/>
        <v>-0.35009904372526612</v>
      </c>
      <c r="J65" s="153">
        <f t="shared" si="28"/>
        <v>-2.3087529991164528</v>
      </c>
      <c r="K65" s="153">
        <f t="shared" si="28"/>
        <v>-2.097590499519526</v>
      </c>
      <c r="L65" s="153">
        <f t="shared" si="28"/>
        <v>-5.6185970626220501</v>
      </c>
      <c r="M65" s="153">
        <f t="shared" si="28"/>
        <v>-1.9617756925676035</v>
      </c>
      <c r="N65" s="153">
        <f t="shared" si="28"/>
        <v>55.647157678787252</v>
      </c>
      <c r="O65" s="153">
        <f t="shared" si="28"/>
        <v>9.8767261470427776</v>
      </c>
      <c r="P65" s="153">
        <f t="shared" si="28"/>
        <v>14.281581811675762</v>
      </c>
      <c r="Q65" s="153">
        <f t="shared" si="28"/>
        <v>-6.3197603410402694</v>
      </c>
      <c r="R65" s="153">
        <f t="shared" si="28"/>
        <v>-17.518771519181868</v>
      </c>
      <c r="S65" s="153">
        <f t="shared" si="28"/>
        <v>-21.524968791540804</v>
      </c>
      <c r="T65" s="153">
        <f t="shared" si="28"/>
        <v>-22.107282026972918</v>
      </c>
      <c r="U65" s="153">
        <f t="shared" si="28"/>
        <v>-2.0037774877278851</v>
      </c>
      <c r="V65" s="153">
        <f t="shared" si="28"/>
        <v>-5.2266067125498532</v>
      </c>
      <c r="W65" s="153">
        <f t="shared" si="28"/>
        <v>-5.6860517359711311</v>
      </c>
      <c r="X65" s="153">
        <f t="shared" si="28"/>
        <v>-4.1728794306980683</v>
      </c>
      <c r="Y65" s="153">
        <f t="shared" si="28"/>
        <v>-0.93222221690137574</v>
      </c>
      <c r="Z65" s="153">
        <f t="shared" si="28"/>
        <v>-3.048194288117513</v>
      </c>
      <c r="AA65" s="153">
        <f t="shared" si="28"/>
        <v>-2.7136390039950355</v>
      </c>
      <c r="AB65" s="153">
        <f t="shared" si="28"/>
        <v>-1.6857051418794278</v>
      </c>
      <c r="AC65" s="153">
        <f t="shared" si="28"/>
        <v>-0.54658689133072869</v>
      </c>
      <c r="AD65" s="153">
        <f t="shared" si="28"/>
        <v>-2.5656967575079168</v>
      </c>
      <c r="AE65" s="153">
        <f t="shared" si="28"/>
        <v>-2.4112476456500627</v>
      </c>
      <c r="AF65" s="153">
        <f t="shared" si="28"/>
        <v>-2.275107550868797</v>
      </c>
      <c r="AG65" s="153">
        <f t="shared" si="28"/>
        <v>-0.72584167986704684</v>
      </c>
      <c r="AH65" s="153">
        <f t="shared" si="28"/>
        <v>-3.4681198589709861</v>
      </c>
      <c r="AI65" s="153">
        <f t="shared" si="28"/>
        <v>-4.9498632462414331</v>
      </c>
      <c r="AJ65" s="153">
        <f t="shared" si="28"/>
        <v>-5.6899165764723953</v>
      </c>
      <c r="AK65" s="153">
        <f t="shared" si="28"/>
        <v>-1.2624228891870057</v>
      </c>
      <c r="AL65" s="153">
        <f t="shared" si="28"/>
        <v>-3.7591227273953338</v>
      </c>
      <c r="AM65" s="153">
        <f t="shared" si="28"/>
        <v>-9.0998665350649688</v>
      </c>
      <c r="AN65" s="153">
        <f t="shared" si="28"/>
        <v>-16.964217594122989</v>
      </c>
      <c r="AO65" s="153">
        <f t="shared" si="28"/>
        <v>-1.7049323611449556</v>
      </c>
      <c r="AP65" s="153">
        <f t="shared" si="28"/>
        <v>-5.634042084499252</v>
      </c>
      <c r="AQ65" s="153">
        <f t="shared" si="28"/>
        <v>-5.6389411501429541</v>
      </c>
      <c r="AR65" s="153">
        <f t="shared" si="28"/>
        <v>-4.4193803005749093</v>
      </c>
      <c r="AS65" s="153">
        <f t="shared" si="28"/>
        <v>-1.4806484335045946</v>
      </c>
      <c r="AT65" s="153">
        <f t="shared" si="28"/>
        <v>-6.4219310947825443</v>
      </c>
      <c r="AU65" s="153">
        <f t="shared" si="28"/>
        <v>-3.2725371520862114</v>
      </c>
      <c r="AV65" s="153">
        <f t="shared" si="28"/>
        <v>-2.1340106147034184</v>
      </c>
      <c r="AW65" s="153">
        <f t="shared" si="28"/>
        <v>-1.1290948949793398</v>
      </c>
      <c r="AX65" s="153">
        <f t="shared" si="28"/>
        <v>-4.5215408350847159</v>
      </c>
      <c r="AY65" s="153">
        <f t="shared" si="28"/>
        <v>-3.1663322401448091</v>
      </c>
      <c r="AZ65" s="153">
        <f t="shared" si="28"/>
        <v>-2.4927052333088318</v>
      </c>
      <c r="BA65" s="153">
        <f t="shared" si="28"/>
        <v>-1.4278664782446564</v>
      </c>
      <c r="BB65" s="153">
        <f t="shared" si="28"/>
        <v>-6.1266923671944236</v>
      </c>
      <c r="BC65" s="153">
        <f t="shared" si="28"/>
        <v>-5.0125150553769506</v>
      </c>
      <c r="BD65" s="153">
        <f t="shared" si="28"/>
        <v>-4.2099317565452132</v>
      </c>
      <c r="BE65" s="153">
        <f t="shared" si="28"/>
        <v>-2.3569528798199544</v>
      </c>
      <c r="BF65" s="153">
        <f t="shared" si="28"/>
        <v>-8.3956793976983004</v>
      </c>
      <c r="BG65" s="153">
        <f t="shared" si="28"/>
        <v>-6.8211533423353359</v>
      </c>
      <c r="BH65" s="153">
        <f t="shared" si="28"/>
        <v>-6.953841605322129</v>
      </c>
      <c r="BI65" s="153">
        <f t="shared" si="28"/>
        <v>-5.5144752739474896</v>
      </c>
      <c r="BJ65" s="153">
        <f t="shared" si="28"/>
        <v>-10.649749821728497</v>
      </c>
      <c r="BK65" s="153">
        <f t="shared" si="28"/>
        <v>-9.2309386271809455</v>
      </c>
      <c r="BL65" s="153">
        <f t="shared" si="28"/>
        <v>-10.790381885554691</v>
      </c>
      <c r="BM65" s="153">
        <f t="shared" si="28"/>
        <v>-13.825612166184456</v>
      </c>
      <c r="BN65" s="153">
        <f t="shared" si="28"/>
        <v>-14.403053542046262</v>
      </c>
      <c r="BO65" s="153">
        <f t="shared" si="28"/>
        <v>-30.04154854539285</v>
      </c>
      <c r="BP65" s="153">
        <f t="shared" si="28"/>
        <v>-9.600319783944224</v>
      </c>
      <c r="BQ65" s="153">
        <f t="shared" si="28"/>
        <v>-21.924789909221676</v>
      </c>
      <c r="BR65" s="153">
        <f t="shared" ref="BR65:CK65" si="29">BR63/(BR64+BV64)*2</f>
        <v>-24.630110897797451</v>
      </c>
      <c r="BS65" s="153">
        <f t="shared" si="29"/>
        <v>231.70777243803428</v>
      </c>
      <c r="BT65" s="153">
        <f t="shared" si="29"/>
        <v>-21.641300741008386</v>
      </c>
      <c r="BU65" s="153">
        <f t="shared" si="29"/>
        <v>-254.31671226323706</v>
      </c>
      <c r="BV65" s="153">
        <f t="shared" si="29"/>
        <v>-108.6351050238703</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3" customFormat="1">
      <c r="A66" s="146" t="s">
        <v>474</v>
      </c>
      <c r="E66" s="83">
        <f>E62/E65</f>
        <v>-1383.4951924859154</v>
      </c>
      <c r="F66" s="83">
        <f t="shared" ref="F66:BQ66" si="30">F62/F65</f>
        <v>-280.53721602294758</v>
      </c>
      <c r="G66" s="83">
        <f t="shared" si="30"/>
        <v>-396.06837338406513</v>
      </c>
      <c r="H66" s="83">
        <f t="shared" si="30"/>
        <v>-398.69498996864127</v>
      </c>
      <c r="I66" s="83">
        <f t="shared" si="30"/>
        <v>-1042.5621164690388</v>
      </c>
      <c r="J66" s="83">
        <f t="shared" si="30"/>
        <v>-158.09400145432772</v>
      </c>
      <c r="K66" s="83">
        <f t="shared" si="30"/>
        <v>-174.00917866647799</v>
      </c>
      <c r="L66" s="83">
        <f t="shared" si="30"/>
        <v>-64.962836083793519</v>
      </c>
      <c r="M66" s="83">
        <f t="shared" si="30"/>
        <v>-186.05592952488985</v>
      </c>
      <c r="N66" s="83">
        <f t="shared" si="30"/>
        <v>6.5591849651494121</v>
      </c>
      <c r="O66" s="83">
        <f t="shared" si="30"/>
        <v>36.955565494674147</v>
      </c>
      <c r="P66" s="83">
        <f t="shared" si="30"/>
        <v>25.557393068434337</v>
      </c>
      <c r="Q66" s="83">
        <f t="shared" si="30"/>
        <v>-57.755354681680679</v>
      </c>
      <c r="R66" s="83">
        <f t="shared" si="30"/>
        <v>-20.834794243440513</v>
      </c>
      <c r="S66" s="83">
        <f t="shared" si="30"/>
        <v>-16.957051298650107</v>
      </c>
      <c r="T66" s="83">
        <f t="shared" si="30"/>
        <v>-16.51039687079879</v>
      </c>
      <c r="U66" s="83">
        <f t="shared" si="30"/>
        <v>-182.15595405948955</v>
      </c>
      <c r="V66" s="83">
        <f t="shared" si="30"/>
        <v>-69.834984737531755</v>
      </c>
      <c r="W66" s="83">
        <f t="shared" si="30"/>
        <v>-64.192170059047299</v>
      </c>
      <c r="X66" s="83">
        <f t="shared" si="30"/>
        <v>-87.469577317488003</v>
      </c>
      <c r="Y66" s="83">
        <f t="shared" si="30"/>
        <v>-391.5375469308463</v>
      </c>
      <c r="Z66" s="83">
        <f t="shared" si="30"/>
        <v>-119.74302340990694</v>
      </c>
      <c r="AA66" s="83">
        <f t="shared" si="30"/>
        <v>-134.50573177296053</v>
      </c>
      <c r="AB66" s="83">
        <f t="shared" si="30"/>
        <v>-216.52659823594885</v>
      </c>
      <c r="AC66" s="83">
        <f t="shared" si="30"/>
        <v>-667.78037634851705</v>
      </c>
      <c r="AD66" s="83">
        <f t="shared" si="30"/>
        <v>-142.2615509537174</v>
      </c>
      <c r="AE66" s="83">
        <f t="shared" si="30"/>
        <v>-151.37391659395377</v>
      </c>
      <c r="AF66" s="83">
        <f t="shared" si="30"/>
        <v>-160.43197600070255</v>
      </c>
      <c r="AG66" s="83">
        <f t="shared" si="30"/>
        <v>-502.86448150353863</v>
      </c>
      <c r="AH66" s="83">
        <f t="shared" si="30"/>
        <v>-105.24434415259739</v>
      </c>
      <c r="AI66" s="83">
        <f t="shared" si="30"/>
        <v>-73.739410937697016</v>
      </c>
      <c r="AJ66" s="83">
        <f t="shared" si="30"/>
        <v>-64.14856792615592</v>
      </c>
      <c r="AK66" s="83">
        <f t="shared" si="30"/>
        <v>-289.12657012663817</v>
      </c>
      <c r="AL66" s="83">
        <f t="shared" si="30"/>
        <v>-97.097122512120166</v>
      </c>
      <c r="AM66" s="83">
        <f t="shared" si="30"/>
        <v>-40.110478389273879</v>
      </c>
      <c r="AN66" s="83">
        <f t="shared" si="30"/>
        <v>-21.515875870776913</v>
      </c>
      <c r="AO66" s="83">
        <f t="shared" si="30"/>
        <v>-214.08473926489523</v>
      </c>
      <c r="AP66" s="83">
        <f t="shared" si="30"/>
        <v>-64.784748591816893</v>
      </c>
      <c r="AQ66" s="83">
        <f t="shared" si="30"/>
        <v>-64.728464135637736</v>
      </c>
      <c r="AR66" s="83">
        <f t="shared" si="30"/>
        <v>-82.590765033848257</v>
      </c>
      <c r="AS66" s="83">
        <f t="shared" si="30"/>
        <v>-246.51361642687164</v>
      </c>
      <c r="AT66" s="83">
        <f t="shared" si="30"/>
        <v>-56.836486504276237</v>
      </c>
      <c r="AU66" s="83">
        <f t="shared" si="30"/>
        <v>-111.53425707247233</v>
      </c>
      <c r="AV66" s="83">
        <f t="shared" si="30"/>
        <v>-171.03944914103775</v>
      </c>
      <c r="AW66" s="83">
        <f t="shared" si="30"/>
        <v>-323.26777990319295</v>
      </c>
      <c r="AX66" s="83">
        <f t="shared" si="30"/>
        <v>-80.724693929068835</v>
      </c>
      <c r="AY66" s="83">
        <f t="shared" si="30"/>
        <v>-115.2753319352574</v>
      </c>
      <c r="AZ66" s="83">
        <f t="shared" si="30"/>
        <v>-146.42726108273013</v>
      </c>
      <c r="BA66" s="83">
        <f t="shared" si="30"/>
        <v>-255.62614261293655</v>
      </c>
      <c r="BB66" s="83">
        <f t="shared" si="30"/>
        <v>-59.575375769543214</v>
      </c>
      <c r="BC66" s="83">
        <f t="shared" si="30"/>
        <v>-72.817736399307691</v>
      </c>
      <c r="BD66" s="83">
        <f t="shared" si="30"/>
        <v>-86.699742681703029</v>
      </c>
      <c r="BE66" s="83">
        <f t="shared" si="30"/>
        <v>-154.86096609104973</v>
      </c>
      <c r="BF66" s="83">
        <f t="shared" si="30"/>
        <v>-43.474742508636737</v>
      </c>
      <c r="BG66" s="83">
        <f t="shared" si="30"/>
        <v>-53.510012410164663</v>
      </c>
      <c r="BH66" s="83">
        <f t="shared" si="30"/>
        <v>-52.488972386234238</v>
      </c>
      <c r="BI66" s="83">
        <f t="shared" si="30"/>
        <v>-66.189434509644272</v>
      </c>
      <c r="BJ66" s="83">
        <f t="shared" si="30"/>
        <v>-34.273105576179539</v>
      </c>
      <c r="BK66" s="83">
        <f t="shared" si="30"/>
        <v>-39.540941039867803</v>
      </c>
      <c r="BL66" s="83">
        <f t="shared" si="30"/>
        <v>-33.826420961859846</v>
      </c>
      <c r="BM66" s="83">
        <f t="shared" si="30"/>
        <v>-26.400277659512231</v>
      </c>
      <c r="BN66" s="83">
        <f t="shared" si="30"/>
        <v>-25.341848444461448</v>
      </c>
      <c r="BO66" s="83">
        <f t="shared" si="30"/>
        <v>-12.149839727751855</v>
      </c>
      <c r="BP66" s="83">
        <f t="shared" si="30"/>
        <v>-38.019566870098814</v>
      </c>
      <c r="BQ66" s="83">
        <f t="shared" si="30"/>
        <v>-16.647822009299126</v>
      </c>
      <c r="BR66" s="83">
        <f t="shared" ref="BR66:CJ66" si="31">BR62/BR65</f>
        <v>-14.819259300722035</v>
      </c>
      <c r="BS66" s="83">
        <f t="shared" si="31"/>
        <v>1.5752600621009039</v>
      </c>
      <c r="BT66" s="83">
        <f t="shared" si="31"/>
        <v>-16.865899345336331</v>
      </c>
      <c r="BU66" s="83">
        <f t="shared" si="31"/>
        <v>-1.4352183022175804</v>
      </c>
      <c r="BV66" s="83">
        <f t="shared" si="31"/>
        <v>-3.3598715619577932</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45" t="s">
        <v>475</v>
      </c>
      <c r="E67" s="76">
        <f>股权价值增加表!E5</f>
        <v>1518592897.51</v>
      </c>
      <c r="F67" s="76">
        <f>股权价值增加表!F5</f>
        <v>5940436371.9700003</v>
      </c>
      <c r="G67" s="76">
        <f>股权价值增加表!G5</f>
        <v>4273438303.5</v>
      </c>
      <c r="H67" s="76">
        <f>股权价值增加表!H5</f>
        <v>2511228414.9099998</v>
      </c>
      <c r="I67" s="76">
        <f>股权价值增加表!I5</f>
        <v>1176997676.0699999</v>
      </c>
      <c r="J67" s="76">
        <f>股权价值增加表!J5</f>
        <v>3410104085.9699998</v>
      </c>
      <c r="K67" s="76">
        <f>股权价值增加表!K5</f>
        <v>2225398682.8200002</v>
      </c>
      <c r="L67" s="76">
        <f>股权价值增加表!L5</f>
        <v>1475407709.24</v>
      </c>
      <c r="M67" s="76">
        <f>股权价值增加表!M5</f>
        <v>765002011.76999998</v>
      </c>
      <c r="N67" s="76">
        <f>股权价值增加表!N5</f>
        <v>2538337449.0599999</v>
      </c>
      <c r="O67" s="76">
        <f>股权价值增加表!O5</f>
        <v>1747047687.23</v>
      </c>
      <c r="P67" s="76">
        <f>股权价值增加表!P5</f>
        <v>1165878006.3299999</v>
      </c>
      <c r="Q67" s="76">
        <f>股权价值增加表!Q5</f>
        <v>579796944.51999998</v>
      </c>
      <c r="R67" s="76">
        <f>股权价值增加表!R5</f>
        <v>2338550532.3299999</v>
      </c>
      <c r="S67" s="76">
        <f>股权价值增加表!S5</f>
        <v>1593307325.6800001</v>
      </c>
      <c r="T67" s="76">
        <f>股权价值增加表!T5</f>
        <v>987543281.35000002</v>
      </c>
      <c r="U67" s="76">
        <f>股权价值增加表!U5</f>
        <v>506935182.39999998</v>
      </c>
      <c r="V67" s="76">
        <f>股权价值增加表!V5</f>
        <v>2193920307.9899998</v>
      </c>
      <c r="W67" s="76">
        <f>股权价值增加表!W5</f>
        <v>1440864963.8099999</v>
      </c>
      <c r="X67" s="76">
        <f>股权价值增加表!X5</f>
        <v>932566677.01999998</v>
      </c>
      <c r="Y67" s="76">
        <f>股权价值增加表!Y5</f>
        <v>481121235.63999999</v>
      </c>
      <c r="Z67" s="76">
        <f>股权价值增加表!Z5</f>
        <v>2044306468.76</v>
      </c>
      <c r="AA67" s="76">
        <f>股权价值增加表!AA5</f>
        <v>1628876041.8800001</v>
      </c>
      <c r="AB67" s="76">
        <f>股权价值增加表!AB5</f>
        <v>1059645343.97</v>
      </c>
      <c r="AC67" s="76">
        <f>股权价值增加表!AC5</f>
        <v>482055429.18000001</v>
      </c>
      <c r="AD67" s="76">
        <f>股权价值增加表!AD5</f>
        <v>1551233976.0599999</v>
      </c>
      <c r="AE67" s="76">
        <f>股权价值增加表!AE5</f>
        <v>1155847115.6800001</v>
      </c>
      <c r="AF67" s="76">
        <f>股权价值增加表!AF5</f>
        <v>845072449.14999998</v>
      </c>
      <c r="AG67" s="76">
        <f>股权价值增加表!AG5</f>
        <v>392063100.98000002</v>
      </c>
      <c r="AH67" s="76">
        <f>股权价值增加表!AH5</f>
        <v>1052931591.61</v>
      </c>
      <c r="AI67" s="76">
        <f>股权价值增加表!AI5</f>
        <v>821295137.52999997</v>
      </c>
      <c r="AJ67" s="76">
        <f>股权价值增加表!AJ5</f>
        <v>569190230.52999997</v>
      </c>
      <c r="AK67" s="76">
        <f>股权价值增加表!AK5</f>
        <v>295386812.48000002</v>
      </c>
      <c r="AL67" s="76">
        <f>股权价值增加表!AL5</f>
        <v>950672855.26999998</v>
      </c>
      <c r="AM67" s="76">
        <f>股权价值增加表!AM5</f>
        <v>743207551.34000003</v>
      </c>
      <c r="AN67" s="76">
        <f>股权价值增加表!AN5</f>
        <v>531620176.31999999</v>
      </c>
      <c r="AO67" s="76">
        <f>股权价值增加表!AO5</f>
        <v>251448334.91999999</v>
      </c>
      <c r="AP67" s="76">
        <f>股权价值增加表!AP5</f>
        <v>799713319.24000001</v>
      </c>
      <c r="AQ67" s="76">
        <f>股权价值增加表!AQ5</f>
        <v>614940094.35000002</v>
      </c>
      <c r="AR67" s="76">
        <f>股权价值增加表!AR5</f>
        <v>442054720.19</v>
      </c>
      <c r="AS67" s="76">
        <f>股权价值增加表!AS5</f>
        <v>200810712.08000001</v>
      </c>
      <c r="AT67" s="76">
        <f>股权价值增加表!AT5</f>
        <v>871643568.33000004</v>
      </c>
      <c r="AU67" s="76">
        <f>股权价值增加表!AU5</f>
        <v>662636478.87</v>
      </c>
      <c r="AV67" s="76">
        <f>股权价值增加表!AV5</f>
        <v>389216762.31</v>
      </c>
      <c r="AW67" s="76">
        <f>股权价值增加表!AW5</f>
        <v>237704974.13</v>
      </c>
      <c r="AX67" s="76">
        <f>股权价值增加表!AX5</f>
        <v>791179840.49000001</v>
      </c>
      <c r="AY67" s="76">
        <f>股权价值增加表!AY5</f>
        <v>536197408.26999998</v>
      </c>
      <c r="AZ67" s="76">
        <f>股权价值增加表!AZ5</f>
        <v>342467207.13999999</v>
      </c>
      <c r="BA67" s="76">
        <f>股权价值增加表!BA5</f>
        <v>227552584.91999999</v>
      </c>
      <c r="BB67" s="76">
        <f>股权价值增加表!BB5</f>
        <v>687106816.67999995</v>
      </c>
      <c r="BC67" s="76">
        <f>股权价值增加表!BC5</f>
        <v>450496529.88</v>
      </c>
      <c r="BD67" s="76">
        <f>股权价值增加表!BD5</f>
        <v>294128874.10000002</v>
      </c>
      <c r="BE67" s="76">
        <f>股权价值增加表!BE5</f>
        <v>196715027.49000001</v>
      </c>
      <c r="BF67" s="76">
        <f>股权价值增加表!BF5</f>
        <v>535056248.94999999</v>
      </c>
      <c r="BG67" s="76">
        <f>股权价值增加表!BG5</f>
        <v>367934435.61000001</v>
      </c>
      <c r="BH67" s="76">
        <f>股权价值增加表!BH5</f>
        <v>229941422.72</v>
      </c>
      <c r="BI67" s="76">
        <f>股权价值增加表!BI5</f>
        <v>151243768.25</v>
      </c>
      <c r="BJ67" s="76">
        <f>股权价值增加表!BJ5</f>
        <v>477388129.86000001</v>
      </c>
      <c r="BK67" s="76">
        <f>股权价值增加表!BK5</f>
        <v>302733307.68000001</v>
      </c>
      <c r="BL67" s="76">
        <f>股权价值增加表!BL5</f>
        <v>196938828.78999999</v>
      </c>
      <c r="BM67" s="76">
        <f>股权价值增加表!BM5</f>
        <v>136080903.15000001</v>
      </c>
      <c r="BN67" s="76">
        <f>股权价值增加表!BN5</f>
        <v>340556444.79000002</v>
      </c>
      <c r="BO67" s="76">
        <f>股权价值增加表!BO5</f>
        <v>230795750.63</v>
      </c>
      <c r="BP67" s="76">
        <f>股权价值增加表!BP5</f>
        <v>158368542.33000001</v>
      </c>
      <c r="BQ67" s="76">
        <f>股权价值增加表!BQ5</f>
        <v>115551849.97</v>
      </c>
      <c r="BR67" s="76">
        <f>股权价值增加表!BR5</f>
        <v>287538468.11000001</v>
      </c>
      <c r="BS67" s="76">
        <f>股权价值增加表!BS5</f>
        <v>146483164.84999999</v>
      </c>
      <c r="BT67" s="76">
        <f>股权价值增加表!BT5</f>
        <v>196863443.99000001</v>
      </c>
      <c r="BU67" s="76">
        <f>股权价值增加表!BU5</f>
        <v>129133236.27</v>
      </c>
      <c r="BV67" s="76">
        <f>股权价值增加表!BV5</f>
        <v>76725369.980000004</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45" t="s">
        <v>476</v>
      </c>
      <c r="E68" s="76">
        <f>资产资本表!E26</f>
        <v>22026303941.34</v>
      </c>
      <c r="F68" s="76">
        <f>资产资本表!F26</f>
        <v>22057481376.459999</v>
      </c>
      <c r="G68" s="76">
        <f>资产资本表!G26</f>
        <v>20871002103.490002</v>
      </c>
      <c r="H68" s="76">
        <f>资产资本表!H26</f>
        <v>20850310407.040001</v>
      </c>
      <c r="I68" s="76">
        <f>资产资本表!I26</f>
        <v>20760473514.599998</v>
      </c>
      <c r="J68" s="76">
        <f>资产资本表!J26</f>
        <v>20622251825.549999</v>
      </c>
      <c r="K68" s="76">
        <f>资产资本表!K26</f>
        <v>18782523499.959999</v>
      </c>
      <c r="L68" s="76">
        <f>资产资本表!L26</f>
        <v>18444926424.66</v>
      </c>
      <c r="M68" s="76">
        <f>资产资本表!M26</f>
        <v>18537817778.200001</v>
      </c>
      <c r="N68" s="76">
        <f>资产资本表!N26</f>
        <v>18013297022.700001</v>
      </c>
      <c r="O68" s="76">
        <f>资产资本表!O26</f>
        <v>16381165059.870001</v>
      </c>
      <c r="P68" s="76">
        <f>资产资本表!P26</f>
        <v>16284072631.219999</v>
      </c>
      <c r="Q68" s="76">
        <f>资产资本表!Q26</f>
        <v>15619209608.459999</v>
      </c>
      <c r="R68" s="76">
        <f>资产资本表!R26</f>
        <v>14982364367.85</v>
      </c>
      <c r="S68" s="76">
        <f>资产资本表!S26</f>
        <v>13454959038.030001</v>
      </c>
      <c r="T68" s="76">
        <f>资产资本表!T26</f>
        <v>13240654522.65</v>
      </c>
      <c r="U68" s="76">
        <f>资产资本表!U26</f>
        <v>12697658854.74</v>
      </c>
      <c r="V68" s="76">
        <f>资产资本表!V26</f>
        <v>11836810239.030001</v>
      </c>
      <c r="W68" s="76">
        <f>资产资本表!W26</f>
        <v>10686189842.1</v>
      </c>
      <c r="X68" s="76">
        <f>资产资本表!X26</f>
        <v>10339021451.719999</v>
      </c>
      <c r="Y68" s="76">
        <f>资产资本表!Y26</f>
        <v>10085273971.49</v>
      </c>
      <c r="Z68" s="76">
        <f>资产资本表!Z26</f>
        <v>9665727593.4200001</v>
      </c>
      <c r="AA68" s="76">
        <f>资产资本表!AA26</f>
        <v>7887354887.0600004</v>
      </c>
      <c r="AB68" s="76">
        <f>资产资本表!AB26</f>
        <v>7773834492.6700001</v>
      </c>
      <c r="AC68" s="76">
        <f>资产资本表!AC26</f>
        <v>7578019306.96</v>
      </c>
      <c r="AD68" s="76">
        <f>资产资本表!AD26</f>
        <v>7187117552.8599997</v>
      </c>
      <c r="AE68" s="76">
        <f>资产资本表!AE26</f>
        <v>6232185752.04</v>
      </c>
      <c r="AF68" s="76">
        <f>资产资本表!AF26</f>
        <v>5915613288.3299999</v>
      </c>
      <c r="AG68" s="76">
        <f>资产资本表!AG26</f>
        <v>5831734652.0799999</v>
      </c>
      <c r="AH68" s="76">
        <f>资产资本表!AH26</f>
        <v>5574126083.4200001</v>
      </c>
      <c r="AI68" s="76">
        <f>资产资本表!AI26</f>
        <v>4791428914.6599998</v>
      </c>
      <c r="AJ68" s="76">
        <f>资产资本表!AJ26</f>
        <v>4495328930.5799999</v>
      </c>
      <c r="AK68" s="76">
        <f>资产资本表!AK26</f>
        <v>4350958976.0299997</v>
      </c>
      <c r="AL68" s="76">
        <f>资产资本表!AL26</f>
        <v>4192246440.3600001</v>
      </c>
      <c r="AM68" s="76">
        <f>资产资本表!AM26</f>
        <v>3405325024.77</v>
      </c>
      <c r="AN68" s="76">
        <f>资产资本表!AN26</f>
        <v>3256220582.6500001</v>
      </c>
      <c r="AO68" s="76">
        <f>资产资本表!AO26</f>
        <v>3222966302.98</v>
      </c>
      <c r="AP68" s="76">
        <f>资产资本表!AP26</f>
        <v>3114567813.3299999</v>
      </c>
      <c r="AQ68" s="76">
        <f>资产资本表!AQ26</f>
        <v>2588105778.73</v>
      </c>
      <c r="AR68" s="76">
        <f>资产资本表!AR26</f>
        <v>2443474684.3400002</v>
      </c>
      <c r="AS68" s="76">
        <f>资产资本表!AS26</f>
        <v>2388248473.75</v>
      </c>
      <c r="AT68" s="76">
        <f>资产资本表!AT26</f>
        <v>2304818947.9200001</v>
      </c>
      <c r="AU68" s="76">
        <f>资产资本表!AU26</f>
        <v>2100782615.3299999</v>
      </c>
      <c r="AV68" s="76">
        <f>资产资本表!AV26</f>
        <v>2120021426.0999999</v>
      </c>
      <c r="AW68" s="76">
        <f>资产资本表!AW26</f>
        <v>2008331715.46</v>
      </c>
      <c r="AX68" s="76">
        <f>资产资本表!AX26</f>
        <v>1974710283.3499999</v>
      </c>
      <c r="AY68" s="76">
        <f>资产资本表!AY26</f>
        <v>1883507683.55</v>
      </c>
      <c r="AZ68" s="76">
        <f>资产资本表!AZ26</f>
        <v>1855279898.3099999</v>
      </c>
      <c r="BA68" s="76">
        <f>资产资本表!BA26</f>
        <v>1800160745.1700001</v>
      </c>
      <c r="BB68" s="76">
        <f>资产资本表!BB26</f>
        <v>1860549625.24</v>
      </c>
      <c r="BC68" s="76">
        <f>资产资本表!BC26</f>
        <v>1684279669.8499999</v>
      </c>
      <c r="BD68" s="76">
        <f>资产资本表!BD26</f>
        <v>1668181460.46</v>
      </c>
      <c r="BE68" s="76">
        <f>资产资本表!BE26</f>
        <v>1640412382.3499999</v>
      </c>
      <c r="BF68" s="76">
        <f>资产资本表!BF26</f>
        <v>1693741195.1099999</v>
      </c>
      <c r="BG68" s="76">
        <f>资产资本表!BG26</f>
        <v>1516497795.8499999</v>
      </c>
      <c r="BH68" s="76">
        <f>资产资本表!BH26</f>
        <v>1318555940.24</v>
      </c>
      <c r="BI68" s="76">
        <f>资产资本表!BI26</f>
        <v>1279320067.02</v>
      </c>
      <c r="BJ68" s="76">
        <f>资产资本表!BJ26</f>
        <v>1215006621.05</v>
      </c>
      <c r="BK68" s="76">
        <f>资产资本表!BK26</f>
        <v>1215900105.02</v>
      </c>
      <c r="BL68" s="76">
        <f>资产资本表!BL26</f>
        <v>1203247938.1400001</v>
      </c>
      <c r="BM68" s="76">
        <f>资产资本表!BM26</f>
        <v>1045879054.34</v>
      </c>
      <c r="BN68" s="76">
        <f>资产资本表!BN26</f>
        <v>1076612588.52</v>
      </c>
      <c r="BO68" s="76">
        <f>资产资本表!BO26</f>
        <v>1021098759.08</v>
      </c>
      <c r="BP68" s="76">
        <f>资产资本表!BP26</f>
        <v>1011422579.27</v>
      </c>
      <c r="BQ68" s="76">
        <f>资产资本表!BQ26</f>
        <v>819827003.17999995</v>
      </c>
      <c r="BR68" s="76">
        <f>资产资本表!BR26</f>
        <v>786368826.80999994</v>
      </c>
      <c r="BS68" s="76">
        <f>资产资本表!BS26</f>
        <v>575547814.27999997</v>
      </c>
      <c r="BT68" s="76">
        <f>资产资本表!BT26</f>
        <v>512332818.61000001</v>
      </c>
      <c r="BU68" s="76">
        <f>资产资本表!BU26</f>
        <v>423401102.17000002</v>
      </c>
      <c r="BV68" s="76">
        <f>资产资本表!BV26</f>
        <v>316665851.52999997</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3" customFormat="1">
      <c r="A69" s="152" t="s">
        <v>477</v>
      </c>
      <c r="E69" s="153">
        <f>E67/(E68+I68)*2</f>
        <v>7.0984214647797778E-2</v>
      </c>
      <c r="F69" s="153">
        <f t="shared" ref="F69:BQ69" si="32">F67/(F68+J68)*2</f>
        <v>0.27837270415224791</v>
      </c>
      <c r="G69" s="153">
        <f t="shared" si="32"/>
        <v>0.21553888278363806</v>
      </c>
      <c r="H69" s="153">
        <f t="shared" si="32"/>
        <v>0.12781337471844212</v>
      </c>
      <c r="I69" s="153">
        <f t="shared" si="32"/>
        <v>5.9900704959436363E-2</v>
      </c>
      <c r="J69" s="153">
        <f t="shared" si="32"/>
        <v>0.1765267577465493</v>
      </c>
      <c r="K69" s="153">
        <f t="shared" si="32"/>
        <v>0.12657367722009871</v>
      </c>
      <c r="L69" s="153">
        <f t="shared" si="32"/>
        <v>8.4966900823489039E-2</v>
      </c>
      <c r="M69" s="153">
        <f t="shared" si="32"/>
        <v>4.4793242872696287E-2</v>
      </c>
      <c r="N69" s="153">
        <f t="shared" si="32"/>
        <v>0.15385886156456818</v>
      </c>
      <c r="O69" s="153">
        <f t="shared" si="32"/>
        <v>0.11710956031001124</v>
      </c>
      <c r="P69" s="153">
        <f t="shared" si="32"/>
        <v>7.8976378020630122E-2</v>
      </c>
      <c r="Q69" s="153">
        <f t="shared" si="32"/>
        <v>4.0950640094507045E-2</v>
      </c>
      <c r="R69" s="153">
        <f t="shared" si="32"/>
        <v>0.17439392275182733</v>
      </c>
      <c r="S69" s="153">
        <f t="shared" si="32"/>
        <v>0.1319992957743128</v>
      </c>
      <c r="T69" s="153">
        <f t="shared" si="32"/>
        <v>8.3762243588369339E-2</v>
      </c>
      <c r="U69" s="153">
        <f t="shared" si="32"/>
        <v>4.4501310368291594E-2</v>
      </c>
      <c r="V69" s="153">
        <f t="shared" si="32"/>
        <v>0.20406152288490351</v>
      </c>
      <c r="W69" s="153">
        <f t="shared" si="32"/>
        <v>0.15515239388288418</v>
      </c>
      <c r="X69" s="153">
        <f t="shared" si="32"/>
        <v>0.10297290276952034</v>
      </c>
      <c r="Y69" s="153">
        <f t="shared" si="32"/>
        <v>5.4476957162568229E-2</v>
      </c>
      <c r="Z69" s="153">
        <f t="shared" si="32"/>
        <v>0.24260668759675261</v>
      </c>
      <c r="AA69" s="153">
        <f t="shared" si="32"/>
        <v>0.23072649224427275</v>
      </c>
      <c r="AB69" s="153">
        <f t="shared" si="32"/>
        <v>0.15481199255396028</v>
      </c>
      <c r="AC69" s="153">
        <f t="shared" si="32"/>
        <v>7.1896237716580769E-2</v>
      </c>
      <c r="AD69" s="153">
        <f t="shared" si="32"/>
        <v>0.24311642662316518</v>
      </c>
      <c r="AE69" s="153">
        <f t="shared" si="32"/>
        <v>0.20970383138873111</v>
      </c>
      <c r="AF69" s="153">
        <f t="shared" si="32"/>
        <v>0.16234312541184712</v>
      </c>
      <c r="AG69" s="153">
        <f t="shared" si="32"/>
        <v>7.7005773776338285E-2</v>
      </c>
      <c r="AH69" s="153">
        <f t="shared" si="32"/>
        <v>0.21562388472203614</v>
      </c>
      <c r="AI69" s="153">
        <f t="shared" si="32"/>
        <v>0.2003952158620276</v>
      </c>
      <c r="AJ69" s="153">
        <f t="shared" si="32"/>
        <v>0.14685843896334053</v>
      </c>
      <c r="AK69" s="153">
        <f t="shared" si="32"/>
        <v>7.8000984060040926E-2</v>
      </c>
      <c r="AL69" s="153">
        <f t="shared" si="32"/>
        <v>0.26021541598375858</v>
      </c>
      <c r="AM69" s="153">
        <f t="shared" si="32"/>
        <v>0.24800738532127112</v>
      </c>
      <c r="AN69" s="153">
        <f t="shared" si="32"/>
        <v>0.18654336816878556</v>
      </c>
      <c r="AO69" s="153">
        <f t="shared" si="32"/>
        <v>8.962349328090928E-2</v>
      </c>
      <c r="AP69" s="153">
        <f t="shared" si="32"/>
        <v>0.29513055792886184</v>
      </c>
      <c r="AQ69" s="153">
        <f t="shared" si="32"/>
        <v>0.26229675038929118</v>
      </c>
      <c r="AR69" s="153">
        <f t="shared" si="32"/>
        <v>0.19373511425974602</v>
      </c>
      <c r="AS69" s="153">
        <f t="shared" si="32"/>
        <v>9.1348595243560288E-2</v>
      </c>
      <c r="AT69" s="153">
        <f t="shared" si="32"/>
        <v>0.40735488472003251</v>
      </c>
      <c r="AU69" s="153">
        <f t="shared" si="32"/>
        <v>0.3326245976887125</v>
      </c>
      <c r="AV69" s="153">
        <f t="shared" si="32"/>
        <v>0.19581748931586521</v>
      </c>
      <c r="AW69" s="153">
        <f t="shared" si="32"/>
        <v>0.1248289062337694</v>
      </c>
      <c r="AX69" s="153">
        <f t="shared" si="32"/>
        <v>0.41258212446982262</v>
      </c>
      <c r="AY69" s="153">
        <f t="shared" si="32"/>
        <v>0.30057699921998948</v>
      </c>
      <c r="AZ69" s="153">
        <f t="shared" si="32"/>
        <v>0.19439248640408044</v>
      </c>
      <c r="BA69" s="153">
        <f t="shared" si="32"/>
        <v>0.13227597640630426</v>
      </c>
      <c r="BB69" s="153">
        <f t="shared" si="32"/>
        <v>0.38663511311229104</v>
      </c>
      <c r="BC69" s="153">
        <f t="shared" si="32"/>
        <v>0.28149194044733616</v>
      </c>
      <c r="BD69" s="153">
        <f t="shared" si="32"/>
        <v>0.19695663504335215</v>
      </c>
      <c r="BE69" s="153">
        <f t="shared" si="32"/>
        <v>0.13474866680503267</v>
      </c>
      <c r="BF69" s="153">
        <f t="shared" si="32"/>
        <v>0.36789455997347859</v>
      </c>
      <c r="BG69" s="153">
        <f t="shared" si="32"/>
        <v>0.26931248592516421</v>
      </c>
      <c r="BH69" s="153">
        <f t="shared" si="32"/>
        <v>0.18236265293375131</v>
      </c>
      <c r="BI69" s="153">
        <f t="shared" si="32"/>
        <v>0.13009102477342938</v>
      </c>
      <c r="BJ69" s="153">
        <f t="shared" si="32"/>
        <v>0.41663826858003805</v>
      </c>
      <c r="BK69" s="153">
        <f t="shared" si="32"/>
        <v>0.2706602247666291</v>
      </c>
      <c r="BL69" s="153">
        <f t="shared" si="32"/>
        <v>0.17784932543402879</v>
      </c>
      <c r="BM69" s="153">
        <f t="shared" si="32"/>
        <v>0.14587603722623518</v>
      </c>
      <c r="BN69" s="153">
        <f t="shared" si="32"/>
        <v>0.36560369522492037</v>
      </c>
      <c r="BO69" s="153">
        <f t="shared" si="32"/>
        <v>0.28910061184587765</v>
      </c>
      <c r="BP69" s="153">
        <f t="shared" si="32"/>
        <v>0.20786609524118904</v>
      </c>
      <c r="BQ69" s="153">
        <f t="shared" si="32"/>
        <v>0.18589002206874861</v>
      </c>
      <c r="BR69" s="153">
        <f t="shared" ref="BR69:CJ69" si="33">BR67/(BR68+BV68)*2</f>
        <v>0.52135889062477692</v>
      </c>
      <c r="BS69" s="153">
        <f t="shared" si="33"/>
        <v>0.50902170494122301</v>
      </c>
      <c r="BT69" s="153">
        <f t="shared" si="33"/>
        <v>0.76849827627324874</v>
      </c>
      <c r="BU69" s="153">
        <f t="shared" si="33"/>
        <v>0.60998063353246368</v>
      </c>
      <c r="BV69" s="153">
        <f t="shared" si="33"/>
        <v>0.48458253145575614</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3" customFormat="1">
      <c r="A70" s="146" t="s">
        <v>478</v>
      </c>
      <c r="E70" s="83">
        <f>E62/E69</f>
        <v>5141.9882830432043</v>
      </c>
      <c r="F70" s="83">
        <f t="shared" ref="F70:BQ70" si="34">F62/F69</f>
        <v>1311.1917747523614</v>
      </c>
      <c r="G70" s="83">
        <f t="shared" si="34"/>
        <v>1693.4299523413313</v>
      </c>
      <c r="H70" s="83">
        <f t="shared" si="34"/>
        <v>2855.7261773586074</v>
      </c>
      <c r="I70" s="83">
        <f t="shared" si="34"/>
        <v>6093.4174355238583</v>
      </c>
      <c r="J70" s="83">
        <f t="shared" si="34"/>
        <v>2067.6752049343913</v>
      </c>
      <c r="K70" s="83">
        <f t="shared" si="34"/>
        <v>2883.6959470277711</v>
      </c>
      <c r="L70" s="83">
        <f t="shared" si="34"/>
        <v>4295.79043677554</v>
      </c>
      <c r="M70" s="83">
        <f t="shared" si="34"/>
        <v>8148.5504641255984</v>
      </c>
      <c r="N70" s="83">
        <f t="shared" si="34"/>
        <v>2372.3040472831308</v>
      </c>
      <c r="O70" s="83">
        <f t="shared" si="34"/>
        <v>3116.7395645050301</v>
      </c>
      <c r="P70" s="83">
        <f t="shared" si="34"/>
        <v>4621.6350907439073</v>
      </c>
      <c r="Q70" s="83">
        <f t="shared" si="34"/>
        <v>8913.1695904543303</v>
      </c>
      <c r="R70" s="83">
        <f t="shared" si="34"/>
        <v>2092.9628409094057</v>
      </c>
      <c r="S70" s="83">
        <f t="shared" si="34"/>
        <v>2765.1662674326885</v>
      </c>
      <c r="T70" s="83">
        <f t="shared" si="34"/>
        <v>4357.5719126353661</v>
      </c>
      <c r="U70" s="83">
        <f t="shared" si="34"/>
        <v>8202.0056708278989</v>
      </c>
      <c r="V70" s="83">
        <f t="shared" si="34"/>
        <v>1788.6762523372443</v>
      </c>
      <c r="W70" s="83">
        <f t="shared" si="34"/>
        <v>2352.5257385040281</v>
      </c>
      <c r="X70" s="83">
        <f t="shared" si="34"/>
        <v>3544.6218391741681</v>
      </c>
      <c r="Y70" s="83">
        <f t="shared" si="34"/>
        <v>6700.0805296591689</v>
      </c>
      <c r="Z70" s="83">
        <f t="shared" si="34"/>
        <v>1504.4927393208663</v>
      </c>
      <c r="AA70" s="83">
        <f t="shared" si="34"/>
        <v>1581.9596460278622</v>
      </c>
      <c r="AB70" s="83">
        <f t="shared" si="34"/>
        <v>2357.6984830343681</v>
      </c>
      <c r="AC70" s="83">
        <f t="shared" si="34"/>
        <v>5076.7607818207625</v>
      </c>
      <c r="AD70" s="83">
        <f t="shared" si="34"/>
        <v>1501.3382891060526</v>
      </c>
      <c r="AE70" s="83">
        <f t="shared" si="34"/>
        <v>1740.5499822432623</v>
      </c>
      <c r="AF70" s="83">
        <f t="shared" si="34"/>
        <v>2248.3243381820703</v>
      </c>
      <c r="AG70" s="83">
        <f t="shared" si="34"/>
        <v>4739.9043227607208</v>
      </c>
      <c r="AH70" s="83">
        <f t="shared" si="34"/>
        <v>1692.7623786693518</v>
      </c>
      <c r="AI70" s="83">
        <f t="shared" si="34"/>
        <v>1821.4007676276215</v>
      </c>
      <c r="AJ70" s="83">
        <f t="shared" si="34"/>
        <v>2485.3866252188132</v>
      </c>
      <c r="AK70" s="83">
        <f t="shared" si="34"/>
        <v>4679.4281430993587</v>
      </c>
      <c r="AL70" s="83">
        <f t="shared" si="34"/>
        <v>1402.6839978719076</v>
      </c>
      <c r="AM70" s="83">
        <f t="shared" si="34"/>
        <v>1471.7303661226683</v>
      </c>
      <c r="AN70" s="83">
        <f t="shared" si="34"/>
        <v>1956.6495640292385</v>
      </c>
      <c r="AO70" s="83">
        <f t="shared" si="34"/>
        <v>4072.5928731205654</v>
      </c>
      <c r="AP70" s="83">
        <f t="shared" si="34"/>
        <v>1236.7407921479262</v>
      </c>
      <c r="AQ70" s="83">
        <f t="shared" si="34"/>
        <v>1391.5536485232105</v>
      </c>
      <c r="AR70" s="83">
        <f t="shared" si="34"/>
        <v>1884.0157159668763</v>
      </c>
      <c r="AS70" s="83">
        <f t="shared" si="34"/>
        <v>3995.6826815651666</v>
      </c>
      <c r="AT70" s="83">
        <f t="shared" si="34"/>
        <v>896.02460579516003</v>
      </c>
      <c r="AU70" s="83">
        <f t="shared" si="34"/>
        <v>1097.3331573679529</v>
      </c>
      <c r="AV70" s="83">
        <f t="shared" si="34"/>
        <v>1863.9805937417234</v>
      </c>
      <c r="AW70" s="83">
        <f t="shared" si="34"/>
        <v>2924.0022284298298</v>
      </c>
      <c r="AX70" s="83">
        <f t="shared" si="34"/>
        <v>884.67235576197891</v>
      </c>
      <c r="AY70" s="83">
        <f t="shared" si="34"/>
        <v>1214.3311063294632</v>
      </c>
      <c r="AZ70" s="83">
        <f t="shared" si="34"/>
        <v>1877.6445877711578</v>
      </c>
      <c r="BA70" s="83">
        <f t="shared" si="34"/>
        <v>2759.3823906379735</v>
      </c>
      <c r="BB70" s="83">
        <f t="shared" si="34"/>
        <v>944.04255490885146</v>
      </c>
      <c r="BC70" s="83">
        <f t="shared" si="34"/>
        <v>1296.6623464243987</v>
      </c>
      <c r="BD70" s="83">
        <f t="shared" si="34"/>
        <v>1853.1998169021308</v>
      </c>
      <c r="BE70" s="83">
        <f t="shared" si="34"/>
        <v>2708.7466514835141</v>
      </c>
      <c r="BF70" s="83">
        <f t="shared" si="34"/>
        <v>992.13209357135577</v>
      </c>
      <c r="BG70" s="83">
        <f t="shared" si="34"/>
        <v>1355.302925321573</v>
      </c>
      <c r="BH70" s="83">
        <f t="shared" si="34"/>
        <v>2001.5063069552798</v>
      </c>
      <c r="BI70" s="83">
        <f t="shared" si="34"/>
        <v>2805.7277635847322</v>
      </c>
      <c r="BJ70" s="83">
        <f t="shared" si="34"/>
        <v>876.05970820676521</v>
      </c>
      <c r="BK70" s="83">
        <f t="shared" si="34"/>
        <v>1348.5542632454153</v>
      </c>
      <c r="BL70" s="83">
        <f t="shared" si="34"/>
        <v>2052.2990408270771</v>
      </c>
      <c r="BM70" s="83">
        <f t="shared" si="34"/>
        <v>2502.1244540248335</v>
      </c>
      <c r="BN70" s="83">
        <f t="shared" si="34"/>
        <v>998.34877154469416</v>
      </c>
      <c r="BO70" s="83">
        <f t="shared" si="34"/>
        <v>1262.5362418623488</v>
      </c>
      <c r="BP70" s="83">
        <f t="shared" si="34"/>
        <v>1755.9381176448567</v>
      </c>
      <c r="BQ70" s="83">
        <f t="shared" si="34"/>
        <v>1963.5265838260555</v>
      </c>
      <c r="BR70" s="83">
        <f t="shared" ref="BR70:CJ70" si="35">BR62/BR69</f>
        <v>700.09355659514642</v>
      </c>
      <c r="BS70" s="83">
        <f t="shared" si="35"/>
        <v>717.06176073994084</v>
      </c>
      <c r="BT70" s="83">
        <f t="shared" si="35"/>
        <v>474.95226894981334</v>
      </c>
      <c r="BU70" s="83">
        <f t="shared" si="35"/>
        <v>598.37965327890106</v>
      </c>
      <c r="BV70" s="83">
        <f t="shared" si="35"/>
        <v>753.22566602532515</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45" t="s">
        <v>479</v>
      </c>
      <c r="E71" s="76">
        <f>资产资本表!E35+资产资本表!E36-资产资本表!E24</f>
        <v>263436952.81999993</v>
      </c>
      <c r="F71" s="76">
        <f>资产资本表!F35+资产资本表!F36-资产资本表!F24</f>
        <v>201248588.39999998</v>
      </c>
      <c r="G71" s="76">
        <f>资产资本表!G35+资产资本表!G36-资产资本表!G24</f>
        <v>286615986.0200001</v>
      </c>
      <c r="H71" s="76">
        <f>资产资本表!H35+资产资本表!H36-资产资本表!H24</f>
        <v>79852920.75999999</v>
      </c>
      <c r="I71" s="76">
        <f>资产资本表!I35+资产资本表!I36-资产资本表!I24</f>
        <v>200617800.49000001</v>
      </c>
      <c r="J71" s="76">
        <f>资产资本表!J35+资产资本表!J36-资产资本表!J24</f>
        <v>-5492493.7400000095</v>
      </c>
      <c r="K71" s="76">
        <f>资产资本表!K35+资产资本表!K36-资产资本表!K24</f>
        <v>-1126358634.6500001</v>
      </c>
      <c r="L71" s="76">
        <f>资产资本表!L35+资产资本表!L36-资产资本表!L24</f>
        <v>-994178253.06999993</v>
      </c>
      <c r="M71" s="76">
        <f>资产资本表!M35+资产资本表!M36-资产资本表!M24</f>
        <v>-996159454.95999992</v>
      </c>
      <c r="N71" s="76">
        <f>资产资本表!N35+资产资本表!N36-资产资本表!N24</f>
        <v>-596758787.81000006</v>
      </c>
      <c r="O71" s="76">
        <f>资产资本表!O35+资产资本表!O36-资产资本表!O24</f>
        <v>-1571629997.1600001</v>
      </c>
      <c r="P71" s="76">
        <f>资产资本表!P35+资产资本表!P36-资产资本表!P24</f>
        <v>-1992340625.5500002</v>
      </c>
      <c r="Q71" s="76">
        <f>资产资本表!Q35+资产资本表!Q36-资产资本表!Q24</f>
        <v>-3118872510.1299996</v>
      </c>
      <c r="R71" s="76">
        <f>资产资本表!R35+资产资本表!R36-资产资本表!R24</f>
        <v>-2156675756.7400002</v>
      </c>
      <c r="S71" s="76">
        <f>资产资本表!S35+资产资本表!S36-资产资本表!S24</f>
        <v>-4143501916.7199998</v>
      </c>
      <c r="T71" s="76">
        <f>资产资本表!T35+资产资本表!T36-资产资本表!T24</f>
        <v>-3564191010.46</v>
      </c>
      <c r="U71" s="76">
        <f>资产资本表!U35+资产资本表!U36-资产资本表!U24</f>
        <v>-3702505343.98</v>
      </c>
      <c r="V71" s="76">
        <f>资产资本表!V35+资产资本表!V36-资产资本表!V24</f>
        <v>-4019831010.7900004</v>
      </c>
      <c r="W71" s="76">
        <f>资产资本表!W35+资产资本表!W36-资产资本表!W24</f>
        <v>-6219155029.71</v>
      </c>
      <c r="X71" s="76">
        <f>资产资本表!X35+资产资本表!X36-资产资本表!X24</f>
        <v>-5405976612</v>
      </c>
      <c r="Y71" s="76">
        <f>资产资本表!Y35+资产资本表!Y36-资产资本表!Y24</f>
        <v>-4454233425.9200001</v>
      </c>
      <c r="Z71" s="76">
        <f>资产资本表!Z35+资产资本表!Z36-资产资本表!Z24</f>
        <v>-3527589430.21</v>
      </c>
      <c r="AA71" s="76">
        <f>资产资本表!AA35+资产资本表!AA36-资产资本表!AA24</f>
        <v>-3775232243.96</v>
      </c>
      <c r="AB71" s="76">
        <f>资产资本表!AB35+资产资本表!AB36-资产资本表!AB24</f>
        <v>-2832705811.1300001</v>
      </c>
      <c r="AC71" s="76">
        <f>资产资本表!AC35+资产资本表!AC36-资产资本表!AC24</f>
        <v>-2098491056.99</v>
      </c>
      <c r="AD71" s="76">
        <f>资产资本表!AD35+资产资本表!AD36-资产资本表!AD24</f>
        <v>-1688683838.97</v>
      </c>
      <c r="AE71" s="76">
        <f>资产资本表!AE35+资产资本表!AE36-资产资本表!AE24</f>
        <v>-1654807427.4400001</v>
      </c>
      <c r="AF71" s="76">
        <f>资产资本表!AF35+资产资本表!AF36-资产资本表!AF24</f>
        <v>-1757834353.05</v>
      </c>
      <c r="AG71" s="76">
        <f>资产资本表!AG35+资产资本表!AG36-资产资本表!AG24</f>
        <v>-1503578109.5799999</v>
      </c>
      <c r="AH71" s="76">
        <f>资产资本表!AH35+资产资本表!AH36-资产资本表!AH24</f>
        <v>-1297855733.24</v>
      </c>
      <c r="AI71" s="76">
        <f>资产资本表!AI35+资产资本表!AI36-资产资本表!AI24</f>
        <v>-1554908677.5599999</v>
      </c>
      <c r="AJ71" s="76">
        <f>资产资本表!AJ35+资产资本表!AJ36-资产资本表!AJ24</f>
        <v>-1405613336.01</v>
      </c>
      <c r="AK71" s="76">
        <f>资产资本表!AK35+资产资本表!AK36-资产资本表!AK24</f>
        <v>-1381156525.4000001</v>
      </c>
      <c r="AL71" s="76">
        <f>资产资本表!AL35+资产资本表!AL36-资产资本表!AL24</f>
        <v>-1064004734.71</v>
      </c>
      <c r="AM71" s="76">
        <f>资产资本表!AM35+资产资本表!AM36-资产资本表!AM24</f>
        <v>-1051693704.73</v>
      </c>
      <c r="AN71" s="76">
        <f>资产资本表!AN35+资产资本表!AN36-资产资本表!AN24</f>
        <v>-836806342.60000002</v>
      </c>
      <c r="AO71" s="76">
        <f>资产资本表!AO35+资产资本表!AO36-资产资本表!AO24</f>
        <v>-658900543.96000004</v>
      </c>
      <c r="AP71" s="76">
        <f>资产资本表!AP35+资产资本表!AP36-资产资本表!AP24</f>
        <v>-620349462.76999998</v>
      </c>
      <c r="AQ71" s="76">
        <f>资产资本表!AQ35+资产资本表!AQ36-资产资本表!AQ24</f>
        <v>91957585.069999993</v>
      </c>
      <c r="AR71" s="76">
        <f>资产资本表!AR35+资产资本表!AR36-资产资本表!AR24</f>
        <v>67435176.670000002</v>
      </c>
      <c r="AS71" s="76">
        <f>资产资本表!AS35+资产资本表!AS36-资产资本表!AS24</f>
        <v>65644928.980000004</v>
      </c>
      <c r="AT71" s="76">
        <f>资产资本表!AT35+资产资本表!AT36-资产资本表!AT24</f>
        <v>52856339.880000003</v>
      </c>
      <c r="AU71" s="76">
        <f>资产资本表!AU35+资产资本表!AU36-资产资本表!AU24</f>
        <v>54101164.050000004</v>
      </c>
      <c r="AV71" s="76">
        <f>资产资本表!AV35+资产资本表!AV36-资产资本表!AV24</f>
        <v>69251645.530000001</v>
      </c>
      <c r="AW71" s="76">
        <f>资产资本表!AW35+资产资本表!AW36-资产资本表!AW24</f>
        <v>56885323.799999997</v>
      </c>
      <c r="AX71" s="76">
        <f>资产资本表!AX35+资产资本表!AX36-资产资本表!AX24</f>
        <v>36571539.700000003</v>
      </c>
      <c r="AY71" s="76">
        <f>资产资本表!AY35+资产资本表!AY36-资产资本表!AY24</f>
        <v>45270567.790000007</v>
      </c>
      <c r="AZ71" s="76">
        <f>资产资本表!AZ35+资产资本表!AZ36-资产资本表!AZ24</f>
        <v>5893093.1400000006</v>
      </c>
      <c r="BA71" s="76">
        <f>资产资本表!BA35+资产资本表!BA36-资产资本表!BA24</f>
        <v>38999264.43</v>
      </c>
      <c r="BB71" s="76">
        <f>资产资本表!BB35+资产资本表!BB36-资产资本表!BB24</f>
        <v>17943262.609999999</v>
      </c>
      <c r="BC71" s="76">
        <f>资产资本表!BC35+资产资本表!BC36-资产资本表!BC24</f>
        <v>12499027.43</v>
      </c>
      <c r="BD71" s="76">
        <f>资产资本表!BD35+资产资本表!BD36-资产资本表!BD24</f>
        <v>-8353606.0099999998</v>
      </c>
      <c r="BE71" s="76">
        <f>资产资本表!BE35+资产资本表!BE36-资产资本表!BE24</f>
        <v>29395921.440000001</v>
      </c>
      <c r="BF71" s="76">
        <f>资产资本表!BF35+资产资本表!BF36-资产资本表!BF24</f>
        <v>31038185.399999999</v>
      </c>
      <c r="BG71" s="76">
        <f>资产资本表!BG35+资产资本表!BG36-资产资本表!BG24</f>
        <v>22345501.649999999</v>
      </c>
      <c r="BH71" s="76">
        <f>资产资本表!BH35+资产资本表!BH36-资产资本表!BH24</f>
        <v>16513177.760000002</v>
      </c>
      <c r="BI71" s="76">
        <f>资产资本表!BI35+资产资本表!BI36-资产资本表!BI24</f>
        <v>6593173.8499999996</v>
      </c>
      <c r="BJ71" s="76">
        <f>资产资本表!BJ35+资产资本表!BJ36-资产资本表!BJ24</f>
        <v>33827915.219999999</v>
      </c>
      <c r="BK71" s="76">
        <f>资产资本表!BK35+资产资本表!BK36-资产资本表!BK24</f>
        <v>39670857.75</v>
      </c>
      <c r="BL71" s="76">
        <f>资产资本表!BL35+资产资本表!BL36-资产资本表!BL24</f>
        <v>27253391.379999999</v>
      </c>
      <c r="BM71" s="76">
        <f>资产资本表!BM35+资产资本表!BM36-资产资本表!BM24</f>
        <v>61559906.439999998</v>
      </c>
      <c r="BN71" s="76">
        <f>资产资本表!BN35+资产资本表!BN36-资产资本表!BN24</f>
        <v>18088627.149999999</v>
      </c>
      <c r="BO71" s="76">
        <f>资产资本表!BO35+资产资本表!BO36-资产资本表!BO24</f>
        <v>41699595.340000004</v>
      </c>
      <c r="BP71" s="76">
        <f>资产资本表!BP35+资产资本表!BP36-资产资本表!BP24</f>
        <v>18239444.390000001</v>
      </c>
      <c r="BQ71" s="76">
        <f>资产资本表!BQ35+资产资本表!BQ36-资产资本表!BQ24</f>
        <v>17563035.990000002</v>
      </c>
      <c r="BR71" s="76">
        <f>资产资本表!BR35+资产资本表!BR36-资产资本表!BR24</f>
        <v>7073219.6399999987</v>
      </c>
      <c r="BS71" s="76">
        <f>资产资本表!BS35+资产资本表!BS36-资产资本表!BS24</f>
        <v>29546343.32</v>
      </c>
      <c r="BT71" s="76">
        <f>资产资本表!BT35+资产资本表!BT36-资产资本表!BT24</f>
        <v>14602796.970000003</v>
      </c>
      <c r="BU71" s="76">
        <f>资产资本表!BU35+资产资本表!BU36-资产资本表!BU24</f>
        <v>22174343.710000001</v>
      </c>
      <c r="BV71" s="76">
        <f>资产资本表!BV35+资产资本表!BV36-资产资本表!BV24</f>
        <v>15110008.26</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3" customFormat="1">
      <c r="A72" s="152" t="s">
        <v>480</v>
      </c>
      <c r="E72" s="153">
        <f>E67/(E71+I71)*2</f>
        <v>6.5448867258797057</v>
      </c>
      <c r="F72" s="153">
        <f t="shared" ref="F72:BQ72" si="36">F67/(F71+J71)*2</f>
        <v>60.692223987076154</v>
      </c>
      <c r="G72" s="153">
        <f t="shared" si="36"/>
        <v>-10.177971335555984</v>
      </c>
      <c r="H72" s="153">
        <f t="shared" si="36"/>
        <v>-5.4930741305515385</v>
      </c>
      <c r="I72" s="153">
        <f t="shared" si="36"/>
        <v>-2.958984408815478</v>
      </c>
      <c r="J72" s="153">
        <f t="shared" si="36"/>
        <v>-11.324522472392236</v>
      </c>
      <c r="K72" s="153">
        <f t="shared" si="36"/>
        <v>-1.6496723941546383</v>
      </c>
      <c r="L72" s="153">
        <f t="shared" si="36"/>
        <v>-0.98804512491262153</v>
      </c>
      <c r="M72" s="153">
        <f t="shared" si="36"/>
        <v>-0.3718085391607735</v>
      </c>
      <c r="N72" s="153">
        <f t="shared" si="36"/>
        <v>-1.8437608797232883</v>
      </c>
      <c r="O72" s="153">
        <f t="shared" si="36"/>
        <v>-0.61137615493600406</v>
      </c>
      <c r="P72" s="153">
        <f t="shared" si="36"/>
        <v>-0.41964235343297224</v>
      </c>
      <c r="Q72" s="153">
        <f t="shared" si="36"/>
        <v>-0.16999408533590091</v>
      </c>
      <c r="R72" s="153">
        <f t="shared" si="36"/>
        <v>-0.75724049866626852</v>
      </c>
      <c r="S72" s="153">
        <f t="shared" si="36"/>
        <v>-0.30750942232607714</v>
      </c>
      <c r="T72" s="153">
        <f t="shared" si="36"/>
        <v>-0.22018390801913998</v>
      </c>
      <c r="U72" s="153">
        <f t="shared" si="36"/>
        <v>-0.12429849642131298</v>
      </c>
      <c r="V72" s="153">
        <f t="shared" si="36"/>
        <v>-0.58136957524505284</v>
      </c>
      <c r="W72" s="153">
        <f t="shared" si="36"/>
        <v>-0.28833482720965353</v>
      </c>
      <c r="X72" s="153">
        <f t="shared" si="36"/>
        <v>-0.22638733455772744</v>
      </c>
      <c r="Y72" s="153">
        <f t="shared" si="36"/>
        <v>-0.14684616662727099</v>
      </c>
      <c r="Z72" s="153">
        <f t="shared" si="36"/>
        <v>-0.78381877760839225</v>
      </c>
      <c r="AA72" s="153">
        <f t="shared" si="36"/>
        <v>-0.59994996001936585</v>
      </c>
      <c r="AB72" s="153">
        <f t="shared" si="36"/>
        <v>-0.46166477411020868</v>
      </c>
      <c r="AC72" s="153">
        <f t="shared" si="36"/>
        <v>-0.2676547322599182</v>
      </c>
      <c r="AD72" s="153">
        <f t="shared" si="36"/>
        <v>-1.0388169575882145</v>
      </c>
      <c r="AE72" s="153">
        <f t="shared" si="36"/>
        <v>-0.72021766278921417</v>
      </c>
      <c r="AF72" s="153">
        <f t="shared" si="36"/>
        <v>-0.53427306673821329</v>
      </c>
      <c r="AG72" s="153">
        <f t="shared" si="36"/>
        <v>-0.2718191796402224</v>
      </c>
      <c r="AH72" s="153">
        <f t="shared" si="36"/>
        <v>-0.8916120201833112</v>
      </c>
      <c r="AI72" s="153">
        <f t="shared" si="36"/>
        <v>-0.63016526272676909</v>
      </c>
      <c r="AJ72" s="153">
        <f t="shared" si="36"/>
        <v>-0.50765718474502652</v>
      </c>
      <c r="AK72" s="153">
        <f t="shared" si="36"/>
        <v>-0.2895868129538825</v>
      </c>
      <c r="AL72" s="153">
        <f t="shared" si="36"/>
        <v>-1.1288277212623365</v>
      </c>
      <c r="AM72" s="153">
        <f t="shared" si="36"/>
        <v>-1.5487747853093028</v>
      </c>
      <c r="AN72" s="153">
        <f t="shared" si="36"/>
        <v>-1.3819602289809976</v>
      </c>
      <c r="AO72" s="153">
        <f t="shared" si="36"/>
        <v>-0.84768969250624582</v>
      </c>
      <c r="AP72" s="153">
        <f t="shared" si="36"/>
        <v>-2.8184070854194734</v>
      </c>
      <c r="AQ72" s="153">
        <f t="shared" si="36"/>
        <v>8.4204485942129086</v>
      </c>
      <c r="AR72" s="153">
        <f t="shared" si="36"/>
        <v>6.4681395481297539</v>
      </c>
      <c r="AS72" s="153">
        <f t="shared" si="36"/>
        <v>3.2777327643410743</v>
      </c>
      <c r="AT72" s="153">
        <f t="shared" si="36"/>
        <v>19.493776938996945</v>
      </c>
      <c r="AU72" s="153">
        <f t="shared" si="36"/>
        <v>13.336518677905735</v>
      </c>
      <c r="AV72" s="153">
        <f t="shared" si="36"/>
        <v>10.359122120824857</v>
      </c>
      <c r="AW72" s="153">
        <f t="shared" si="36"/>
        <v>4.9581476756162948</v>
      </c>
      <c r="AX72" s="153">
        <f t="shared" si="36"/>
        <v>29.02623900169106</v>
      </c>
      <c r="AY72" s="153">
        <f t="shared" si="36"/>
        <v>18.563308474917854</v>
      </c>
      <c r="AZ72" s="153">
        <f t="shared" si="36"/>
        <v>-278.3705879498205</v>
      </c>
      <c r="BA72" s="153">
        <f t="shared" si="36"/>
        <v>6.6540526800384283</v>
      </c>
      <c r="BB72" s="153">
        <f t="shared" si="36"/>
        <v>28.055798454129857</v>
      </c>
      <c r="BC72" s="153">
        <f t="shared" si="36"/>
        <v>25.857518627713365</v>
      </c>
      <c r="BD72" s="153">
        <f t="shared" si="36"/>
        <v>72.094193938548301</v>
      </c>
      <c r="BE72" s="153">
        <f t="shared" si="36"/>
        <v>10.931924012252658</v>
      </c>
      <c r="BF72" s="153">
        <f t="shared" si="36"/>
        <v>16.497253383072252</v>
      </c>
      <c r="BG72" s="153">
        <f t="shared" si="36"/>
        <v>11.865721856933124</v>
      </c>
      <c r="BH72" s="153">
        <f t="shared" si="36"/>
        <v>10.507628413114404</v>
      </c>
      <c r="BI72" s="153">
        <f t="shared" si="36"/>
        <v>4.4383545866581118</v>
      </c>
      <c r="BJ72" s="153">
        <f t="shared" si="36"/>
        <v>18.390597989278231</v>
      </c>
      <c r="BK72" s="153">
        <f t="shared" si="36"/>
        <v>7.4408657241999387</v>
      </c>
      <c r="BL72" s="153">
        <f t="shared" si="36"/>
        <v>8.6580150679404451</v>
      </c>
      <c r="BM72" s="153">
        <f t="shared" si="36"/>
        <v>3.4397331284890131</v>
      </c>
      <c r="BN72" s="153">
        <f t="shared" si="36"/>
        <v>27.069272588158864</v>
      </c>
      <c r="BO72" s="153">
        <f t="shared" si="36"/>
        <v>6.4788465131017201</v>
      </c>
      <c r="BP72" s="153">
        <f t="shared" si="36"/>
        <v>9.6441981894015285</v>
      </c>
      <c r="BQ72" s="153">
        <f t="shared" si="36"/>
        <v>5.8157760195748383</v>
      </c>
      <c r="BR72" s="153">
        <f t="shared" ref="BR72:CJ72" si="37">BR67/(BR71+BV71)*2</f>
        <v>25.923952042164256</v>
      </c>
      <c r="BS72" s="153">
        <f t="shared" si="37"/>
        <v>9.9154851931098449</v>
      </c>
      <c r="BT72" s="153">
        <f t="shared" si="37"/>
        <v>26.962429785805611</v>
      </c>
      <c r="BU72" s="153">
        <f t="shared" si="37"/>
        <v>11.647085294503174</v>
      </c>
      <c r="BV72" s="153">
        <f t="shared" si="37"/>
        <v>10.15556956154834</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3" customFormat="1">
      <c r="A73" s="146" t="s">
        <v>481</v>
      </c>
      <c r="E73" s="83">
        <f>E62/E72</f>
        <v>55.768726837810924</v>
      </c>
      <c r="F73" s="83">
        <f t="shared" ref="F73:BQ73" si="38">F62/F72</f>
        <v>6.0139499926337079</v>
      </c>
      <c r="G73" s="83">
        <f t="shared" si="38"/>
        <v>-35.86176340710449</v>
      </c>
      <c r="H73" s="83">
        <f t="shared" si="38"/>
        <v>-66.447310071774282</v>
      </c>
      <c r="I73" s="83">
        <f t="shared" si="38"/>
        <v>-123.35313390384322</v>
      </c>
      <c r="J73" s="83">
        <f t="shared" si="38"/>
        <v>-32.230939617085326</v>
      </c>
      <c r="K73" s="83">
        <f t="shared" si="38"/>
        <v>-221.25605137924455</v>
      </c>
      <c r="L73" s="83">
        <f t="shared" si="38"/>
        <v>-369.41632603296233</v>
      </c>
      <c r="M73" s="83">
        <f t="shared" si="38"/>
        <v>-981.68805058608564</v>
      </c>
      <c r="N73" s="83">
        <f t="shared" si="38"/>
        <v>-197.96493353019792</v>
      </c>
      <c r="O73" s="83">
        <f t="shared" si="38"/>
        <v>-597.013797566584</v>
      </c>
      <c r="P73" s="83">
        <f t="shared" si="38"/>
        <v>-869.7882780754635</v>
      </c>
      <c r="Q73" s="83">
        <f t="shared" si="38"/>
        <v>-2147.1335269034562</v>
      </c>
      <c r="R73" s="83">
        <f t="shared" si="38"/>
        <v>-482.01331101925518</v>
      </c>
      <c r="S73" s="83">
        <f t="shared" si="38"/>
        <v>-1186.9554995715253</v>
      </c>
      <c r="T73" s="83">
        <f t="shared" si="38"/>
        <v>-1657.7051578550036</v>
      </c>
      <c r="U73" s="83">
        <f t="shared" si="38"/>
        <v>-2936.4796076279395</v>
      </c>
      <c r="V73" s="83">
        <f t="shared" si="38"/>
        <v>-627.82783197099536</v>
      </c>
      <c r="W73" s="83">
        <f t="shared" si="38"/>
        <v>-1265.8893950906659</v>
      </c>
      <c r="X73" s="83">
        <f t="shared" si="38"/>
        <v>-1612.2810081803721</v>
      </c>
      <c r="Y73" s="83">
        <f t="shared" si="38"/>
        <v>-2485.5943357816968</v>
      </c>
      <c r="Z73" s="83">
        <f t="shared" si="38"/>
        <v>-465.66886431797064</v>
      </c>
      <c r="AA73" s="83">
        <f t="shared" si="38"/>
        <v>-608.38407254534718</v>
      </c>
      <c r="AB73" s="83">
        <f t="shared" si="38"/>
        <v>-790.61695946692942</v>
      </c>
      <c r="AC73" s="83">
        <f t="shared" si="38"/>
        <v>-1363.6971665628923</v>
      </c>
      <c r="AD73" s="83">
        <f t="shared" si="38"/>
        <v>-351.36122618503254</v>
      </c>
      <c r="AE73" s="83">
        <f t="shared" si="38"/>
        <v>-506.79123667482787</v>
      </c>
      <c r="AF73" s="83">
        <f t="shared" si="38"/>
        <v>-683.17125216204306</v>
      </c>
      <c r="AG73" s="83">
        <f t="shared" si="38"/>
        <v>-1342.8044352245893</v>
      </c>
      <c r="AH73" s="83">
        <f t="shared" si="38"/>
        <v>-409.37088300464785</v>
      </c>
      <c r="AI73" s="83">
        <f t="shared" si="38"/>
        <v>-579.21313913848485</v>
      </c>
      <c r="AJ73" s="83">
        <f t="shared" si="38"/>
        <v>-718.98913473138998</v>
      </c>
      <c r="AK73" s="83">
        <f t="shared" si="38"/>
        <v>-1260.4165095671233</v>
      </c>
      <c r="AL73" s="83">
        <f t="shared" si="38"/>
        <v>-323.34429171515268</v>
      </c>
      <c r="AM73" s="83">
        <f t="shared" si="38"/>
        <v>-235.67015905873401</v>
      </c>
      <c r="AN73" s="83">
        <f t="shared" si="38"/>
        <v>-264.11758627029121</v>
      </c>
      <c r="AO73" s="83">
        <f t="shared" si="38"/>
        <v>-430.58209062428898</v>
      </c>
      <c r="AP73" s="83">
        <f t="shared" si="38"/>
        <v>-129.50577717756332</v>
      </c>
      <c r="AQ73" s="83">
        <f t="shared" si="38"/>
        <v>43.346859245818834</v>
      </c>
      <c r="AR73" s="83">
        <f t="shared" si="38"/>
        <v>56.43044607866242</v>
      </c>
      <c r="AS73" s="83">
        <f t="shared" si="38"/>
        <v>111.35746146570808</v>
      </c>
      <c r="AT73" s="83">
        <f t="shared" si="38"/>
        <v>18.72392410881773</v>
      </c>
      <c r="AU73" s="83">
        <f t="shared" si="38"/>
        <v>27.36846165144177</v>
      </c>
      <c r="AV73" s="83">
        <f t="shared" si="38"/>
        <v>35.234645922963253</v>
      </c>
      <c r="AW73" s="83">
        <f t="shared" si="38"/>
        <v>73.616201831792097</v>
      </c>
      <c r="AX73" s="83">
        <f t="shared" si="38"/>
        <v>12.574829277011576</v>
      </c>
      <c r="AY73" s="83">
        <f t="shared" si="38"/>
        <v>19.662443281227389</v>
      </c>
      <c r="AZ73" s="83">
        <f t="shared" si="38"/>
        <v>-1.3112017425698559</v>
      </c>
      <c r="BA73" s="83">
        <f t="shared" si="38"/>
        <v>54.853788743658107</v>
      </c>
      <c r="BB73" s="83">
        <f t="shared" si="38"/>
        <v>13.009788354331132</v>
      </c>
      <c r="BC73" s="83">
        <f t="shared" si="38"/>
        <v>14.115816960441178</v>
      </c>
      <c r="BD73" s="83">
        <f t="shared" si="38"/>
        <v>5.0628210131750544</v>
      </c>
      <c r="BE73" s="83">
        <f t="shared" si="38"/>
        <v>33.388450156706426</v>
      </c>
      <c r="BF73" s="83">
        <f t="shared" si="38"/>
        <v>22.124895067352522</v>
      </c>
      <c r="BG73" s="83">
        <f t="shared" si="38"/>
        <v>30.760876110266398</v>
      </c>
      <c r="BH73" s="83">
        <f t="shared" si="38"/>
        <v>34.736668032954924</v>
      </c>
      <c r="BI73" s="83">
        <f t="shared" si="38"/>
        <v>82.237683554442896</v>
      </c>
      <c r="BJ73" s="83">
        <f t="shared" si="38"/>
        <v>19.84709796890759</v>
      </c>
      <c r="BK73" s="83">
        <f t="shared" si="38"/>
        <v>49.053431889371417</v>
      </c>
      <c r="BL73" s="83">
        <f t="shared" si="38"/>
        <v>42.157468788839338</v>
      </c>
      <c r="BM73" s="83">
        <f t="shared" si="38"/>
        <v>106.11288328648193</v>
      </c>
      <c r="BN73" s="83">
        <f t="shared" si="38"/>
        <v>13.483923471207904</v>
      </c>
      <c r="BO73" s="83">
        <f t="shared" si="38"/>
        <v>56.337188921189274</v>
      </c>
      <c r="BP73" s="83">
        <f t="shared" si="38"/>
        <v>37.846588470269722</v>
      </c>
      <c r="BQ73" s="83">
        <f t="shared" si="38"/>
        <v>62.760326183724537</v>
      </c>
      <c r="BR73" s="83">
        <f t="shared" ref="BR73:CJ73" si="39">BR62/BR72</f>
        <v>14.079643389493327</v>
      </c>
      <c r="BS73" s="83">
        <f t="shared" si="39"/>
        <v>36.811108371543355</v>
      </c>
      <c r="BT73" s="83">
        <f t="shared" si="39"/>
        <v>13.537355605545406</v>
      </c>
      <c r="BU73" s="83">
        <f t="shared" si="39"/>
        <v>31.338312613908755</v>
      </c>
      <c r="BV73" s="83">
        <f t="shared" si="39"/>
        <v>35.940869469496434</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4" customFormat="1">
      <c r="A74" s="253" t="s">
        <v>482</v>
      </c>
      <c r="E74" s="254">
        <f>E66+E70</f>
        <v>3758.4930905572892</v>
      </c>
      <c r="F74" s="254">
        <f t="shared" ref="F74:BQ74" si="40">F66+F70</f>
        <v>1030.6545587294138</v>
      </c>
      <c r="G74" s="254">
        <f t="shared" si="40"/>
        <v>1297.3615789572661</v>
      </c>
      <c r="H74" s="254">
        <f t="shared" si="40"/>
        <v>2457.0311873899664</v>
      </c>
      <c r="I74" s="254">
        <f t="shared" si="40"/>
        <v>5050.8553190548191</v>
      </c>
      <c r="J74" s="254">
        <f t="shared" si="40"/>
        <v>1909.5812034800636</v>
      </c>
      <c r="K74" s="254">
        <f t="shared" si="40"/>
        <v>2709.6867683612932</v>
      </c>
      <c r="L74" s="254">
        <f t="shared" si="40"/>
        <v>4230.8276006917467</v>
      </c>
      <c r="M74" s="254">
        <f t="shared" si="40"/>
        <v>7962.4945346007089</v>
      </c>
      <c r="N74" s="254">
        <f t="shared" si="40"/>
        <v>2378.8632322482804</v>
      </c>
      <c r="O74" s="254">
        <f t="shared" si="40"/>
        <v>3153.6951299997045</v>
      </c>
      <c r="P74" s="254">
        <f t="shared" si="40"/>
        <v>4647.1924838123414</v>
      </c>
      <c r="Q74" s="254">
        <f t="shared" si="40"/>
        <v>8855.4142357726505</v>
      </c>
      <c r="R74" s="254">
        <f t="shared" si="40"/>
        <v>2072.128046665965</v>
      </c>
      <c r="S74" s="254">
        <f t="shared" si="40"/>
        <v>2748.2092161340383</v>
      </c>
      <c r="T74" s="254">
        <f t="shared" si="40"/>
        <v>4341.061515764567</v>
      </c>
      <c r="U74" s="254">
        <f t="shared" si="40"/>
        <v>8019.8497167684091</v>
      </c>
      <c r="V74" s="254">
        <f t="shared" si="40"/>
        <v>1718.8412675997124</v>
      </c>
      <c r="W74" s="254">
        <f t="shared" si="40"/>
        <v>2288.3335684449808</v>
      </c>
      <c r="X74" s="254">
        <f t="shared" si="40"/>
        <v>3457.1522618566801</v>
      </c>
      <c r="Y74" s="254">
        <f t="shared" si="40"/>
        <v>6308.5429827283224</v>
      </c>
      <c r="Z74" s="254">
        <f t="shared" si="40"/>
        <v>1384.7497159109594</v>
      </c>
      <c r="AA74" s="254">
        <f t="shared" si="40"/>
        <v>1447.4539142549015</v>
      </c>
      <c r="AB74" s="254">
        <f t="shared" si="40"/>
        <v>2141.1718847984193</v>
      </c>
      <c r="AC74" s="254">
        <f t="shared" si="40"/>
        <v>4408.9804054722454</v>
      </c>
      <c r="AD74" s="254">
        <f t="shared" si="40"/>
        <v>1359.0767381523351</v>
      </c>
      <c r="AE74" s="254">
        <f t="shared" si="40"/>
        <v>1589.1760656493086</v>
      </c>
      <c r="AF74" s="254">
        <f t="shared" si="40"/>
        <v>2087.8923621813678</v>
      </c>
      <c r="AG74" s="254">
        <f t="shared" si="40"/>
        <v>4237.0398412571822</v>
      </c>
      <c r="AH74" s="254">
        <f t="shared" si="40"/>
        <v>1587.5180345167544</v>
      </c>
      <c r="AI74" s="254">
        <f t="shared" si="40"/>
        <v>1747.6613566899246</v>
      </c>
      <c r="AJ74" s="254">
        <f t="shared" si="40"/>
        <v>2421.2380572926572</v>
      </c>
      <c r="AK74" s="254">
        <f t="shared" si="40"/>
        <v>4390.3015729727204</v>
      </c>
      <c r="AL74" s="254">
        <f t="shared" si="40"/>
        <v>1305.5868753597874</v>
      </c>
      <c r="AM74" s="254">
        <f t="shared" si="40"/>
        <v>1431.6198877333945</v>
      </c>
      <c r="AN74" s="254">
        <f t="shared" si="40"/>
        <v>1935.1336881584616</v>
      </c>
      <c r="AO74" s="254">
        <f t="shared" si="40"/>
        <v>3858.5081338556702</v>
      </c>
      <c r="AP74" s="254">
        <f t="shared" si="40"/>
        <v>1171.9560435561093</v>
      </c>
      <c r="AQ74" s="254">
        <f t="shared" si="40"/>
        <v>1326.8251843875728</v>
      </c>
      <c r="AR74" s="254">
        <f t="shared" si="40"/>
        <v>1801.424950933028</v>
      </c>
      <c r="AS74" s="254">
        <f t="shared" si="40"/>
        <v>3749.1690651382951</v>
      </c>
      <c r="AT74" s="254">
        <f t="shared" si="40"/>
        <v>839.18811929088383</v>
      </c>
      <c r="AU74" s="254">
        <f t="shared" si="40"/>
        <v>985.79890029548062</v>
      </c>
      <c r="AV74" s="254">
        <f t="shared" si="40"/>
        <v>1692.9411446006857</v>
      </c>
      <c r="AW74" s="254">
        <f t="shared" si="40"/>
        <v>2600.7344485266367</v>
      </c>
      <c r="AX74" s="254">
        <f t="shared" si="40"/>
        <v>803.94766183291006</v>
      </c>
      <c r="AY74" s="254">
        <f t="shared" si="40"/>
        <v>1099.0557743942059</v>
      </c>
      <c r="AZ74" s="254">
        <f t="shared" si="40"/>
        <v>1731.2173266884276</v>
      </c>
      <c r="BA74" s="254">
        <f t="shared" si="40"/>
        <v>2503.7562480250367</v>
      </c>
      <c r="BB74" s="254">
        <f t="shared" si="40"/>
        <v>884.4671791393082</v>
      </c>
      <c r="BC74" s="254">
        <f t="shared" si="40"/>
        <v>1223.844610025091</v>
      </c>
      <c r="BD74" s="254">
        <f t="shared" si="40"/>
        <v>1766.5000742204277</v>
      </c>
      <c r="BE74" s="254">
        <f t="shared" si="40"/>
        <v>2553.8856853924644</v>
      </c>
      <c r="BF74" s="254">
        <f t="shared" si="40"/>
        <v>948.65735106271904</v>
      </c>
      <c r="BG74" s="254">
        <f t="shared" si="40"/>
        <v>1301.7929129114084</v>
      </c>
      <c r="BH74" s="254">
        <f t="shared" si="40"/>
        <v>1949.0173345690455</v>
      </c>
      <c r="BI74" s="254">
        <f t="shared" si="40"/>
        <v>2739.5383290750879</v>
      </c>
      <c r="BJ74" s="254">
        <f t="shared" si="40"/>
        <v>841.78660263058566</v>
      </c>
      <c r="BK74" s="254">
        <f t="shared" si="40"/>
        <v>1309.0133222055474</v>
      </c>
      <c r="BL74" s="254">
        <f t="shared" si="40"/>
        <v>2018.4726198652172</v>
      </c>
      <c r="BM74" s="254">
        <f t="shared" si="40"/>
        <v>2475.7241763653215</v>
      </c>
      <c r="BN74" s="254">
        <f t="shared" si="40"/>
        <v>973.00692310023271</v>
      </c>
      <c r="BO74" s="254">
        <f t="shared" si="40"/>
        <v>1250.3864021345969</v>
      </c>
      <c r="BP74" s="254">
        <f t="shared" si="40"/>
        <v>1717.9185507747579</v>
      </c>
      <c r="BQ74" s="254">
        <f t="shared" si="40"/>
        <v>1946.8787618167564</v>
      </c>
      <c r="BR74" s="254">
        <f t="shared" ref="BR74:CK74" si="41">BR66+BR70</f>
        <v>685.2742972944244</v>
      </c>
      <c r="BS74" s="254">
        <f t="shared" si="41"/>
        <v>718.63702080204177</v>
      </c>
      <c r="BT74" s="254">
        <f t="shared" si="41"/>
        <v>458.086369604477</v>
      </c>
      <c r="BU74" s="254">
        <f t="shared" si="41"/>
        <v>596.94443497668351</v>
      </c>
      <c r="BV74" s="254">
        <f t="shared" si="41"/>
        <v>749.86579446336737</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c r="A75" s="253" t="s">
        <v>483</v>
      </c>
      <c r="E75" s="254">
        <f>E74-E73</f>
        <v>3702.7243637194783</v>
      </c>
      <c r="F75" s="254">
        <f t="shared" ref="F75:BQ75" si="42">F74-F73</f>
        <v>1024.64060873678</v>
      </c>
      <c r="G75" s="254">
        <f t="shared" si="42"/>
        <v>1333.2233423643706</v>
      </c>
      <c r="H75" s="254">
        <f t="shared" si="42"/>
        <v>2523.4784974617405</v>
      </c>
      <c r="I75" s="254">
        <f t="shared" si="42"/>
        <v>5174.2084529586627</v>
      </c>
      <c r="J75" s="254">
        <f t="shared" si="42"/>
        <v>1941.8121430971489</v>
      </c>
      <c r="K75" s="254">
        <f t="shared" si="42"/>
        <v>2930.9428197405377</v>
      </c>
      <c r="L75" s="254">
        <f t="shared" si="42"/>
        <v>4600.2439267247091</v>
      </c>
      <c r="M75" s="254">
        <f t="shared" si="42"/>
        <v>8944.1825851867943</v>
      </c>
      <c r="N75" s="254">
        <f t="shared" si="42"/>
        <v>2576.8281657784783</v>
      </c>
      <c r="O75" s="254">
        <f t="shared" si="42"/>
        <v>3750.7089275662884</v>
      </c>
      <c r="P75" s="254">
        <f t="shared" si="42"/>
        <v>5516.9807618878049</v>
      </c>
      <c r="Q75" s="254">
        <f t="shared" si="42"/>
        <v>11002.547762676106</v>
      </c>
      <c r="R75" s="254">
        <f t="shared" si="42"/>
        <v>2554.1413576852201</v>
      </c>
      <c r="S75" s="254">
        <f t="shared" si="42"/>
        <v>3935.1647157055636</v>
      </c>
      <c r="T75" s="254">
        <f t="shared" si="42"/>
        <v>5998.7666736195706</v>
      </c>
      <c r="U75" s="254">
        <f t="shared" si="42"/>
        <v>10956.329324396349</v>
      </c>
      <c r="V75" s="254">
        <f t="shared" si="42"/>
        <v>2346.6690995707077</v>
      </c>
      <c r="W75" s="254">
        <f t="shared" si="42"/>
        <v>3554.2229635356466</v>
      </c>
      <c r="X75" s="254">
        <f t="shared" si="42"/>
        <v>5069.4332700370524</v>
      </c>
      <c r="Y75" s="254">
        <f t="shared" si="42"/>
        <v>8794.1373185100201</v>
      </c>
      <c r="Z75" s="254">
        <f t="shared" si="42"/>
        <v>1850.4185802289301</v>
      </c>
      <c r="AA75" s="254">
        <f t="shared" si="42"/>
        <v>2055.8379868002485</v>
      </c>
      <c r="AB75" s="254">
        <f t="shared" si="42"/>
        <v>2931.7888442653489</v>
      </c>
      <c r="AC75" s="254">
        <f t="shared" si="42"/>
        <v>5772.6775720351379</v>
      </c>
      <c r="AD75" s="254">
        <f t="shared" si="42"/>
        <v>1710.4379643373677</v>
      </c>
      <c r="AE75" s="254">
        <f t="shared" si="42"/>
        <v>2095.9673023241367</v>
      </c>
      <c r="AF75" s="254">
        <f t="shared" si="42"/>
        <v>2771.0636143434108</v>
      </c>
      <c r="AG75" s="254">
        <f t="shared" si="42"/>
        <v>5579.8442764817719</v>
      </c>
      <c r="AH75" s="254">
        <f t="shared" si="42"/>
        <v>1996.8889175214022</v>
      </c>
      <c r="AI75" s="254">
        <f t="shared" si="42"/>
        <v>2326.8744958284096</v>
      </c>
      <c r="AJ75" s="254">
        <f t="shared" si="42"/>
        <v>3140.2271920240473</v>
      </c>
      <c r="AK75" s="254">
        <f t="shared" si="42"/>
        <v>5650.7180825398436</v>
      </c>
      <c r="AL75" s="254">
        <f t="shared" si="42"/>
        <v>1628.93116707494</v>
      </c>
      <c r="AM75" s="254">
        <f t="shared" si="42"/>
        <v>1667.2900467921286</v>
      </c>
      <c r="AN75" s="254">
        <f t="shared" si="42"/>
        <v>2199.2512744287528</v>
      </c>
      <c r="AO75" s="254">
        <f t="shared" si="42"/>
        <v>4289.090224479959</v>
      </c>
      <c r="AP75" s="254">
        <f t="shared" si="42"/>
        <v>1301.4618207336725</v>
      </c>
      <c r="AQ75" s="254">
        <f t="shared" si="42"/>
        <v>1283.4783251417539</v>
      </c>
      <c r="AR75" s="254">
        <f t="shared" si="42"/>
        <v>1744.9945048543655</v>
      </c>
      <c r="AS75" s="254">
        <f t="shared" si="42"/>
        <v>3637.8116036725869</v>
      </c>
      <c r="AT75" s="254">
        <f t="shared" si="42"/>
        <v>820.46419518206608</v>
      </c>
      <c r="AU75" s="254">
        <f t="shared" si="42"/>
        <v>958.43043864403887</v>
      </c>
      <c r="AV75" s="254">
        <f t="shared" si="42"/>
        <v>1657.7064986777225</v>
      </c>
      <c r="AW75" s="254">
        <f t="shared" si="42"/>
        <v>2527.1182466948444</v>
      </c>
      <c r="AX75" s="254">
        <f t="shared" si="42"/>
        <v>791.37283255589853</v>
      </c>
      <c r="AY75" s="254">
        <f t="shared" si="42"/>
        <v>1079.3933311129786</v>
      </c>
      <c r="AZ75" s="254">
        <f t="shared" si="42"/>
        <v>1732.5285284309975</v>
      </c>
      <c r="BA75" s="254">
        <f t="shared" si="42"/>
        <v>2448.9024592813785</v>
      </c>
      <c r="BB75" s="254">
        <f t="shared" si="42"/>
        <v>871.45739078497706</v>
      </c>
      <c r="BC75" s="254">
        <f t="shared" si="42"/>
        <v>1209.7287930646498</v>
      </c>
      <c r="BD75" s="254">
        <f t="shared" si="42"/>
        <v>1761.4372532072525</v>
      </c>
      <c r="BE75" s="254">
        <f t="shared" si="42"/>
        <v>2520.4972352357581</v>
      </c>
      <c r="BF75" s="254">
        <f t="shared" si="42"/>
        <v>926.53245599536649</v>
      </c>
      <c r="BG75" s="254">
        <f t="shared" si="42"/>
        <v>1271.0320368011419</v>
      </c>
      <c r="BH75" s="254">
        <f t="shared" si="42"/>
        <v>1914.2806665360906</v>
      </c>
      <c r="BI75" s="254">
        <f t="shared" si="42"/>
        <v>2657.300645520645</v>
      </c>
      <c r="BJ75" s="254">
        <f t="shared" si="42"/>
        <v>821.93950466167803</v>
      </c>
      <c r="BK75" s="254">
        <f t="shared" si="42"/>
        <v>1259.9598903161759</v>
      </c>
      <c r="BL75" s="254">
        <f t="shared" si="42"/>
        <v>1976.3151510763778</v>
      </c>
      <c r="BM75" s="254">
        <f t="shared" si="42"/>
        <v>2369.6112930788395</v>
      </c>
      <c r="BN75" s="254">
        <f t="shared" si="42"/>
        <v>959.52299962902475</v>
      </c>
      <c r="BO75" s="254">
        <f t="shared" si="42"/>
        <v>1194.0492132134077</v>
      </c>
      <c r="BP75" s="254">
        <f t="shared" si="42"/>
        <v>1680.0719623044881</v>
      </c>
      <c r="BQ75" s="254">
        <f t="shared" si="42"/>
        <v>1884.1184356330318</v>
      </c>
      <c r="BR75" s="254">
        <f t="shared" ref="BR75:CJ75" si="43">BR74-BR73</f>
        <v>671.1946539049311</v>
      </c>
      <c r="BS75" s="254">
        <f t="shared" si="43"/>
        <v>681.82591243049842</v>
      </c>
      <c r="BT75" s="254">
        <f t="shared" si="43"/>
        <v>444.54901399893157</v>
      </c>
      <c r="BU75" s="254">
        <f t="shared" si="43"/>
        <v>565.60612236277473</v>
      </c>
      <c r="BV75" s="254">
        <f t="shared" si="43"/>
        <v>713.92492499387095</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20" customFormat="1">
      <c r="A76" s="147" t="s">
        <v>484</v>
      </c>
      <c r="E76" s="120">
        <f>E71-E64-E68</f>
        <v>-9389545084.9799995</v>
      </c>
      <c r="F76" s="120">
        <f t="shared" ref="F76:BQ76" si="44">F71-F64-F68</f>
        <v>-8648831924.6800003</v>
      </c>
      <c r="G76" s="120">
        <f t="shared" si="44"/>
        <v>-4942412322.9700012</v>
      </c>
      <c r="H76" s="120">
        <f t="shared" si="44"/>
        <v>-4688062291.1500015</v>
      </c>
      <c r="I76" s="120">
        <f t="shared" si="44"/>
        <v>-2749041015.4699974</v>
      </c>
      <c r="J76" s="120">
        <f t="shared" si="44"/>
        <v>-3904289254.2800007</v>
      </c>
      <c r="K76" s="120">
        <f t="shared" si="44"/>
        <v>-3662408924.4599972</v>
      </c>
      <c r="L76" s="120">
        <f t="shared" si="44"/>
        <v>-14520171464.07</v>
      </c>
      <c r="M76" s="120">
        <f t="shared" si="44"/>
        <v>-15667795673.52</v>
      </c>
      <c r="N76" s="120">
        <f t="shared" si="44"/>
        <v>-18927639913.18</v>
      </c>
      <c r="O76" s="120">
        <f t="shared" si="44"/>
        <v>-20642331477.700001</v>
      </c>
      <c r="P76" s="120">
        <f t="shared" si="44"/>
        <v>-19895122188.169998</v>
      </c>
      <c r="Q76" s="120">
        <f t="shared" si="44"/>
        <v>-18755342645.449997</v>
      </c>
      <c r="R76" s="120">
        <f t="shared" si="44"/>
        <v>-17514951807.57</v>
      </c>
      <c r="S76" s="120">
        <f t="shared" si="44"/>
        <v>-17896411199.299999</v>
      </c>
      <c r="T76" s="120">
        <f t="shared" si="44"/>
        <v>-16562664486.139999</v>
      </c>
      <c r="U76" s="120">
        <f t="shared" si="44"/>
        <v>-15069152693.57</v>
      </c>
      <c r="V76" s="120">
        <f t="shared" si="44"/>
        <v>-13108538891.510002</v>
      </c>
      <c r="W76" s="120">
        <f t="shared" si="44"/>
        <v>-15160221027.130001</v>
      </c>
      <c r="X76" s="120">
        <f t="shared" si="44"/>
        <v>-15070167546.349998</v>
      </c>
      <c r="Y76" s="120">
        <f t="shared" si="44"/>
        <v>-11745070561.6</v>
      </c>
      <c r="Z76" s="120">
        <f t="shared" si="44"/>
        <v>-8323828019.1499996</v>
      </c>
      <c r="AA76" s="120">
        <f t="shared" si="44"/>
        <v>-8265735382.6400003</v>
      </c>
      <c r="AB76" s="120">
        <f t="shared" si="44"/>
        <v>-6784936074.8200006</v>
      </c>
      <c r="AC76" s="120">
        <f t="shared" si="44"/>
        <v>-4138463433.2399998</v>
      </c>
      <c r="AD76" s="120">
        <f t="shared" si="44"/>
        <v>-2103479407.5900002</v>
      </c>
      <c r="AE76" s="120">
        <f t="shared" si="44"/>
        <v>-1367908916.9000006</v>
      </c>
      <c r="AF76" s="120">
        <f t="shared" si="44"/>
        <v>-2957287722.0500002</v>
      </c>
      <c r="AG76" s="120">
        <f t="shared" si="44"/>
        <v>-1168538433.7700005</v>
      </c>
      <c r="AH76" s="120">
        <f t="shared" si="44"/>
        <v>-2339476767.6099997</v>
      </c>
      <c r="AI76" s="120">
        <f t="shared" si="44"/>
        <v>-3383544083.5700002</v>
      </c>
      <c r="AJ76" s="120">
        <f t="shared" si="44"/>
        <v>-4141780842.2699995</v>
      </c>
      <c r="AK76" s="120">
        <f t="shared" si="44"/>
        <v>-3003597948.3099999</v>
      </c>
      <c r="AL76" s="120">
        <f t="shared" si="44"/>
        <v>-2141973892.3500004</v>
      </c>
      <c r="AM76" s="120">
        <f t="shared" si="44"/>
        <v>-3482550976.4700003</v>
      </c>
      <c r="AN76" s="120">
        <f t="shared" si="44"/>
        <v>-3633914524.2400002</v>
      </c>
      <c r="AO76" s="120">
        <f t="shared" si="44"/>
        <v>-2270966525.2399998</v>
      </c>
      <c r="AP76" s="120">
        <f t="shared" si="44"/>
        <v>-1004088604.8400002</v>
      </c>
      <c r="AQ76" s="120">
        <f t="shared" si="44"/>
        <v>-1697793437.5799999</v>
      </c>
      <c r="AR76" s="120">
        <f t="shared" si="44"/>
        <v>-2224372188.4700003</v>
      </c>
      <c r="AS76" s="120">
        <f t="shared" si="44"/>
        <v>-1183277542.74</v>
      </c>
      <c r="AT76" s="120">
        <f t="shared" si="44"/>
        <v>-1274127789.1200001</v>
      </c>
      <c r="AU76" s="120">
        <f t="shared" si="44"/>
        <v>-36381755.539999962</v>
      </c>
      <c r="AV76" s="120">
        <f t="shared" si="44"/>
        <v>147086828.20000029</v>
      </c>
      <c r="AW76" s="120">
        <f t="shared" si="44"/>
        <v>38250485.639999628</v>
      </c>
      <c r="AX76" s="120">
        <f t="shared" si="44"/>
        <v>-55091884.289999962</v>
      </c>
      <c r="AY76" s="120">
        <f t="shared" si="44"/>
        <v>226167512.32999992</v>
      </c>
      <c r="AZ76" s="120">
        <f t="shared" si="44"/>
        <v>-100918425.94999981</v>
      </c>
      <c r="BA76" s="120">
        <f t="shared" si="44"/>
        <v>-396868762.01999998</v>
      </c>
      <c r="BB76" s="120">
        <f t="shared" si="44"/>
        <v>-502759266.07000017</v>
      </c>
      <c r="BC76" s="120">
        <f t="shared" si="44"/>
        <v>-422629030.47999978</v>
      </c>
      <c r="BD76" s="120">
        <f t="shared" si="44"/>
        <v>-678987884.38999999</v>
      </c>
      <c r="BE76" s="120">
        <f t="shared" si="44"/>
        <v>-793894199.79999983</v>
      </c>
      <c r="BF76" s="120">
        <f t="shared" si="44"/>
        <v>-772461554.15999997</v>
      </c>
      <c r="BG76" s="120">
        <f t="shared" si="44"/>
        <v>-724627548.82000005</v>
      </c>
      <c r="BH76" s="120">
        <f t="shared" si="44"/>
        <v>-704854469.33000004</v>
      </c>
      <c r="BI76" s="120">
        <f t="shared" si="44"/>
        <v>-790751407.38999987</v>
      </c>
      <c r="BJ76" s="120">
        <f t="shared" si="44"/>
        <v>-509836752.19999993</v>
      </c>
      <c r="BK76" s="120">
        <f t="shared" si="44"/>
        <v>-537667158.71999991</v>
      </c>
      <c r="BL76" s="120">
        <f t="shared" si="44"/>
        <v>-823951097.6500001</v>
      </c>
      <c r="BM76" s="120">
        <f t="shared" si="44"/>
        <v>-886138511.56000006</v>
      </c>
      <c r="BN76" s="120">
        <f t="shared" si="44"/>
        <v>-685759738.50999999</v>
      </c>
      <c r="BO76" s="120">
        <f t="shared" si="44"/>
        <v>-735420797.98000002</v>
      </c>
      <c r="BP76" s="120">
        <f t="shared" si="44"/>
        <v>-851165176.11000001</v>
      </c>
      <c r="BQ76" s="120">
        <f t="shared" si="44"/>
        <v>-719160329.23000002</v>
      </c>
      <c r="BR76" s="120">
        <f t="shared" ref="BR76:CJ76" si="45">BR71-BR64-BR68</f>
        <v>-531589049.76999998</v>
      </c>
      <c r="BS76" s="120">
        <f t="shared" si="45"/>
        <v>-562303702.43999994</v>
      </c>
      <c r="BT76" s="120">
        <f t="shared" si="45"/>
        <v>-162774627.75999999</v>
      </c>
      <c r="BU76" s="120">
        <f t="shared" si="45"/>
        <v>-387386748.24000001</v>
      </c>
      <c r="BV76" s="120">
        <f t="shared" si="45"/>
        <v>-237061653.70999998</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14999999999998" customHeight="1">
      <c r="A77" s="279" t="s">
        <v>690</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c r="A80" s="247" t="s">
        <v>578</v>
      </c>
      <c r="B80" s="1">
        <v>43465</v>
      </c>
      <c r="C80" s="1">
        <v>43373</v>
      </c>
      <c r="D80" s="1">
        <v>43281</v>
      </c>
      <c r="E80" s="1">
        <v>43190</v>
      </c>
      <c r="F80" s="1">
        <v>43100</v>
      </c>
      <c r="G80" s="1">
        <v>43008</v>
      </c>
      <c r="H80" s="1">
        <v>42916</v>
      </c>
      <c r="I80" s="1">
        <v>42825</v>
      </c>
      <c r="J80" s="1">
        <v>42735</v>
      </c>
      <c r="K80" s="1">
        <v>42643</v>
      </c>
      <c r="L80" s="1">
        <v>42551</v>
      </c>
      <c r="M80" s="1">
        <v>42460</v>
      </c>
      <c r="N80" s="1">
        <v>42369</v>
      </c>
      <c r="O80" s="1">
        <v>42277</v>
      </c>
      <c r="P80" s="1">
        <v>42185</v>
      </c>
      <c r="Q80" s="1">
        <v>42094</v>
      </c>
      <c r="R80" s="1">
        <v>42004</v>
      </c>
      <c r="S80" s="1">
        <v>41912</v>
      </c>
      <c r="T80" s="1">
        <v>41820</v>
      </c>
      <c r="U80" s="1">
        <v>41729</v>
      </c>
      <c r="V80" s="1">
        <v>41639</v>
      </c>
      <c r="W80" s="1">
        <v>41547</v>
      </c>
      <c r="X80" s="1">
        <v>41455</v>
      </c>
      <c r="Y80" s="1">
        <v>41364</v>
      </c>
      <c r="Z80" s="1">
        <v>41274</v>
      </c>
      <c r="AA80" s="1">
        <v>41182</v>
      </c>
      <c r="AB80" s="1">
        <v>41090</v>
      </c>
      <c r="AC80" s="1">
        <v>40999</v>
      </c>
      <c r="AD80" s="1">
        <v>40908</v>
      </c>
      <c r="AE80" s="1">
        <v>40816</v>
      </c>
      <c r="AF80" s="1">
        <v>40724</v>
      </c>
      <c r="AG80" s="1">
        <v>40633</v>
      </c>
      <c r="AH80" s="1">
        <v>40543</v>
      </c>
      <c r="AI80" s="1">
        <v>40451</v>
      </c>
      <c r="AJ80" s="1">
        <v>40359</v>
      </c>
      <c r="AK80" s="1">
        <v>40268</v>
      </c>
      <c r="AL80" s="1">
        <v>40178</v>
      </c>
      <c r="AM80" s="1">
        <v>40086</v>
      </c>
      <c r="AN80" s="1">
        <v>39994</v>
      </c>
      <c r="AO80" s="1">
        <v>39903</v>
      </c>
      <c r="AP80" s="1">
        <v>39813</v>
      </c>
      <c r="AQ80" s="1">
        <v>39721</v>
      </c>
      <c r="AR80" s="1">
        <v>39629</v>
      </c>
      <c r="AS80" s="1">
        <v>39538</v>
      </c>
      <c r="AT80" s="1">
        <v>39447</v>
      </c>
      <c r="AU80" s="1">
        <v>39355</v>
      </c>
      <c r="AV80" s="1">
        <v>39263</v>
      </c>
      <c r="AW80" s="1">
        <v>39172</v>
      </c>
      <c r="AX80" s="1">
        <v>39082</v>
      </c>
      <c r="AY80" s="1">
        <v>38990</v>
      </c>
      <c r="AZ80" s="1">
        <v>38898</v>
      </c>
      <c r="BA80" s="1">
        <v>38807</v>
      </c>
      <c r="BB80" s="1">
        <v>38717</v>
      </c>
      <c r="BC80" s="1">
        <v>38625</v>
      </c>
      <c r="BD80" s="1">
        <v>38533</v>
      </c>
      <c r="BE80" s="1">
        <v>38442</v>
      </c>
      <c r="BF80" s="1">
        <v>38352</v>
      </c>
      <c r="BG80" s="1">
        <v>38260</v>
      </c>
      <c r="BH80" s="1">
        <v>38168</v>
      </c>
      <c r="BI80" s="1">
        <v>38077</v>
      </c>
      <c r="BJ80" s="1">
        <v>37986</v>
      </c>
      <c r="BK80" s="1">
        <v>37894</v>
      </c>
      <c r="BL80" s="1">
        <v>37802</v>
      </c>
      <c r="BM80" s="1">
        <v>37711</v>
      </c>
      <c r="BN80" s="1">
        <v>37621</v>
      </c>
      <c r="BO80" s="1">
        <v>37529</v>
      </c>
      <c r="BP80" s="1">
        <v>37437</v>
      </c>
      <c r="BQ80" s="1">
        <v>37346</v>
      </c>
      <c r="BR80" s="1">
        <v>37256</v>
      </c>
      <c r="BS80" s="1">
        <v>37072</v>
      </c>
      <c r="BT80" s="1">
        <v>36891</v>
      </c>
      <c r="BU80" s="1">
        <v>36525</v>
      </c>
      <c r="BV80" s="1">
        <v>36160</v>
      </c>
      <c r="BW80" s="1">
        <v>25569</v>
      </c>
      <c r="BX80" s="1"/>
      <c r="BY80" s="1"/>
      <c r="BZ80" s="1"/>
      <c r="CA80" s="1"/>
      <c r="CB80" s="1"/>
      <c r="CC80" s="1"/>
      <c r="CD80" s="1"/>
      <c r="CE80" s="1"/>
      <c r="CF80" s="1"/>
      <c r="CG80" s="1"/>
      <c r="CH80" s="1"/>
      <c r="CI80" s="1"/>
      <c r="CJ80" s="1"/>
      <c r="CK80" s="1"/>
    </row>
    <row r="81" spans="1:89" s="76" customFormat="1">
      <c r="A81" s="70" t="s">
        <v>579</v>
      </c>
      <c r="E81" s="76">
        <f>股权价值增加表!E4</f>
        <v>17466166384.959999</v>
      </c>
      <c r="F81" s="76">
        <f>股权价值增加表!F4</f>
        <v>58217861314.169998</v>
      </c>
      <c r="G81" s="76">
        <f>股权价值增加表!G4</f>
        <v>42450467500.010002</v>
      </c>
      <c r="H81" s="76">
        <f>股权价值增加表!H4</f>
        <v>24190030218.959999</v>
      </c>
      <c r="I81" s="76">
        <f>股权价值增加表!I4</f>
        <v>13308639084.870001</v>
      </c>
      <c r="J81" s="76">
        <f>股权价值增加表!J4</f>
        <v>38862189993.839996</v>
      </c>
      <c r="K81" s="76">
        <f>股权价值增加表!K4</f>
        <v>26631884032.43</v>
      </c>
      <c r="L81" s="76">
        <f>股权价值增加表!L4</f>
        <v>18173234673.439999</v>
      </c>
      <c r="M81" s="76">
        <f>股权价值增加表!M4</f>
        <v>9988753730.9699993</v>
      </c>
      <c r="N81" s="76">
        <f>股权价值增加表!N4</f>
        <v>32659583725.279999</v>
      </c>
      <c r="O81" s="76">
        <f>股权价值增加表!O4</f>
        <v>23148688960.889999</v>
      </c>
      <c r="P81" s="76">
        <f>股权价值增加表!P4</f>
        <v>15778647465.950001</v>
      </c>
      <c r="Q81" s="76">
        <f>股权价值增加表!Q4</f>
        <v>8544273436</v>
      </c>
      <c r="R81" s="76">
        <f>股权价值增加表!R4</f>
        <v>31573928530.939999</v>
      </c>
      <c r="S81" s="76">
        <f>股权价值增加表!S4</f>
        <v>21718189167.610001</v>
      </c>
      <c r="T81" s="76">
        <f>股权价值增加表!T4</f>
        <v>14321628403.09</v>
      </c>
      <c r="U81" s="76">
        <f>股权价值增加表!U4</f>
        <v>7449825750.6400003</v>
      </c>
      <c r="V81" s="76">
        <f>股权价值增加表!V4</f>
        <v>30921801316.599998</v>
      </c>
      <c r="W81" s="76">
        <f>股权价值增加表!W4</f>
        <v>21935713045.240002</v>
      </c>
      <c r="X81" s="76">
        <f>股权价值增加表!X4</f>
        <v>14127867191.110001</v>
      </c>
      <c r="Y81" s="76">
        <f>股权价值增加表!Y4</f>
        <v>7165785851.6099997</v>
      </c>
      <c r="Z81" s="76">
        <f>股权价值增加表!Z4</f>
        <v>26455335152.990002</v>
      </c>
      <c r="AA81" s="76">
        <f>股权价值增加表!AA4</f>
        <v>19931438600.48</v>
      </c>
      <c r="AB81" s="76">
        <f>股权价值增加表!AB4</f>
        <v>13264437836.41</v>
      </c>
      <c r="AC81" s="76">
        <f>股权价值增加表!AC4</f>
        <v>6015967741.6199999</v>
      </c>
      <c r="AD81" s="76">
        <f>股权价值增加表!AD4</f>
        <v>18402355207.299999</v>
      </c>
      <c r="AE81" s="76">
        <f>股权价值增加表!AE4</f>
        <v>13642075480.07</v>
      </c>
      <c r="AF81" s="76">
        <f>股权价值增加表!AF4</f>
        <v>9825823427.0799999</v>
      </c>
      <c r="AG81" s="76">
        <f>股权价值增加表!AG4</f>
        <v>4220589097.9400001</v>
      </c>
      <c r="AH81" s="76">
        <f>股权价值增加表!AH4</f>
        <v>11633283740.18</v>
      </c>
      <c r="AI81" s="76">
        <f>股权价值增加表!AI4</f>
        <v>9327577784.1200008</v>
      </c>
      <c r="AJ81" s="76">
        <f>股权价值增加表!AJ4</f>
        <v>6587266362.7799997</v>
      </c>
      <c r="AK81" s="76">
        <f>股权价值增加表!AK4</f>
        <v>3039906100.4099998</v>
      </c>
      <c r="AL81" s="76">
        <f>股权价值增加表!AL4</f>
        <v>9669999065.3899994</v>
      </c>
      <c r="AM81" s="76">
        <f>股权价值增加表!AM4</f>
        <v>7807202385.7799997</v>
      </c>
      <c r="AN81" s="76">
        <f>股权价值增加表!AN4</f>
        <v>5546006031.29</v>
      </c>
      <c r="AO81" s="76">
        <f>股权价值增加表!AO4</f>
        <v>2512537167.1999998</v>
      </c>
      <c r="AP81" s="76">
        <f>股权价值增加表!AP4</f>
        <v>8241685564.1099997</v>
      </c>
      <c r="AQ81" s="76">
        <f>股权价值增加表!AQ4</f>
        <v>6486517281.0100002</v>
      </c>
      <c r="AR81" s="76">
        <f>股权价值增加表!AR4</f>
        <v>4619717309.6000004</v>
      </c>
      <c r="AS81" s="76">
        <f>股权价值增加表!AS4</f>
        <v>1993496395.46</v>
      </c>
      <c r="AT81" s="76">
        <f>股权价值增加表!AT4</f>
        <v>7237430747.1199999</v>
      </c>
      <c r="AU81" s="76">
        <f>股权价值增加表!AU4</f>
        <v>4458382249.2600002</v>
      </c>
      <c r="AV81" s="76">
        <f>股权价值增加表!AV4</f>
        <v>2629088876.4200001</v>
      </c>
      <c r="AW81" s="76">
        <f>股权价值增加表!AW4</f>
        <v>1587538095.6800001</v>
      </c>
      <c r="AX81" s="76">
        <f>股权价值增加表!AX4</f>
        <v>4896186901.21</v>
      </c>
      <c r="AY81" s="76">
        <f>股权价值增加表!AY4</f>
        <v>3249453246.71</v>
      </c>
      <c r="AZ81" s="76">
        <f>股权价值增加表!AZ4</f>
        <v>2029461983.6600001</v>
      </c>
      <c r="BA81" s="76">
        <f>股权价值增加表!BA4</f>
        <v>1354498050.1700001</v>
      </c>
      <c r="BB81" s="76">
        <f>股权价值增加表!BB4</f>
        <v>3930515237.6100001</v>
      </c>
      <c r="BC81" s="76">
        <f>股权价值增加表!BC4</f>
        <v>2580318873.25</v>
      </c>
      <c r="BD81" s="76">
        <f>股权价值增加表!BD4</f>
        <v>1686144341.9100001</v>
      </c>
      <c r="BE81" s="76">
        <f>股权价值增加表!BE4</f>
        <v>1144017320.6199999</v>
      </c>
      <c r="BF81" s="76">
        <f>股权价值增加表!BF4</f>
        <v>3009793519.9200001</v>
      </c>
      <c r="BG81" s="76">
        <f>股权价值增加表!BG4</f>
        <v>2070438172.6500001</v>
      </c>
      <c r="BH81" s="76">
        <f>股权价值增加表!BH4</f>
        <v>1314109209.0599999</v>
      </c>
      <c r="BI81" s="76">
        <f>股权价值增加表!BI4</f>
        <v>853431905.86000001</v>
      </c>
      <c r="BJ81" s="76">
        <f>股权价值增加表!BJ4</f>
        <v>2401017934.9299998</v>
      </c>
      <c r="BK81" s="76">
        <f>股权价值增加表!BK4</f>
        <v>1552744360.0999999</v>
      </c>
      <c r="BL81" s="76">
        <f>股权价值增加表!BL4</f>
        <v>1009047565.48</v>
      </c>
      <c r="BM81" s="76">
        <f>股权价值增加表!BM4</f>
        <v>733889255.88999999</v>
      </c>
      <c r="BN81" s="76">
        <f>股权价值增加表!BN4</f>
        <v>1834898294.9000001</v>
      </c>
      <c r="BO81" s="76">
        <f>股权价值增加表!BO4</f>
        <v>1363886224.3199999</v>
      </c>
      <c r="BP81" s="76">
        <f>股权价值增加表!BP4</f>
        <v>955654212.62</v>
      </c>
      <c r="BQ81" s="76">
        <f>股权价值增加表!BQ4</f>
        <v>718014858.52999997</v>
      </c>
      <c r="BR81" s="76">
        <f>股权价值增加表!BR4</f>
        <v>1618046660.3099999</v>
      </c>
      <c r="BS81" s="76">
        <f>股权价值增加表!BS4</f>
        <v>873863478.94000006</v>
      </c>
      <c r="BT81" s="76">
        <f>股权价值增加表!BT4</f>
        <v>1114000813.26</v>
      </c>
      <c r="BU81" s="76">
        <f>股权价值增加表!BU4</f>
        <v>890858185.63999999</v>
      </c>
      <c r="BV81" s="76">
        <f>股权价值增加表!BV4</f>
        <v>628184433.19000006</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580</v>
      </c>
      <c r="E82" s="76">
        <f>投资和筹资活动现金流表!E34</f>
        <v>22594555929.689999</v>
      </c>
      <c r="F82" s="76">
        <f>投资和筹资活动现金流表!F34</f>
        <v>22331930913.48</v>
      </c>
      <c r="G82" s="76">
        <f>投资和筹资活动现金流表!G34</f>
        <v>22947741343</v>
      </c>
      <c r="H82" s="76">
        <f>投资和筹资活动现金流表!H34</f>
        <v>22955949774.959999</v>
      </c>
      <c r="I82" s="76">
        <f>投资和筹资活动现金流表!I34</f>
        <v>23060295953.759998</v>
      </c>
      <c r="J82" s="76">
        <f>投资和筹资活动现金流表!J34</f>
        <v>22724989474.84</v>
      </c>
      <c r="K82" s="76">
        <f>投资和筹资活动现金流表!K34</f>
        <v>21614145955.470001</v>
      </c>
      <c r="L82" s="76">
        <f>投资和筹资活动现金流表!L34</f>
        <v>21564032140.220001</v>
      </c>
      <c r="M82" s="76">
        <f>投资和筹资活动现金流表!M34</f>
        <v>21547653404.439999</v>
      </c>
      <c r="N82" s="76">
        <f>投资和筹资活动现金流表!N34</f>
        <v>21267949399.18</v>
      </c>
      <c r="O82" s="76">
        <f>投资和筹资活动现金流表!O34</f>
        <v>20232592117.09</v>
      </c>
      <c r="P82" s="76">
        <f>投资和筹资活动现金流表!P34</f>
        <v>19068774757.830002</v>
      </c>
      <c r="Q82" s="76">
        <f>投资和筹资活动现金流表!Q34</f>
        <v>18311646536.52</v>
      </c>
      <c r="R82" s="76">
        <f>投资和筹资活动现金流表!R34</f>
        <v>18298236150.310001</v>
      </c>
      <c r="S82" s="76">
        <f>投资和筹资活动现金流表!S34</f>
        <v>16656795222.92</v>
      </c>
      <c r="T82" s="76">
        <f>投资和筹资活动现金流表!T34</f>
        <v>16579774564.629999</v>
      </c>
      <c r="U82" s="76">
        <f>投资和筹资活动现金流表!U34</f>
        <v>15583608259.01</v>
      </c>
      <c r="V82" s="76">
        <f>投资和筹资活动现金流表!V34</f>
        <v>13522567242.82</v>
      </c>
      <c r="W82" s="76">
        <f>投资和筹资活动现金流表!W34</f>
        <v>9433590713.1000004</v>
      </c>
      <c r="X82" s="76">
        <f>投资和筹资活动现金流表!X34</f>
        <v>8937733311.7900009</v>
      </c>
      <c r="Y82" s="76">
        <f>投资和筹资活动现金流表!AZ34</f>
        <v>2263427977.0500002</v>
      </c>
      <c r="Z82" s="76">
        <f>投资和筹资活动现金流表!BA34</f>
        <v>2115638921.48</v>
      </c>
      <c r="AA82" s="76">
        <f>投资和筹资活动现金流表!BB34</f>
        <v>2038076176.98</v>
      </c>
      <c r="AB82" s="76">
        <f>投资和筹资活动现金流表!BC34</f>
        <v>1904956898.72</v>
      </c>
      <c r="AC82" s="76">
        <f>投资和筹资活动现金流表!BD34</f>
        <v>1780876639.3299999</v>
      </c>
      <c r="AD82" s="76">
        <f>投资和筹资活动现金流表!BE34</f>
        <v>1685409788.29</v>
      </c>
      <c r="AE82" s="76">
        <f>投资和筹资活动现金流表!BF34</f>
        <v>1601014475.77</v>
      </c>
      <c r="AF82" s="76">
        <f>投资和筹资活动现金流表!BG34</f>
        <v>1463570659.45</v>
      </c>
      <c r="AG82" s="76">
        <f>投资和筹资活动现金流表!BH34</f>
        <v>1398793760.26</v>
      </c>
      <c r="AH82" s="76">
        <f>投资和筹资活动现金流表!BI34</f>
        <v>1332300138.5599999</v>
      </c>
      <c r="AI82" s="76">
        <f>投资和筹资活动现金流表!BJ34</f>
        <v>1200336776.9300001</v>
      </c>
      <c r="AJ82" s="76">
        <f>投资和筹资活动现金流表!BK34</f>
        <v>1165910893.28</v>
      </c>
      <c r="AK82" s="76">
        <f>投资和筹资活动现金流表!BL34</f>
        <v>1092933336.0799999</v>
      </c>
      <c r="AL82" s="76">
        <f>投资和筹资活动现金流表!BM34</f>
        <v>1019774319.86</v>
      </c>
      <c r="AM82" s="76">
        <f>投资和筹资活动现金流表!BN34</f>
        <v>939648707.25</v>
      </c>
      <c r="AN82" s="76">
        <f>投资和筹资活动现金流表!BO34</f>
        <v>859601030.65999997</v>
      </c>
      <c r="AO82" s="76">
        <f>投资和筹资活动现金流表!BP34</f>
        <v>748821426.96000004</v>
      </c>
      <c r="AP82" s="76">
        <f>投资和筹资活动现金流表!BQ34</f>
        <v>3513436953.5100002</v>
      </c>
      <c r="AQ82" s="76">
        <f>投资和筹资活动现金流表!BR34</f>
        <v>3739014271</v>
      </c>
      <c r="AR82" s="76">
        <f>投资和筹资活动现金流表!BS34</f>
        <v>3526080172.4299998</v>
      </c>
      <c r="AS82" s="76">
        <f>投资和筹资活动现金流表!AS34</f>
        <v>3338338900.5300002</v>
      </c>
      <c r="AT82" s="76">
        <f>投资和筹资活动现金流表!AT34</f>
        <v>3209968937.0300002</v>
      </c>
      <c r="AU82" s="76">
        <f>投资和筹资活动现金流表!AU34</f>
        <v>3086136003.2399998</v>
      </c>
      <c r="AV82" s="76">
        <f>投资和筹资活动现金流表!AV34</f>
        <v>2952999545.0700002</v>
      </c>
      <c r="AW82" s="76">
        <f>投资和筹资活动现金流表!AW34</f>
        <v>2845284852.9899998</v>
      </c>
      <c r="AX82" s="76">
        <f>投资和筹资活动现金流表!AX34</f>
        <v>2638340763.6999998</v>
      </c>
      <c r="AY82" s="76">
        <f>投资和筹资活动现金流表!AY34</f>
        <v>2450389777.1900001</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3" customFormat="1">
      <c r="A83" s="249" t="s">
        <v>581</v>
      </c>
      <c r="E83" s="153">
        <f>E81/E82</f>
        <v>0.7730254331756472</v>
      </c>
      <c r="F83" s="153">
        <f t="shared" ref="F83:BQ83" si="46">F81/F82</f>
        <v>2.6069336117741853</v>
      </c>
      <c r="G83" s="153">
        <f t="shared" si="46"/>
        <v>1.8498756311352242</v>
      </c>
      <c r="H83" s="153">
        <f t="shared" si="46"/>
        <v>1.0537586314701783</v>
      </c>
      <c r="I83" s="153">
        <f t="shared" si="46"/>
        <v>0.57712351617499591</v>
      </c>
      <c r="J83" s="153">
        <f t="shared" si="46"/>
        <v>1.7101081625083399</v>
      </c>
      <c r="K83" s="153">
        <f t="shared" si="46"/>
        <v>1.2321506520450851</v>
      </c>
      <c r="L83" s="153">
        <f t="shared" si="46"/>
        <v>0.84275679776716339</v>
      </c>
      <c r="M83" s="153">
        <f t="shared" si="46"/>
        <v>0.46356573235542059</v>
      </c>
      <c r="N83" s="153">
        <f t="shared" si="46"/>
        <v>1.5356244794591813</v>
      </c>
      <c r="O83" s="153">
        <f t="shared" si="46"/>
        <v>1.1441286824211141</v>
      </c>
      <c r="P83" s="153">
        <f t="shared" si="46"/>
        <v>0.82745995305602882</v>
      </c>
      <c r="Q83" s="153">
        <f t="shared" si="46"/>
        <v>0.46660323084325867</v>
      </c>
      <c r="R83" s="153">
        <f t="shared" si="46"/>
        <v>1.7255176002526935</v>
      </c>
      <c r="S83" s="153">
        <f t="shared" si="46"/>
        <v>1.303863611033979</v>
      </c>
      <c r="T83" s="153">
        <f t="shared" si="46"/>
        <v>0.86380115406651237</v>
      </c>
      <c r="U83" s="153">
        <f t="shared" si="46"/>
        <v>0.47805525054396325</v>
      </c>
      <c r="V83" s="153">
        <f t="shared" si="46"/>
        <v>2.2866812759254995</v>
      </c>
      <c r="W83" s="153">
        <f t="shared" si="46"/>
        <v>2.3252771624678257</v>
      </c>
      <c r="X83" s="153">
        <f t="shared" si="46"/>
        <v>1.580699121160122</v>
      </c>
      <c r="Y83" s="153">
        <f t="shared" si="46"/>
        <v>3.1658996549779346</v>
      </c>
      <c r="Z83" s="153">
        <f t="shared" si="46"/>
        <v>12.504655158491371</v>
      </c>
      <c r="AA83" s="153">
        <f t="shared" si="46"/>
        <v>9.7795356354217322</v>
      </c>
      <c r="AB83" s="153">
        <f t="shared" si="46"/>
        <v>6.9631170370955848</v>
      </c>
      <c r="AC83" s="153">
        <f t="shared" si="46"/>
        <v>3.3780934674303564</v>
      </c>
      <c r="AD83" s="153">
        <f t="shared" si="46"/>
        <v>10.918623669541427</v>
      </c>
      <c r="AE83" s="153">
        <f t="shared" si="46"/>
        <v>8.5208945243976704</v>
      </c>
      <c r="AF83" s="153">
        <f t="shared" si="46"/>
        <v>6.7135968896592102</v>
      </c>
      <c r="AG83" s="153">
        <f t="shared" si="46"/>
        <v>3.017306208997887</v>
      </c>
      <c r="AH83" s="153">
        <f t="shared" si="46"/>
        <v>8.7317289876991904</v>
      </c>
      <c r="AI83" s="153">
        <f t="shared" si="46"/>
        <v>7.7708006314497489</v>
      </c>
      <c r="AJ83" s="153">
        <f t="shared" si="46"/>
        <v>5.6498883411650489</v>
      </c>
      <c r="AK83" s="153">
        <f t="shared" si="46"/>
        <v>2.7814195066216616</v>
      </c>
      <c r="AL83" s="153">
        <f t="shared" si="46"/>
        <v>9.4824892891179573</v>
      </c>
      <c r="AM83" s="153">
        <f t="shared" si="46"/>
        <v>8.3086395219217177</v>
      </c>
      <c r="AN83" s="153">
        <f t="shared" si="46"/>
        <v>6.4518373448572852</v>
      </c>
      <c r="AO83" s="153">
        <f t="shared" si="46"/>
        <v>3.3553222126671498</v>
      </c>
      <c r="AP83" s="153">
        <f t="shared" si="46"/>
        <v>2.3457616212171888</v>
      </c>
      <c r="AQ83" s="153">
        <f t="shared" si="46"/>
        <v>1.7348201453307586</v>
      </c>
      <c r="AR83" s="153">
        <f t="shared" si="46"/>
        <v>1.310156628235801</v>
      </c>
      <c r="AS83" s="153">
        <f t="shared" si="46"/>
        <v>0.59715219300937639</v>
      </c>
      <c r="AT83" s="153">
        <f t="shared" si="46"/>
        <v>2.2546731414218542</v>
      </c>
      <c r="AU83" s="153">
        <f t="shared" si="46"/>
        <v>1.4446486624631381</v>
      </c>
      <c r="AV83" s="153">
        <f t="shared" si="46"/>
        <v>0.89031130424968563</v>
      </c>
      <c r="AW83" s="153">
        <f t="shared" si="46"/>
        <v>0.55795401083013452</v>
      </c>
      <c r="AX83" s="153">
        <f t="shared" si="46"/>
        <v>1.8557826072260677</v>
      </c>
      <c r="AY83" s="153">
        <f t="shared" si="46"/>
        <v>1.3260964753274196</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6" customFormat="1">
      <c r="A84" s="70" t="s">
        <v>582</v>
      </c>
      <c r="E84" s="76">
        <f>资产资本表!E52</f>
        <v>15179337572.51</v>
      </c>
      <c r="F84" s="76">
        <f>资产资本表!F52</f>
        <v>15244096632.02</v>
      </c>
      <c r="G84" s="76">
        <f>资产资本表!G52</f>
        <v>14851183242.59</v>
      </c>
      <c r="H84" s="76">
        <f>资产资本表!H52</f>
        <v>15035615814.030001</v>
      </c>
      <c r="I84" s="76">
        <f>资产资本表!I52</f>
        <v>15197596002.52</v>
      </c>
      <c r="J84" s="76">
        <f>资产资本表!J52</f>
        <v>14453177439.34</v>
      </c>
      <c r="K84" s="76">
        <f>资产资本表!K52</f>
        <v>11249022570.67</v>
      </c>
      <c r="L84" s="76">
        <f>资产资本表!L52</f>
        <v>11357781630.610001</v>
      </c>
      <c r="M84" s="76">
        <f>资产资本表!M52</f>
        <v>11485879409.51</v>
      </c>
      <c r="N84" s="76">
        <f>资产资本表!N52</f>
        <v>11415953189.719999</v>
      </c>
      <c r="O84" s="76">
        <f>资产资本表!O52</f>
        <v>10891205189.389999</v>
      </c>
      <c r="P84" s="76">
        <f>资产资本表!P52</f>
        <v>10376471791.040001</v>
      </c>
      <c r="Q84" s="76">
        <f>资产资本表!Q52</f>
        <v>10438792823.57</v>
      </c>
      <c r="R84" s="76">
        <f>资产资本表!R52</f>
        <v>10375757771.59</v>
      </c>
      <c r="S84" s="76">
        <f>资产资本表!S52</f>
        <v>9003408249.8600006</v>
      </c>
      <c r="T84" s="76">
        <f>资产资本表!T52</f>
        <v>8917854215.1200008</v>
      </c>
      <c r="U84" s="76">
        <f>资产资本表!U52</f>
        <v>8768403594.1200008</v>
      </c>
      <c r="V84" s="76">
        <f>资产资本表!V52</f>
        <v>8523256960.1099997</v>
      </c>
      <c r="W84" s="76">
        <f>资产资本表!W52</f>
        <v>7165765337.1599998</v>
      </c>
      <c r="X84" s="76">
        <f>资产资本表!X52</f>
        <v>7047000358.4200001</v>
      </c>
      <c r="Y84" s="76">
        <f>资产资本表!Y52</f>
        <v>6984113447.4300003</v>
      </c>
      <c r="Z84" s="76">
        <f>资产资本表!Z52</f>
        <v>6807333231.0900002</v>
      </c>
      <c r="AA84" s="76">
        <f>资产资本表!AA52</f>
        <v>5838430602.0500002</v>
      </c>
      <c r="AB84" s="76">
        <f>资产资本表!AB52</f>
        <v>5698697789.6599998</v>
      </c>
      <c r="AC84" s="76">
        <f>资产资本表!AC52</f>
        <v>5489821741.0500002</v>
      </c>
      <c r="AD84" s="76">
        <f>资产资本表!AD52</f>
        <v>5426012349.6099997</v>
      </c>
      <c r="AE84" s="76">
        <f>资产资本表!AE52</f>
        <v>4703882763.3800001</v>
      </c>
      <c r="AF84" s="76">
        <f>资产资本表!AF52</f>
        <v>4268588603.6599998</v>
      </c>
      <c r="AG84" s="76">
        <f>资产资本表!AG52</f>
        <v>4218762324.3099999</v>
      </c>
      <c r="AH84" s="76">
        <f>资产资本表!AH52</f>
        <v>4191851111.9699998</v>
      </c>
      <c r="AI84" s="76">
        <f>资产资本表!AI52</f>
        <v>3754654673.6300001</v>
      </c>
      <c r="AJ84" s="76">
        <f>资产资本表!AJ52</f>
        <v>3731222904.1199999</v>
      </c>
      <c r="AK84" s="76">
        <f>资产资本表!AK52</f>
        <v>3223949711.6999998</v>
      </c>
      <c r="AL84" s="76">
        <f>资产资本表!AL52</f>
        <v>3168725156.29</v>
      </c>
      <c r="AM84" s="76">
        <f>资产资本表!AM52</f>
        <v>2420836029.8800001</v>
      </c>
      <c r="AN84" s="76">
        <f>资产资本表!AN52</f>
        <v>2285285756.6500001</v>
      </c>
      <c r="AO84" s="76">
        <f>资产资本表!AO52</f>
        <v>2247266187.8000002</v>
      </c>
      <c r="AP84" s="76">
        <f>资产资本表!AP52</f>
        <v>2190171911.8899999</v>
      </c>
      <c r="AQ84" s="76">
        <f>资产资本表!AQ52</f>
        <v>1962510407.21</v>
      </c>
      <c r="AR84" s="76">
        <f>资产资本表!AR52</f>
        <v>1946505196.6800001</v>
      </c>
      <c r="AS84" s="76">
        <f>资产资本表!AS52</f>
        <v>1869754284.6900001</v>
      </c>
      <c r="AT84" s="76">
        <f>资产资本表!AT52</f>
        <v>1826983364.3599999</v>
      </c>
      <c r="AU84" s="76">
        <f>资产资本表!AU52</f>
        <v>1435078966.8699999</v>
      </c>
      <c r="AV84" s="76">
        <f>资产资本表!AV52</f>
        <v>1431615294.0599999</v>
      </c>
      <c r="AW84" s="76">
        <f>资产资本表!AW52</f>
        <v>1317726492.5999999</v>
      </c>
      <c r="AX84" s="76">
        <f>资产资本表!AX52</f>
        <v>1222202623.3</v>
      </c>
      <c r="AY84" s="76">
        <f>资产资本表!AY52</f>
        <v>1018003338.64</v>
      </c>
      <c r="AZ84" s="76">
        <f>资产资本表!AZ52</f>
        <v>1030973670.35</v>
      </c>
      <c r="BA84" s="76">
        <f>资产资本表!BA52</f>
        <v>1019701197.52</v>
      </c>
      <c r="BB84" s="76">
        <f>资产资本表!BB52</f>
        <v>981382035.5</v>
      </c>
      <c r="BC84" s="76">
        <f>资产资本表!BC52</f>
        <v>744749773.96000004</v>
      </c>
      <c r="BD84" s="76">
        <f>资产资本表!BD52</f>
        <v>704628195.86000001</v>
      </c>
      <c r="BE84" s="76">
        <f>资产资本表!BE52</f>
        <v>718609837.72000003</v>
      </c>
      <c r="BF84" s="76">
        <f>资产资本表!BF52</f>
        <v>715522677.41999996</v>
      </c>
      <c r="BG84" s="76">
        <f>资产资本表!BG52</f>
        <v>650253702.34000003</v>
      </c>
      <c r="BH84" s="76">
        <f>资产资本表!BH52</f>
        <v>651728272.55999994</v>
      </c>
      <c r="BI84" s="76">
        <f>资产资本表!BI52</f>
        <v>644654996.78999996</v>
      </c>
      <c r="BJ84" s="76">
        <f>资产资本表!BJ52</f>
        <v>440813831.82999998</v>
      </c>
      <c r="BK84" s="76">
        <f>资产资本表!BK52</f>
        <v>436222878.81</v>
      </c>
      <c r="BL84" s="76">
        <f>资产资本表!BL52</f>
        <v>445032882.23000002</v>
      </c>
      <c r="BM84" s="76">
        <f>资产资本表!BM52</f>
        <v>453833289.69999999</v>
      </c>
      <c r="BN84" s="76">
        <f>资产资本表!BN52</f>
        <v>470098687.69</v>
      </c>
      <c r="BO84" s="76">
        <f>资产资本表!BO52</f>
        <v>447507946.97000003</v>
      </c>
      <c r="BP84" s="76">
        <f>资产资本表!BP52</f>
        <v>452942750.17000002</v>
      </c>
      <c r="BQ84" s="76">
        <f>资产资本表!BQ52</f>
        <v>409558858.49000001</v>
      </c>
      <c r="BR84" s="76">
        <f>资产资本表!BR52</f>
        <v>414239895.73000002</v>
      </c>
      <c r="BS84" s="76">
        <f>资产资本表!BS52</f>
        <v>177835639.06999999</v>
      </c>
      <c r="BT84" s="76">
        <f>资产资本表!BT52</f>
        <v>180320389.09</v>
      </c>
      <c r="BU84" s="76">
        <f>资产资本表!BU52</f>
        <v>184936865.90000001</v>
      </c>
      <c r="BV84" s="76">
        <f>资产资本表!BV52</f>
        <v>213023445.34999999</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3" customFormat="1">
      <c r="A85" s="249" t="s">
        <v>583</v>
      </c>
      <c r="E85" s="153">
        <f>E81/E84</f>
        <v>1.1506540586192298</v>
      </c>
      <c r="F85" s="153">
        <f t="shared" ref="F85:BQ85" si="48">F81/F84</f>
        <v>3.8190430511890248</v>
      </c>
      <c r="G85" s="153">
        <f t="shared" si="48"/>
        <v>2.8583895846272496</v>
      </c>
      <c r="H85" s="153">
        <f t="shared" si="48"/>
        <v>1.6088486509736337</v>
      </c>
      <c r="I85" s="153">
        <f t="shared" si="48"/>
        <v>0.87570686065501535</v>
      </c>
      <c r="J85" s="153">
        <f t="shared" si="48"/>
        <v>2.6888336600684966</v>
      </c>
      <c r="K85" s="153">
        <f t="shared" si="48"/>
        <v>2.3674842738664523</v>
      </c>
      <c r="L85" s="153">
        <f t="shared" si="48"/>
        <v>1.6000690332398966</v>
      </c>
      <c r="M85" s="153">
        <f t="shared" si="48"/>
        <v>0.86965511083980029</v>
      </c>
      <c r="N85" s="153">
        <f t="shared" si="48"/>
        <v>2.8608722532858462</v>
      </c>
      <c r="O85" s="153">
        <f t="shared" si="48"/>
        <v>2.1254478782055268</v>
      </c>
      <c r="P85" s="153">
        <f t="shared" si="48"/>
        <v>1.5206177768029721</v>
      </c>
      <c r="Q85" s="153">
        <f t="shared" si="48"/>
        <v>0.81851164022603085</v>
      </c>
      <c r="R85" s="153">
        <f t="shared" si="48"/>
        <v>3.0430479610263252</v>
      </c>
      <c r="S85" s="153">
        <f t="shared" si="48"/>
        <v>2.4122186359757385</v>
      </c>
      <c r="T85" s="153">
        <f t="shared" si="48"/>
        <v>1.6059500478050015</v>
      </c>
      <c r="U85" s="153">
        <f t="shared" si="48"/>
        <v>0.84962167521985132</v>
      </c>
      <c r="V85" s="153">
        <f t="shared" si="48"/>
        <v>3.62793254518997</v>
      </c>
      <c r="W85" s="153">
        <f t="shared" si="48"/>
        <v>3.0611821645186277</v>
      </c>
      <c r="X85" s="153">
        <f t="shared" si="48"/>
        <v>2.004805799992551</v>
      </c>
      <c r="Y85" s="153">
        <f t="shared" si="48"/>
        <v>1.0260122355611005</v>
      </c>
      <c r="Z85" s="153">
        <f t="shared" si="48"/>
        <v>3.8862994148964169</v>
      </c>
      <c r="AA85" s="153">
        <f t="shared" si="48"/>
        <v>3.4138349770710019</v>
      </c>
      <c r="AB85" s="153">
        <f t="shared" si="48"/>
        <v>2.3276261219673122</v>
      </c>
      <c r="AC85" s="153">
        <f t="shared" si="48"/>
        <v>1.0958402704837857</v>
      </c>
      <c r="AD85" s="153">
        <f t="shared" si="48"/>
        <v>3.391506325750012</v>
      </c>
      <c r="AE85" s="153">
        <f t="shared" si="48"/>
        <v>2.900173360244934</v>
      </c>
      <c r="AF85" s="153">
        <f t="shared" si="48"/>
        <v>2.3018904699916694</v>
      </c>
      <c r="AG85" s="153">
        <f t="shared" si="48"/>
        <v>1.0004330117436278</v>
      </c>
      <c r="AH85" s="153">
        <f t="shared" si="48"/>
        <v>2.7752139638167703</v>
      </c>
      <c r="AI85" s="153">
        <f t="shared" si="48"/>
        <v>2.4842704842152896</v>
      </c>
      <c r="AJ85" s="153">
        <f t="shared" si="48"/>
        <v>1.7654443414534065</v>
      </c>
      <c r="AK85" s="153">
        <f t="shared" si="48"/>
        <v>0.94291362218768815</v>
      </c>
      <c r="AL85" s="153">
        <f t="shared" si="48"/>
        <v>3.051700159666674</v>
      </c>
      <c r="AM85" s="153">
        <f t="shared" si="48"/>
        <v>3.2250025567270657</v>
      </c>
      <c r="AN85" s="153">
        <f t="shared" si="48"/>
        <v>2.4268326248267038</v>
      </c>
      <c r="AO85" s="153">
        <f t="shared" si="48"/>
        <v>1.1180416369187183</v>
      </c>
      <c r="AP85" s="153">
        <f t="shared" si="48"/>
        <v>3.7630313489856926</v>
      </c>
      <c r="AQ85" s="153">
        <f t="shared" si="48"/>
        <v>3.305214207873449</v>
      </c>
      <c r="AR85" s="153">
        <f t="shared" si="48"/>
        <v>2.3733393147264579</v>
      </c>
      <c r="AS85" s="153">
        <f t="shared" si="48"/>
        <v>1.0661809478300064</v>
      </c>
      <c r="AT85" s="153">
        <f t="shared" si="48"/>
        <v>3.9614103162101331</v>
      </c>
      <c r="AU85" s="153">
        <f t="shared" si="48"/>
        <v>3.1067156248439907</v>
      </c>
      <c r="AV85" s="153">
        <f t="shared" si="48"/>
        <v>1.8364492802839625</v>
      </c>
      <c r="AW85" s="153">
        <f t="shared" si="48"/>
        <v>1.2047553908911979</v>
      </c>
      <c r="AX85" s="153">
        <f t="shared" si="48"/>
        <v>4.0060353396968527</v>
      </c>
      <c r="AY85" s="153">
        <f t="shared" si="48"/>
        <v>3.191986826930354</v>
      </c>
      <c r="AZ85" s="153">
        <f t="shared" si="48"/>
        <v>1.9684906045864665</v>
      </c>
      <c r="BA85" s="153">
        <f t="shared" si="48"/>
        <v>1.3283283901835699</v>
      </c>
      <c r="BB85" s="153">
        <f t="shared" si="48"/>
        <v>4.005081706643896</v>
      </c>
      <c r="BC85" s="153">
        <f t="shared" si="48"/>
        <v>3.4646789612702684</v>
      </c>
      <c r="BD85" s="153">
        <f t="shared" si="48"/>
        <v>2.3929561033986979</v>
      </c>
      <c r="BE85" s="153">
        <f t="shared" si="48"/>
        <v>1.5919867229340048</v>
      </c>
      <c r="BF85" s="153">
        <f t="shared" si="48"/>
        <v>4.2064264556541806</v>
      </c>
      <c r="BG85" s="153">
        <f t="shared" si="48"/>
        <v>3.1840467269918351</v>
      </c>
      <c r="BH85" s="153">
        <f t="shared" si="48"/>
        <v>2.0163452536716817</v>
      </c>
      <c r="BI85" s="153">
        <f t="shared" si="48"/>
        <v>1.3238583585167034</v>
      </c>
      <c r="BJ85" s="153">
        <f t="shared" si="48"/>
        <v>5.4467844735324755</v>
      </c>
      <c r="BK85" s="153">
        <f t="shared" si="48"/>
        <v>3.5595206843250162</v>
      </c>
      <c r="BL85" s="153">
        <f t="shared" si="48"/>
        <v>2.267355078177141</v>
      </c>
      <c r="BM85" s="153">
        <f t="shared" si="48"/>
        <v>1.6170899591238161</v>
      </c>
      <c r="BN85" s="153">
        <f t="shared" si="48"/>
        <v>3.9032193514864653</v>
      </c>
      <c r="BO85" s="153">
        <f t="shared" si="48"/>
        <v>3.0477363219014117</v>
      </c>
      <c r="BP85" s="153">
        <f t="shared" si="48"/>
        <v>2.1098785934013087</v>
      </c>
      <c r="BQ85" s="153">
        <f t="shared" si="48"/>
        <v>1.7531420543001914</v>
      </c>
      <c r="BR85" s="153">
        <f t="shared" ref="BR85:CK85" si="49">BR81/BR84</f>
        <v>3.906061866538892</v>
      </c>
      <c r="BS85" s="153">
        <f t="shared" si="49"/>
        <v>4.9138827487555981</v>
      </c>
      <c r="BT85" s="153">
        <f t="shared" si="49"/>
        <v>6.1778971245674787</v>
      </c>
      <c r="BU85" s="153">
        <f t="shared" si="49"/>
        <v>4.8170935594945643</v>
      </c>
      <c r="BV85" s="153">
        <f t="shared" si="49"/>
        <v>2.9488980997274066</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6" customFormat="1">
      <c r="A86" s="70" t="s">
        <v>584</v>
      </c>
      <c r="E86" s="76">
        <f>资产资本表!E53</f>
        <v>2377082563.9499998</v>
      </c>
      <c r="F86" s="76">
        <f>资产资本表!F53</f>
        <v>2016405005.77</v>
      </c>
      <c r="G86" s="76">
        <f>资产资本表!G53</f>
        <v>2393782465.27</v>
      </c>
      <c r="H86" s="76">
        <f>资产资本表!H53</f>
        <v>2191037165.1399999</v>
      </c>
      <c r="I86" s="76">
        <f>资产资本表!I53</f>
        <v>2082556665.8099999</v>
      </c>
      <c r="J86" s="76">
        <f>资产资本表!J53</f>
        <v>2745579995.6799998</v>
      </c>
      <c r="K86" s="76">
        <f>资产资本表!K53</f>
        <v>5549022900.4099998</v>
      </c>
      <c r="L86" s="76">
        <f>资产资本表!L53</f>
        <v>5372267342.3199997</v>
      </c>
      <c r="M86" s="76">
        <f>资产资本表!M53</f>
        <v>5277866268.5</v>
      </c>
      <c r="N86" s="76">
        <f>资产资本表!N53</f>
        <v>4895150716.5100002</v>
      </c>
      <c r="O86" s="76">
        <f>资产资本表!O53</f>
        <v>4746332449.54</v>
      </c>
      <c r="P86" s="76">
        <f>资产资本表!P53</f>
        <v>4446804735.3000002</v>
      </c>
      <c r="Q86" s="76">
        <f>资产资本表!Q53</f>
        <v>3480877159.5599999</v>
      </c>
      <c r="R86" s="76">
        <f>资产资本表!R53</f>
        <v>3421774448.02</v>
      </c>
      <c r="S86" s="76">
        <f>资产资本表!S53</f>
        <v>3051662444.0799999</v>
      </c>
      <c r="T86" s="76">
        <f>资产资本表!T53</f>
        <v>2921492322.6199999</v>
      </c>
      <c r="U86" s="76">
        <f>资产资本表!U53</f>
        <v>2241975574.71</v>
      </c>
      <c r="V86" s="76">
        <f>资产资本表!V53</f>
        <v>456328292.13</v>
      </c>
      <c r="W86" s="76">
        <f>资产资本表!W53</f>
        <v>508298207</v>
      </c>
      <c r="X86" s="76">
        <f>资产资本表!X53</f>
        <v>500633130.51999998</v>
      </c>
      <c r="Y86" s="76">
        <f>资产资本表!Y53</f>
        <v>477739596.64999998</v>
      </c>
      <c r="Z86" s="76">
        <f>资产资本表!Z53</f>
        <v>392672323.94999999</v>
      </c>
      <c r="AA86" s="76">
        <f>资产资本表!AA53</f>
        <v>357930180.56</v>
      </c>
      <c r="AB86" s="76">
        <f>资产资本表!AB53</f>
        <v>331098306.48000002</v>
      </c>
      <c r="AC86" s="76">
        <f>资产资本表!AC53</f>
        <v>316656062.33999997</v>
      </c>
      <c r="AD86" s="76">
        <f>资产资本表!AD53</f>
        <v>251446326.43000001</v>
      </c>
      <c r="AE86" s="76">
        <f>资产资本表!AE53</f>
        <v>293041026.48000002</v>
      </c>
      <c r="AF86" s="76">
        <f>资产资本表!AF53</f>
        <v>341962470.41000003</v>
      </c>
      <c r="AG86" s="76">
        <f>资产资本表!AG53</f>
        <v>312224946.49000001</v>
      </c>
      <c r="AH86" s="76">
        <f>资产资本表!AH53</f>
        <v>263458445.09999999</v>
      </c>
      <c r="AI86" s="76">
        <f>资产资本表!AI53</f>
        <v>267427752.28999999</v>
      </c>
      <c r="AJ86" s="76">
        <f>资产资本表!AJ53</f>
        <v>277632965.17000002</v>
      </c>
      <c r="AK86" s="76">
        <f>资产资本表!AK53</f>
        <v>270471465.01999998</v>
      </c>
      <c r="AL86" s="76">
        <f>资产资本表!AL53</f>
        <v>193956334.38999999</v>
      </c>
      <c r="AM86" s="76">
        <f>资产资本表!AM53</f>
        <v>811284321.63999999</v>
      </c>
      <c r="AN86" s="76">
        <f>资产资本表!AN53</f>
        <v>819595902.76999998</v>
      </c>
      <c r="AO86" s="76">
        <f>资产资本表!AO53</f>
        <v>673327881.15999997</v>
      </c>
      <c r="AP86" s="76">
        <f>资产资本表!AP53</f>
        <v>582860996.70000005</v>
      </c>
      <c r="AQ86" s="76">
        <f>资产资本表!AQ53</f>
        <v>1314894893.3699999</v>
      </c>
      <c r="AR86" s="76">
        <f>资产资本表!AR53</f>
        <v>1197950992.3099999</v>
      </c>
      <c r="AS86" s="76">
        <f>资产资本表!AS53</f>
        <v>1043792132.59</v>
      </c>
      <c r="AT86" s="76">
        <f>资产资本表!AT53</f>
        <v>994453165.72000003</v>
      </c>
      <c r="AU86" s="76">
        <f>资产资本表!AU53</f>
        <v>1207096398.72</v>
      </c>
      <c r="AV86" s="76">
        <f>资产资本表!AV53</f>
        <v>1074086870.21</v>
      </c>
      <c r="AW86" s="76">
        <f>资产资本表!AW53</f>
        <v>1073527595.41</v>
      </c>
      <c r="AX86" s="76">
        <f>资产资本表!AX53</f>
        <v>1179883698.02</v>
      </c>
      <c r="AY86" s="76">
        <f>资产资本表!AY53</f>
        <v>1208808413.78</v>
      </c>
      <c r="AZ86" s="76">
        <f>资产资本表!AZ53</f>
        <v>1042924430.55</v>
      </c>
      <c r="BA86" s="76">
        <f>资产资本表!BA53</f>
        <v>943031845.61000001</v>
      </c>
      <c r="BB86" s="76">
        <f>资产资本表!BB53</f>
        <v>909890443.63</v>
      </c>
      <c r="BC86" s="76">
        <f>资产资本表!BC53</f>
        <v>974012522.40999997</v>
      </c>
      <c r="BD86" s="76">
        <f>资产资本表!BD53</f>
        <v>929053724.75</v>
      </c>
      <c r="BE86" s="76">
        <f>资产资本表!BE53</f>
        <v>849288036.95000005</v>
      </c>
      <c r="BF86" s="76">
        <f>资产资本表!BF53</f>
        <v>776047024.87</v>
      </c>
      <c r="BG86" s="76">
        <f>资产资本表!BG53</f>
        <v>733384383.46000004</v>
      </c>
      <c r="BH86" s="76">
        <f>资产资本表!BH53</f>
        <v>675660352.38999999</v>
      </c>
      <c r="BI86" s="76">
        <f>资产资本表!BI53</f>
        <v>637644833.05999994</v>
      </c>
      <c r="BJ86" s="76">
        <f>资产资本表!BJ53</f>
        <v>721652502.10000002</v>
      </c>
      <c r="BK86" s="76">
        <f>资产资本表!BK53</f>
        <v>697188715.02999997</v>
      </c>
      <c r="BL86" s="76">
        <f>资产资本表!BL53</f>
        <v>617706515.54999995</v>
      </c>
      <c r="BM86" s="76">
        <f>资产资本表!BM53</f>
        <v>536385132.75</v>
      </c>
      <c r="BN86" s="76">
        <f>资产资本表!BN53</f>
        <v>442903497.32999998</v>
      </c>
      <c r="BO86" s="76">
        <f>资产资本表!BO53</f>
        <v>389477083.10000002</v>
      </c>
      <c r="BP86" s="76">
        <f>资产资本表!BP53</f>
        <v>273149253.39999998</v>
      </c>
      <c r="BQ86" s="76">
        <f>资产资本表!BQ53</f>
        <v>184181516.44999999</v>
      </c>
      <c r="BR86" s="76">
        <f>资产资本表!BR53</f>
        <v>162048784.65000001</v>
      </c>
      <c r="BS86" s="76">
        <f>资产资本表!BS53</f>
        <v>0</v>
      </c>
      <c r="BT86" s="76">
        <f>资产资本表!BT53</f>
        <v>5776136.6299999999</v>
      </c>
      <c r="BU86" s="76">
        <f>资产资本表!BU53</f>
        <v>25290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c r="A87" s="252" t="s">
        <v>585</v>
      </c>
      <c r="E87" s="54">
        <f>E81/E86</f>
        <v>7.3477323210584906</v>
      </c>
      <c r="F87" s="54">
        <f t="shared" ref="F87:BQ87" si="50">F81/F86</f>
        <v>28.872107115176732</v>
      </c>
      <c r="G87" s="54">
        <f t="shared" si="50"/>
        <v>17.733636249700709</v>
      </c>
      <c r="H87" s="54">
        <f t="shared" si="50"/>
        <v>11.040447238335338</v>
      </c>
      <c r="I87" s="54">
        <f t="shared" si="50"/>
        <v>6.390529152633488</v>
      </c>
      <c r="J87" s="54">
        <f t="shared" si="50"/>
        <v>14.154455544907542</v>
      </c>
      <c r="K87" s="54">
        <f t="shared" si="50"/>
        <v>4.7993826139124875</v>
      </c>
      <c r="L87" s="54">
        <f t="shared" si="50"/>
        <v>3.3827867295956153</v>
      </c>
      <c r="M87" s="54">
        <f t="shared" si="50"/>
        <v>1.8925742379237775</v>
      </c>
      <c r="N87" s="54">
        <f t="shared" si="50"/>
        <v>6.6718239369276588</v>
      </c>
      <c r="O87" s="54">
        <f t="shared" si="50"/>
        <v>4.8771739457764909</v>
      </c>
      <c r="P87" s="54">
        <f t="shared" si="50"/>
        <v>3.5483112943310982</v>
      </c>
      <c r="Q87" s="54">
        <f t="shared" si="50"/>
        <v>2.454632279261483</v>
      </c>
      <c r="R87" s="54">
        <f t="shared" si="50"/>
        <v>9.2273552832245151</v>
      </c>
      <c r="S87" s="54">
        <f t="shared" si="50"/>
        <v>7.1168386299545308</v>
      </c>
      <c r="T87" s="54">
        <f t="shared" si="50"/>
        <v>4.9021619164298667</v>
      </c>
      <c r="U87" s="54">
        <f t="shared" si="50"/>
        <v>3.3228844393648833</v>
      </c>
      <c r="V87" s="54">
        <f t="shared" si="50"/>
        <v>67.762183169197215</v>
      </c>
      <c r="W87" s="54">
        <f t="shared" si="50"/>
        <v>43.155204451154006</v>
      </c>
      <c r="X87" s="54">
        <f t="shared" si="50"/>
        <v>28.220000495044346</v>
      </c>
      <c r="Y87" s="54">
        <f t="shared" si="50"/>
        <v>14.999355091890727</v>
      </c>
      <c r="Z87" s="54">
        <f t="shared" si="50"/>
        <v>67.372548405928981</v>
      </c>
      <c r="AA87" s="54">
        <f t="shared" si="50"/>
        <v>55.685269594467414</v>
      </c>
      <c r="AB87" s="54">
        <f t="shared" si="50"/>
        <v>40.061931990616323</v>
      </c>
      <c r="AC87" s="54">
        <f t="shared" si="50"/>
        <v>18.998429075267584</v>
      </c>
      <c r="AD87" s="54">
        <f t="shared" si="50"/>
        <v>73.186017344433225</v>
      </c>
      <c r="AE87" s="54">
        <f t="shared" si="50"/>
        <v>46.553466058791152</v>
      </c>
      <c r="AF87" s="54">
        <f t="shared" si="50"/>
        <v>28.733630960436127</v>
      </c>
      <c r="AG87" s="54">
        <f t="shared" si="50"/>
        <v>13.517783077192961</v>
      </c>
      <c r="AH87" s="54">
        <f t="shared" si="50"/>
        <v>44.156047970921549</v>
      </c>
      <c r="AI87" s="54">
        <f t="shared" si="50"/>
        <v>34.878869916257344</v>
      </c>
      <c r="AJ87" s="54">
        <f t="shared" si="50"/>
        <v>23.726528147500385</v>
      </c>
      <c r="AK87" s="54">
        <f t="shared" si="50"/>
        <v>11.239285815918564</v>
      </c>
      <c r="AL87" s="54">
        <f t="shared" si="50"/>
        <v>49.85657774881399</v>
      </c>
      <c r="AM87" s="54">
        <f t="shared" si="50"/>
        <v>9.6232629887359948</v>
      </c>
      <c r="AN87" s="54">
        <f t="shared" si="50"/>
        <v>6.7667566572088562</v>
      </c>
      <c r="AO87" s="54">
        <f t="shared" si="50"/>
        <v>3.7315210575736675</v>
      </c>
      <c r="AP87" s="54">
        <f t="shared" si="50"/>
        <v>14.140053307344589</v>
      </c>
      <c r="AQ87" s="54">
        <f t="shared" si="50"/>
        <v>4.9331070595197382</v>
      </c>
      <c r="AR87" s="54">
        <f t="shared" si="50"/>
        <v>3.8563491655796653</v>
      </c>
      <c r="AS87" s="54">
        <f t="shared" si="50"/>
        <v>1.9098595718607916</v>
      </c>
      <c r="AT87" s="54">
        <f t="shared" si="50"/>
        <v>7.2777994948409503</v>
      </c>
      <c r="AU87" s="54">
        <f t="shared" si="50"/>
        <v>3.6934765557975737</v>
      </c>
      <c r="AV87" s="54">
        <f t="shared" si="50"/>
        <v>2.4477432406430721</v>
      </c>
      <c r="AW87" s="54">
        <f t="shared" si="50"/>
        <v>1.4788051117341703</v>
      </c>
      <c r="AX87" s="54">
        <f t="shared" si="50"/>
        <v>4.1497199337752066</v>
      </c>
      <c r="AY87" s="54">
        <f t="shared" si="50"/>
        <v>2.6881457885859752</v>
      </c>
      <c r="AZ87" s="54">
        <f t="shared" si="50"/>
        <v>1.9459338799741575</v>
      </c>
      <c r="BA87" s="54">
        <f t="shared" si="50"/>
        <v>1.4363227037087418</v>
      </c>
      <c r="BB87" s="54">
        <f t="shared" si="50"/>
        <v>4.3197675776539031</v>
      </c>
      <c r="BC87" s="54">
        <f t="shared" si="50"/>
        <v>2.6491639623539078</v>
      </c>
      <c r="BD87" s="54">
        <f t="shared" si="50"/>
        <v>1.8149050985869803</v>
      </c>
      <c r="BE87" s="54">
        <f t="shared" si="50"/>
        <v>1.3470310081470644</v>
      </c>
      <c r="BF87" s="54">
        <f t="shared" si="50"/>
        <v>3.8783648715413701</v>
      </c>
      <c r="BG87" s="54">
        <f t="shared" si="50"/>
        <v>2.8231282521751777</v>
      </c>
      <c r="BH87" s="54">
        <f t="shared" si="50"/>
        <v>1.9449257373347828</v>
      </c>
      <c r="BI87" s="54">
        <f t="shared" si="50"/>
        <v>1.3384126422925084</v>
      </c>
      <c r="BJ87" s="54">
        <f t="shared" si="50"/>
        <v>3.3271109404361057</v>
      </c>
      <c r="BK87" s="54">
        <f t="shared" si="50"/>
        <v>2.2271507364160152</v>
      </c>
      <c r="BL87" s="54">
        <f t="shared" si="50"/>
        <v>1.6335388086064686</v>
      </c>
      <c r="BM87" s="54">
        <f t="shared" si="50"/>
        <v>1.3682132689387074</v>
      </c>
      <c r="BN87" s="54">
        <f t="shared" si="50"/>
        <v>4.142885088877156</v>
      </c>
      <c r="BO87" s="54">
        <f t="shared" si="50"/>
        <v>3.5018394752890143</v>
      </c>
      <c r="BP87" s="54">
        <f t="shared" si="50"/>
        <v>3.4986521131746944</v>
      </c>
      <c r="BQ87" s="54">
        <f t="shared" si="50"/>
        <v>3.898408876033554</v>
      </c>
      <c r="BR87" s="54">
        <f t="shared" ref="BR87:CK87" si="51">BR81/BR86</f>
        <v>9.9849354859694088</v>
      </c>
      <c r="BS87" s="54" t="e">
        <f t="shared" si="51"/>
        <v>#DIV/0!</v>
      </c>
      <c r="BT87" s="54">
        <f t="shared" si="51"/>
        <v>192.86261468853101</v>
      </c>
      <c r="BU87" s="54">
        <f t="shared" si="51"/>
        <v>35225.709198892844</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269870.82</v>
      </c>
      <c r="L88" s="76">
        <f>资产资本表!L54</f>
        <v>269870.82</v>
      </c>
      <c r="M88" s="76">
        <f>资产资本表!M54</f>
        <v>260855.92</v>
      </c>
      <c r="N88" s="76">
        <f>资产资本表!N54</f>
        <v>260855.92</v>
      </c>
      <c r="O88" s="76">
        <f>资产资本表!O54</f>
        <v>260855.92</v>
      </c>
      <c r="P88" s="76">
        <f>资产资本表!P54</f>
        <v>260855.92</v>
      </c>
      <c r="Q88" s="76">
        <f>资产资本表!Q54</f>
        <v>260855.92</v>
      </c>
      <c r="R88" s="76">
        <f>资产资本表!R54</f>
        <v>260855.92</v>
      </c>
      <c r="S88" s="76">
        <f>资产资本表!S54</f>
        <v>1224766.1499999999</v>
      </c>
      <c r="T88" s="76">
        <f>资产资本表!T54</f>
        <v>1224766.1499999999</v>
      </c>
      <c r="U88" s="76">
        <f>资产资本表!U54</f>
        <v>1725110.46</v>
      </c>
      <c r="V88" s="76">
        <f>资产资本表!V54</f>
        <v>1725110.46</v>
      </c>
      <c r="W88" s="76">
        <f>资产资本表!W54</f>
        <v>2676942.59</v>
      </c>
      <c r="X88" s="76">
        <f>资产资本表!X54</f>
        <v>2676942.59</v>
      </c>
      <c r="Y88" s="76">
        <f>资产资本表!Y54</f>
        <v>2676942.59</v>
      </c>
      <c r="Z88" s="76">
        <f>资产资本表!Z54</f>
        <v>2676942.59</v>
      </c>
      <c r="AA88" s="76">
        <f>资产资本表!AA54</f>
        <v>2090289.79</v>
      </c>
      <c r="AB88" s="76">
        <f>资产资本表!AB54</f>
        <v>2090289.79</v>
      </c>
      <c r="AC88" s="76">
        <f>资产资本表!AC54</f>
        <v>17063746.940000001</v>
      </c>
      <c r="AD88" s="76">
        <f>资产资本表!AD54</f>
        <v>4918294.6399999997</v>
      </c>
      <c r="AE88" s="76">
        <f>资产资本表!AE54</f>
        <v>9193593.0800000001</v>
      </c>
      <c r="AF88" s="76">
        <f>资产资本表!AF54</f>
        <v>8457630.3800000008</v>
      </c>
      <c r="AG88" s="76">
        <f>资产资本表!AG54</f>
        <v>13359601.050000001</v>
      </c>
      <c r="AH88" s="76">
        <f>资产资本表!AH54</f>
        <v>18528802.460000001</v>
      </c>
      <c r="AI88" s="76">
        <f>资产资本表!AI54</f>
        <v>29764562.68</v>
      </c>
      <c r="AJ88" s="76">
        <f>资产资本表!AJ54</f>
        <v>28534493.73</v>
      </c>
      <c r="AK88" s="76">
        <f>资产资本表!AK54</f>
        <v>34573760.18</v>
      </c>
      <c r="AL88" s="76">
        <f>资产资本表!AL54</f>
        <v>24915041.530000001</v>
      </c>
      <c r="AM88" s="76">
        <f>资产资本表!AM54</f>
        <v>58066303.960000001</v>
      </c>
      <c r="AN88" s="76">
        <f>资产资本表!AN54</f>
        <v>48241829.450000003</v>
      </c>
      <c r="AO88" s="76">
        <f>资产资本表!AO54</f>
        <v>76212689.329999998</v>
      </c>
      <c r="AP88" s="76">
        <f>资产资本表!AP54</f>
        <v>62368950.890000001</v>
      </c>
      <c r="AQ88" s="76">
        <f>资产资本表!AQ54</f>
        <v>86238644.049999997</v>
      </c>
      <c r="AR88" s="76">
        <f>资产资本表!AR54</f>
        <v>20951751.210000001</v>
      </c>
      <c r="AS88" s="76">
        <f>资产资本表!AS54</f>
        <v>49874189.399999999</v>
      </c>
      <c r="AT88" s="76">
        <f>资产资本表!AT54</f>
        <v>11931427.66</v>
      </c>
      <c r="AU88" s="76">
        <f>资产资本表!AU54</f>
        <v>54999356.25</v>
      </c>
      <c r="AV88" s="76">
        <f>资产资本表!AV54</f>
        <v>23465945.789999999</v>
      </c>
      <c r="AW88" s="76">
        <f>资产资本表!AW54</f>
        <v>15359723.76</v>
      </c>
      <c r="AX88" s="76">
        <f>资产资本表!AX54</f>
        <v>47444702.520000003</v>
      </c>
      <c r="AY88" s="76">
        <f>资产资本表!AY54</f>
        <v>81705306.280000001</v>
      </c>
      <c r="AZ88" s="76">
        <f>资产资本表!AZ54</f>
        <v>49288779.32</v>
      </c>
      <c r="BA88" s="76">
        <f>资产资本表!BA54</f>
        <v>27434478.82</v>
      </c>
      <c r="BB88" s="76">
        <f>资产资本表!BB54</f>
        <v>19108529.359999999</v>
      </c>
      <c r="BC88" s="76">
        <f>资产资本表!BC54</f>
        <v>60212675.93</v>
      </c>
      <c r="BD88" s="76">
        <f>资产资本表!BD54</f>
        <v>45532107.710000001</v>
      </c>
      <c r="BE88" s="76">
        <f>资产资本表!BE54</f>
        <v>20256459.23</v>
      </c>
      <c r="BF88" s="76">
        <f>资产资本表!BF54</f>
        <v>10991173.91</v>
      </c>
      <c r="BG88" s="76">
        <f>资产资本表!BG54</f>
        <v>20644752.170000002</v>
      </c>
      <c r="BH88" s="76">
        <f>资产资本表!BH54</f>
        <v>17528075.469999999</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1792981.04</v>
      </c>
      <c r="L89" s="76">
        <f>资产资本表!L55</f>
        <v>1792981.04</v>
      </c>
      <c r="M89" s="76">
        <f>资产资本表!M55</f>
        <v>1792981.04</v>
      </c>
      <c r="N89" s="76">
        <f>资产资本表!N55</f>
        <v>682594.04</v>
      </c>
      <c r="O89" s="76">
        <f>资产资本表!O55</f>
        <v>682594.04</v>
      </c>
      <c r="P89" s="76">
        <f>资产资本表!P55</f>
        <v>0</v>
      </c>
      <c r="Q89" s="76">
        <f>资产资本表!Q55</f>
        <v>0</v>
      </c>
      <c r="R89" s="76">
        <f>资产资本表!R55</f>
        <v>0</v>
      </c>
      <c r="S89" s="76">
        <f>资产资本表!S55</f>
        <v>836478.5</v>
      </c>
      <c r="T89" s="76">
        <f>资产资本表!T55</f>
        <v>260558.5</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494592.89</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164317.37</v>
      </c>
      <c r="AT89" s="76">
        <f>资产资本表!AT55</f>
        <v>0</v>
      </c>
      <c r="AU89" s="76">
        <f>资产资本表!AU55</f>
        <v>456645.64</v>
      </c>
      <c r="AV89" s="76">
        <f>资产资本表!AV55</f>
        <v>0</v>
      </c>
      <c r="AW89" s="76">
        <f>资产资本表!AW55</f>
        <v>35490</v>
      </c>
      <c r="AX89" s="76">
        <f>资产资本表!AX55</f>
        <v>0</v>
      </c>
      <c r="AY89" s="76">
        <f>资产资本表!AY55</f>
        <v>140744.01</v>
      </c>
      <c r="AZ89" s="76">
        <f>资产资本表!AZ55</f>
        <v>122591.96</v>
      </c>
      <c r="BA89" s="76">
        <f>资产资本表!BA55</f>
        <v>15676.67</v>
      </c>
      <c r="BB89" s="76">
        <f>资产资本表!BB55</f>
        <v>0</v>
      </c>
      <c r="BC89" s="76">
        <f>资产资本表!BC55</f>
        <v>13066.32</v>
      </c>
      <c r="BD89" s="76">
        <f>资产资本表!BD55</f>
        <v>0</v>
      </c>
      <c r="BE89" s="76">
        <f>资产资本表!BE55</f>
        <v>0</v>
      </c>
      <c r="BF89" s="76">
        <f>资产资本表!BF55</f>
        <v>0</v>
      </c>
      <c r="BG89" s="76">
        <f>资产资本表!BG55</f>
        <v>144779.23000000001</v>
      </c>
      <c r="BH89" s="76">
        <f>资产资本表!BH55</f>
        <v>144779.23000000001</v>
      </c>
      <c r="BI89" s="76">
        <f>资产资本表!BI55</f>
        <v>117684.47</v>
      </c>
      <c r="BJ89" s="76">
        <f>资产资本表!BJ55</f>
        <v>6730</v>
      </c>
      <c r="BK89" s="76">
        <f>资产资本表!BK55</f>
        <v>6730</v>
      </c>
      <c r="BL89" s="76">
        <f>资产资本表!BL55</f>
        <v>6730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449993.46</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590</v>
      </c>
      <c r="E92" s="76">
        <f>资产资本表!E58</f>
        <v>3437446976.0999999</v>
      </c>
      <c r="F92" s="76">
        <f>资产资本表!F58</f>
        <v>3458622239.3800001</v>
      </c>
      <c r="G92" s="76">
        <f>资产资本表!G58</f>
        <v>3473785664.3499999</v>
      </c>
      <c r="H92" s="76">
        <f>资产资本表!H58</f>
        <v>3486620572.5500002</v>
      </c>
      <c r="I92" s="76">
        <f>资产资本表!I58</f>
        <v>3506692179.8400002</v>
      </c>
      <c r="J92" s="76">
        <f>资产资本表!J58</f>
        <v>3531740625.5999999</v>
      </c>
      <c r="K92" s="76">
        <f>资产资本表!K58</f>
        <v>3551889907.73</v>
      </c>
      <c r="L92" s="76">
        <f>资产资本表!L58</f>
        <v>3572114511.04</v>
      </c>
      <c r="M92" s="76">
        <f>资产资本表!M58</f>
        <v>3562139114.3499999</v>
      </c>
      <c r="N92" s="76">
        <f>资产资本表!N58</f>
        <v>3582462431.04</v>
      </c>
      <c r="O92" s="76">
        <f>资产资本表!O58</f>
        <v>3603081357.7800002</v>
      </c>
      <c r="P92" s="76">
        <f>资产资本表!P58</f>
        <v>3612750116.1100001</v>
      </c>
      <c r="Q92" s="76">
        <f>资产资本表!Q58</f>
        <v>3562868314.6999998</v>
      </c>
      <c r="R92" s="76">
        <f>资产资本表!R58</f>
        <v>3582623682.2399998</v>
      </c>
      <c r="S92" s="76">
        <f>资产资本表!S58</f>
        <v>3565626838.7800002</v>
      </c>
      <c r="T92" s="76">
        <f>资产资本表!T58</f>
        <v>3700019421.5900002</v>
      </c>
      <c r="U92" s="76">
        <f>资产资本表!U58</f>
        <v>3686129714.0799999</v>
      </c>
      <c r="V92" s="76">
        <f>资产资本表!V58</f>
        <v>3563308110.5100002</v>
      </c>
      <c r="W92" s="76">
        <f>资产资本表!W58</f>
        <v>1041613845.3099999</v>
      </c>
      <c r="X92" s="76">
        <f>资产资本表!X58</f>
        <v>1022370760.39</v>
      </c>
      <c r="Y92" s="76">
        <f>资产资本表!Y58</f>
        <v>950991339.07000005</v>
      </c>
      <c r="Z92" s="76">
        <f>资产资本表!Z58</f>
        <v>862615899.20000005</v>
      </c>
      <c r="AA92" s="76">
        <f>资产资本表!AA58</f>
        <v>803234798.05999994</v>
      </c>
      <c r="AB92" s="76">
        <f>资产资本表!AB58</f>
        <v>807769533.46000004</v>
      </c>
      <c r="AC92" s="76">
        <f>资产资本表!AC58</f>
        <v>805843181.95000005</v>
      </c>
      <c r="AD92" s="76">
        <f>资产资本表!AD58</f>
        <v>808425512.33000004</v>
      </c>
      <c r="AE92" s="76">
        <f>资产资本表!AE58</f>
        <v>464193004.38999999</v>
      </c>
      <c r="AF92" s="76">
        <f>资产资本表!AF58</f>
        <v>465496995.37</v>
      </c>
      <c r="AG92" s="76">
        <f>资产资本表!AG58</f>
        <v>467473261.33999997</v>
      </c>
      <c r="AH92" s="76">
        <f>资产资本表!AH58</f>
        <v>452317235.72000003</v>
      </c>
      <c r="AI92" s="76">
        <f>资产资本表!AI58</f>
        <v>460772956.60000002</v>
      </c>
      <c r="AJ92" s="76">
        <f>资产资本表!AJ58</f>
        <v>463868158.93000001</v>
      </c>
      <c r="AK92" s="76">
        <f>资产资本表!AK58</f>
        <v>462690687.36000001</v>
      </c>
      <c r="AL92" s="76">
        <f>资产资本表!AL58</f>
        <v>465550825.17000002</v>
      </c>
      <c r="AM92" s="76">
        <f>资产资本表!AM58</f>
        <v>466854656.80000001</v>
      </c>
      <c r="AN92" s="76">
        <f>资产资本表!AN58</f>
        <v>473613977</v>
      </c>
      <c r="AO92" s="76">
        <f>资产资本表!AO58</f>
        <v>476520713.93000001</v>
      </c>
      <c r="AP92" s="76">
        <f>资产资本表!AP58</f>
        <v>445207595.72000003</v>
      </c>
      <c r="AQ92" s="76">
        <f>资产资本表!AQ58</f>
        <v>257618015.97</v>
      </c>
      <c r="AR92" s="76">
        <f>资产资本表!AR58</f>
        <v>259113847.75999999</v>
      </c>
      <c r="AS92" s="76">
        <f>资产资本表!AS58</f>
        <v>247652499.97999999</v>
      </c>
      <c r="AT92" s="76">
        <f>资产资本表!AT58</f>
        <v>249274093.40000001</v>
      </c>
      <c r="AU92" s="76">
        <f>资产资本表!AU58</f>
        <v>252846793.83000001</v>
      </c>
      <c r="AV92" s="76">
        <f>资产资本表!AV58</f>
        <v>254479095.53999999</v>
      </c>
      <c r="AW92" s="76">
        <f>资产资本表!AW58</f>
        <v>255348897.25</v>
      </c>
      <c r="AX92" s="76">
        <f>资产资本表!AX58</f>
        <v>66093918.659999996</v>
      </c>
      <c r="AY92" s="76">
        <f>资产资本表!AY58</f>
        <v>66853374.939999998</v>
      </c>
      <c r="AZ92" s="76">
        <f>资产资本表!AZ58</f>
        <v>69018445.219999999</v>
      </c>
      <c r="BA92" s="76">
        <f>资产资本表!BA58</f>
        <v>56933580.289999999</v>
      </c>
      <c r="BB92" s="76">
        <f>资产资本表!BB58</f>
        <v>57074911.579999998</v>
      </c>
      <c r="BC92" s="76">
        <f>资产资本表!BC58</f>
        <v>57229688</v>
      </c>
      <c r="BD92" s="76">
        <f>资产资本表!BD58</f>
        <v>39766396</v>
      </c>
      <c r="BE92" s="76">
        <f>资产资本表!BE58</f>
        <v>37656999.829999998</v>
      </c>
      <c r="BF92" s="76">
        <f>资产资本表!BF58</f>
        <v>37699499.840000004</v>
      </c>
      <c r="BG92" s="76">
        <f>资产资本表!BG58</f>
        <v>128704.85</v>
      </c>
      <c r="BH92" s="76">
        <f>资产资本表!BH58</f>
        <v>171204.86</v>
      </c>
      <c r="BI92" s="76">
        <f>资产资本表!BI58</f>
        <v>213704.87</v>
      </c>
      <c r="BJ92" s="76">
        <f>资产资本表!BJ58</f>
        <v>256204.88</v>
      </c>
      <c r="BK92" s="76">
        <f>资产资本表!BK58</f>
        <v>297499.89</v>
      </c>
      <c r="BL92" s="76">
        <f>资产资本表!BL58</f>
        <v>339999.9</v>
      </c>
      <c r="BM92" s="76">
        <f>资产资本表!BM58</f>
        <v>382499.91</v>
      </c>
      <c r="BN92" s="76">
        <f>资产资本表!BN58</f>
        <v>424999.92</v>
      </c>
      <c r="BO92" s="76">
        <f>资产资本表!BO58</f>
        <v>467499.93</v>
      </c>
      <c r="BP92" s="76">
        <f>资产资本表!BP58</f>
        <v>509999.94</v>
      </c>
      <c r="BQ92" s="76">
        <f>资产资本表!BQ58</f>
        <v>552499.94999999995</v>
      </c>
      <c r="BR92" s="76">
        <f>资产资本表!BR58</f>
        <v>594999.96</v>
      </c>
      <c r="BS92" s="76">
        <f>资产资本表!BS58</f>
        <v>679999.98</v>
      </c>
      <c r="BT92" s="76">
        <f>资产资本表!BT58</f>
        <v>765000</v>
      </c>
      <c r="BU92" s="76">
        <f>资产资本表!BU58</f>
        <v>935000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3" customFormat="1">
      <c r="A93" s="249" t="s">
        <v>689</v>
      </c>
      <c r="E93" s="153">
        <f>E81/E92</f>
        <v>5.0811449620603213</v>
      </c>
      <c r="F93" s="153">
        <f t="shared" ref="F93:BQ93" si="52">F81/F92</f>
        <v>16.832674193584744</v>
      </c>
      <c r="G93" s="153">
        <f t="shared" si="52"/>
        <v>12.220232219754166</v>
      </c>
      <c r="H93" s="153">
        <f t="shared" si="52"/>
        <v>6.9379588961893273</v>
      </c>
      <c r="I93" s="153">
        <f t="shared" si="52"/>
        <v>3.7952116702405383</v>
      </c>
      <c r="J93" s="153">
        <f t="shared" si="52"/>
        <v>11.003693111590771</v>
      </c>
      <c r="K93" s="153">
        <f t="shared" si="52"/>
        <v>7.4979474939442428</v>
      </c>
      <c r="L93" s="153">
        <f t="shared" si="52"/>
        <v>5.0875285820971534</v>
      </c>
      <c r="M93" s="153">
        <f t="shared" si="52"/>
        <v>2.8041447597401579</v>
      </c>
      <c r="N93" s="153">
        <f t="shared" si="52"/>
        <v>9.116518136325249</v>
      </c>
      <c r="O93" s="153">
        <f t="shared" si="52"/>
        <v>6.4246922737134122</v>
      </c>
      <c r="P93" s="153">
        <f t="shared" si="52"/>
        <v>4.3674892973056032</v>
      </c>
      <c r="Q93" s="153">
        <f t="shared" si="52"/>
        <v>2.3981446074633954</v>
      </c>
      <c r="R93" s="153">
        <f t="shared" si="52"/>
        <v>8.8130742526657766</v>
      </c>
      <c r="S93" s="153">
        <f t="shared" si="52"/>
        <v>6.0909876859242527</v>
      </c>
      <c r="T93" s="153">
        <f t="shared" si="52"/>
        <v>3.8706900616580016</v>
      </c>
      <c r="U93" s="153">
        <f t="shared" si="52"/>
        <v>2.0210427544597032</v>
      </c>
      <c r="V93" s="153">
        <f t="shared" si="52"/>
        <v>8.677835415185104</v>
      </c>
      <c r="W93" s="153">
        <f t="shared" si="52"/>
        <v>21.059352411652711</v>
      </c>
      <c r="X93" s="153">
        <f t="shared" si="52"/>
        <v>13.81873165633248</v>
      </c>
      <c r="Y93" s="153">
        <f t="shared" si="52"/>
        <v>7.5350695187377985</v>
      </c>
      <c r="Z93" s="153">
        <f t="shared" si="52"/>
        <v>30.668731213423015</v>
      </c>
      <c r="AA93" s="153">
        <f t="shared" si="52"/>
        <v>24.81396305117643</v>
      </c>
      <c r="AB93" s="153">
        <f t="shared" si="52"/>
        <v>16.421067256143107</v>
      </c>
      <c r="AC93" s="153">
        <f t="shared" si="52"/>
        <v>7.4654323277419889</v>
      </c>
      <c r="AD93" s="153">
        <f t="shared" si="52"/>
        <v>22.76320443458264</v>
      </c>
      <c r="AE93" s="153">
        <f t="shared" si="52"/>
        <v>29.388800242686052</v>
      </c>
      <c r="AF93" s="153">
        <f t="shared" si="52"/>
        <v>21.108242426505782</v>
      </c>
      <c r="AG93" s="153">
        <f t="shared" si="52"/>
        <v>9.028514456295941</v>
      </c>
      <c r="AH93" s="153">
        <f t="shared" si="52"/>
        <v>25.719302342441367</v>
      </c>
      <c r="AI93" s="153">
        <f t="shared" si="52"/>
        <v>20.243327327513562</v>
      </c>
      <c r="AJ93" s="153">
        <f t="shared" si="52"/>
        <v>14.200729746087294</v>
      </c>
      <c r="AK93" s="153">
        <f t="shared" si="52"/>
        <v>6.5700611303740759</v>
      </c>
      <c r="AL93" s="153">
        <f t="shared" si="52"/>
        <v>20.771092096891707</v>
      </c>
      <c r="AM93" s="153">
        <f t="shared" si="52"/>
        <v>16.722982778609396</v>
      </c>
      <c r="AN93" s="153">
        <f t="shared" si="52"/>
        <v>11.709971201483354</v>
      </c>
      <c r="AO93" s="153">
        <f t="shared" si="52"/>
        <v>5.2726714574029758</v>
      </c>
      <c r="AP93" s="153">
        <f t="shared" si="52"/>
        <v>18.512005732474879</v>
      </c>
      <c r="AQ93" s="153">
        <f t="shared" si="52"/>
        <v>25.178818556561527</v>
      </c>
      <c r="AR93" s="153">
        <f t="shared" si="52"/>
        <v>17.828909375306484</v>
      </c>
      <c r="AS93" s="153">
        <f t="shared" si="52"/>
        <v>8.0495710546874815</v>
      </c>
      <c r="AT93" s="153">
        <f t="shared" si="52"/>
        <v>29.034026955646727</v>
      </c>
      <c r="AU93" s="153">
        <f t="shared" si="52"/>
        <v>17.632741873949037</v>
      </c>
      <c r="AV93" s="153">
        <f t="shared" si="52"/>
        <v>10.331256761350559</v>
      </c>
      <c r="AW93" s="153">
        <f t="shared" si="52"/>
        <v>6.2171331569359269</v>
      </c>
      <c r="AX93" s="153">
        <f t="shared" si="52"/>
        <v>74.079234526809344</v>
      </c>
      <c r="AY93" s="153">
        <f t="shared" si="52"/>
        <v>48.605672482897695</v>
      </c>
      <c r="AZ93" s="153">
        <f t="shared" si="52"/>
        <v>29.404632010920864</v>
      </c>
      <c r="BA93" s="153">
        <f t="shared" si="52"/>
        <v>23.790846162680349</v>
      </c>
      <c r="BB93" s="153">
        <f t="shared" si="52"/>
        <v>68.865901475830199</v>
      </c>
      <c r="BC93" s="153">
        <f t="shared" si="52"/>
        <v>45.087068677536735</v>
      </c>
      <c r="BD93" s="153">
        <f t="shared" si="52"/>
        <v>42.401236006149517</v>
      </c>
      <c r="BE93" s="153">
        <f t="shared" si="52"/>
        <v>30.379938013771394</v>
      </c>
      <c r="BF93" s="153">
        <f t="shared" si="52"/>
        <v>79.836431058603665</v>
      </c>
      <c r="BG93" s="153">
        <f t="shared" si="52"/>
        <v>16086.714468413584</v>
      </c>
      <c r="BH93" s="153">
        <f t="shared" si="52"/>
        <v>7675.6536529395253</v>
      </c>
      <c r="BI93" s="153">
        <f t="shared" si="52"/>
        <v>3993.5070541911377</v>
      </c>
      <c r="BJ93" s="153">
        <f t="shared" si="52"/>
        <v>9371.4761987749789</v>
      </c>
      <c r="BK93" s="153">
        <f t="shared" si="52"/>
        <v>5219.3107032745456</v>
      </c>
      <c r="BL93" s="153">
        <f t="shared" si="52"/>
        <v>2967.7878301728911</v>
      </c>
      <c r="BM93" s="153">
        <f t="shared" si="52"/>
        <v>1918.6651727316748</v>
      </c>
      <c r="BN93" s="153">
        <f t="shared" si="52"/>
        <v>4317.408565394554</v>
      </c>
      <c r="BO93" s="153">
        <f t="shared" si="52"/>
        <v>2917.4041252155907</v>
      </c>
      <c r="BP93" s="153">
        <f t="shared" si="52"/>
        <v>1873.8320099018051</v>
      </c>
      <c r="BQ93" s="153">
        <f t="shared" si="52"/>
        <v>1299.5745221877396</v>
      </c>
      <c r="BR93" s="153">
        <f t="shared" ref="BR93:CK93" si="53">BR81/BR92</f>
        <v>2719.4063345987452</v>
      </c>
      <c r="BS93" s="153">
        <f t="shared" si="53"/>
        <v>1285.0933891792174</v>
      </c>
      <c r="BT93" s="153">
        <f t="shared" si="53"/>
        <v>1456.2102134117647</v>
      </c>
      <c r="BU93" s="153">
        <f t="shared" si="53"/>
        <v>952.7895033582887</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6" customFormat="1">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592</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593</v>
      </c>
      <c r="E96" s="76">
        <f>资产资本表!E61</f>
        <v>175329128.06999999</v>
      </c>
      <c r="F96" s="76">
        <f>资产资本表!F61</f>
        <v>177859674.53999999</v>
      </c>
      <c r="G96" s="76">
        <f>资产资本表!G61</f>
        <v>180381853.66999999</v>
      </c>
      <c r="H96" s="76">
        <f>资产资本表!H61</f>
        <v>182978339.78</v>
      </c>
      <c r="I96" s="76">
        <f>资产资本表!I61</f>
        <v>185603910.53</v>
      </c>
      <c r="J96" s="76">
        <f>资产资本表!J61</f>
        <v>188118776.50999999</v>
      </c>
      <c r="K96" s="76">
        <f>资产资本表!K61</f>
        <v>190287366.19999999</v>
      </c>
      <c r="L96" s="76">
        <f>资产资本表!L61</f>
        <v>192922015.68000001</v>
      </c>
      <c r="M96" s="76">
        <f>资产资本表!M61</f>
        <v>195934362.53999999</v>
      </c>
      <c r="N96" s="76">
        <f>资产资本表!N61</f>
        <v>198603537.81</v>
      </c>
      <c r="O96" s="76">
        <f>资产资本表!O61</f>
        <v>202031249.06</v>
      </c>
      <c r="P96" s="76">
        <f>资产资本表!P61</f>
        <v>2963228.01</v>
      </c>
      <c r="Q96" s="76">
        <f>资产资本表!Q61</f>
        <v>4437945.83</v>
      </c>
      <c r="R96" s="76">
        <f>资产资本表!R61</f>
        <v>5408286.8300000001</v>
      </c>
      <c r="S96" s="76">
        <f>资产资本表!S61</f>
        <v>5917951.8899999997</v>
      </c>
      <c r="T96" s="76">
        <f>资产资本表!T61</f>
        <v>6799810.7400000002</v>
      </c>
      <c r="U96" s="76">
        <f>资产资本表!U61</f>
        <v>7196207.0800000001</v>
      </c>
      <c r="V96" s="76">
        <f>资产资本表!V61</f>
        <v>8048744.96</v>
      </c>
      <c r="W96" s="76">
        <f>资产资本表!W61</f>
        <v>8736497.5999999996</v>
      </c>
      <c r="X96" s="76">
        <f>资产资本表!X61</f>
        <v>8234551.5099999998</v>
      </c>
      <c r="Y96" s="76">
        <f>资产资本表!Y61</f>
        <v>9205790.4700000007</v>
      </c>
      <c r="Z96" s="76">
        <f>资产资本表!Z61</f>
        <v>10177029.43</v>
      </c>
      <c r="AA96" s="76">
        <f>资产资本表!AA61</f>
        <v>11148268.390000001</v>
      </c>
      <c r="AB96" s="76">
        <f>资产资本表!AB61</f>
        <v>11885526.800000001</v>
      </c>
      <c r="AC96" s="76">
        <f>资产资本表!AC61</f>
        <v>12845444.119999999</v>
      </c>
      <c r="AD96" s="76">
        <f>资产资本表!AD61</f>
        <v>13805361.439999999</v>
      </c>
      <c r="AE96" s="76">
        <f>资产资本表!AE61</f>
        <v>16893673.399999999</v>
      </c>
      <c r="AF96" s="76">
        <f>资产资本表!AF61</f>
        <v>17838414.5</v>
      </c>
      <c r="AG96" s="76">
        <f>资产资本表!AG61</f>
        <v>18202831.82</v>
      </c>
      <c r="AH96" s="76">
        <f>资产资本表!AH61</f>
        <v>18701578.16</v>
      </c>
      <c r="AI96" s="76">
        <f>资产资本表!AI61</f>
        <v>19768820.690000001</v>
      </c>
      <c r="AJ96" s="76">
        <f>资产资本表!AJ61</f>
        <v>18891838.010000002</v>
      </c>
      <c r="AK96" s="76">
        <f>资产资本表!AK61</f>
        <v>20112027.370000001</v>
      </c>
      <c r="AL96" s="76">
        <f>资产资本表!AL61</f>
        <v>21469624.809999999</v>
      </c>
      <c r="AM96" s="76">
        <f>资产资本表!AM61</f>
        <v>3152879.4</v>
      </c>
      <c r="AN96" s="76">
        <f>资产资本表!AN61</f>
        <v>5462382.6500000004</v>
      </c>
      <c r="AO96" s="76">
        <f>资产资本表!AO61</f>
        <v>7803175.4299999997</v>
      </c>
      <c r="AP96" s="76">
        <f>资产资本表!AP61</f>
        <v>10146520.77</v>
      </c>
      <c r="AQ96" s="76">
        <f>资产资本表!AQ61</f>
        <v>8582962.8599999994</v>
      </c>
      <c r="AR96" s="76">
        <f>资产资本表!AR61</f>
        <v>11461634.75</v>
      </c>
      <c r="AS96" s="76">
        <f>资产资本表!AS61</f>
        <v>13941111.949999999</v>
      </c>
      <c r="AT96" s="76">
        <f>资产资本表!AT61</f>
        <v>12477325.460000001</v>
      </c>
      <c r="AU96" s="76">
        <f>资产资本表!AU61</f>
        <v>36691360.520000003</v>
      </c>
      <c r="AV96" s="76">
        <f>资产资本表!AV61</f>
        <v>70552699.730000004</v>
      </c>
      <c r="AW96" s="76">
        <f>资产资本表!AW61</f>
        <v>68191994.959999993</v>
      </c>
      <c r="AX96" s="76">
        <f>资产资本表!AX61</f>
        <v>68459874.909999996</v>
      </c>
      <c r="AY96" s="76">
        <f>资产资本表!AY61</f>
        <v>64111146.829999998</v>
      </c>
      <c r="AZ96" s="76">
        <f>资产资本表!AZ61</f>
        <v>60712606.950000003</v>
      </c>
      <c r="BA96" s="76">
        <f>资产资本表!BA61</f>
        <v>58279125.240000002</v>
      </c>
      <c r="BB96" s="76">
        <f>资产资本表!BB61</f>
        <v>60377239.579999998</v>
      </c>
      <c r="BC96" s="76">
        <f>资产资本表!BC61</f>
        <v>58900390.140000001</v>
      </c>
      <c r="BD96" s="76">
        <f>资产资本表!BD61</f>
        <v>52057433.049999997</v>
      </c>
      <c r="BE96" s="76">
        <f>资产资本表!BE61</f>
        <v>49971049.43</v>
      </c>
      <c r="BF96" s="76">
        <f>资产资本表!BF61</f>
        <v>50939036</v>
      </c>
      <c r="BG96" s="76">
        <f>资产资本表!BG61</f>
        <v>55014337.399999999</v>
      </c>
      <c r="BH96" s="76">
        <f>资产资本表!BH61</f>
        <v>49561075.75</v>
      </c>
      <c r="BI96" s="76">
        <f>资产资本表!BI61</f>
        <v>45668919.369999997</v>
      </c>
      <c r="BJ96" s="76">
        <f>资产资本表!BJ61</f>
        <v>33607508.119999997</v>
      </c>
      <c r="BK96" s="76">
        <f>资产资本表!BK61</f>
        <v>28195069.550000001</v>
      </c>
      <c r="BL96" s="76">
        <f>资产资本表!BL61</f>
        <v>25847208.399999999</v>
      </c>
      <c r="BM96" s="76">
        <f>资产资本表!BM61</f>
        <v>25173397.5</v>
      </c>
      <c r="BN96" s="76">
        <f>资产资本表!BN61</f>
        <v>22221522.309999999</v>
      </c>
      <c r="BO96" s="76">
        <f>资产资本表!BO61</f>
        <v>18148500.66</v>
      </c>
      <c r="BP96" s="76">
        <f>资产资本表!BP61</f>
        <v>18219423.449999999</v>
      </c>
      <c r="BQ96" s="76">
        <f>资产资本表!BQ61</f>
        <v>16908806.059999999</v>
      </c>
      <c r="BR96" s="76">
        <f>资产资本表!BR61</f>
        <v>16579763.939999999</v>
      </c>
      <c r="BS96" s="76">
        <f>资产资本表!BS61</f>
        <v>16168889.27</v>
      </c>
      <c r="BT96" s="76">
        <f>资产资本表!BT61</f>
        <v>11574814.359999999</v>
      </c>
      <c r="BU96" s="76">
        <f>资产资本表!BU61</f>
        <v>8442496.9499999993</v>
      </c>
      <c r="BV96" s="76">
        <f>资产资本表!BV61</f>
        <v>7917934.4500000002</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594</v>
      </c>
      <c r="E97" s="76">
        <f>资产资本表!E62</f>
        <v>1399765939.0599999</v>
      </c>
      <c r="F97" s="76">
        <f>资产资本表!F62</f>
        <v>1401797361.77</v>
      </c>
      <c r="G97" s="76">
        <f>资产资本表!G62</f>
        <v>2019358117.1199999</v>
      </c>
      <c r="H97" s="76">
        <f>资产资本表!H62</f>
        <v>1835447883.46</v>
      </c>
      <c r="I97" s="76">
        <f>资产资本表!I62</f>
        <v>1845145948.6800001</v>
      </c>
      <c r="J97" s="76">
        <f>资产资本表!J62</f>
        <v>1745539120.6800001</v>
      </c>
      <c r="K97" s="76">
        <f>资产资本表!K62</f>
        <v>901987637.61000001</v>
      </c>
      <c r="L97" s="76">
        <f>资产资本表!L62</f>
        <v>895245348.82000005</v>
      </c>
      <c r="M97" s="76">
        <f>资产资本表!M62</f>
        <v>887280412.58000004</v>
      </c>
      <c r="N97" s="76">
        <f>资产资本表!N62</f>
        <v>1155336074.1400001</v>
      </c>
      <c r="O97" s="76">
        <f>资产资本表!O62</f>
        <v>767938421.36000001</v>
      </c>
      <c r="P97" s="76">
        <f>资产资本表!P62</f>
        <v>548714031.45000005</v>
      </c>
      <c r="Q97" s="76">
        <f>资产资本表!Q62</f>
        <v>743599436.94000006</v>
      </c>
      <c r="R97" s="76">
        <f>资产资本表!R62</f>
        <v>821601105.71000004</v>
      </c>
      <c r="S97" s="76">
        <f>资产资本表!S62</f>
        <v>950518493.65999997</v>
      </c>
      <c r="T97" s="76">
        <f>资产资本表!T62</f>
        <v>960373469.90999997</v>
      </c>
      <c r="U97" s="76">
        <f>资产资本表!U62</f>
        <v>804831808.55999994</v>
      </c>
      <c r="V97" s="76">
        <f>资产资本表!V62</f>
        <v>825372524.64999998</v>
      </c>
      <c r="W97" s="76">
        <f>资产资本表!W62</f>
        <v>627749883.44000006</v>
      </c>
      <c r="X97" s="76">
        <f>资产资本表!X62</f>
        <v>302817568.36000001</v>
      </c>
      <c r="Y97" s="76">
        <f>资产资本表!Y62</f>
        <v>567395099.30999994</v>
      </c>
      <c r="Z97" s="76">
        <f>资产资本表!Z62</f>
        <v>643656913.32000005</v>
      </c>
      <c r="AA97" s="76">
        <f>资产资本表!AA62</f>
        <v>282149572.67000002</v>
      </c>
      <c r="AB97" s="76">
        <f>资产资本表!AB62</f>
        <v>381631064.63</v>
      </c>
      <c r="AC97" s="76">
        <f>资产资本表!AC62</f>
        <v>478727366.87</v>
      </c>
      <c r="AD97" s="76">
        <f>资产资本表!AD62</f>
        <v>502628950.52999997</v>
      </c>
      <c r="AE97" s="76">
        <f>资产资本表!AE62</f>
        <v>356389121.89999998</v>
      </c>
      <c r="AF97" s="76">
        <f>资产资本表!AF62</f>
        <v>284320662.57999998</v>
      </c>
      <c r="AG97" s="76">
        <f>资产资本表!AG62</f>
        <v>310887789.67000002</v>
      </c>
      <c r="AH97" s="76">
        <f>资产资本表!AH62</f>
        <v>278437938.97000003</v>
      </c>
      <c r="AI97" s="76">
        <f>资产资本表!AI62</f>
        <v>257933326.34999999</v>
      </c>
      <c r="AJ97" s="76">
        <f>资产资本表!AJ62</f>
        <v>166372214.52000001</v>
      </c>
      <c r="AK97" s="76">
        <f>资产资本表!AK62</f>
        <v>197205662.94</v>
      </c>
      <c r="AL97" s="76">
        <f>资产资本表!AL62</f>
        <v>225420802.13999999</v>
      </c>
      <c r="AM97" s="76">
        <f>资产资本表!AM62</f>
        <v>101887756.67</v>
      </c>
      <c r="AN97" s="76">
        <f>资产资本表!AN62</f>
        <v>93737740.640000001</v>
      </c>
      <c r="AO97" s="76">
        <f>资产资本表!AO62</f>
        <v>191547177.25</v>
      </c>
      <c r="AP97" s="76">
        <f>资产资本表!AP62</f>
        <v>176680977.53999999</v>
      </c>
      <c r="AQ97" s="76">
        <f>资产资本表!AQ62</f>
        <v>68169347.540000007</v>
      </c>
      <c r="AR97" s="76">
        <f>资产资本表!AR62</f>
        <v>49096749.719999999</v>
      </c>
      <c r="AS97" s="76">
        <f>资产资本表!AS62</f>
        <v>72160364.549999997</v>
      </c>
      <c r="AT97" s="76">
        <f>资产资本表!AT62</f>
        <v>52849560.43</v>
      </c>
      <c r="AU97" s="76">
        <f>资产资本表!AU62</f>
        <v>36966481.409999996</v>
      </c>
      <c r="AV97" s="76">
        <f>资产资本表!AV62</f>
        <v>36799639.740000002</v>
      </c>
      <c r="AW97" s="76">
        <f>资产资本表!AW62</f>
        <v>51325209.009999998</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595</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4.25" thickBot="1">
      <c r="A99" s="74" t="s">
        <v>596</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5" customFormat="1">
      <c r="A100" s="88" t="s">
        <v>686</v>
      </c>
      <c r="E100" s="195">
        <f>(E84+I84)/2</f>
        <v>15188466787.514999</v>
      </c>
      <c r="F100" s="195">
        <f t="shared" ref="F100:BQ100" si="54">(F84+J84)/2</f>
        <v>14848637035.68</v>
      </c>
      <c r="G100" s="195">
        <f t="shared" si="54"/>
        <v>13050102906.630001</v>
      </c>
      <c r="H100" s="195">
        <f t="shared" si="54"/>
        <v>13196698722.32</v>
      </c>
      <c r="I100" s="195">
        <f t="shared" si="54"/>
        <v>13341737706.014999</v>
      </c>
      <c r="J100" s="195">
        <f t="shared" si="54"/>
        <v>12934565314.529999</v>
      </c>
      <c r="K100" s="195">
        <f t="shared" si="54"/>
        <v>11070113880.029999</v>
      </c>
      <c r="L100" s="195">
        <f t="shared" si="54"/>
        <v>10867126710.825001</v>
      </c>
      <c r="M100" s="195">
        <f t="shared" si="54"/>
        <v>10962336116.540001</v>
      </c>
      <c r="N100" s="195">
        <f t="shared" si="54"/>
        <v>10895855480.654999</v>
      </c>
      <c r="O100" s="195">
        <f t="shared" si="54"/>
        <v>9947306719.625</v>
      </c>
      <c r="P100" s="195">
        <f t="shared" si="54"/>
        <v>9647163003.0800018</v>
      </c>
      <c r="Q100" s="195">
        <f t="shared" si="54"/>
        <v>9603598208.8450012</v>
      </c>
      <c r="R100" s="195">
        <f t="shared" si="54"/>
        <v>9449507365.8500004</v>
      </c>
      <c r="S100" s="195">
        <f t="shared" si="54"/>
        <v>8084586793.5100002</v>
      </c>
      <c r="T100" s="195">
        <f t="shared" si="54"/>
        <v>7982427286.7700005</v>
      </c>
      <c r="U100" s="195">
        <f t="shared" si="54"/>
        <v>7876258520.7750006</v>
      </c>
      <c r="V100" s="195">
        <f t="shared" si="54"/>
        <v>7665295095.6000004</v>
      </c>
      <c r="W100" s="195">
        <f t="shared" si="54"/>
        <v>6502097969.6049995</v>
      </c>
      <c r="X100" s="195">
        <f t="shared" si="54"/>
        <v>6372849074.04</v>
      </c>
      <c r="Y100" s="195">
        <f t="shared" si="54"/>
        <v>6236967594.2399998</v>
      </c>
      <c r="Z100" s="195">
        <f t="shared" si="54"/>
        <v>6116672790.3500004</v>
      </c>
      <c r="AA100" s="195">
        <f t="shared" si="54"/>
        <v>5271156682.7150002</v>
      </c>
      <c r="AB100" s="195">
        <f t="shared" si="54"/>
        <v>4983643196.6599998</v>
      </c>
      <c r="AC100" s="195">
        <f t="shared" si="54"/>
        <v>4854292032.6800003</v>
      </c>
      <c r="AD100" s="195">
        <f t="shared" si="54"/>
        <v>4808931730.79</v>
      </c>
      <c r="AE100" s="195">
        <f t="shared" si="54"/>
        <v>4229268718.5050001</v>
      </c>
      <c r="AF100" s="195">
        <f t="shared" si="54"/>
        <v>3999905753.8899999</v>
      </c>
      <c r="AG100" s="195">
        <f t="shared" si="54"/>
        <v>3721356018.0050001</v>
      </c>
      <c r="AH100" s="195">
        <f t="shared" si="54"/>
        <v>3680288134.1300001</v>
      </c>
      <c r="AI100" s="195">
        <f t="shared" si="54"/>
        <v>3087745351.7550001</v>
      </c>
      <c r="AJ100" s="195">
        <f t="shared" si="54"/>
        <v>3008254330.3850002</v>
      </c>
      <c r="AK100" s="195">
        <f t="shared" si="54"/>
        <v>2735607949.75</v>
      </c>
      <c r="AL100" s="195">
        <f t="shared" si="54"/>
        <v>2679448534.0900002</v>
      </c>
      <c r="AM100" s="195">
        <f t="shared" si="54"/>
        <v>2191673218.5450001</v>
      </c>
      <c r="AN100" s="195">
        <f t="shared" si="54"/>
        <v>2115895476.665</v>
      </c>
      <c r="AO100" s="195">
        <f t="shared" si="54"/>
        <v>2058510236.2450001</v>
      </c>
      <c r="AP100" s="195">
        <f t="shared" si="54"/>
        <v>2008577638.125</v>
      </c>
      <c r="AQ100" s="195">
        <f t="shared" si="54"/>
        <v>1698794687.04</v>
      </c>
      <c r="AR100" s="195">
        <f t="shared" si="54"/>
        <v>1689060245.3699999</v>
      </c>
      <c r="AS100" s="195">
        <f t="shared" si="54"/>
        <v>1593740388.645</v>
      </c>
      <c r="AT100" s="195">
        <f t="shared" si="54"/>
        <v>1524592993.8299999</v>
      </c>
      <c r="AU100" s="195">
        <f t="shared" si="54"/>
        <v>1226541152.7549999</v>
      </c>
      <c r="AV100" s="195">
        <f t="shared" si="54"/>
        <v>1231294482.2049999</v>
      </c>
      <c r="AW100" s="195">
        <f t="shared" si="54"/>
        <v>1168713845.0599999</v>
      </c>
      <c r="AX100" s="195">
        <f t="shared" si="54"/>
        <v>1101792329.4000001</v>
      </c>
      <c r="AY100" s="195">
        <f t="shared" si="54"/>
        <v>881376556.29999995</v>
      </c>
      <c r="AZ100" s="195">
        <f t="shared" si="54"/>
        <v>867800933.10500002</v>
      </c>
      <c r="BA100" s="195">
        <f t="shared" si="54"/>
        <v>869155517.62</v>
      </c>
      <c r="BB100" s="195">
        <f t="shared" si="54"/>
        <v>848452356.46000004</v>
      </c>
      <c r="BC100" s="195">
        <f t="shared" si="54"/>
        <v>697501738.1500001</v>
      </c>
      <c r="BD100" s="195">
        <f t="shared" si="54"/>
        <v>678178234.21000004</v>
      </c>
      <c r="BE100" s="195">
        <f t="shared" si="54"/>
        <v>681632417.255</v>
      </c>
      <c r="BF100" s="195">
        <f t="shared" si="54"/>
        <v>578168254.625</v>
      </c>
      <c r="BG100" s="195">
        <f t="shared" si="54"/>
        <v>543238290.57500005</v>
      </c>
      <c r="BH100" s="195">
        <f t="shared" si="54"/>
        <v>548380577.39499998</v>
      </c>
      <c r="BI100" s="195">
        <f t="shared" si="54"/>
        <v>549244143.245</v>
      </c>
      <c r="BJ100" s="195">
        <f t="shared" si="54"/>
        <v>455456259.75999999</v>
      </c>
      <c r="BK100" s="195">
        <f t="shared" si="54"/>
        <v>441865412.88999999</v>
      </c>
      <c r="BL100" s="195">
        <f t="shared" si="54"/>
        <v>448987816.20000005</v>
      </c>
      <c r="BM100" s="195">
        <f t="shared" si="54"/>
        <v>431696074.09500003</v>
      </c>
      <c r="BN100" s="195">
        <f t="shared" si="54"/>
        <v>442169291.71000004</v>
      </c>
      <c r="BO100" s="195">
        <f t="shared" si="54"/>
        <v>312671793.01999998</v>
      </c>
      <c r="BP100" s="195">
        <f t="shared" si="54"/>
        <v>316631569.63</v>
      </c>
      <c r="BQ100" s="195">
        <f t="shared" si="54"/>
        <v>297247862.19499999</v>
      </c>
      <c r="BR100" s="195">
        <f t="shared" ref="BR100:CK100" si="55">(BR84+BV84)/2</f>
        <v>313631670.54000002</v>
      </c>
      <c r="BS100" s="195">
        <f t="shared" si="55"/>
        <v>88917819.534999996</v>
      </c>
      <c r="BT100" s="195">
        <f t="shared" si="55"/>
        <v>90160194.545000002</v>
      </c>
      <c r="BU100" s="195">
        <f t="shared" si="55"/>
        <v>92468432.950000003</v>
      </c>
      <c r="BV100" s="195">
        <f t="shared" si="55"/>
        <v>106511722.675</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4.25" thickBot="1">
      <c r="A101" s="251" t="s">
        <v>687</v>
      </c>
      <c r="E101" s="250">
        <f>E100/E84</f>
        <v>1.0006014238079488</v>
      </c>
      <c r="F101" s="250">
        <f t="shared" ref="F101:BQ101" si="56">F100/F84</f>
        <v>0.97405818095449859</v>
      </c>
      <c r="G101" s="250">
        <f t="shared" si="56"/>
        <v>0.87872479205596976</v>
      </c>
      <c r="H101" s="250">
        <f t="shared" si="56"/>
        <v>0.87769592449987488</v>
      </c>
      <c r="I101" s="250">
        <f t="shared" si="56"/>
        <v>0.87788474596921307</v>
      </c>
      <c r="J101" s="250">
        <f t="shared" si="56"/>
        <v>0.89492883961442959</v>
      </c>
      <c r="K101" s="250">
        <f t="shared" si="56"/>
        <v>0.98409562346274626</v>
      </c>
      <c r="L101" s="250">
        <f t="shared" si="56"/>
        <v>0.95680010976239838</v>
      </c>
      <c r="M101" s="250">
        <f t="shared" si="56"/>
        <v>0.95441852780236236</v>
      </c>
      <c r="N101" s="250">
        <f t="shared" si="56"/>
        <v>0.95444114911636591</v>
      </c>
      <c r="O101" s="250">
        <f t="shared" si="56"/>
        <v>0.91333388239856805</v>
      </c>
      <c r="P101" s="250">
        <f t="shared" si="56"/>
        <v>0.92971514762949081</v>
      </c>
      <c r="Q101" s="250">
        <f t="shared" si="56"/>
        <v>0.9199912644267455</v>
      </c>
      <c r="R101" s="250">
        <f t="shared" si="56"/>
        <v>0.91072937262701159</v>
      </c>
      <c r="S101" s="250">
        <f t="shared" si="56"/>
        <v>0.897947373833205</v>
      </c>
      <c r="T101" s="250">
        <f t="shared" si="56"/>
        <v>0.8951062771620546</v>
      </c>
      <c r="U101" s="250">
        <f t="shared" si="56"/>
        <v>0.8982545609621273</v>
      </c>
      <c r="V101" s="250">
        <f t="shared" si="56"/>
        <v>0.89933873066066439</v>
      </c>
      <c r="W101" s="250">
        <f t="shared" si="56"/>
        <v>0.9073836029609601</v>
      </c>
      <c r="X101" s="250">
        <f t="shared" si="56"/>
        <v>0.90433500069650186</v>
      </c>
      <c r="Y101" s="250">
        <f t="shared" si="56"/>
        <v>0.89302209094771601</v>
      </c>
      <c r="Z101" s="250">
        <f t="shared" si="56"/>
        <v>0.89854170241208975</v>
      </c>
      <c r="AA101" s="250">
        <f t="shared" si="56"/>
        <v>0.90283794430376241</v>
      </c>
      <c r="AB101" s="250">
        <f t="shared" si="56"/>
        <v>0.87452315960719473</v>
      </c>
      <c r="AC101" s="250">
        <f t="shared" si="56"/>
        <v>0.88423490992105569</v>
      </c>
      <c r="AD101" s="250">
        <f t="shared" si="56"/>
        <v>0.88627364276744536</v>
      </c>
      <c r="AE101" s="250">
        <f t="shared" si="56"/>
        <v>0.89910164246228719</v>
      </c>
      <c r="AF101" s="250">
        <f t="shared" si="56"/>
        <v>0.93705581054599074</v>
      </c>
      <c r="AG101" s="250">
        <f t="shared" si="56"/>
        <v>0.88209662738316197</v>
      </c>
      <c r="AH101" s="250">
        <f t="shared" si="56"/>
        <v>0.87796251246156831</v>
      </c>
      <c r="AI101" s="250">
        <f t="shared" si="56"/>
        <v>0.82237798683354491</v>
      </c>
      <c r="AJ101" s="250">
        <f t="shared" si="56"/>
        <v>0.80623817115383245</v>
      </c>
      <c r="AK101" s="250">
        <f t="shared" si="56"/>
        <v>0.84852686747012085</v>
      </c>
      <c r="AL101" s="250">
        <f t="shared" si="56"/>
        <v>0.84559196583245055</v>
      </c>
      <c r="AM101" s="250">
        <f t="shared" si="56"/>
        <v>0.90533732623503649</v>
      </c>
      <c r="AN101" s="250">
        <f t="shared" si="56"/>
        <v>0.92587785597836603</v>
      </c>
      <c r="AO101" s="250">
        <f t="shared" si="56"/>
        <v>0.91600641144350325</v>
      </c>
      <c r="AP101" s="250">
        <f t="shared" si="56"/>
        <v>0.91708674886242425</v>
      </c>
      <c r="AQ101" s="250">
        <f t="shared" si="56"/>
        <v>0.8656232755754345</v>
      </c>
      <c r="AR101" s="250">
        <f t="shared" si="56"/>
        <v>0.86773991061051181</v>
      </c>
      <c r="AS101" s="250">
        <f t="shared" si="56"/>
        <v>0.85237958896253452</v>
      </c>
      <c r="AT101" s="250">
        <f t="shared" si="56"/>
        <v>0.83448652219341435</v>
      </c>
      <c r="AU101" s="250">
        <f t="shared" si="56"/>
        <v>0.85468547799161565</v>
      </c>
      <c r="AV101" s="250">
        <f t="shared" si="56"/>
        <v>0.86007357375534965</v>
      </c>
      <c r="AW101" s="250">
        <f t="shared" si="56"/>
        <v>0.88691686144521253</v>
      </c>
      <c r="AX101" s="250">
        <f t="shared" si="56"/>
        <v>0.90148090700796657</v>
      </c>
      <c r="AY101" s="250">
        <f t="shared" si="56"/>
        <v>0.86578945554095488</v>
      </c>
      <c r="AZ101" s="250">
        <f t="shared" si="56"/>
        <v>0.84172948161750305</v>
      </c>
      <c r="BA101" s="250">
        <f t="shared" si="56"/>
        <v>0.85236294684546821</v>
      </c>
      <c r="BB101" s="250">
        <f t="shared" si="56"/>
        <v>0.8645484895469131</v>
      </c>
      <c r="BC101" s="250">
        <f t="shared" si="56"/>
        <v>0.93655850936513663</v>
      </c>
      <c r="BD101" s="250">
        <f t="shared" si="56"/>
        <v>0.96246252732234516</v>
      </c>
      <c r="BE101" s="250">
        <f t="shared" si="56"/>
        <v>0.94854311961227566</v>
      </c>
      <c r="BF101" s="250">
        <f t="shared" si="56"/>
        <v>0.80803624101717297</v>
      </c>
      <c r="BG101" s="250">
        <f t="shared" si="56"/>
        <v>0.83542514040305371</v>
      </c>
      <c r="BH101" s="250">
        <f t="shared" si="56"/>
        <v>0.8414251774607715</v>
      </c>
      <c r="BI101" s="250">
        <f t="shared" si="56"/>
        <v>0.85199703093889056</v>
      </c>
      <c r="BJ101" s="250">
        <f t="shared" si="56"/>
        <v>1.0332168068983072</v>
      </c>
      <c r="BK101" s="250">
        <f t="shared" si="56"/>
        <v>1.0129349796952252</v>
      </c>
      <c r="BL101" s="250">
        <f t="shared" si="56"/>
        <v>1.0088868353955833</v>
      </c>
      <c r="BM101" s="250">
        <f t="shared" si="56"/>
        <v>0.95122170165253095</v>
      </c>
      <c r="BN101" s="250">
        <f t="shared" si="56"/>
        <v>0.94058822815004839</v>
      </c>
      <c r="BO101" s="250">
        <f t="shared" si="56"/>
        <v>0.69869550951451775</v>
      </c>
      <c r="BP101" s="250">
        <f t="shared" si="56"/>
        <v>0.69905428337501985</v>
      </c>
      <c r="BQ101" s="250">
        <f t="shared" si="56"/>
        <v>0.72577568775076984</v>
      </c>
      <c r="BR101" s="250">
        <f t="shared" ref="BR101:CK101" si="57">BR100/BR84</f>
        <v>0.75712569883520819</v>
      </c>
      <c r="BS101" s="250">
        <f t="shared" si="57"/>
        <v>0.5</v>
      </c>
      <c r="BT101" s="250">
        <f t="shared" si="57"/>
        <v>0.5</v>
      </c>
      <c r="BU101" s="250">
        <f t="shared" si="57"/>
        <v>0.5</v>
      </c>
      <c r="BV101" s="250">
        <f t="shared" si="57"/>
        <v>0.5</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c r="A102" s="288" t="s">
        <v>688</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41"/>
  <sheetViews>
    <sheetView workbookViewId="0">
      <selection activeCell="E27" sqref="E27:CL27"/>
    </sheetView>
  </sheetViews>
  <sheetFormatPr defaultRowHeight="13.5"/>
  <cols>
    <col min="1" max="1" width="65.75" style="17" bestFit="1" customWidth="1"/>
    <col min="2" max="2" width="9.5" bestFit="1" customWidth="1"/>
    <col min="3" max="4" width="9.5" hidden="1" customWidth="1"/>
    <col min="5" max="5" width="22" hidden="1" customWidth="1"/>
    <col min="6" max="6" width="23.25" bestFit="1" customWidth="1"/>
    <col min="7" max="7" width="23.25" hidden="1" customWidth="1"/>
    <col min="8" max="9" width="22" hidden="1" customWidth="1"/>
    <col min="10" max="10" width="23.25" bestFit="1" customWidth="1"/>
    <col min="11" max="12" width="23.25" hidden="1" customWidth="1"/>
    <col min="13" max="13" width="22" hidden="1" customWidth="1"/>
    <col min="14" max="14" width="23.25" bestFit="1" customWidth="1"/>
    <col min="15" max="15" width="23.25" hidden="1" customWidth="1"/>
    <col min="16" max="17" width="22" hidden="1" customWidth="1"/>
    <col min="18" max="18" width="23.25" bestFit="1" customWidth="1"/>
    <col min="19" max="20" width="22" hidden="1" customWidth="1"/>
    <col min="21" max="21" width="19.5" hidden="1" customWidth="1"/>
    <col min="22" max="22" width="23.25" bestFit="1" customWidth="1"/>
    <col min="23" max="24" width="22" hidden="1" customWidth="1"/>
    <col min="25" max="25" width="19.5" hidden="1" customWidth="1"/>
    <col min="26" max="26" width="23.25" bestFit="1" customWidth="1"/>
    <col min="27" max="29" width="22" hidden="1" customWidth="1"/>
    <col min="30" max="30" width="22" bestFit="1" customWidth="1"/>
    <col min="31" max="33" width="22" hidden="1" customWidth="1"/>
    <col min="34" max="34" width="22" bestFit="1" customWidth="1"/>
    <col min="35" max="36" width="22" hidden="1" customWidth="1"/>
    <col min="37" max="37" width="19.5" hidden="1" customWidth="1"/>
    <col min="38" max="38" width="22" bestFit="1" customWidth="1"/>
    <col min="39" max="39" width="22" hidden="1" customWidth="1"/>
    <col min="40" max="40" width="19.5" hidden="1" customWidth="1"/>
    <col min="41" max="41" width="20.75" hidden="1" customWidth="1"/>
    <col min="42" max="42" width="22" bestFit="1" customWidth="1"/>
    <col min="43" max="44" width="22" hidden="1" customWidth="1"/>
    <col min="45" max="45" width="19.5" hidden="1" customWidth="1"/>
    <col min="46" max="46" width="22" bestFit="1" customWidth="1"/>
    <col min="47" max="47" width="22" hidden="1" customWidth="1"/>
    <col min="48" max="49" width="19.5" hidden="1" customWidth="1"/>
    <col min="50" max="50" width="22" bestFit="1" customWidth="1"/>
    <col min="51" max="51" width="22" hidden="1" customWidth="1"/>
    <col min="52" max="53" width="19.5" hidden="1" customWidth="1"/>
    <col min="54" max="54" width="22" bestFit="1" customWidth="1"/>
    <col min="55" max="57" width="19.5" hidden="1" customWidth="1"/>
    <col min="58" max="58" width="19.5" bestFit="1" customWidth="1"/>
    <col min="59" max="60" width="19.5" hidden="1" customWidth="1"/>
    <col min="61" max="61" width="20.75" hidden="1" customWidth="1"/>
    <col min="62" max="62" width="19.5" bestFit="1" customWidth="1"/>
    <col min="63" max="65" width="19.5" hidden="1" customWidth="1"/>
    <col min="66" max="66" width="19.5" bestFit="1" customWidth="1"/>
    <col min="67" max="67" width="20.75" hidden="1" customWidth="1"/>
    <col min="68" max="68" width="19.375" bestFit="1" customWidth="1"/>
    <col min="69" max="69" width="19.5" hidden="1" customWidth="1"/>
    <col min="70" max="70" width="19.5" bestFit="1" customWidth="1"/>
    <col min="71" max="71" width="17.25" hidden="1" customWidth="1"/>
    <col min="72" max="72" width="19.375" hidden="1" customWidth="1"/>
    <col min="73" max="73" width="17.25" bestFit="1" customWidth="1"/>
    <col min="74" max="74" width="17.25" hidden="1" customWidth="1"/>
    <col min="75" max="75" width="9.625" bestFit="1" customWidth="1"/>
    <col min="76" max="76" width="17.25" bestFit="1" customWidth="1"/>
    <col min="77" max="77" width="18.375" bestFit="1" customWidth="1"/>
    <col min="78" max="78" width="17.25" bestFit="1" customWidth="1"/>
    <col min="79" max="81" width="18.375" bestFit="1" customWidth="1"/>
    <col min="82" max="82" width="9.625" bestFit="1" customWidth="1"/>
    <col min="83" max="84" width="17.25" bestFit="1" customWidth="1"/>
    <col min="85" max="86" width="16.125" bestFit="1" customWidth="1"/>
    <col min="87" max="87" width="17.25" bestFit="1" customWidth="1"/>
    <col min="88" max="88" width="16.125" bestFit="1" customWidth="1"/>
    <col min="89" max="90" width="9.625" bestFit="1" customWidth="1"/>
  </cols>
  <sheetData>
    <row r="1" spans="1:90">
      <c r="A1" s="17">
        <v>600519</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25569</v>
      </c>
      <c r="BT1" s="1">
        <v>36341</v>
      </c>
      <c r="BU1" s="1">
        <v>36160</v>
      </c>
      <c r="BV1" s="1">
        <v>25569</v>
      </c>
      <c r="BW1" s="40"/>
      <c r="BX1" s="40"/>
      <c r="BY1" s="40"/>
      <c r="BZ1" s="40"/>
      <c r="CA1" s="40"/>
      <c r="CB1" s="40"/>
      <c r="CC1" s="40"/>
      <c r="CD1" s="40"/>
      <c r="CE1" s="40"/>
      <c r="CF1" s="40"/>
      <c r="CG1" s="40"/>
      <c r="CH1" s="40"/>
      <c r="CI1" s="40"/>
      <c r="CJ1" s="40"/>
      <c r="CK1" s="40"/>
      <c r="CL1" s="40"/>
    </row>
    <row r="2" spans="1:90" s="26" customFormat="1">
      <c r="A2" s="17" t="s">
        <v>485</v>
      </c>
      <c r="E2" s="26">
        <f>现金流量表!E4</f>
        <v>5144863934.2299995</v>
      </c>
      <c r="F2" s="26">
        <f>现金流量表!F4</f>
        <v>21615471586.720001</v>
      </c>
      <c r="G2" s="26">
        <f>现金流量表!G4</f>
        <v>16309796642.459999</v>
      </c>
      <c r="H2" s="26">
        <f>现金流量表!H4</f>
        <v>10616235400.49</v>
      </c>
      <c r="I2" s="26">
        <f>现金流量表!I4</f>
        <v>5200700279.9200001</v>
      </c>
      <c r="J2" s="26">
        <f>现金流量表!J4</f>
        <v>21700262235.91</v>
      </c>
      <c r="K2" s="26">
        <f>现金流量表!K4</f>
        <v>16059469594.370001</v>
      </c>
      <c r="L2" s="26">
        <f>现金流量表!L4</f>
        <v>10414146211.309999</v>
      </c>
      <c r="M2" s="26">
        <f>现金流量表!M4</f>
        <v>4861017188.1800003</v>
      </c>
      <c r="N2" s="26">
        <f>现金流量表!N4</f>
        <v>22118931049.43</v>
      </c>
      <c r="O2" s="26">
        <f>现金流量表!O4</f>
        <v>16794904023.219999</v>
      </c>
      <c r="P2" s="26">
        <f>现金流量表!P4</f>
        <v>10925609399.530001</v>
      </c>
      <c r="Q2" s="26">
        <f>现金流量表!Q4</f>
        <v>5222057975.54</v>
      </c>
      <c r="R2" s="26">
        <f>现金流量表!R4</f>
        <v>25080462458.5</v>
      </c>
      <c r="S2" s="26">
        <f>现金流量表!S4</f>
        <v>19423122089.759998</v>
      </c>
      <c r="T2" s="26">
        <f>现金流量表!T4</f>
        <v>12152925253.75</v>
      </c>
      <c r="U2" s="26">
        <f>现金流量表!U4</f>
        <v>5753362301.7600002</v>
      </c>
      <c r="V2" s="26">
        <f>现金流量表!V4</f>
        <v>24362876491.75</v>
      </c>
      <c r="W2" s="26">
        <f>现金流量表!W4</f>
        <v>17953117397.18</v>
      </c>
      <c r="X2" s="26">
        <f>现金流量表!X4</f>
        <v>11479746545.02</v>
      </c>
      <c r="Y2" s="26">
        <f>现金流量表!Y4</f>
        <v>5435592112.2799997</v>
      </c>
      <c r="Z2" s="26">
        <f>现金流量表!Z4</f>
        <v>23713487437.599998</v>
      </c>
      <c r="AA2" s="26">
        <f>现金流量表!AA4</f>
        <v>17116459111.469999</v>
      </c>
      <c r="AB2" s="26">
        <f>现金流量表!AB4</f>
        <v>9320542419.0400009</v>
      </c>
      <c r="AC2" s="26">
        <f>现金流量表!AC4</f>
        <v>4030440463.96</v>
      </c>
      <c r="AD2" s="26">
        <f>现金流量表!AD4</f>
        <v>18465684448.189999</v>
      </c>
      <c r="AE2" s="26">
        <f>现金流量表!AE4</f>
        <v>13831613296.459999</v>
      </c>
      <c r="AF2" s="26">
        <f>现金流量表!AF4</f>
        <v>8828234047.4699993</v>
      </c>
      <c r="AG2" s="26">
        <f>现金流量表!AG4</f>
        <v>3743149907.7800002</v>
      </c>
      <c r="AH2" s="26">
        <f>现金流量表!AH4</f>
        <v>16173840511.33</v>
      </c>
      <c r="AI2" s="26">
        <f>现金流量表!AI4</f>
        <v>11733350434.34</v>
      </c>
      <c r="AJ2" s="26">
        <f>现金流量表!AJ4</f>
        <v>7404760641.7200003</v>
      </c>
      <c r="AK2" s="26">
        <f>现金流量表!AK4</f>
        <v>3294722423.1999998</v>
      </c>
      <c r="AL2" s="26">
        <f>现金流量表!AL4</f>
        <v>13826033590.67</v>
      </c>
      <c r="AM2" s="26">
        <f>现金流量表!AM4</f>
        <v>9980752809.7299995</v>
      </c>
      <c r="AN2" s="26">
        <f>现金流量表!AN4</f>
        <v>6157262463.6800003</v>
      </c>
      <c r="AO2" s="26">
        <f>现金流量表!AO4</f>
        <v>2689765070.9099998</v>
      </c>
      <c r="AP2" s="26">
        <f>现金流量表!AP4</f>
        <v>11500866679.030001</v>
      </c>
      <c r="AQ2" s="26">
        <f>现金流量表!AQ4</f>
        <v>8583509185.2200003</v>
      </c>
      <c r="AR2" s="26">
        <f>现金流量表!AR4</f>
        <v>5684145774.6400003</v>
      </c>
      <c r="AS2" s="26">
        <f>现金流量表!AS4</f>
        <v>2438831482.8099999</v>
      </c>
      <c r="AT2" s="26">
        <f>现金流量表!AT4</f>
        <v>11066783694.620001</v>
      </c>
      <c r="AU2" s="26">
        <f>现金流量表!AU4</f>
        <v>7604383352.4200001</v>
      </c>
      <c r="AV2" s="26">
        <f>现金流量表!AV4</f>
        <v>4729115156.0200005</v>
      </c>
      <c r="AW2" s="26">
        <f>现金流量表!AW4</f>
        <v>1972689134.8599999</v>
      </c>
      <c r="AX2" s="26">
        <f>现金流量表!AX4</f>
        <v>8875481920.0499992</v>
      </c>
      <c r="AY2" s="26">
        <f>现金流量表!AY4</f>
        <v>6107895469.0100002</v>
      </c>
      <c r="AZ2" s="26">
        <f>现金流量表!AZ4</f>
        <v>3961296543.5599999</v>
      </c>
      <c r="BA2" s="26">
        <f>现金流量表!BA4</f>
        <v>1648944862.27</v>
      </c>
      <c r="BB2" s="26">
        <f>现金流量表!BB4</f>
        <v>7556068715.5500002</v>
      </c>
      <c r="BC2" s="26">
        <f>现金流量表!BC4</f>
        <v>5313191711.25</v>
      </c>
      <c r="BD2" s="26">
        <f>现金流量表!BD4</f>
        <v>3613762709.4499998</v>
      </c>
      <c r="BE2" s="26">
        <f>现金流量表!BE4</f>
        <v>1589031548.52</v>
      </c>
      <c r="BF2" s="26">
        <f>现金流量表!BF4</f>
        <v>7641177156.1599998</v>
      </c>
      <c r="BG2" s="26">
        <f>现金流量表!BG4</f>
        <v>5367719831.0699997</v>
      </c>
      <c r="BH2" s="26">
        <f>现金流量表!BH4</f>
        <v>3436517133.8200002</v>
      </c>
      <c r="BI2" s="26">
        <f>现金流量表!BI4</f>
        <v>1630715396.5899999</v>
      </c>
      <c r="BJ2" s="26">
        <f>现金流量表!BJ4</f>
        <v>7021176568.6300001</v>
      </c>
      <c r="BK2" s="26">
        <f>现金流量表!BK4</f>
        <v>4952219867.7700005</v>
      </c>
      <c r="BL2" s="26">
        <f>现金流量表!BL4</f>
        <v>3020753474.52</v>
      </c>
      <c r="BM2" s="26">
        <f>现金流量表!BM4</f>
        <v>1256172399.1199999</v>
      </c>
      <c r="BN2" s="26">
        <f>现金流量表!BN4</f>
        <v>5800437064.4300003</v>
      </c>
      <c r="BO2" s="26">
        <f>现金流量表!BO4</f>
        <v>2499687582.1500001</v>
      </c>
      <c r="BP2" s="26">
        <f>现金流量表!BP4</f>
        <v>4718592246.3800001</v>
      </c>
      <c r="BQ2" s="26">
        <f>现金流量表!BQ4</f>
        <v>2179640256.3099999</v>
      </c>
      <c r="BR2" s="26">
        <f>现金流量表!BR4</f>
        <v>4248239660.5100002</v>
      </c>
      <c r="BS2" s="26">
        <f>现金流量表!BS4</f>
        <v>1982968753.8900001</v>
      </c>
      <c r="BT2" s="26">
        <f>现金流量表!BT4</f>
        <v>3947232350.0599999</v>
      </c>
      <c r="BU2" s="26">
        <f>现金流量表!BU4</f>
        <v>1574224982.78</v>
      </c>
      <c r="BV2" s="26">
        <f>现金流量表!BV4</f>
        <v>328128663.93000001</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486</v>
      </c>
      <c r="E3" s="26">
        <f>利润表!E3</f>
        <v>3981658165.3600001</v>
      </c>
      <c r="F3" s="26">
        <f>利润表!F3</f>
        <v>19471146411.049999</v>
      </c>
      <c r="G3" s="26">
        <f>利润表!G3</f>
        <v>14693527606.42</v>
      </c>
      <c r="H3" s="26">
        <f>利润表!H3</f>
        <v>9613219456.0699997</v>
      </c>
      <c r="I3" s="26">
        <f>利润表!I3</f>
        <v>3794547830.4299998</v>
      </c>
      <c r="J3" s="26">
        <f>利润表!J3</f>
        <v>18938551893.709999</v>
      </c>
      <c r="K3" s="26">
        <f>利润表!K3</f>
        <v>14218450906.1</v>
      </c>
      <c r="L3" s="26">
        <f>利润表!L3</f>
        <v>9271315229.1499996</v>
      </c>
      <c r="M3" s="26">
        <f>利润表!M3</f>
        <v>3775359862.3600001</v>
      </c>
      <c r="N3" s="26">
        <f>利润表!N3</f>
        <v>19295534666.82</v>
      </c>
      <c r="O3" s="26">
        <f>利润表!O3</f>
        <v>14753293830.16</v>
      </c>
      <c r="P3" s="26">
        <f>利润表!P3</f>
        <v>9829497798.7700005</v>
      </c>
      <c r="Q3" s="26">
        <f>利润表!Q3</f>
        <v>4151295665.3000002</v>
      </c>
      <c r="R3" s="26">
        <f>利润表!R3</f>
        <v>20778933220.52</v>
      </c>
      <c r="S3" s="26">
        <f>利润表!S3</f>
        <v>15575183289.370001</v>
      </c>
      <c r="T3" s="26">
        <f>利润表!T3</f>
        <v>10136316637.43</v>
      </c>
      <c r="U3" s="26">
        <f>利润表!U3</f>
        <v>4133240256.1999998</v>
      </c>
      <c r="V3" s="26">
        <f>利润表!V3</f>
        <v>19907077075.110001</v>
      </c>
      <c r="W3" s="26">
        <f>利润表!W3</f>
        <v>14618769623.620001</v>
      </c>
      <c r="X3" s="26">
        <f>利润表!X3</f>
        <v>9381540032.2600002</v>
      </c>
      <c r="Y3" s="26">
        <f>利润表!Y3</f>
        <v>3883863244.5599999</v>
      </c>
      <c r="Z3" s="26">
        <f>利润表!Z3</f>
        <v>17743250879.580002</v>
      </c>
      <c r="AA3" s="26">
        <f>利润表!AA3</f>
        <v>13454135360.23</v>
      </c>
      <c r="AB3" s="26">
        <f>利润表!AB3</f>
        <v>7196076462.4799995</v>
      </c>
      <c r="AC3" s="26">
        <f>利润表!AC3</f>
        <v>3198850932.6599998</v>
      </c>
      <c r="AD3" s="26">
        <f>利润表!AD3</f>
        <v>14502379031.75</v>
      </c>
      <c r="AE3" s="26">
        <f>利润表!AE3</f>
        <v>11431577726.110001</v>
      </c>
      <c r="AF3" s="26">
        <f>利润表!AF3</f>
        <v>7366026241.6199999</v>
      </c>
      <c r="AG3" s="26">
        <f>利润表!AG3</f>
        <v>3228286800.9099998</v>
      </c>
      <c r="AH3" s="26">
        <f>利润表!AH3</f>
        <v>13259978831.02</v>
      </c>
      <c r="AI3" s="26">
        <f>利润表!AI3</f>
        <v>9744452405.0200005</v>
      </c>
      <c r="AJ3" s="26">
        <f>利润表!AJ3</f>
        <v>6310896504.9499998</v>
      </c>
      <c r="AK3" s="26">
        <f>利润表!AK3</f>
        <v>2739090225.46</v>
      </c>
      <c r="AL3" s="26">
        <f>利润表!AL3</f>
        <v>10986235317.82</v>
      </c>
      <c r="AM3" s="26">
        <f>利润表!AM3</f>
        <v>8066224111.6300001</v>
      </c>
      <c r="AN3" s="26">
        <f>利润表!AN3</f>
        <v>5180700037.8599997</v>
      </c>
      <c r="AO3" s="26">
        <f>利润表!AO3</f>
        <v>2344474929.9000001</v>
      </c>
      <c r="AP3" s="26">
        <f>利润表!AP3</f>
        <v>10447383090.459999</v>
      </c>
      <c r="AQ3" s="26">
        <f>利润表!AQ3</f>
        <v>7918918582.4499998</v>
      </c>
      <c r="AR3" s="26">
        <f>利润表!AR3</f>
        <v>5191719881.5</v>
      </c>
      <c r="AS3" s="26">
        <f>利润表!AS3</f>
        <v>2316491412.3400002</v>
      </c>
      <c r="AT3" s="26">
        <f>利润表!AT3</f>
        <v>9186192504.1200008</v>
      </c>
      <c r="AU3" s="26">
        <f>利润表!AU3</f>
        <v>6667310641.75</v>
      </c>
      <c r="AV3" s="26">
        <f>利润表!AV3</f>
        <v>4210749706.7199998</v>
      </c>
      <c r="AW3" s="26">
        <f>利润表!AW3</f>
        <v>1893486265.3399999</v>
      </c>
      <c r="AX3" s="26">
        <f>利润表!AX3</f>
        <v>7320231691.2600002</v>
      </c>
      <c r="AY3" s="26">
        <f>利润表!AY3</f>
        <v>5267808344.0600004</v>
      </c>
      <c r="AZ3" s="26">
        <f>利润表!AZ3</f>
        <v>3436760967.7199998</v>
      </c>
      <c r="BA3" s="26">
        <f>利润表!BA3</f>
        <v>1565250469.4200001</v>
      </c>
      <c r="BB3" s="26">
        <f>利润表!BB3</f>
        <v>6862759168.2600002</v>
      </c>
      <c r="BC3" s="26">
        <f>利润表!BC3</f>
        <v>5083625856.7600002</v>
      </c>
      <c r="BD3" s="26">
        <f>利润表!BD3</f>
        <v>3372574348.5999999</v>
      </c>
      <c r="BE3" s="26">
        <f>利润表!BE3</f>
        <v>1538316693.9000001</v>
      </c>
      <c r="BF3" s="26">
        <f>利润表!BF3</f>
        <v>6590388687.0100002</v>
      </c>
      <c r="BG3" s="26">
        <f>利润表!BG3</f>
        <v>4823804231.5500002</v>
      </c>
      <c r="BH3" s="26">
        <f>利润表!BH3</f>
        <v>3315008125.4699998</v>
      </c>
      <c r="BI3" s="26">
        <f>利润表!BI3</f>
        <v>1605545778.1400001</v>
      </c>
      <c r="BJ3" s="26">
        <f>利润表!BJ3</f>
        <v>5552422445.6400003</v>
      </c>
      <c r="BK3" s="26">
        <f>利润表!BK3</f>
        <v>4090488924.1599998</v>
      </c>
      <c r="BL3" s="26">
        <f>利润表!BL3</f>
        <v>2677769870.98</v>
      </c>
      <c r="BM3" s="26">
        <f>利润表!BM3</f>
        <v>1258205557.53</v>
      </c>
      <c r="BN3" s="26">
        <f>利润表!BN3</f>
        <v>4475659918.7700005</v>
      </c>
      <c r="BO3" s="26">
        <f>利润表!BO3</f>
        <v>3426653697.6500001</v>
      </c>
      <c r="BP3" s="26">
        <f>利润表!BP3</f>
        <v>2289833659.5</v>
      </c>
      <c r="BQ3" s="26">
        <f>利润表!BQ3</f>
        <v>1068391795.14</v>
      </c>
      <c r="BR3" s="26">
        <f>利润表!BR3</f>
        <v>3857977486.4000001</v>
      </c>
      <c r="BS3" s="26">
        <f>利润表!BS3</f>
        <v>1895795757.6400001</v>
      </c>
      <c r="BT3" s="26">
        <f>利润表!BT3</f>
        <v>3636493097.6999998</v>
      </c>
      <c r="BU3" s="26">
        <f>利润表!BU3</f>
        <v>1765141891.22</v>
      </c>
      <c r="BV3" s="26">
        <f>利润表!BV3</f>
        <v>3510059294.4499998</v>
      </c>
      <c r="BW3" s="26">
        <f>利润表!BW3</f>
        <v>1642695043.8199999</v>
      </c>
      <c r="BX3" s="26">
        <f>利润表!BX3</f>
        <v>444399064.31</v>
      </c>
      <c r="BY3" s="26">
        <f>利润表!BY3</f>
        <v>213570809.87</v>
      </c>
      <c r="BZ3" s="26">
        <f>利润表!BZ3</f>
        <v>918221399.26999998</v>
      </c>
      <c r="CA3" s="26">
        <f>利润表!CA3</f>
        <v>393349759.06999999</v>
      </c>
      <c r="CB3" s="26">
        <f>利润表!CB3</f>
        <v>1350938321.28</v>
      </c>
      <c r="CC3" s="26">
        <f>利润表!CC3</f>
        <v>953254408.08000004</v>
      </c>
      <c r="CD3" s="26">
        <f>利润表!CD3</f>
        <v>1925366523.1800001</v>
      </c>
      <c r="CE3" s="26">
        <f>利润表!CE3</f>
        <v>1099700000</v>
      </c>
      <c r="CF3" s="26">
        <f>利润表!CF3</f>
        <v>1434362000</v>
      </c>
      <c r="CG3" s="26">
        <f>利润表!CG3</f>
        <v>765920060.38</v>
      </c>
      <c r="CH3" s="26">
        <f>利润表!CH3</f>
        <v>587340000</v>
      </c>
      <c r="CI3" s="26">
        <f>利润表!CI3</f>
        <v>778590000</v>
      </c>
      <c r="CJ3" s="26">
        <f>利润表!CJ3</f>
        <v>635150000</v>
      </c>
      <c r="CK3" s="26">
        <f>利润表!CK3</f>
        <v>544300000</v>
      </c>
    </row>
    <row r="4" spans="1:90" s="63" customFormat="1">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487</v>
      </c>
      <c r="E5" s="28">
        <f>(E2/(1+E4))/E3</f>
        <v>1.104394053754336</v>
      </c>
      <c r="F5" s="28">
        <f t="shared" ref="F5:BQ5" si="2">(F2/(1+F4))/F3</f>
        <v>0.94882764732574143</v>
      </c>
      <c r="G5" s="28">
        <f t="shared" si="2"/>
        <v>0.9487168434771871</v>
      </c>
      <c r="H5" s="28">
        <f t="shared" si="2"/>
        <v>0.94387790812108585</v>
      </c>
      <c r="I5" s="28">
        <f t="shared" si="2"/>
        <v>1.1714288955969978</v>
      </c>
      <c r="J5" s="28">
        <f t="shared" si="2"/>
        <v>0.97933742687185021</v>
      </c>
      <c r="K5" s="28">
        <f t="shared" si="2"/>
        <v>0.9653683427961679</v>
      </c>
      <c r="L5" s="28">
        <f t="shared" si="2"/>
        <v>0.96005576854950414</v>
      </c>
      <c r="M5" s="28">
        <f t="shared" si="2"/>
        <v>1.1004819929551972</v>
      </c>
      <c r="N5" s="28">
        <f t="shared" si="2"/>
        <v>0.97976395054373189</v>
      </c>
      <c r="O5" s="28">
        <f t="shared" si="2"/>
        <v>0.97297722044415358</v>
      </c>
      <c r="P5" s="28">
        <f t="shared" si="2"/>
        <v>0.95001066006388424</v>
      </c>
      <c r="Q5" s="28">
        <f t="shared" si="2"/>
        <v>1.0751576796370887</v>
      </c>
      <c r="R5" s="28">
        <f t="shared" si="2"/>
        <v>1.0316358627305988</v>
      </c>
      <c r="S5" s="28">
        <f t="shared" si="2"/>
        <v>1.0658596269879539</v>
      </c>
      <c r="T5" s="28">
        <f t="shared" si="2"/>
        <v>1.0247426134203041</v>
      </c>
      <c r="U5" s="28">
        <f t="shared" si="2"/>
        <v>1.1897212288450152</v>
      </c>
      <c r="V5" s="28">
        <f t="shared" si="2"/>
        <v>1.0460084763777417</v>
      </c>
      <c r="W5" s="28">
        <f t="shared" si="2"/>
        <v>1.0496468019525989</v>
      </c>
      <c r="X5" s="28">
        <f t="shared" si="2"/>
        <v>1.0458569861705469</v>
      </c>
      <c r="Y5" s="28">
        <f t="shared" si="2"/>
        <v>1.1961814645966662</v>
      </c>
      <c r="Z5" s="28">
        <f t="shared" si="2"/>
        <v>1.1422899962588176</v>
      </c>
      <c r="AA5" s="28">
        <f t="shared" si="2"/>
        <v>1.0873572950120483</v>
      </c>
      <c r="AB5" s="28">
        <f t="shared" si="2"/>
        <v>1.1070304232264405</v>
      </c>
      <c r="AC5" s="28">
        <f t="shared" si="2"/>
        <v>1.0768932288141937</v>
      </c>
      <c r="AD5" s="28">
        <f t="shared" si="2"/>
        <v>1.0882791193052817</v>
      </c>
      <c r="AE5" s="28">
        <f t="shared" si="2"/>
        <v>1.0341434917924393</v>
      </c>
      <c r="AF5" s="28">
        <f t="shared" si="2"/>
        <v>1.0243649612918462</v>
      </c>
      <c r="AG5" s="28">
        <f t="shared" si="2"/>
        <v>0.99101276396854532</v>
      </c>
      <c r="AH5" s="28">
        <f t="shared" si="2"/>
        <v>1.0425201642471771</v>
      </c>
      <c r="AI5" s="28">
        <f t="shared" si="2"/>
        <v>1.029150149019016</v>
      </c>
      <c r="AJ5" s="28">
        <f t="shared" si="2"/>
        <v>1.002845672460204</v>
      </c>
      <c r="AK5" s="28">
        <f t="shared" si="2"/>
        <v>1.0280793399706993</v>
      </c>
      <c r="AL5" s="28">
        <f t="shared" si="2"/>
        <v>1.0756298572906637</v>
      </c>
      <c r="AM5" s="28">
        <f t="shared" si="2"/>
        <v>1.0575652051044186</v>
      </c>
      <c r="AN5" s="28">
        <f t="shared" si="2"/>
        <v>1.0158120431343531</v>
      </c>
      <c r="AO5" s="28">
        <f t="shared" si="2"/>
        <v>0.9805796921655886</v>
      </c>
      <c r="AP5" s="28">
        <f t="shared" si="2"/>
        <v>0.94088639186052059</v>
      </c>
      <c r="AQ5" s="28">
        <f t="shared" si="2"/>
        <v>0.92643112320904997</v>
      </c>
      <c r="AR5" s="28">
        <f t="shared" si="2"/>
        <v>0.93576779231498308</v>
      </c>
      <c r="AS5" s="28">
        <f t="shared" si="2"/>
        <v>0.89983987927822029</v>
      </c>
      <c r="AT5" s="28">
        <f t="shared" si="2"/>
        <v>1.0296746424962178</v>
      </c>
      <c r="AU5" s="28">
        <f t="shared" si="2"/>
        <v>0.97482677799460959</v>
      </c>
      <c r="AV5" s="28">
        <f t="shared" si="2"/>
        <v>0.95991902804823681</v>
      </c>
      <c r="AW5" s="28">
        <f t="shared" si="2"/>
        <v>0.89045224171255233</v>
      </c>
      <c r="AX5" s="28">
        <f t="shared" si="2"/>
        <v>1.0362898748144669</v>
      </c>
      <c r="AY5" s="28">
        <f t="shared" si="2"/>
        <v>0.99100482341444596</v>
      </c>
      <c r="AZ5" s="28">
        <f t="shared" si="2"/>
        <v>0.98514955602234244</v>
      </c>
      <c r="BA5" s="28">
        <f t="shared" si="2"/>
        <v>0.90040195525958555</v>
      </c>
      <c r="BB5" s="28">
        <f t="shared" si="2"/>
        <v>0.94104692165620552</v>
      </c>
      <c r="BC5" s="28">
        <f t="shared" si="2"/>
        <v>0.89329734814299566</v>
      </c>
      <c r="BD5" s="28">
        <f t="shared" si="2"/>
        <v>0.91582445846898697</v>
      </c>
      <c r="BE5" s="28">
        <f t="shared" si="2"/>
        <v>0.88287842682343953</v>
      </c>
      <c r="BF5" s="28">
        <f t="shared" si="2"/>
        <v>0.99097655031536824</v>
      </c>
      <c r="BG5" s="28">
        <f t="shared" si="2"/>
        <v>0.95107398791266695</v>
      </c>
      <c r="BH5" s="28">
        <f t="shared" si="2"/>
        <v>0.8860292404422544</v>
      </c>
      <c r="BI5" s="28">
        <f t="shared" si="2"/>
        <v>0.86809972173697947</v>
      </c>
      <c r="BJ5" s="28">
        <f t="shared" si="2"/>
        <v>1.0807905329548406</v>
      </c>
      <c r="BK5" s="28">
        <f t="shared" si="2"/>
        <v>1.0347581015682057</v>
      </c>
      <c r="BL5" s="28">
        <f t="shared" si="2"/>
        <v>0.96417567636905577</v>
      </c>
      <c r="BM5" s="28">
        <f t="shared" si="2"/>
        <v>0.85331972725282412</v>
      </c>
      <c r="BN5" s="28">
        <f t="shared" si="2"/>
        <v>1.107688833956199</v>
      </c>
      <c r="BO5" s="28">
        <f t="shared" si="2"/>
        <v>0.62349023317235708</v>
      </c>
      <c r="BP5" s="28">
        <f t="shared" si="2"/>
        <v>1.7612566787259301</v>
      </c>
      <c r="BQ5" s="28">
        <f t="shared" si="2"/>
        <v>1.7436865375444324</v>
      </c>
      <c r="BR5" s="28">
        <f t="shared" ref="BR5:CL5" si="3">(BR2/(1+BR4))/BR3</f>
        <v>0.94115999422281293</v>
      </c>
      <c r="BS5" s="28">
        <f t="shared" si="3"/>
        <v>0.89400194190998539</v>
      </c>
      <c r="BT5" s="28">
        <f t="shared" si="3"/>
        <v>0.92773525829952397</v>
      </c>
      <c r="BU5" s="28">
        <f t="shared" si="3"/>
        <v>0.76225681627415853</v>
      </c>
      <c r="BV5" s="28">
        <f t="shared" si="3"/>
        <v>7.9899462084946138E-2</v>
      </c>
      <c r="BW5" s="28">
        <f t="shared" si="3"/>
        <v>0</v>
      </c>
      <c r="BX5" s="28">
        <f t="shared" si="3"/>
        <v>0</v>
      </c>
      <c r="BY5" s="28">
        <f t="shared" si="3"/>
        <v>0</v>
      </c>
      <c r="BZ5" s="28">
        <f t="shared" si="3"/>
        <v>0</v>
      </c>
      <c r="CA5" s="28">
        <f t="shared" si="3"/>
        <v>0</v>
      </c>
      <c r="CB5" s="28">
        <f t="shared" si="3"/>
        <v>0</v>
      </c>
      <c r="CC5" s="28">
        <f t="shared" si="3"/>
        <v>0</v>
      </c>
      <c r="CD5" s="28">
        <f t="shared" si="3"/>
        <v>0</v>
      </c>
      <c r="CE5" s="28">
        <f t="shared" si="3"/>
        <v>0</v>
      </c>
      <c r="CF5" s="28">
        <f t="shared" si="3"/>
        <v>0</v>
      </c>
      <c r="CG5" s="28">
        <f t="shared" si="3"/>
        <v>0</v>
      </c>
      <c r="CH5" s="28">
        <f t="shared" si="3"/>
        <v>0</v>
      </c>
      <c r="CI5" s="28">
        <f t="shared" si="3"/>
        <v>0</v>
      </c>
      <c r="CJ5" s="28">
        <f t="shared" si="3"/>
        <v>0</v>
      </c>
      <c r="CK5" s="28">
        <f t="shared" si="3"/>
        <v>0</v>
      </c>
      <c r="CL5" s="28" t="e">
        <f t="shared" si="3"/>
        <v>#DIV/0!</v>
      </c>
    </row>
    <row r="6" spans="1:90" s="26" customFormat="1">
      <c r="A6" s="17" t="s">
        <v>488</v>
      </c>
      <c r="E6" s="26">
        <f>现金流量表!E8</f>
        <v>5306180639.9099998</v>
      </c>
      <c r="F6" s="26">
        <f>现金流量表!F8</f>
        <v>17203678491.950001</v>
      </c>
      <c r="G6" s="26">
        <f>现金流量表!G8</f>
        <v>12855392471.65</v>
      </c>
      <c r="H6" s="26">
        <f>现金流量表!H8</f>
        <v>8491554890.1300001</v>
      </c>
      <c r="I6" s="26">
        <f>现金流量表!I8</f>
        <v>4663129326.8100004</v>
      </c>
      <c r="J6" s="26">
        <f>现金流量表!J8</f>
        <v>16730042411.68</v>
      </c>
      <c r="K6" s="26">
        <f>现金流量表!K8</f>
        <v>11744213838.540001</v>
      </c>
      <c r="L6" s="26">
        <f>现金流量表!L8</f>
        <v>7486141286.8800001</v>
      </c>
      <c r="M6" s="26">
        <f>现金流量表!M8</f>
        <v>3756004039.3699999</v>
      </c>
      <c r="N6" s="26">
        <f>现金流量表!N8</f>
        <v>17029793769.049999</v>
      </c>
      <c r="O6" s="26">
        <f>现金流量表!O8</f>
        <v>12354665132.200001</v>
      </c>
      <c r="P6" s="26">
        <f>现金流量表!P8</f>
        <v>8503676192.8000002</v>
      </c>
      <c r="Q6" s="26">
        <f>现金流量表!Q8</f>
        <v>4264344591.1999998</v>
      </c>
      <c r="R6" s="26">
        <f>现金流量表!R8</f>
        <v>19202429859.580002</v>
      </c>
      <c r="S6" s="26">
        <f>现金流量表!S8</f>
        <v>14705895759.719999</v>
      </c>
      <c r="T6" s="26">
        <f>现金流量表!T8</f>
        <v>9289192319.0900002</v>
      </c>
      <c r="U6" s="26">
        <f>现金流量表!U8</f>
        <v>4840725271.75</v>
      </c>
      <c r="V6" s="26">
        <f>现金流量表!V8</f>
        <v>18615671437.509998</v>
      </c>
      <c r="W6" s="26">
        <f>现金流量表!W8</f>
        <v>13762574738.610001</v>
      </c>
      <c r="X6" s="26">
        <f>现金流量表!X8</f>
        <v>8770327332.8199997</v>
      </c>
      <c r="Y6" s="26">
        <f>现金流量表!Y8</f>
        <v>4671083077.4399996</v>
      </c>
      <c r="Z6" s="26">
        <f>现金流量表!Z8</f>
        <v>17046100647.559999</v>
      </c>
      <c r="AA6" s="26">
        <f>现金流量表!AA8</f>
        <v>12624415386.879999</v>
      </c>
      <c r="AB6" s="26">
        <f>现金流量表!AB8</f>
        <v>6625329657.4300003</v>
      </c>
      <c r="AC6" s="26">
        <f>现金流量表!AC8</f>
        <v>3574963099.9299998</v>
      </c>
      <c r="AD6" s="26">
        <f>现金流量表!AD8</f>
        <v>14548598306.969999</v>
      </c>
      <c r="AE6" s="26">
        <f>现金流量表!AE8</f>
        <v>10564596354.42</v>
      </c>
      <c r="AF6" s="26">
        <f>现金流量表!AF8</f>
        <v>6891803403.6800003</v>
      </c>
      <c r="AG6" s="26">
        <f>现金流量表!AG8</f>
        <v>3396718299.8600001</v>
      </c>
      <c r="AH6" s="26">
        <f>现金流量表!AH8</f>
        <v>12207379737.690001</v>
      </c>
      <c r="AI6" s="26">
        <f>现金流量表!AI8</f>
        <v>8299033371.4099998</v>
      </c>
      <c r="AJ6" s="26">
        <f>现金流量表!AJ8</f>
        <v>5173682553.9399996</v>
      </c>
      <c r="AK6" s="26">
        <f>现金流量表!AK8</f>
        <v>2701144427.3400002</v>
      </c>
      <c r="AL6" s="26">
        <f>现金流量表!AL8</f>
        <v>9888646141.4500008</v>
      </c>
      <c r="AM6" s="26">
        <f>现金流量表!AM8</f>
        <v>6984735961.5500002</v>
      </c>
      <c r="AN6" s="26">
        <f>现金流量表!AN8</f>
        <v>4374429893.7399998</v>
      </c>
      <c r="AO6" s="26">
        <f>现金流量表!AO8</f>
        <v>1958747407.95</v>
      </c>
      <c r="AP6" s="26">
        <f>现金流量表!AP8</f>
        <v>9297697606.5499992</v>
      </c>
      <c r="AQ6" s="26">
        <f>现金流量表!AQ8</f>
        <v>7006740701.7600002</v>
      </c>
      <c r="AR6" s="26">
        <f>现金流量表!AR8</f>
        <v>4795436914.6300001</v>
      </c>
      <c r="AS6" s="26">
        <f>现金流量表!AS8</f>
        <v>2343337224.8600001</v>
      </c>
      <c r="AT6" s="26">
        <f>现金流量表!AT8</f>
        <v>8439301660.3699999</v>
      </c>
      <c r="AU6" s="26">
        <f>现金流量表!AU8</f>
        <v>5645438824.8199997</v>
      </c>
      <c r="AV6" s="26">
        <f>现金流量表!AV8</f>
        <v>3653248410.1300001</v>
      </c>
      <c r="AW6" s="26">
        <f>现金流量表!AW8</f>
        <v>1655223903.1700001</v>
      </c>
      <c r="AX6" s="26">
        <f>现金流量表!AX8</f>
        <v>6716988667.6199999</v>
      </c>
      <c r="AY6" s="26">
        <f>现金流量表!AY8</f>
        <v>4366408879.6999998</v>
      </c>
      <c r="AZ6" s="26">
        <f>现金流量表!AZ8</f>
        <v>2990345555.2199998</v>
      </c>
      <c r="BA6" s="26">
        <f>现金流量表!BA8</f>
        <v>1340659418.1700001</v>
      </c>
      <c r="BB6" s="26">
        <f>现金流量表!BB8</f>
        <v>6028097285.9399996</v>
      </c>
      <c r="BC6" s="26">
        <f>现金流量表!BC8</f>
        <v>4407120300.3299999</v>
      </c>
      <c r="BD6" s="26">
        <f>现金流量表!BD8</f>
        <v>3144336036.7399998</v>
      </c>
      <c r="BE6" s="26">
        <f>现金流量表!BE8</f>
        <v>1522658299.3800001</v>
      </c>
      <c r="BF6" s="26">
        <f>现金流量表!BF8</f>
        <v>5614016180.96</v>
      </c>
      <c r="BG6" s="26">
        <f>现金流量表!BG8</f>
        <v>3872793846.8000002</v>
      </c>
      <c r="BH6" s="26">
        <f>现金流量表!BH8</f>
        <v>2530998557.7199998</v>
      </c>
      <c r="BI6" s="26">
        <f>现金流量表!BI8</f>
        <v>1154563908.27</v>
      </c>
      <c r="BJ6" s="26">
        <f>现金流量表!BJ8</f>
        <v>4870597418.2600002</v>
      </c>
      <c r="BK6" s="26">
        <f>现金流量表!BK8</f>
        <v>3317551949.3499999</v>
      </c>
      <c r="BL6" s="26">
        <f>现金流量表!BL8</f>
        <v>2135613025.21</v>
      </c>
      <c r="BM6" s="26">
        <f>现金流量表!BM8</f>
        <v>910503910.89999998</v>
      </c>
      <c r="BN6" s="26">
        <f>现金流量表!BN8</f>
        <v>3729495973.8099999</v>
      </c>
      <c r="BO6" s="26">
        <f>现金流量表!BO8</f>
        <v>1589793099.0599999</v>
      </c>
      <c r="BP6" s="26">
        <f>现金流量表!BP8</f>
        <v>2894800732.7600002</v>
      </c>
      <c r="BQ6" s="26">
        <f>现金流量表!BQ8</f>
        <v>1542140385.1500001</v>
      </c>
      <c r="BR6" s="26">
        <f>现金流量表!BR8</f>
        <v>2478344257.5999999</v>
      </c>
      <c r="BS6" s="26">
        <f>现金流量表!BS8</f>
        <v>1075836196.97</v>
      </c>
      <c r="BT6" s="26">
        <f>现金流量表!BT8</f>
        <v>2539752355.5</v>
      </c>
      <c r="BU6" s="26">
        <f>现金流量表!BU8</f>
        <v>991001146.80999994</v>
      </c>
      <c r="BV6" s="26">
        <f>现金流量表!BV8</f>
        <v>374003501.58999997</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489</v>
      </c>
      <c r="E7" s="26">
        <f>现金流量表!E9</f>
        <v>192260802.75999999</v>
      </c>
      <c r="F7" s="26">
        <f>现金流量表!F9</f>
        <v>970977152.42999995</v>
      </c>
      <c r="G7" s="26">
        <f>现金流量表!G9</f>
        <v>536436162.22000003</v>
      </c>
      <c r="H7" s="26">
        <f>现金流量表!H9</f>
        <v>568091793.37</v>
      </c>
      <c r="I7" s="26">
        <f>现金流量表!I9</f>
        <v>173803555.53</v>
      </c>
      <c r="J7" s="26">
        <f>现金流量表!J9</f>
        <v>964087653.13999999</v>
      </c>
      <c r="K7" s="26">
        <f>现金流量表!K9</f>
        <v>532972780.01999998</v>
      </c>
      <c r="L7" s="26">
        <f>现金流量表!L9</f>
        <v>552990103.37</v>
      </c>
      <c r="M7" s="26">
        <f>现金流量表!M9</f>
        <v>167790267.44999999</v>
      </c>
      <c r="N7" s="26">
        <f>现金流量表!N9</f>
        <v>1394786106.9300001</v>
      </c>
      <c r="O7" s="26">
        <f>现金流量表!O9</f>
        <v>847381449.77999997</v>
      </c>
      <c r="P7" s="26">
        <f>现金流量表!P9</f>
        <v>639311893.54999995</v>
      </c>
      <c r="Q7" s="26">
        <f>现金流量表!Q9</f>
        <v>390301208.66000003</v>
      </c>
      <c r="R7" s="26">
        <f>现金流量表!R9</f>
        <v>1616167806.3199999</v>
      </c>
      <c r="S7" s="26">
        <f>现金流量表!S9</f>
        <v>1032540176.22</v>
      </c>
      <c r="T7" s="26">
        <f>现金流量表!T9</f>
        <v>684322849.79999995</v>
      </c>
      <c r="U7" s="26">
        <f>现金流量表!U9</f>
        <v>317229935.70999998</v>
      </c>
      <c r="V7" s="26">
        <f>现金流量表!V9</f>
        <v>1621795627.21</v>
      </c>
      <c r="W7" s="26">
        <f>现金流量表!W9</f>
        <v>1131306384.22</v>
      </c>
      <c r="X7" s="26">
        <f>现金流量表!X9</f>
        <v>746372273.10000002</v>
      </c>
      <c r="Y7" s="26">
        <f>现金流量表!Y9</f>
        <v>364630420.81999999</v>
      </c>
      <c r="Z7" s="26">
        <f>现金流量表!Z9</f>
        <v>1500145832.7</v>
      </c>
      <c r="AA7" s="26">
        <f>现金流量表!AA9</f>
        <v>771151702.04999995</v>
      </c>
      <c r="AB7" s="26">
        <f>现金流量表!AB9</f>
        <v>333306321.48000002</v>
      </c>
      <c r="AC7" s="26">
        <f>现金流量表!AC9</f>
        <v>160353071.19</v>
      </c>
      <c r="AD7" s="26">
        <f>现金流量表!AD9</f>
        <v>870580080.11000001</v>
      </c>
      <c r="AE7" s="26">
        <f>现金流量表!AE9</f>
        <v>507042096.05000001</v>
      </c>
      <c r="AF7" s="26">
        <f>现金流量表!AF9</f>
        <v>343949636.23000002</v>
      </c>
      <c r="AG7" s="26">
        <f>现金流量表!AG9</f>
        <v>168430709.55000001</v>
      </c>
      <c r="AH7" s="26">
        <f>现金流量表!AH9</f>
        <v>757202675.89999998</v>
      </c>
      <c r="AI7" s="26">
        <f>现金流量表!AI9</f>
        <v>497495754.70999998</v>
      </c>
      <c r="AJ7" s="26">
        <f>现金流量表!AJ9</f>
        <v>314897446.24000001</v>
      </c>
      <c r="AK7" s="26">
        <f>现金流量表!AK9</f>
        <v>154438711.40000001</v>
      </c>
      <c r="AL7" s="26">
        <f>现金流量表!AL9</f>
        <v>685728443.04999995</v>
      </c>
      <c r="AM7" s="26">
        <f>现金流量表!AM9</f>
        <v>522690685.70999998</v>
      </c>
      <c r="AN7" s="26">
        <f>现金流量表!AN9</f>
        <v>279554711.61000001</v>
      </c>
      <c r="AO7" s="26">
        <f>现金流量表!AO9</f>
        <v>128319132.93000001</v>
      </c>
      <c r="AP7" s="26">
        <f>现金流量表!AP9</f>
        <v>681026271.62</v>
      </c>
      <c r="AQ7" s="26">
        <f>现金流量表!AQ9</f>
        <v>461699732.83999997</v>
      </c>
      <c r="AR7" s="26">
        <f>现金流量表!AR9</f>
        <v>369494424.77999997</v>
      </c>
      <c r="AS7" s="26">
        <f>现金流量表!AS9</f>
        <v>159193632.97</v>
      </c>
      <c r="AT7" s="26">
        <f>现金流量表!AT9</f>
        <v>537693276.05999994</v>
      </c>
      <c r="AU7" s="26">
        <f>现金流量表!AU9</f>
        <v>410989697.44999999</v>
      </c>
      <c r="AV7" s="26">
        <f>现金流量表!AV9</f>
        <v>264784676.43000001</v>
      </c>
      <c r="AW7" s="26">
        <f>现金流量表!AW9</f>
        <v>144720683.88</v>
      </c>
      <c r="AX7" s="26">
        <f>现金流量表!AX9</f>
        <v>529256769.47000003</v>
      </c>
      <c r="AY7" s="26">
        <f>现金流量表!AY9</f>
        <v>263415258.22999999</v>
      </c>
      <c r="AZ7" s="26">
        <f>现金流量表!AZ9</f>
        <v>290183651.72000003</v>
      </c>
      <c r="BA7" s="26">
        <f>现金流量表!BA9</f>
        <v>99344713.790000007</v>
      </c>
      <c r="BB7" s="26">
        <f>现金流量表!BB9</f>
        <v>611561770.66999996</v>
      </c>
      <c r="BC7" s="26">
        <f>现金流量表!BC9</f>
        <v>295360541.63999999</v>
      </c>
      <c r="BD7" s="26">
        <f>现金流量表!BD9</f>
        <v>317561457.06</v>
      </c>
      <c r="BE7" s="26">
        <f>现金流量表!BE9</f>
        <v>100022790.27</v>
      </c>
      <c r="BF7" s="26">
        <f>现金流量表!BF9</f>
        <v>532847423.85000002</v>
      </c>
      <c r="BG7" s="26">
        <f>现金流量表!BG9</f>
        <v>288258370.33999997</v>
      </c>
      <c r="BH7" s="26">
        <f>现金流量表!BH9</f>
        <v>199118978.84</v>
      </c>
      <c r="BI7" s="26">
        <f>现金流量表!BI9</f>
        <v>130604069.75</v>
      </c>
      <c r="BJ7" s="26">
        <f>现金流量表!BJ9</f>
        <v>688578280.36000001</v>
      </c>
      <c r="BK7" s="26">
        <f>现金流量表!BK9</f>
        <v>380356361.70999998</v>
      </c>
      <c r="BL7" s="26">
        <f>现金流量表!BL9</f>
        <v>236739696.03</v>
      </c>
      <c r="BM7" s="26">
        <f>现金流量表!BM9</f>
        <v>137738571.97</v>
      </c>
      <c r="BN7" s="26">
        <f>现金流量表!BN9</f>
        <v>436844762.80000001</v>
      </c>
      <c r="BO7" s="26">
        <f>现金流量表!BO9</f>
        <v>245613691.21000001</v>
      </c>
      <c r="BP7" s="26">
        <f>现金流量表!BP9</f>
        <v>263161682.46000001</v>
      </c>
      <c r="BQ7" s="26">
        <f>现金流量表!BQ9</f>
        <v>109853486.31999999</v>
      </c>
      <c r="BR7" s="26">
        <f>现金流量表!BR9</f>
        <v>250005190.52000001</v>
      </c>
      <c r="BS7" s="26">
        <f>现金流量表!BS9</f>
        <v>92185724.790000007</v>
      </c>
      <c r="BT7" s="26">
        <f>现金流量表!BT9</f>
        <v>212387043.30000001</v>
      </c>
      <c r="BU7" s="26">
        <f>现金流量表!BU9</f>
        <v>65516535.5</v>
      </c>
      <c r="BV7" s="26">
        <f>现金流量表!BV9</f>
        <v>45048845.920000002</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44" t="s">
        <v>490</v>
      </c>
      <c r="E8" s="58">
        <f>利润表!E6</f>
        <v>3170883561.7199998</v>
      </c>
      <c r="F8" s="58">
        <f>利润表!F6</f>
        <v>15226925132.92</v>
      </c>
      <c r="G8" s="58">
        <f>利润表!G6</f>
        <v>11628814912.92</v>
      </c>
      <c r="H8" s="58">
        <f>利润表!H6</f>
        <v>7633692655.8699999</v>
      </c>
      <c r="I8" s="58">
        <f>利润表!I6</f>
        <v>2976584444.52</v>
      </c>
      <c r="J8" s="58">
        <f>利润表!J6</f>
        <v>14780967899.440001</v>
      </c>
      <c r="K8" s="58">
        <f>利润表!K6</f>
        <v>11180763428.889999</v>
      </c>
      <c r="L8" s="58">
        <f>利润表!L6</f>
        <v>7291362019.0100002</v>
      </c>
      <c r="M8" s="58">
        <f>利润表!M6</f>
        <v>2979672630.1999998</v>
      </c>
      <c r="N8" s="58">
        <f>利润表!N6</f>
        <v>15117878402.59</v>
      </c>
      <c r="O8" s="58">
        <f>利润表!O6</f>
        <v>11642318913.57</v>
      </c>
      <c r="P8" s="58">
        <f>利润表!P6</f>
        <v>7801959717</v>
      </c>
      <c r="Q8" s="58">
        <f>利润表!Q6</f>
        <v>3312008819.9899998</v>
      </c>
      <c r="R8" s="58">
        <f>利润表!R6</f>
        <v>16242127953.23</v>
      </c>
      <c r="S8" s="58">
        <f>利润表!S6</f>
        <v>12274014787.58</v>
      </c>
      <c r="T8" s="58">
        <f>利润表!T6</f>
        <v>8038090291.4700003</v>
      </c>
      <c r="U8" s="58">
        <f>利润表!U6</f>
        <v>3269606314.1599998</v>
      </c>
      <c r="V8" s="58">
        <f>利润表!V6</f>
        <v>15670770649.25</v>
      </c>
      <c r="W8" s="58">
        <f>利润表!W6</f>
        <v>11611711540.879999</v>
      </c>
      <c r="X8" s="58">
        <f>利润表!X6</f>
        <v>7542876267.8199997</v>
      </c>
      <c r="Y8" s="58">
        <f>利润表!Y6</f>
        <v>3154730635.73</v>
      </c>
      <c r="Z8" s="58">
        <f>利润表!Z6</f>
        <v>14295199209.41</v>
      </c>
      <c r="AA8" s="58">
        <f>利润表!AA6</f>
        <v>10906926142.75</v>
      </c>
      <c r="AB8" s="58">
        <f>利润表!AB6</f>
        <v>5793795568.4099998</v>
      </c>
      <c r="AC8" s="58">
        <f>利润表!AC6</f>
        <v>2541452950.0500002</v>
      </c>
      <c r="AD8" s="58">
        <f>利润表!AD6</f>
        <v>11654694217.540001</v>
      </c>
      <c r="AE8" s="58">
        <f>利润表!AE6</f>
        <v>9194752912.6000004</v>
      </c>
      <c r="AF8" s="58">
        <f>利润表!AF6</f>
        <v>5952172825.3299999</v>
      </c>
      <c r="AG8" s="58">
        <f>利润表!AG6</f>
        <v>2595919278.0100002</v>
      </c>
      <c r="AH8" s="58">
        <f>利润表!AH6</f>
        <v>10700275731.110001</v>
      </c>
      <c r="AI8" s="58">
        <f>利润表!AI6</f>
        <v>7867784014.79</v>
      </c>
      <c r="AJ8" s="58">
        <f>利润表!AJ6</f>
        <v>5088515339.8000002</v>
      </c>
      <c r="AK8" s="58">
        <f>利润表!AK6</f>
        <v>2199896810.4400001</v>
      </c>
      <c r="AL8" s="58">
        <f>利润表!AL6</f>
        <v>8888158950.1800003</v>
      </c>
      <c r="AM8" s="58">
        <f>利润表!AM6</f>
        <v>6534738603.1199999</v>
      </c>
      <c r="AN8" s="58">
        <f>利润表!AN6</f>
        <v>4183817454.4899998</v>
      </c>
      <c r="AO8" s="58">
        <f>利润表!AO6</f>
        <v>1873897756.1900001</v>
      </c>
      <c r="AP8" s="58">
        <f>利润表!AP6</f>
        <v>8489100178.8299999</v>
      </c>
      <c r="AQ8" s="58">
        <f>利润表!AQ6</f>
        <v>6394198410.4899998</v>
      </c>
      <c r="AR8" s="58">
        <f>利润表!AR6</f>
        <v>4175419382.9099998</v>
      </c>
      <c r="AS8" s="58">
        <f>利润表!AS6</f>
        <v>1861863686.0699999</v>
      </c>
      <c r="AT8" s="58">
        <f>利润表!AT6</f>
        <v>7277254140.21</v>
      </c>
      <c r="AU8" s="58">
        <f>利润表!AU6</f>
        <v>5289137929.5200005</v>
      </c>
      <c r="AV8" s="58">
        <f>利润表!AV6</f>
        <v>3333026643.5900002</v>
      </c>
      <c r="AW8" s="58">
        <f>利润表!AW6</f>
        <v>1538991169.55</v>
      </c>
      <c r="AX8" s="58">
        <f>利润表!AX6</f>
        <v>5756865497.54</v>
      </c>
      <c r="AY8" s="58">
        <f>利润表!AY6</f>
        <v>4211090083.77</v>
      </c>
      <c r="AZ8" s="58">
        <f>利润表!AZ6</f>
        <v>2765887880.8899999</v>
      </c>
      <c r="BA8" s="58">
        <f>利润表!BA6</f>
        <v>1249190096.8199999</v>
      </c>
      <c r="BB8" s="58">
        <f>利润表!BB6</f>
        <v>5403366370.7799997</v>
      </c>
      <c r="BC8" s="58">
        <f>利润表!BC6</f>
        <v>3924222586.1799998</v>
      </c>
      <c r="BD8" s="58">
        <f>利润表!BD6</f>
        <v>2567321061.1799998</v>
      </c>
      <c r="BE8" s="58">
        <f>利润表!BE6</f>
        <v>1175375812.9400001</v>
      </c>
      <c r="BF8" s="58">
        <f>利润表!BF6</f>
        <v>4942282576.8999996</v>
      </c>
      <c r="BG8" s="58">
        <f>利润表!BG6</f>
        <v>3660508261.8899999</v>
      </c>
      <c r="BH8" s="58">
        <f>利润表!BH6</f>
        <v>2517586186.9499998</v>
      </c>
      <c r="BI8" s="58">
        <f>利润表!BI6</f>
        <v>1226508689.25</v>
      </c>
      <c r="BJ8" s="58">
        <f>利润表!BJ6</f>
        <v>4011958308.4299998</v>
      </c>
      <c r="BK8" s="58">
        <f>利润表!BK6</f>
        <v>2944267467</v>
      </c>
      <c r="BL8" s="58">
        <f>利润表!BL6</f>
        <v>1952850787.5</v>
      </c>
      <c r="BM8" s="58">
        <f>利润表!BM6</f>
        <v>915105404.87</v>
      </c>
      <c r="BN8" s="58">
        <f>利润表!BN6</f>
        <v>2881983316.8499999</v>
      </c>
      <c r="BO8" s="58">
        <f>利润表!BO6</f>
        <v>2314903460.3000002</v>
      </c>
      <c r="BP8" s="58">
        <f>利润表!BP6</f>
        <v>1596717736.3499999</v>
      </c>
      <c r="BQ8" s="58">
        <f>利润表!BQ6</f>
        <v>773737089.95000005</v>
      </c>
      <c r="BR8" s="58">
        <f>利润表!BR6</f>
        <v>2554268178.5100002</v>
      </c>
      <c r="BS8" s="58">
        <f>利润表!BS6</f>
        <v>1304874733.9300001</v>
      </c>
      <c r="BT8" s="58">
        <f>利润表!BT6</f>
        <v>2483197627.2600002</v>
      </c>
      <c r="BU8" s="58">
        <f>利润表!BU6</f>
        <v>1254158982.9400001</v>
      </c>
      <c r="BV8" s="58">
        <f>利润表!BV6</f>
        <v>2461372469.0999999</v>
      </c>
      <c r="BW8" s="58">
        <f>利润表!BW6</f>
        <v>1156607381.01</v>
      </c>
      <c r="BX8" s="58">
        <f>利润表!BX6</f>
        <v>405519122.69999999</v>
      </c>
      <c r="BY8" s="58">
        <f>利润表!BY6</f>
        <v>157687789.38</v>
      </c>
      <c r="BZ8" s="58">
        <f>利润表!BZ6</f>
        <v>738657178.74000001</v>
      </c>
      <c r="CA8" s="58">
        <f>利润表!CA6</f>
        <v>0</v>
      </c>
      <c r="CB8" s="58">
        <f>利润表!CB6</f>
        <v>1121670089.03</v>
      </c>
      <c r="CC8" s="58">
        <f>利润表!CC6</f>
        <v>0</v>
      </c>
      <c r="CD8" s="58">
        <f>利润表!CD6</f>
        <v>1522442725.4100001</v>
      </c>
      <c r="CE8" s="58">
        <f>利润表!CE6</f>
        <v>0</v>
      </c>
      <c r="CF8" s="58">
        <f>利润表!CF6</f>
        <v>0</v>
      </c>
      <c r="CG8" s="58">
        <f>利润表!CG6</f>
        <v>0</v>
      </c>
      <c r="CH8" s="58">
        <f>利润表!CH6</f>
        <v>482620000</v>
      </c>
      <c r="CI8" s="58">
        <f>利润表!CI6</f>
        <v>622550000</v>
      </c>
      <c r="CJ8" s="58">
        <f>利润表!CJ6</f>
        <v>511020000</v>
      </c>
      <c r="CK8" s="58">
        <f>利润表!CK6</f>
        <v>438350000</v>
      </c>
      <c r="CL8" s="58">
        <f>利润表!CL6</f>
        <v>0</v>
      </c>
    </row>
    <row r="9" spans="1:90" s="58" customFormat="1">
      <c r="A9" s="144" t="s">
        <v>491</v>
      </c>
      <c r="E9" s="58">
        <f>利润表!E7</f>
        <v>24680489.940000001</v>
      </c>
      <c r="F9" s="58">
        <f>利润表!F7</f>
        <v>118281818.69</v>
      </c>
      <c r="G9" s="58">
        <f>利润表!G7</f>
        <v>85319248.390000001</v>
      </c>
      <c r="H9" s="58">
        <f>利润表!H7</f>
        <v>65982482.200000003</v>
      </c>
      <c r="I9" s="58">
        <f>利润表!I7</f>
        <v>29384721.870000001</v>
      </c>
      <c r="J9" s="58">
        <f>利润表!J7</f>
        <v>148289534.94999999</v>
      </c>
      <c r="K9" s="58">
        <f>利润表!K7</f>
        <v>103667800.89</v>
      </c>
      <c r="L9" s="58">
        <f>利润表!L7</f>
        <v>82012392.040000007</v>
      </c>
      <c r="M9" s="58">
        <f>利润表!M7</f>
        <v>42992139.280000001</v>
      </c>
      <c r="N9" s="58">
        <f>利润表!N7</f>
        <v>151298695.34999999</v>
      </c>
      <c r="O9" s="58">
        <f>利润表!O7</f>
        <v>121435065.36</v>
      </c>
      <c r="P9" s="58">
        <f>利润表!P7</f>
        <v>77594340.980000004</v>
      </c>
      <c r="Q9" s="58">
        <f>利润表!Q7</f>
        <v>37283240.600000001</v>
      </c>
      <c r="R9" s="58">
        <f>利润表!R7</f>
        <v>154535099.59</v>
      </c>
      <c r="S9" s="58">
        <f>利润表!S7</f>
        <v>129833994.84999999</v>
      </c>
      <c r="T9" s="58">
        <f>利润表!T7</f>
        <v>84670343.25</v>
      </c>
      <c r="U9" s="58">
        <f>利润表!U7</f>
        <v>40893605.850000001</v>
      </c>
      <c r="V9" s="58">
        <f>利润表!V7</f>
        <v>137698423</v>
      </c>
      <c r="W9" s="58">
        <f>利润表!W7</f>
        <v>108324837.53</v>
      </c>
      <c r="X9" s="58">
        <f>利润表!X7</f>
        <v>71322030.209999993</v>
      </c>
      <c r="Y9" s="58">
        <f>利润表!Y7</f>
        <v>30607092.649999999</v>
      </c>
      <c r="Z9" s="58">
        <f>利润表!Z7</f>
        <v>151094119.47</v>
      </c>
      <c r="AA9" s="58">
        <f>利润表!AA7</f>
        <v>108281857.06999999</v>
      </c>
      <c r="AB9" s="58">
        <f>利润表!AB7</f>
        <v>66375802.159999996</v>
      </c>
      <c r="AC9" s="58">
        <f>利润表!AC7</f>
        <v>24932592.219999999</v>
      </c>
      <c r="AD9" s="58">
        <f>利润表!AD7</f>
        <v>94762721.609999999</v>
      </c>
      <c r="AE9" s="58">
        <f>利润表!AE7</f>
        <v>81594878.359999999</v>
      </c>
      <c r="AF9" s="58">
        <f>利润表!AF7</f>
        <v>50935124.369999997</v>
      </c>
      <c r="AG9" s="58">
        <f>利润表!AG7</f>
        <v>14073529.74</v>
      </c>
      <c r="AH9" s="58">
        <f>利润表!AH7</f>
        <v>47049591.960000001</v>
      </c>
      <c r="AI9" s="58">
        <f>利润表!AI7</f>
        <v>36252827.310000002</v>
      </c>
      <c r="AJ9" s="58">
        <f>利润表!AJ7</f>
        <v>23807994.210000001</v>
      </c>
      <c r="AK9" s="58">
        <f>利润表!AK7</f>
        <v>12045757.27</v>
      </c>
      <c r="AL9" s="58">
        <f>利润表!AL7</f>
        <v>36433124.130000003</v>
      </c>
      <c r="AM9" s="58">
        <f>利润表!AM7</f>
        <v>27332568.32</v>
      </c>
      <c r="AN9" s="58">
        <f>利润表!AN7</f>
        <v>18394534.010000002</v>
      </c>
      <c r="AO9" s="58">
        <f>利润表!AO7</f>
        <v>8894401.1799999997</v>
      </c>
      <c r="AP9" s="58">
        <f>利润表!AP7</f>
        <v>30051094.940000001</v>
      </c>
      <c r="AQ9" s="58">
        <f>利润表!AQ7</f>
        <v>21453805.739999998</v>
      </c>
      <c r="AR9" s="58">
        <f>利润表!AR7</f>
        <v>14258088.619999999</v>
      </c>
      <c r="AS9" s="58">
        <f>利润表!AS7</f>
        <v>6704249.0499999998</v>
      </c>
      <c r="AT9" s="58">
        <f>利润表!AT7</f>
        <v>29132541.030000001</v>
      </c>
      <c r="AU9" s="58">
        <f>利润表!AU7</f>
        <v>21674399.34</v>
      </c>
      <c r="AV9" s="58">
        <f>利润表!AV7</f>
        <v>14030629.800000001</v>
      </c>
      <c r="AW9" s="58">
        <f>利润表!AW7</f>
        <v>6026209.2300000004</v>
      </c>
      <c r="AX9" s="58">
        <f>利润表!AX7</f>
        <v>23752289.66</v>
      </c>
      <c r="AY9" s="58">
        <f>利润表!AY7</f>
        <v>19284640.84</v>
      </c>
      <c r="AZ9" s="58">
        <f>利润表!AZ7</f>
        <v>11539457.869999999</v>
      </c>
      <c r="BA9" s="58">
        <f>利润表!BA7</f>
        <v>5355209.1900000004</v>
      </c>
      <c r="BB9" s="58">
        <f>利润表!BB7</f>
        <v>18167645.329999998</v>
      </c>
      <c r="BC9" s="58">
        <f>利润表!BC7</f>
        <v>13000135.689999999</v>
      </c>
      <c r="BD9" s="58">
        <f>利润表!BD7</f>
        <v>8146628.9400000004</v>
      </c>
      <c r="BE9" s="58">
        <f>利润表!BE7</f>
        <v>3962995.23</v>
      </c>
      <c r="BF9" s="58">
        <f>利润表!BF7</f>
        <v>16086266.32</v>
      </c>
      <c r="BG9" s="58">
        <f>利润表!BG7</f>
        <v>11113213.24</v>
      </c>
      <c r="BH9" s="58">
        <f>利润表!BH7</f>
        <v>7490047.04</v>
      </c>
      <c r="BI9" s="58">
        <f>利润表!BI7</f>
        <v>3860914.82</v>
      </c>
      <c r="BJ9" s="58">
        <f>利润表!BJ7</f>
        <v>13609027.49</v>
      </c>
      <c r="BK9" s="58">
        <f>利润表!BK7</f>
        <v>14003668.35</v>
      </c>
      <c r="BL9" s="58">
        <f>利润表!BL7</f>
        <v>6332369.0800000001</v>
      </c>
      <c r="BM9" s="58">
        <f>利润表!BM7</f>
        <v>3138194.45</v>
      </c>
      <c r="BN9" s="58">
        <f>利润表!BN7</f>
        <v>13058660.060000001</v>
      </c>
      <c r="BO9" s="58">
        <f>利润表!BO7</f>
        <v>9502722.4000000004</v>
      </c>
      <c r="BP9" s="58">
        <f>利润表!BP7</f>
        <v>7358392.9500000002</v>
      </c>
      <c r="BQ9" s="58">
        <f>利润表!BQ7</f>
        <v>3574226.91</v>
      </c>
      <c r="BR9" s="58">
        <f>利润表!BR7</f>
        <v>8993988.4600000009</v>
      </c>
      <c r="BS9" s="58">
        <f>利润表!BS7</f>
        <v>4245879.2</v>
      </c>
      <c r="BT9" s="58">
        <f>利润表!BT7</f>
        <v>8228819.0300000003</v>
      </c>
      <c r="BU9" s="58">
        <f>利润表!BU7</f>
        <v>4186741.08</v>
      </c>
      <c r="BV9" s="58">
        <f>利润表!BV7</f>
        <v>7988472.2599999998</v>
      </c>
      <c r="BW9" s="58">
        <f>利润表!BW7</f>
        <v>3979167.01</v>
      </c>
      <c r="BX9" s="58">
        <f>利润表!BX7</f>
        <v>4178453.65</v>
      </c>
      <c r="BY9" s="58">
        <f>利润表!BY7</f>
        <v>706418.24</v>
      </c>
      <c r="BZ9" s="58">
        <f>利润表!BZ7</f>
        <v>9634697.4700000007</v>
      </c>
      <c r="CA9" s="58">
        <f>利润表!CA7</f>
        <v>0</v>
      </c>
      <c r="CB9" s="58">
        <f>利润表!CB7</f>
        <v>2962011.87</v>
      </c>
      <c r="CC9" s="58">
        <f>利润表!CC7</f>
        <v>0</v>
      </c>
      <c r="CD9" s="58">
        <f>利润表!CD7</f>
        <v>5920842.5199999996</v>
      </c>
      <c r="CE9" s="58">
        <f>利润表!CE7</f>
        <v>0</v>
      </c>
      <c r="CF9" s="58">
        <f>利润表!CF7</f>
        <v>0</v>
      </c>
      <c r="CG9" s="58">
        <f>利润表!CG7</f>
        <v>0</v>
      </c>
      <c r="CH9" s="58">
        <f>利润表!CH7</f>
        <v>45960000</v>
      </c>
      <c r="CI9" s="58">
        <f>利润表!CI7</f>
        <v>71370000</v>
      </c>
      <c r="CJ9" s="58">
        <f>利润表!CJ7</f>
        <v>52680000</v>
      </c>
      <c r="CK9" s="58">
        <f>利润表!CK7</f>
        <v>34650000</v>
      </c>
    </row>
    <row r="10" spans="1:90" s="58" customFormat="1">
      <c r="A10" s="144" t="s">
        <v>492</v>
      </c>
      <c r="E10" s="58">
        <f>利润表!E8</f>
        <v>172332071.94999999</v>
      </c>
      <c r="F10" s="58">
        <f>利润表!F8</f>
        <v>706517294.04999995</v>
      </c>
      <c r="G10" s="58">
        <f>利润表!G8</f>
        <v>529202614.25</v>
      </c>
      <c r="H10" s="58">
        <f>利润表!H8</f>
        <v>373089927.08999997</v>
      </c>
      <c r="I10" s="58">
        <f>利润表!I8</f>
        <v>213695958.05000001</v>
      </c>
      <c r="J10" s="58">
        <f>利润表!J8</f>
        <v>689775545.35000002</v>
      </c>
      <c r="K10" s="58">
        <f>利润表!K8</f>
        <v>495531408.82999998</v>
      </c>
      <c r="L10" s="58">
        <f>利润表!L8</f>
        <v>347131879.60000002</v>
      </c>
      <c r="M10" s="58">
        <f>利润表!M8</f>
        <v>145371900.63999999</v>
      </c>
      <c r="N10" s="58">
        <f>利润表!N8</f>
        <v>772143600.40999997</v>
      </c>
      <c r="O10" s="58">
        <f>利润表!O8</f>
        <v>616311011.03999996</v>
      </c>
      <c r="P10" s="58">
        <f>利润表!P8</f>
        <v>438084366.19</v>
      </c>
      <c r="Q10" s="58">
        <f>利润表!Q8</f>
        <v>208163069.53999999</v>
      </c>
      <c r="R10" s="58">
        <f>利润表!R8</f>
        <v>983815921.95000005</v>
      </c>
      <c r="S10" s="58">
        <f>利润表!S8</f>
        <v>759160445.75</v>
      </c>
      <c r="T10" s="58">
        <f>利润表!T8</f>
        <v>514231780.66000003</v>
      </c>
      <c r="U10" s="58">
        <f>利润表!U8</f>
        <v>247375429.66999999</v>
      </c>
      <c r="V10" s="58">
        <f>利润表!V8</f>
        <v>938233144.64999998</v>
      </c>
      <c r="W10" s="58">
        <f>利润表!W8</f>
        <v>705962389.58000004</v>
      </c>
      <c r="X10" s="58">
        <f>利润表!X8</f>
        <v>447350690.70999998</v>
      </c>
      <c r="Y10" s="58">
        <f>利润表!Y8</f>
        <v>192717975.55000001</v>
      </c>
      <c r="Z10" s="58">
        <f>利润表!Z8</f>
        <v>858629127.98000002</v>
      </c>
      <c r="AA10" s="58">
        <f>利润表!AA8</f>
        <v>626435048.36000001</v>
      </c>
      <c r="AB10" s="58">
        <f>利润表!AB8</f>
        <v>311434096.91000003</v>
      </c>
      <c r="AC10" s="58">
        <f>利润表!AC8</f>
        <v>174620991.75</v>
      </c>
      <c r="AD10" s="58">
        <f>利润表!AD8</f>
        <v>648436356.85000002</v>
      </c>
      <c r="AE10" s="58">
        <f>利润表!AE8</f>
        <v>507216885.31</v>
      </c>
      <c r="AF10" s="58">
        <f>利润表!AF8</f>
        <v>339288086.79000002</v>
      </c>
      <c r="AG10" s="58">
        <f>利润表!AG8</f>
        <v>199457623.34</v>
      </c>
      <c r="AH10" s="58">
        <f>利润表!AH8</f>
        <v>572442492.40999997</v>
      </c>
      <c r="AI10" s="58">
        <f>利润表!AI8</f>
        <v>433458555.19</v>
      </c>
      <c r="AJ10" s="58">
        <f>利润表!AJ8</f>
        <v>284133934.61000001</v>
      </c>
      <c r="AK10" s="58">
        <f>利润表!AK8</f>
        <v>123275317.18000001</v>
      </c>
      <c r="AL10" s="58">
        <f>利润表!AL8</f>
        <v>520564229.83999997</v>
      </c>
      <c r="AM10" s="58">
        <f>利润表!AM8</f>
        <v>393129860.58999997</v>
      </c>
      <c r="AN10" s="58">
        <f>利润表!AN8</f>
        <v>257251654.05000001</v>
      </c>
      <c r="AO10" s="58">
        <f>利润表!AO8</f>
        <v>127798549.45</v>
      </c>
      <c r="AP10" s="58">
        <f>利润表!AP8</f>
        <v>450800611.77999997</v>
      </c>
      <c r="AQ10" s="58">
        <f>利润表!AQ8</f>
        <v>375411125.95999998</v>
      </c>
      <c r="AR10" s="58">
        <f>利润表!AR8</f>
        <v>213375019.44</v>
      </c>
      <c r="AS10" s="58">
        <f>利润表!AS8</f>
        <v>131402491.89</v>
      </c>
      <c r="AT10" s="58">
        <f>利润表!AT8</f>
        <v>492053156.49000001</v>
      </c>
      <c r="AU10" s="58">
        <f>利润表!AU8</f>
        <v>355914981.87</v>
      </c>
      <c r="AV10" s="58">
        <f>利润表!AV8</f>
        <v>228683868.50999999</v>
      </c>
      <c r="AW10" s="58">
        <f>利润表!AW8</f>
        <v>94632357.790000007</v>
      </c>
      <c r="AX10" s="58">
        <f>利润表!AX8</f>
        <v>360255683.31999999</v>
      </c>
      <c r="AY10" s="58">
        <f>利润表!AY8</f>
        <v>267027956.16</v>
      </c>
      <c r="AZ10" s="58">
        <f>利润表!AZ8</f>
        <v>170509771.09</v>
      </c>
      <c r="BA10" s="58">
        <f>利润表!BA8</f>
        <v>85898121.189999998</v>
      </c>
      <c r="BB10" s="58">
        <f>利润表!BB8</f>
        <v>345423417.47000003</v>
      </c>
      <c r="BC10" s="58">
        <f>利润表!BC8</f>
        <v>253245321.00999999</v>
      </c>
      <c r="BD10" s="58">
        <f>利润表!BD8</f>
        <v>162518431.43000001</v>
      </c>
      <c r="BE10" s="58">
        <f>利润表!BE8</f>
        <v>79442511.939999998</v>
      </c>
      <c r="BF10" s="58">
        <f>利润表!BF8</f>
        <v>321429749.67000002</v>
      </c>
      <c r="BG10" s="58">
        <f>利润表!BG8</f>
        <v>229591779.19</v>
      </c>
      <c r="BH10" s="58">
        <f>利润表!BH8</f>
        <v>133740621.19</v>
      </c>
      <c r="BI10" s="58">
        <f>利润表!BI8</f>
        <v>65436244.530000001</v>
      </c>
      <c r="BJ10" s="58">
        <f>利润表!BJ8</f>
        <v>323599708.75</v>
      </c>
      <c r="BK10" s="58">
        <f>利润表!BK8</f>
        <v>239973112.84999999</v>
      </c>
      <c r="BL10" s="58">
        <f>利润表!BL8</f>
        <v>157358942.06999999</v>
      </c>
      <c r="BM10" s="58">
        <f>利润表!BM8</f>
        <v>82777207.959999993</v>
      </c>
      <c r="BN10" s="58">
        <f>利润表!BN8</f>
        <v>317593510.41000003</v>
      </c>
      <c r="BO10" s="58">
        <f>利润表!BO8</f>
        <v>228508007.62</v>
      </c>
      <c r="BP10" s="58">
        <f>利润表!BP8</f>
        <v>148225737.93000001</v>
      </c>
      <c r="BQ10" s="58">
        <f>利润表!BQ8</f>
        <v>72043847.859999999</v>
      </c>
      <c r="BR10" s="58">
        <f>利润表!BR8</f>
        <v>290137966.11000001</v>
      </c>
      <c r="BS10" s="58">
        <f>利润表!BS8</f>
        <v>134119448.56</v>
      </c>
      <c r="BT10" s="58">
        <f>利润表!BT8</f>
        <v>245249626.66</v>
      </c>
      <c r="BU10" s="58">
        <f>利润表!BU8</f>
        <v>127462441.63</v>
      </c>
      <c r="BV10" s="58">
        <f>利润表!BV8</f>
        <v>214680939.50999999</v>
      </c>
      <c r="BW10" s="58">
        <f>利润表!BW8</f>
        <v>98544459.200000003</v>
      </c>
      <c r="BX10" s="58">
        <f>利润表!BX8</f>
        <v>5778042.5199999996</v>
      </c>
      <c r="BY10" s="58">
        <f>利润表!BY8</f>
        <v>14938744.029999999</v>
      </c>
      <c r="BZ10" s="58">
        <f>利润表!BZ8</f>
        <v>24044238.5</v>
      </c>
      <c r="CA10" s="58">
        <f>利润表!CA8</f>
        <v>0</v>
      </c>
      <c r="CB10" s="58">
        <f>利润表!CB8</f>
        <v>50761337.530000001</v>
      </c>
      <c r="CC10" s="58">
        <f>利润表!CC8</f>
        <v>0</v>
      </c>
      <c r="CD10" s="58">
        <f>利润表!CD8</f>
        <v>26810633.800000001</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44" t="s">
        <v>493</v>
      </c>
      <c r="E11" s="58">
        <f>利润表!E9</f>
        <v>256091440.58000001</v>
      </c>
      <c r="F11" s="58">
        <f>利润表!F9</f>
        <v>1297812456.3199999</v>
      </c>
      <c r="G11" s="58">
        <f>利润表!G9</f>
        <v>897288688.38</v>
      </c>
      <c r="H11" s="58">
        <f>利润表!H9</f>
        <v>651720570.57000005</v>
      </c>
      <c r="I11" s="58">
        <f>利润表!I9</f>
        <v>246324752.13</v>
      </c>
      <c r="J11" s="58">
        <f>利润表!J9</f>
        <v>1348474399.55</v>
      </c>
      <c r="K11" s="58">
        <f>利润表!K9</f>
        <v>953494349.96000004</v>
      </c>
      <c r="L11" s="58">
        <f>利润表!L9</f>
        <v>663893559.29999995</v>
      </c>
      <c r="M11" s="58">
        <f>利润表!M9</f>
        <v>288924674.19999999</v>
      </c>
      <c r="N11" s="58">
        <f>利润表!N9</f>
        <v>1782457942.6800001</v>
      </c>
      <c r="O11" s="58">
        <f>利润表!O9</f>
        <v>1246319073.75</v>
      </c>
      <c r="P11" s="58">
        <f>利润表!P9</f>
        <v>916950550.39999998</v>
      </c>
      <c r="Q11" s="58">
        <f>利润表!Q9</f>
        <v>382675273.56999999</v>
      </c>
      <c r="R11" s="58">
        <f>利润表!R9</f>
        <v>1876778470.8299999</v>
      </c>
      <c r="S11" s="58">
        <f>利润表!S9</f>
        <v>1311561912.96</v>
      </c>
      <c r="T11" s="58">
        <f>利润表!T9</f>
        <v>887189511.44000006</v>
      </c>
      <c r="U11" s="58">
        <f>利润表!U9</f>
        <v>384622815.70999998</v>
      </c>
      <c r="V11" s="58">
        <f>利润表!V9</f>
        <v>1839728726</v>
      </c>
      <c r="W11" s="58">
        <f>利润表!W9</f>
        <v>1166382034.47</v>
      </c>
      <c r="X11" s="58">
        <f>利润表!X9</f>
        <v>776169353.77999997</v>
      </c>
      <c r="Y11" s="58">
        <f>利润表!Y9</f>
        <v>359530187.44999999</v>
      </c>
      <c r="Z11" s="58">
        <f>利润表!Z9</f>
        <v>1482340908.6500001</v>
      </c>
      <c r="AA11" s="58">
        <f>利润表!AA9</f>
        <v>1173732261.54</v>
      </c>
      <c r="AB11" s="58">
        <f>利润表!AB9</f>
        <v>534231845.31</v>
      </c>
      <c r="AC11" s="58">
        <f>利润表!AC9</f>
        <v>235862570.50999999</v>
      </c>
      <c r="AD11" s="58">
        <f>利润表!AD9</f>
        <v>1217841360</v>
      </c>
      <c r="AE11" s="58">
        <f>利润表!AE9</f>
        <v>853202817.29999995</v>
      </c>
      <c r="AF11" s="58">
        <f>利润表!AF9</f>
        <v>521332474.60000002</v>
      </c>
      <c r="AG11" s="58">
        <f>利润表!AG9</f>
        <v>238303364.31</v>
      </c>
      <c r="AH11" s="58">
        <f>利润表!AH9</f>
        <v>1077062088.3699999</v>
      </c>
      <c r="AI11" s="58">
        <f>利润表!AI9</f>
        <v>775436485.40999997</v>
      </c>
      <c r="AJ11" s="58">
        <f>利润表!AJ9</f>
        <v>478880324.41000003</v>
      </c>
      <c r="AK11" s="58">
        <f>利润表!AK9</f>
        <v>217513666.13</v>
      </c>
      <c r="AL11" s="58">
        <f>利润表!AL9</f>
        <v>899709500.05999994</v>
      </c>
      <c r="AM11" s="58">
        <f>利润表!AM9</f>
        <v>554972324.38</v>
      </c>
      <c r="AN11" s="58">
        <f>利润表!AN9</f>
        <v>340190388.22000003</v>
      </c>
      <c r="AO11" s="58">
        <f>利润表!AO9</f>
        <v>163726144.58000001</v>
      </c>
      <c r="AP11" s="58">
        <f>利润表!AP9</f>
        <v>759141352.00999999</v>
      </c>
      <c r="AQ11" s="58">
        <f>利润表!AQ9</f>
        <v>528160805.45999998</v>
      </c>
      <c r="AR11" s="58">
        <f>利润表!AR9</f>
        <v>342386795.98000002</v>
      </c>
      <c r="AS11" s="58">
        <f>利润表!AS9</f>
        <v>144957146.94999999</v>
      </c>
      <c r="AT11" s="58">
        <f>利润表!AT9</f>
        <v>638911611.90999997</v>
      </c>
      <c r="AU11" s="58">
        <f>利润表!AU9</f>
        <v>434563880.16000003</v>
      </c>
      <c r="AV11" s="58">
        <f>利润表!AV9</f>
        <v>280669108.04000002</v>
      </c>
      <c r="AW11" s="58">
        <f>利润表!AW9</f>
        <v>123108354.90000001</v>
      </c>
      <c r="AX11" s="58">
        <f>利润表!AX9</f>
        <v>564132285.63</v>
      </c>
      <c r="AY11" s="58">
        <f>利润表!AY9</f>
        <v>362108855.76999998</v>
      </c>
      <c r="AZ11" s="58">
        <f>利润表!AZ9</f>
        <v>241592698</v>
      </c>
      <c r="BA11" s="58">
        <f>利润表!BA9</f>
        <v>100067356.54000001</v>
      </c>
      <c r="BB11" s="58">
        <f>利润表!BB9</f>
        <v>516323877.29000002</v>
      </c>
      <c r="BC11" s="58">
        <f>利润表!BC9</f>
        <v>363413451.38</v>
      </c>
      <c r="BD11" s="58">
        <f>利润表!BD9</f>
        <v>265771022.94</v>
      </c>
      <c r="BE11" s="58">
        <f>利润表!BE9</f>
        <v>117285447.89</v>
      </c>
      <c r="BF11" s="58">
        <f>利润表!BF9</f>
        <v>584589106.21000004</v>
      </c>
      <c r="BG11" s="58">
        <f>利润表!BG9</f>
        <v>387049001.74000001</v>
      </c>
      <c r="BH11" s="58">
        <f>利润表!BH9</f>
        <v>266947677.38</v>
      </c>
      <c r="BI11" s="58">
        <f>利润表!BI9</f>
        <v>128116416.59</v>
      </c>
      <c r="BJ11" s="58">
        <f>利润表!BJ9</f>
        <v>450852411.87</v>
      </c>
      <c r="BK11" s="58">
        <f>利润表!BK9</f>
        <v>303466718.38999999</v>
      </c>
      <c r="BL11" s="58">
        <f>利润表!BL9</f>
        <v>196504881.38999999</v>
      </c>
      <c r="BM11" s="58">
        <f>利润表!BM9</f>
        <v>100897170.67</v>
      </c>
      <c r="BN11" s="58">
        <f>利润表!BN9</f>
        <v>601321222.13999999</v>
      </c>
      <c r="BO11" s="58">
        <f>利润表!BO9</f>
        <v>362501878.05000001</v>
      </c>
      <c r="BP11" s="58">
        <f>利润表!BP9</f>
        <v>219744265.62</v>
      </c>
      <c r="BQ11" s="58">
        <f>利润表!BQ9</f>
        <v>74400649.650000006</v>
      </c>
      <c r="BR11" s="58">
        <f>利润表!BR9</f>
        <v>438597820</v>
      </c>
      <c r="BS11" s="58">
        <f>利润表!BS9</f>
        <v>164511244.80000001</v>
      </c>
      <c r="BT11" s="58">
        <f>利润表!BT9</f>
        <v>434314834.51999998</v>
      </c>
      <c r="BU11" s="58">
        <f>利润表!BU9</f>
        <v>131075063.06999999</v>
      </c>
      <c r="BV11" s="58">
        <f>利润表!BV9</f>
        <v>377039988.44999999</v>
      </c>
      <c r="BW11" s="58">
        <f>利润表!BW9</f>
        <v>118137266.47</v>
      </c>
      <c r="BX11" s="58">
        <f>利润表!BX9</f>
        <v>67592013.680000007</v>
      </c>
      <c r="BY11" s="58">
        <f>利润表!BY9</f>
        <v>33930334.380000003</v>
      </c>
      <c r="BZ11" s="58">
        <f>利润表!BZ9</f>
        <v>79345908.530000001</v>
      </c>
      <c r="CA11" s="58">
        <f>利润表!CA9</f>
        <v>0</v>
      </c>
      <c r="CB11" s="58">
        <f>利润表!CB9</f>
        <v>120362071.26000001</v>
      </c>
      <c r="CC11" s="58">
        <f>利润表!CC9</f>
        <v>0</v>
      </c>
      <c r="CD11" s="58">
        <f>利润表!CD9</f>
        <v>168183396.69999999</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44" t="s">
        <v>494</v>
      </c>
      <c r="E12" s="58">
        <f>SUM(E8:E11)</f>
        <v>3623987564.1899996</v>
      </c>
      <c r="F12" s="58">
        <f t="shared" ref="F12:BQ12" si="4">SUM(F8:F11)</f>
        <v>17349536701.98</v>
      </c>
      <c r="G12" s="58">
        <f t="shared" si="4"/>
        <v>13140625463.939999</v>
      </c>
      <c r="H12" s="58">
        <f t="shared" si="4"/>
        <v>8724485635.7299995</v>
      </c>
      <c r="I12" s="58">
        <f t="shared" si="4"/>
        <v>3465989876.5700002</v>
      </c>
      <c r="J12" s="58">
        <f t="shared" si="4"/>
        <v>16967507379.290001</v>
      </c>
      <c r="K12" s="58">
        <f t="shared" si="4"/>
        <v>12733456988.57</v>
      </c>
      <c r="L12" s="58">
        <f t="shared" si="4"/>
        <v>8384399849.9500008</v>
      </c>
      <c r="M12" s="58">
        <f t="shared" si="4"/>
        <v>3456961344.3199997</v>
      </c>
      <c r="N12" s="58">
        <f t="shared" si="4"/>
        <v>17823778641.029999</v>
      </c>
      <c r="O12" s="58">
        <f t="shared" si="4"/>
        <v>13626384063.720001</v>
      </c>
      <c r="P12" s="58">
        <f t="shared" si="4"/>
        <v>9234588974.5699997</v>
      </c>
      <c r="Q12" s="58">
        <f t="shared" si="4"/>
        <v>3940130403.6999998</v>
      </c>
      <c r="R12" s="58">
        <f t="shared" si="4"/>
        <v>19257257445.599998</v>
      </c>
      <c r="S12" s="58">
        <f t="shared" si="4"/>
        <v>14474571141.139999</v>
      </c>
      <c r="T12" s="58">
        <f t="shared" si="4"/>
        <v>9524181926.8200016</v>
      </c>
      <c r="U12" s="58">
        <f t="shared" si="4"/>
        <v>3942498165.3899999</v>
      </c>
      <c r="V12" s="58">
        <f t="shared" si="4"/>
        <v>18586430942.900002</v>
      </c>
      <c r="W12" s="58">
        <f t="shared" si="4"/>
        <v>13592380802.459999</v>
      </c>
      <c r="X12" s="58">
        <f t="shared" si="4"/>
        <v>8837718342.5200005</v>
      </c>
      <c r="Y12" s="58">
        <f t="shared" si="4"/>
        <v>3737585891.3800001</v>
      </c>
      <c r="Z12" s="58">
        <f t="shared" si="4"/>
        <v>16787263365.509998</v>
      </c>
      <c r="AA12" s="58">
        <f t="shared" si="4"/>
        <v>12815375309.720001</v>
      </c>
      <c r="AB12" s="58">
        <f t="shared" si="4"/>
        <v>6705837312.79</v>
      </c>
      <c r="AC12" s="58">
        <f t="shared" si="4"/>
        <v>2976869104.5299997</v>
      </c>
      <c r="AD12" s="58">
        <f t="shared" si="4"/>
        <v>13615734656.000002</v>
      </c>
      <c r="AE12" s="58">
        <f t="shared" si="4"/>
        <v>10636767493.57</v>
      </c>
      <c r="AF12" s="58">
        <f t="shared" si="4"/>
        <v>6863728511.0900002</v>
      </c>
      <c r="AG12" s="58">
        <f t="shared" si="4"/>
        <v>3047753795.4000001</v>
      </c>
      <c r="AH12" s="58">
        <f t="shared" si="4"/>
        <v>12396829903.849998</v>
      </c>
      <c r="AI12" s="58">
        <f t="shared" si="4"/>
        <v>9112931882.7000008</v>
      </c>
      <c r="AJ12" s="58">
        <f t="shared" si="4"/>
        <v>5875337593.0299997</v>
      </c>
      <c r="AK12" s="58">
        <f t="shared" si="4"/>
        <v>2552731551.02</v>
      </c>
      <c r="AL12" s="58">
        <f t="shared" si="4"/>
        <v>10344865804.209999</v>
      </c>
      <c r="AM12" s="58">
        <f t="shared" si="4"/>
        <v>7510173356.4099998</v>
      </c>
      <c r="AN12" s="58">
        <f t="shared" si="4"/>
        <v>4799654030.7700005</v>
      </c>
      <c r="AO12" s="58">
        <f t="shared" si="4"/>
        <v>2174316851.4000001</v>
      </c>
      <c r="AP12" s="58">
        <f t="shared" si="4"/>
        <v>9729093237.5599995</v>
      </c>
      <c r="AQ12" s="58">
        <f t="shared" si="4"/>
        <v>7319224147.6499996</v>
      </c>
      <c r="AR12" s="58">
        <f t="shared" si="4"/>
        <v>4745439286.9499989</v>
      </c>
      <c r="AS12" s="58">
        <f t="shared" si="4"/>
        <v>2144927573.96</v>
      </c>
      <c r="AT12" s="58">
        <f t="shared" si="4"/>
        <v>8437351449.6399994</v>
      </c>
      <c r="AU12" s="58">
        <f t="shared" si="4"/>
        <v>6101291190.8900003</v>
      </c>
      <c r="AV12" s="58">
        <f t="shared" si="4"/>
        <v>3856410249.9400005</v>
      </c>
      <c r="AW12" s="58">
        <f t="shared" si="4"/>
        <v>1762758091.47</v>
      </c>
      <c r="AX12" s="58">
        <f t="shared" si="4"/>
        <v>6705005756.1499996</v>
      </c>
      <c r="AY12" s="58">
        <f t="shared" si="4"/>
        <v>4859511536.5400009</v>
      </c>
      <c r="AZ12" s="58">
        <f t="shared" si="4"/>
        <v>3189529807.8499999</v>
      </c>
      <c r="BA12" s="58">
        <f t="shared" si="4"/>
        <v>1440510783.74</v>
      </c>
      <c r="BB12" s="58">
        <f t="shared" si="4"/>
        <v>6283281310.8699999</v>
      </c>
      <c r="BC12" s="58">
        <f t="shared" si="4"/>
        <v>4553881494.2600002</v>
      </c>
      <c r="BD12" s="58">
        <f t="shared" si="4"/>
        <v>3003757144.4899998</v>
      </c>
      <c r="BE12" s="58">
        <f t="shared" si="4"/>
        <v>1376066768.0000002</v>
      </c>
      <c r="BF12" s="58">
        <f t="shared" si="4"/>
        <v>5864387699.0999994</v>
      </c>
      <c r="BG12" s="58">
        <f t="shared" si="4"/>
        <v>4288262256.0599995</v>
      </c>
      <c r="BH12" s="58">
        <f t="shared" si="4"/>
        <v>2925764532.5599999</v>
      </c>
      <c r="BI12" s="58">
        <f t="shared" si="4"/>
        <v>1423922265.1899998</v>
      </c>
      <c r="BJ12" s="58">
        <f t="shared" si="4"/>
        <v>4800019456.54</v>
      </c>
      <c r="BK12" s="58">
        <f t="shared" si="4"/>
        <v>3501710966.5899997</v>
      </c>
      <c r="BL12" s="58">
        <f t="shared" si="4"/>
        <v>2313046980.04</v>
      </c>
      <c r="BM12" s="58">
        <f t="shared" si="4"/>
        <v>1101917977.95</v>
      </c>
      <c r="BN12" s="58">
        <f t="shared" si="4"/>
        <v>3813956709.4599996</v>
      </c>
      <c r="BO12" s="58">
        <f t="shared" si="4"/>
        <v>2915416068.3700004</v>
      </c>
      <c r="BP12" s="58">
        <f t="shared" si="4"/>
        <v>1972046132.8499999</v>
      </c>
      <c r="BQ12" s="58">
        <f t="shared" si="4"/>
        <v>923755814.37</v>
      </c>
      <c r="BR12" s="58">
        <f t="shared" ref="BR12:CL12" si="5">SUM(BR8:BR11)</f>
        <v>3291997953.0800004</v>
      </c>
      <c r="BS12" s="58">
        <f t="shared" si="5"/>
        <v>1607751306.49</v>
      </c>
      <c r="BT12" s="58">
        <f t="shared" si="5"/>
        <v>3170990907.4700003</v>
      </c>
      <c r="BU12" s="58">
        <f t="shared" si="5"/>
        <v>1516883228.72</v>
      </c>
      <c r="BV12" s="58">
        <f t="shared" si="5"/>
        <v>3061081869.3199997</v>
      </c>
      <c r="BW12" s="58">
        <f t="shared" si="5"/>
        <v>1377268273.6900001</v>
      </c>
      <c r="BX12" s="58">
        <f t="shared" si="5"/>
        <v>483067632.54999995</v>
      </c>
      <c r="BY12" s="58">
        <f t="shared" si="5"/>
        <v>207263286.03</v>
      </c>
      <c r="BZ12" s="58">
        <f t="shared" si="5"/>
        <v>851682023.24000001</v>
      </c>
      <c r="CA12" s="58">
        <f t="shared" si="5"/>
        <v>0</v>
      </c>
      <c r="CB12" s="58">
        <f t="shared" si="5"/>
        <v>1295755509.6899998</v>
      </c>
      <c r="CC12" s="58">
        <f t="shared" si="5"/>
        <v>0</v>
      </c>
      <c r="CD12" s="58">
        <f t="shared" si="5"/>
        <v>1723357598.4300001</v>
      </c>
      <c r="CE12" s="58">
        <f t="shared" si="5"/>
        <v>0</v>
      </c>
      <c r="CF12" s="58">
        <f t="shared" si="5"/>
        <v>0</v>
      </c>
      <c r="CG12" s="58">
        <f t="shared" si="5"/>
        <v>0</v>
      </c>
      <c r="CH12" s="58">
        <f t="shared" si="5"/>
        <v>528580000</v>
      </c>
      <c r="CI12" s="58">
        <f t="shared" si="5"/>
        <v>693920000</v>
      </c>
      <c r="CJ12" s="58">
        <f t="shared" si="5"/>
        <v>563700000</v>
      </c>
      <c r="CK12" s="58">
        <f t="shared" si="5"/>
        <v>473000000</v>
      </c>
      <c r="CL12" s="58">
        <f t="shared" si="5"/>
        <v>0</v>
      </c>
    </row>
    <row r="13" spans="1:90" s="28" customFormat="1">
      <c r="A13" s="20" t="s">
        <v>495</v>
      </c>
      <c r="E13" s="28">
        <f>(E6/(1+E4)+E7)/E12</f>
        <v>1.3044906603990634</v>
      </c>
      <c r="F13" s="28">
        <f t="shared" ref="F13:BQ13" si="6">(F6/(1+F4)+F7)/F12</f>
        <v>0.90348094780591381</v>
      </c>
      <c r="G13" s="28">
        <f t="shared" si="6"/>
        <v>0.87697127711902101</v>
      </c>
      <c r="H13" s="28">
        <f t="shared" si="6"/>
        <v>0.896996263442014</v>
      </c>
      <c r="I13" s="28">
        <f t="shared" si="6"/>
        <v>1.2000566432269337</v>
      </c>
      <c r="J13" s="28">
        <f t="shared" si="6"/>
        <v>0.89955871893206329</v>
      </c>
      <c r="K13" s="28">
        <f t="shared" si="6"/>
        <v>0.83015652348756774</v>
      </c>
      <c r="L13" s="28">
        <f t="shared" si="6"/>
        <v>0.82908754163473564</v>
      </c>
      <c r="M13" s="28">
        <f t="shared" si="6"/>
        <v>0.97717324369557845</v>
      </c>
      <c r="N13" s="28">
        <f t="shared" si="6"/>
        <v>0.89488125486474279</v>
      </c>
      <c r="O13" s="28">
        <f t="shared" si="6"/>
        <v>0.83712041613335397</v>
      </c>
      <c r="P13" s="28">
        <f t="shared" si="6"/>
        <v>0.85628187950873824</v>
      </c>
      <c r="Q13" s="28">
        <f t="shared" si="6"/>
        <v>1.0240879773188425</v>
      </c>
      <c r="R13" s="28">
        <f t="shared" si="6"/>
        <v>0.93619255340824714</v>
      </c>
      <c r="S13" s="28">
        <f t="shared" si="6"/>
        <v>0.9396949808437024</v>
      </c>
      <c r="T13" s="28">
        <f t="shared" si="6"/>
        <v>0.90546395802481394</v>
      </c>
      <c r="U13" s="28">
        <f t="shared" si="6"/>
        <v>1.129893224035551</v>
      </c>
      <c r="V13" s="28">
        <f t="shared" si="6"/>
        <v>0.94330245379237432</v>
      </c>
      <c r="W13" s="28">
        <f t="shared" si="6"/>
        <v>0.94863372087550113</v>
      </c>
      <c r="X13" s="28">
        <f t="shared" si="6"/>
        <v>0.93263648161447033</v>
      </c>
      <c r="Y13" s="28">
        <f t="shared" si="6"/>
        <v>1.1657281587923487</v>
      </c>
      <c r="Z13" s="28">
        <f t="shared" si="6"/>
        <v>0.95724134872998912</v>
      </c>
      <c r="AA13" s="28">
        <f t="shared" si="6"/>
        <v>0.90213903564308129</v>
      </c>
      <c r="AB13" s="28">
        <f t="shared" si="6"/>
        <v>0.89414355921284372</v>
      </c>
      <c r="AC13" s="28">
        <f t="shared" si="6"/>
        <v>1.0802883752364127</v>
      </c>
      <c r="AD13" s="28">
        <f t="shared" si="6"/>
        <v>0.97719879418430589</v>
      </c>
      <c r="AE13" s="28">
        <f t="shared" si="6"/>
        <v>0.89657046988262701</v>
      </c>
      <c r="AF13" s="28">
        <f t="shared" si="6"/>
        <v>0.90830805526652469</v>
      </c>
      <c r="AG13" s="28">
        <f t="shared" si="6"/>
        <v>1.0078270588176712</v>
      </c>
      <c r="AH13" s="28">
        <f t="shared" si="6"/>
        <v>0.90271953863673415</v>
      </c>
      <c r="AI13" s="28">
        <f t="shared" si="6"/>
        <v>0.83295768783866475</v>
      </c>
      <c r="AJ13" s="28">
        <f t="shared" si="6"/>
        <v>0.80622573120952445</v>
      </c>
      <c r="AK13" s="28">
        <f t="shared" si="6"/>
        <v>0.96489157315964524</v>
      </c>
      <c r="AL13" s="28">
        <f t="shared" si="6"/>
        <v>0.8832944694423156</v>
      </c>
      <c r="AM13" s="28">
        <f t="shared" si="6"/>
        <v>0.86450074769114782</v>
      </c>
      <c r="AN13" s="28">
        <f t="shared" si="6"/>
        <v>0.837223611297226</v>
      </c>
      <c r="AO13" s="28">
        <f t="shared" si="6"/>
        <v>0.8289786355136689</v>
      </c>
      <c r="AP13" s="28">
        <f t="shared" si="6"/>
        <v>0.88680169384954644</v>
      </c>
      <c r="AQ13" s="28">
        <f t="shared" si="6"/>
        <v>0.88129108621062979</v>
      </c>
      <c r="AR13" s="28">
        <f t="shared" si="6"/>
        <v>0.94156898533414335</v>
      </c>
      <c r="AS13" s="28">
        <f t="shared" si="6"/>
        <v>1.0079808699174708</v>
      </c>
      <c r="AT13" s="28">
        <f t="shared" si="6"/>
        <v>0.91862614287417033</v>
      </c>
      <c r="AU13" s="28">
        <f t="shared" si="6"/>
        <v>0.85820376742602922</v>
      </c>
      <c r="AV13" s="28">
        <f t="shared" si="6"/>
        <v>0.87833477132142501</v>
      </c>
      <c r="AW13" s="28">
        <f t="shared" si="6"/>
        <v>0.88466022433074387</v>
      </c>
      <c r="AX13" s="28">
        <f t="shared" si="6"/>
        <v>0.93516291450600442</v>
      </c>
      <c r="AY13" s="28">
        <f t="shared" si="6"/>
        <v>0.82217906669025631</v>
      </c>
      <c r="AZ13" s="28">
        <f t="shared" si="6"/>
        <v>0.89230536319580345</v>
      </c>
      <c r="BA13" s="28">
        <f t="shared" si="6"/>
        <v>0.86442078630589347</v>
      </c>
      <c r="BB13" s="28">
        <f t="shared" si="6"/>
        <v>0.91732032802853314</v>
      </c>
      <c r="BC13" s="28">
        <f t="shared" si="6"/>
        <v>0.892014874392692</v>
      </c>
      <c r="BD13" s="28">
        <f t="shared" si="6"/>
        <v>1.0004231402797352</v>
      </c>
      <c r="BE13" s="28">
        <f t="shared" si="6"/>
        <v>1.018439055980048</v>
      </c>
      <c r="BF13" s="28">
        <f t="shared" si="6"/>
        <v>0.9090722042199062</v>
      </c>
      <c r="BG13" s="28">
        <f t="shared" si="6"/>
        <v>0.83911346051542068</v>
      </c>
      <c r="BH13" s="28">
        <f t="shared" si="6"/>
        <v>0.80743531582252115</v>
      </c>
      <c r="BI13" s="28">
        <f t="shared" si="6"/>
        <v>0.78474145413129515</v>
      </c>
      <c r="BJ13" s="28">
        <f t="shared" si="6"/>
        <v>1.0107213315647046</v>
      </c>
      <c r="BK13" s="28">
        <f t="shared" si="6"/>
        <v>0.91837129877843071</v>
      </c>
      <c r="BL13" s="28">
        <f t="shared" si="6"/>
        <v>0.89148642106335674</v>
      </c>
      <c r="BM13" s="28">
        <f t="shared" si="6"/>
        <v>0.83122978402505232</v>
      </c>
      <c r="BN13" s="28">
        <f t="shared" si="6"/>
        <v>0.9503118245230352</v>
      </c>
      <c r="BO13" s="28">
        <f t="shared" si="6"/>
        <v>0.55031980827049631</v>
      </c>
      <c r="BP13" s="28">
        <f t="shared" si="6"/>
        <v>1.3880762206017037</v>
      </c>
      <c r="BQ13" s="28">
        <f t="shared" si="6"/>
        <v>1.5457788404290056</v>
      </c>
      <c r="BR13" s="28">
        <f t="shared" ref="BR13:CK13" si="7">(BR6/(1+BR4)+BR7)/BR12</f>
        <v>0.71939538829844574</v>
      </c>
      <c r="BS13" s="28">
        <f t="shared" si="7"/>
        <v>0.6292663783101512</v>
      </c>
      <c r="BT13" s="28">
        <f t="shared" si="7"/>
        <v>0.75153654545662085</v>
      </c>
      <c r="BU13" s="28">
        <f t="shared" si="7"/>
        <v>0.60157963738451781</v>
      </c>
      <c r="BV13" s="28">
        <f t="shared" si="7"/>
        <v>0.11914413725599032</v>
      </c>
      <c r="BW13" s="28">
        <f t="shared" si="7"/>
        <v>0</v>
      </c>
      <c r="BX13" s="28">
        <f t="shared" si="7"/>
        <v>0</v>
      </c>
      <c r="BY13" s="28">
        <f t="shared" si="7"/>
        <v>0</v>
      </c>
      <c r="BZ13" s="28">
        <f t="shared" si="7"/>
        <v>0</v>
      </c>
      <c r="CA13" s="28" t="e">
        <f t="shared" si="7"/>
        <v>#DIV/0!</v>
      </c>
      <c r="CB13" s="28">
        <f t="shared" si="7"/>
        <v>0</v>
      </c>
      <c r="CC13" s="28" t="e">
        <f t="shared" si="7"/>
        <v>#DIV/0!</v>
      </c>
      <c r="CD13" s="28">
        <f t="shared" si="7"/>
        <v>0</v>
      </c>
      <c r="CE13" s="28" t="e">
        <f t="shared" si="7"/>
        <v>#DIV/0!</v>
      </c>
      <c r="CF13" s="28" t="e">
        <f t="shared" si="7"/>
        <v>#DIV/0!</v>
      </c>
      <c r="CG13" s="28" t="e">
        <f t="shared" si="7"/>
        <v>#DIV/0!</v>
      </c>
      <c r="CH13" s="28">
        <f t="shared" si="7"/>
        <v>0</v>
      </c>
      <c r="CI13" s="28">
        <f t="shared" si="7"/>
        <v>0</v>
      </c>
      <c r="CJ13" s="28">
        <f t="shared" si="7"/>
        <v>0</v>
      </c>
      <c r="CK13" s="28">
        <f t="shared" si="7"/>
        <v>0</v>
      </c>
    </row>
    <row r="14" spans="1:90" s="26" customFormat="1">
      <c r="A14" s="20" t="s">
        <v>496</v>
      </c>
      <c r="E14" s="26">
        <f>现金流量表!E13</f>
        <v>-1182456308.27</v>
      </c>
      <c r="F14" s="26">
        <f>现金流量表!F13</f>
        <v>1930118454.01</v>
      </c>
      <c r="G14" s="26">
        <f>现金流量表!G13</f>
        <v>1405689604.1400001</v>
      </c>
      <c r="H14" s="26">
        <f>现金流量表!H13</f>
        <v>436621687.81999999</v>
      </c>
      <c r="I14" s="26">
        <f>现金流量表!I13</f>
        <v>-277228251.38999999</v>
      </c>
      <c r="J14" s="26">
        <f>现金流量表!J13</f>
        <v>1999573702.98</v>
      </c>
      <c r="K14" s="26">
        <f>现金流量表!K13</f>
        <v>1929645382.1800001</v>
      </c>
      <c r="L14" s="26">
        <f>现金流量表!L13</f>
        <v>1316392351.1300001</v>
      </c>
      <c r="M14" s="26">
        <f>现金流量表!M13</f>
        <v>319139035.18000001</v>
      </c>
      <c r="N14" s="26">
        <f>现金流量表!N13</f>
        <v>1338774524.46</v>
      </c>
      <c r="O14" s="26">
        <f>现金流量表!O13</f>
        <v>1508101907.8</v>
      </c>
      <c r="P14" s="26">
        <f>现金流量表!P13</f>
        <v>563731554.65999997</v>
      </c>
      <c r="Q14" s="26">
        <f>现金流量表!Q13</f>
        <v>-139849646.09999999</v>
      </c>
      <c r="R14" s="26">
        <f>现金流量表!R13</f>
        <v>2011963265.6500001</v>
      </c>
      <c r="S14" s="26">
        <f>现金流量表!S13</f>
        <v>1767169251.03</v>
      </c>
      <c r="T14" s="26">
        <f>现金流量表!T13</f>
        <v>972053307.75999999</v>
      </c>
      <c r="U14" s="26">
        <f>现金流量表!U13</f>
        <v>-47720877.789999999</v>
      </c>
      <c r="V14" s="26">
        <f>现金流量表!V13</f>
        <v>1758892889.23</v>
      </c>
      <c r="W14" s="26">
        <f>现金流量表!W13</f>
        <v>1503864105.3</v>
      </c>
      <c r="X14" s="26">
        <f>现金流量表!X13</f>
        <v>928841205.42999995</v>
      </c>
      <c r="Y14" s="26">
        <f>现金流量表!Y13</f>
        <v>-633039859.49000001</v>
      </c>
      <c r="Z14" s="26">
        <f>现金流量表!Z13</f>
        <v>3120058762.9099998</v>
      </c>
      <c r="AA14" s="26">
        <f>现金流量表!AA13</f>
        <v>2266334969.25</v>
      </c>
      <c r="AB14" s="26">
        <f>现金流量表!AB13</f>
        <v>1506595920.0599999</v>
      </c>
      <c r="AC14" s="26">
        <f>现金流量表!AC13</f>
        <v>-125661126.05</v>
      </c>
      <c r="AD14" s="26">
        <f>现金流量表!AD13</f>
        <v>1542378253.03</v>
      </c>
      <c r="AE14" s="26">
        <f>现金流量表!AE13</f>
        <v>1434505205.8599999</v>
      </c>
      <c r="AF14" s="26">
        <f>现金流量表!AF13</f>
        <v>884143463.00999999</v>
      </c>
      <c r="AG14" s="26">
        <f>现金流量表!AG13</f>
        <v>-223539526.56</v>
      </c>
      <c r="AH14" s="26">
        <f>现金流量表!AH13</f>
        <v>1787464327.6600001</v>
      </c>
      <c r="AI14" s="26">
        <f>现金流量表!AI13</f>
        <v>1718131912.98</v>
      </c>
      <c r="AJ14" s="26">
        <f>现金流量表!AJ13</f>
        <v>1122202879.6700001</v>
      </c>
      <c r="AK14" s="26">
        <f>现金流量表!AK13</f>
        <v>30469639.280000001</v>
      </c>
      <c r="AL14" s="26">
        <f>现金流量表!AL13</f>
        <v>2028598332.1700001</v>
      </c>
      <c r="AM14" s="26">
        <f>现金流量表!AM13</f>
        <v>1616122875.99</v>
      </c>
      <c r="AN14" s="26">
        <f>现金流量表!AN13</f>
        <v>943480103.27999997</v>
      </c>
      <c r="AO14" s="26">
        <f>现金流量表!AO13</f>
        <v>378297459.14999998</v>
      </c>
      <c r="AP14" s="26">
        <f>现金流量表!AP13</f>
        <v>516497097.97000003</v>
      </c>
      <c r="AQ14" s="26">
        <f>现金流量表!AQ13</f>
        <v>381218783.56</v>
      </c>
      <c r="AR14" s="26">
        <f>现金流量表!AR13</f>
        <v>4084610.3</v>
      </c>
      <c r="AS14" s="26">
        <f>现金流量表!AS13</f>
        <v>-286208499.70999998</v>
      </c>
      <c r="AT14" s="26">
        <f>现金流量表!AT13</f>
        <v>1057878881.39</v>
      </c>
      <c r="AU14" s="26">
        <f>现金流量表!AU13</f>
        <v>769860088.14999998</v>
      </c>
      <c r="AV14" s="26">
        <f>现金流量表!AV13</f>
        <v>295608189.13</v>
      </c>
      <c r="AW14" s="26">
        <f>现金流量表!AW13</f>
        <v>-30549097.199999999</v>
      </c>
      <c r="AX14" s="26">
        <f>现金流量表!AX13</f>
        <v>846957120.55999994</v>
      </c>
      <c r="AY14" s="26">
        <f>现金流量表!AY13</f>
        <v>485240091.43000001</v>
      </c>
      <c r="AZ14" s="26">
        <f>现金流量表!AZ13</f>
        <v>199309444.03</v>
      </c>
      <c r="BA14" s="26">
        <f>现金流量表!BA13</f>
        <v>-80113359.060000002</v>
      </c>
      <c r="BB14" s="26">
        <f>现金流量表!BB13</f>
        <v>243530780.69999999</v>
      </c>
      <c r="BC14" s="26">
        <f>现金流量表!BC13</f>
        <v>-165370697.12</v>
      </c>
      <c r="BD14" s="26">
        <f>现金流量表!BD13</f>
        <v>-157379247.44</v>
      </c>
      <c r="BE14" s="26">
        <f>现金流量表!BE13</f>
        <v>-233545765.58000001</v>
      </c>
      <c r="BF14" s="26">
        <f>现金流量表!BF13</f>
        <v>604667760.59000003</v>
      </c>
      <c r="BG14" s="26">
        <f>现金流量表!BG13</f>
        <v>337453098.12</v>
      </c>
      <c r="BH14" s="26">
        <f>现金流量表!BH13</f>
        <v>76753462.159999996</v>
      </c>
      <c r="BI14" s="26">
        <f>现金流量表!BI13</f>
        <v>56748815.079999998</v>
      </c>
      <c r="BJ14" s="26">
        <f>现金流量表!BJ13</f>
        <v>292170476.75999999</v>
      </c>
      <c r="BK14" s="26">
        <f>现金流量表!BK13</f>
        <v>456723497.52999997</v>
      </c>
      <c r="BL14" s="26">
        <f>现金流量表!BL13</f>
        <v>156973179.36000001</v>
      </c>
      <c r="BM14" s="26">
        <f>现金流量表!BM13</f>
        <v>-5871214.5800000001</v>
      </c>
      <c r="BN14" s="26">
        <f>现金流量表!BN13</f>
        <v>690591617.23000002</v>
      </c>
      <c r="BO14" s="26">
        <f>现金流量表!BO13</f>
        <v>318591291.69999999</v>
      </c>
      <c r="BP14" s="26">
        <f>现金流量表!BP13</f>
        <v>887186030.29999995</v>
      </c>
      <c r="BQ14" s="26">
        <f>现金流量表!BQ13</f>
        <v>200224002.99000001</v>
      </c>
      <c r="BR14" s="26">
        <f>现金流量表!BR13</f>
        <v>678152932.48000002</v>
      </c>
      <c r="BS14" s="26">
        <f>现金流量表!BS13</f>
        <v>131692296.48</v>
      </c>
      <c r="BT14" s="26">
        <f>现金流量表!BT13</f>
        <v>247433107.97999999</v>
      </c>
      <c r="BU14" s="26">
        <f>现金流量表!BU13</f>
        <v>43070537.390000001</v>
      </c>
      <c r="BV14" s="26">
        <f>现金流量表!BV13</f>
        <v>-154941375.38999999</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497</v>
      </c>
      <c r="E15" s="26">
        <f>股权价值增加表!E17</f>
        <v>8220004848.8565598</v>
      </c>
      <c r="F15" s="26">
        <f>股权价值增加表!F17</f>
        <v>26257155482.86937</v>
      </c>
      <c r="G15" s="26">
        <f>股权价值增加表!G17</f>
        <v>19404451814.334373</v>
      </c>
      <c r="H15" s="26">
        <f>股权价值增加表!H17</f>
        <v>10783278621.240543</v>
      </c>
      <c r="I15" s="26">
        <f>股权价值增加表!I17</f>
        <v>5951029399.4619694</v>
      </c>
      <c r="J15" s="26">
        <f>股权价值增加表!J17</f>
        <v>16736856268.190777</v>
      </c>
      <c r="K15" s="26">
        <f>股权价值增加表!K17</f>
        <v>12517741132.533356</v>
      </c>
      <c r="L15" s="26">
        <f>股权价值增加表!L17</f>
        <v>8860710403.007576</v>
      </c>
      <c r="M15" s="26">
        <f>股权价值增加表!M17</f>
        <v>4974506066.2872</v>
      </c>
      <c r="N15" s="26">
        <f>股权价值增加表!N17</f>
        <v>15686115598.435617</v>
      </c>
      <c r="O15" s="26">
        <f>股权价值增加表!O17</f>
        <v>11545123600.416145</v>
      </c>
      <c r="P15" s="26">
        <f>股权价值增加表!P17</f>
        <v>7965069932.5876713</v>
      </c>
      <c r="Q15" s="26">
        <f>股权价值增加表!Q17</f>
        <v>4417846663.1033487</v>
      </c>
      <c r="R15" s="26">
        <f>股权价值增加表!R17</f>
        <v>15592229550.398281</v>
      </c>
      <c r="S15" s="26">
        <f>股权价值增加表!S17</f>
        <v>10891196920.650229</v>
      </c>
      <c r="T15" s="26">
        <f>股权价值增加表!T17</f>
        <v>7357086282.0197487</v>
      </c>
      <c r="U15" s="26">
        <f>股权价值增加表!U17</f>
        <v>3817708355.8481092</v>
      </c>
      <c r="V15" s="26">
        <f>股权价值增加表!V17</f>
        <v>15530429941.193651</v>
      </c>
      <c r="W15" s="26">
        <f>股权价值增加表!W17</f>
        <v>11352927207.672548</v>
      </c>
      <c r="X15" s="26">
        <f>股权价值增加表!X17</f>
        <v>7429540783.5980339</v>
      </c>
      <c r="Y15" s="26">
        <f>股权价值增加表!Y17</f>
        <v>3688329829.7353325</v>
      </c>
      <c r="Z15" s="26">
        <f>股权价值增加表!Z17</f>
        <v>13690774960.379147</v>
      </c>
      <c r="AA15" s="26">
        <f>股权价值增加表!AA17</f>
        <v>10712573284.959608</v>
      </c>
      <c r="AB15" s="26">
        <f>股权价值增加表!AB17</f>
        <v>7206234643.9572573</v>
      </c>
      <c r="AC15" s="26">
        <f>股权价值增加表!AC17</f>
        <v>3055848532.6007786</v>
      </c>
      <c r="AD15" s="26">
        <f>股权价值增加表!AD17</f>
        <v>8984742215.4134827</v>
      </c>
      <c r="AE15" s="26">
        <f>股权价值增加表!AE17</f>
        <v>6765576693.4265585</v>
      </c>
      <c r="AF15" s="26">
        <f>股权价值增加表!AF17</f>
        <v>5052224830.9686832</v>
      </c>
      <c r="AG15" s="26">
        <f>股权价值增加表!AG17</f>
        <v>1950819004.9115157</v>
      </c>
      <c r="AH15" s="26">
        <f>股权价值增加表!AH17</f>
        <v>5207769203.1045113</v>
      </c>
      <c r="AI15" s="26">
        <f>股权价值增加表!AI17</f>
        <v>4308075389.1502752</v>
      </c>
      <c r="AJ15" s="26">
        <f>股权价值增加表!AJ17</f>
        <v>3199715598.6384935</v>
      </c>
      <c r="AK15" s="26">
        <f>股权价值增加表!AK17</f>
        <v>1309702018.6234198</v>
      </c>
      <c r="AL15" s="26">
        <f>股权价值增加表!AL17</f>
        <v>4451921450.1984816</v>
      </c>
      <c r="AM15" s="26">
        <f>股权价值增加表!AM17</f>
        <v>3911231169.9370718</v>
      </c>
      <c r="AN15" s="26">
        <f>股权价值增加表!AN17</f>
        <v>2862464104.1784334</v>
      </c>
      <c r="AO15" s="26">
        <f>股权价值增加表!AO17</f>
        <v>1217631428.2498841</v>
      </c>
      <c r="AP15" s="26">
        <f>股权价值增加表!AP17</f>
        <v>3923628849.1004276</v>
      </c>
      <c r="AQ15" s="26">
        <f>股权价值增加表!AQ17</f>
        <v>3256778002.365612</v>
      </c>
      <c r="AR15" s="26">
        <f>股权价值增加表!AR17</f>
        <v>2316802869.4071455</v>
      </c>
      <c r="AS15" s="26">
        <f>股权价值增加表!AS17</f>
        <v>886969847.45644474</v>
      </c>
      <c r="AT15" s="26">
        <f>股权价值增加表!AT17</f>
        <v>2935514028.7851157</v>
      </c>
      <c r="AU15" s="26">
        <f>股权价值增加表!AU17</f>
        <v>1643253681.0858998</v>
      </c>
      <c r="AV15" s="26">
        <f>股权价值增加表!AV17</f>
        <v>871731164.99333429</v>
      </c>
      <c r="AW15" s="26">
        <f>股权价值增加表!AW17</f>
        <v>544259098.379511</v>
      </c>
      <c r="AX15" s="26">
        <f>股权价值增加表!AX17</f>
        <v>1555595302.6431525</v>
      </c>
      <c r="AY15" s="26">
        <f>股权价值增加表!AY17</f>
        <v>984347488.04984808</v>
      </c>
      <c r="AZ15" s="26">
        <f>股权价值增加表!AZ17</f>
        <v>629546720.8724339</v>
      </c>
      <c r="BA15" s="26">
        <f>股权价值增加表!BA17</f>
        <v>466534382.76905102</v>
      </c>
      <c r="BB15" s="26">
        <f>股权价值增加表!BB17</f>
        <v>1149168967.6063571</v>
      </c>
      <c r="BC15" s="26">
        <f>股权价值增加表!BC17</f>
        <v>725490326.89868951</v>
      </c>
      <c r="BD15" s="26">
        <f>股权价值增加表!BD17</f>
        <v>497270327.482131</v>
      </c>
      <c r="BE15" s="26">
        <f>股权价值增加表!BE17</f>
        <v>381489023.45721632</v>
      </c>
      <c r="BF15" s="26">
        <f>股权价值增加表!BF17</f>
        <v>839095033.9406172</v>
      </c>
      <c r="BG15" s="26">
        <f>股权价值增加表!BG17</f>
        <v>524289150.53143865</v>
      </c>
      <c r="BH15" s="26">
        <f>股权价值增加表!BH17</f>
        <v>357688897.7866267</v>
      </c>
      <c r="BI15" s="26">
        <f>股权价值增加表!BI17</f>
        <v>266767183.66351357</v>
      </c>
      <c r="BJ15" s="26">
        <f>股权价值增加表!BJ17</f>
        <v>597080913.97970891</v>
      </c>
      <c r="BK15" s="26">
        <f>股权价值增加表!BK17</f>
        <v>359846470.99387157</v>
      </c>
      <c r="BL15" s="26">
        <f>股权价值增加表!BL17</f>
        <v>257967956.47476113</v>
      </c>
      <c r="BM15" s="26">
        <f>股权价值增加表!BM17</f>
        <v>222333369.7577582</v>
      </c>
      <c r="BN15" s="26">
        <f>股权价值增加表!BN17</f>
        <v>378715561.24946892</v>
      </c>
      <c r="BO15" s="26">
        <f>股权价值增加表!BO17</f>
        <v>308296546.68218607</v>
      </c>
      <c r="BP15" s="26">
        <f>股权价值增加表!BP17</f>
        <v>238315335.98605028</v>
      </c>
      <c r="BQ15" s="26">
        <f>股权价值增加表!BQ17</f>
        <v>211338260.36413699</v>
      </c>
      <c r="BR15" s="26">
        <f>股权价值增加表!BR17</f>
        <v>337909081.88659883</v>
      </c>
      <c r="BS15" s="26">
        <f>股权价值增加表!BS17</f>
        <v>229927164.91021764</v>
      </c>
      <c r="BT15" s="26">
        <f>股权价值增加表!BT17</f>
        <v>260073853.45585519</v>
      </c>
      <c r="BU15" s="26">
        <f>股权价值增加表!BU17</f>
        <v>222185382.16190058</v>
      </c>
      <c r="BV15" s="26">
        <f>股权价值增加表!BV17</f>
        <v>173915342.50660002</v>
      </c>
      <c r="BW15" s="26" t="e">
        <f>股权价值增加表!BW17</f>
        <v>#DIV/0!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498</v>
      </c>
      <c r="E16" s="28">
        <f>E14/E15</f>
        <v>-0.14385104753733632</v>
      </c>
      <c r="F16" s="28">
        <f t="shared" ref="F16:BQ16" si="8">F14/F15</f>
        <v>7.3508284447233563E-2</v>
      </c>
      <c r="G16" s="28">
        <f t="shared" si="8"/>
        <v>7.2441603483052022E-2</v>
      </c>
      <c r="H16" s="28">
        <f t="shared" si="8"/>
        <v>4.0490624712224081E-2</v>
      </c>
      <c r="I16" s="28">
        <f t="shared" si="8"/>
        <v>-4.6584923847807588E-2</v>
      </c>
      <c r="J16" s="28">
        <f t="shared" si="8"/>
        <v>0.11947128367113295</v>
      </c>
      <c r="K16" s="28">
        <f t="shared" si="8"/>
        <v>0.15415284289310718</v>
      </c>
      <c r="L16" s="28">
        <f t="shared" si="8"/>
        <v>0.14856510271266504</v>
      </c>
      <c r="M16" s="28">
        <f t="shared" si="8"/>
        <v>6.4154919287935333E-2</v>
      </c>
      <c r="N16" s="28">
        <f t="shared" si="8"/>
        <v>8.5347740558122401E-2</v>
      </c>
      <c r="O16" s="28">
        <f t="shared" si="8"/>
        <v>0.13062674424253373</v>
      </c>
      <c r="P16" s="28">
        <f t="shared" si="8"/>
        <v>7.0775468317433379E-2</v>
      </c>
      <c r="Q16" s="28">
        <f t="shared" si="8"/>
        <v>-3.1655613416370042E-2</v>
      </c>
      <c r="R16" s="28">
        <f t="shared" si="8"/>
        <v>0.12903627791951069</v>
      </c>
      <c r="S16" s="28">
        <f t="shared" si="8"/>
        <v>0.16225666140324418</v>
      </c>
      <c r="T16" s="28">
        <f t="shared" si="8"/>
        <v>0.13212476658533101</v>
      </c>
      <c r="U16" s="28">
        <f t="shared" si="8"/>
        <v>-1.2499875145491238E-2</v>
      </c>
      <c r="V16" s="28">
        <f t="shared" si="8"/>
        <v>0.1132546166390815</v>
      </c>
      <c r="W16" s="28">
        <f t="shared" si="8"/>
        <v>0.1324648769247509</v>
      </c>
      <c r="X16" s="28">
        <f t="shared" si="8"/>
        <v>0.12502000224301532</v>
      </c>
      <c r="Y16" s="28">
        <f t="shared" si="8"/>
        <v>-0.17163320221158901</v>
      </c>
      <c r="Z16" s="28">
        <f t="shared" si="8"/>
        <v>0.2278949710253359</v>
      </c>
      <c r="AA16" s="28">
        <f t="shared" si="8"/>
        <v>0.21155840982034835</v>
      </c>
      <c r="AB16" s="28">
        <f t="shared" si="8"/>
        <v>0.20906839625647583</v>
      </c>
      <c r="AC16" s="28">
        <f t="shared" si="8"/>
        <v>-4.112151656386321E-2</v>
      </c>
      <c r="AD16" s="28">
        <f t="shared" si="8"/>
        <v>0.17166638909060997</v>
      </c>
      <c r="AE16" s="28">
        <f t="shared" si="8"/>
        <v>0.21202999697775457</v>
      </c>
      <c r="AF16" s="28">
        <f t="shared" si="8"/>
        <v>0.1750008150053923</v>
      </c>
      <c r="AG16" s="28">
        <f t="shared" si="8"/>
        <v>-0.11458752759594897</v>
      </c>
      <c r="AH16" s="28">
        <f t="shared" si="8"/>
        <v>0.34323032721850227</v>
      </c>
      <c r="AI16" s="28">
        <f t="shared" si="8"/>
        <v>0.39881658461851671</v>
      </c>
      <c r="AJ16" s="28">
        <f t="shared" si="8"/>
        <v>0.35071957024790174</v>
      </c>
      <c r="AK16" s="28">
        <f t="shared" si="8"/>
        <v>2.3264558538304409E-2</v>
      </c>
      <c r="AL16" s="28">
        <f t="shared" si="8"/>
        <v>0.4556680424088701</v>
      </c>
      <c r="AM16" s="28">
        <f t="shared" si="8"/>
        <v>0.41320055137932488</v>
      </c>
      <c r="AN16" s="28">
        <f t="shared" si="8"/>
        <v>0.32960416932487324</v>
      </c>
      <c r="AO16" s="28">
        <f t="shared" si="8"/>
        <v>0.31068306087806169</v>
      </c>
      <c r="AP16" s="28">
        <f t="shared" si="8"/>
        <v>0.13163760330909421</v>
      </c>
      <c r="AQ16" s="28">
        <f t="shared" si="8"/>
        <v>0.11705396661457911</v>
      </c>
      <c r="AR16" s="28">
        <f t="shared" si="8"/>
        <v>1.763037483221533E-3</v>
      </c>
      <c r="AS16" s="28">
        <f t="shared" si="8"/>
        <v>-0.32268120560214925</v>
      </c>
      <c r="AT16" s="28">
        <f t="shared" si="8"/>
        <v>0.36037261992844605</v>
      </c>
      <c r="AU16" s="28">
        <f t="shared" si="8"/>
        <v>0.46849740670671053</v>
      </c>
      <c r="AV16" s="28">
        <f t="shared" si="8"/>
        <v>0.33910476188178995</v>
      </c>
      <c r="AW16" s="28">
        <f t="shared" si="8"/>
        <v>-5.6129695012830383E-2</v>
      </c>
      <c r="AX16" s="28">
        <f t="shared" si="8"/>
        <v>0.54445852280532925</v>
      </c>
      <c r="AY16" s="28">
        <f t="shared" si="8"/>
        <v>0.49295609255969075</v>
      </c>
      <c r="AZ16" s="28">
        <f t="shared" si="8"/>
        <v>0.31659198185290272</v>
      </c>
      <c r="BA16" s="28">
        <f t="shared" si="8"/>
        <v>-0.17172016044026192</v>
      </c>
      <c r="BB16" s="28">
        <f t="shared" si="8"/>
        <v>0.21191903676903012</v>
      </c>
      <c r="BC16" s="28">
        <f t="shared" si="8"/>
        <v>-0.22794335222486442</v>
      </c>
      <c r="BD16" s="28">
        <f t="shared" si="8"/>
        <v>-0.31648630280610357</v>
      </c>
      <c r="BE16" s="28">
        <f t="shared" si="8"/>
        <v>-0.61219524342668796</v>
      </c>
      <c r="BF16" s="28">
        <f t="shared" si="8"/>
        <v>0.72061892411675554</v>
      </c>
      <c r="BG16" s="28">
        <f t="shared" si="8"/>
        <v>0.64363929289390254</v>
      </c>
      <c r="BH16" s="28">
        <f t="shared" si="8"/>
        <v>0.21458161725160949</v>
      </c>
      <c r="BI16" s="28">
        <f t="shared" si="8"/>
        <v>0.21272787117466457</v>
      </c>
      <c r="BJ16" s="28">
        <f t="shared" si="8"/>
        <v>0.48933146231823627</v>
      </c>
      <c r="BK16" s="28">
        <f t="shared" si="8"/>
        <v>1.2692176646016859</v>
      </c>
      <c r="BL16" s="28">
        <f t="shared" si="8"/>
        <v>0.60849875118252461</v>
      </c>
      <c r="BM16" s="28">
        <f t="shared" si="8"/>
        <v>-2.6407257652762344E-2</v>
      </c>
      <c r="BN16" s="28">
        <f t="shared" si="8"/>
        <v>1.8235100109210747</v>
      </c>
      <c r="BO16" s="28">
        <f t="shared" si="8"/>
        <v>1.0333923461959063</v>
      </c>
      <c r="BP16" s="28">
        <f t="shared" si="8"/>
        <v>3.7227399849413434</v>
      </c>
      <c r="BQ16" s="28">
        <f t="shared" si="8"/>
        <v>0.94741010286075478</v>
      </c>
      <c r="BR16" s="28">
        <f t="shared" ref="BR16:CL16" si="9">BR14/BR15</f>
        <v>2.0069094582890967</v>
      </c>
      <c r="BS16" s="28">
        <f t="shared" si="9"/>
        <v>0.5727565793777496</v>
      </c>
      <c r="BT16" s="28">
        <f t="shared" si="9"/>
        <v>0.95139555434779288</v>
      </c>
      <c r="BU16" s="28">
        <f t="shared" si="9"/>
        <v>0.19384955468679593</v>
      </c>
      <c r="BV16" s="28">
        <f t="shared" si="9"/>
        <v>-0.89090113130254744</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499</v>
      </c>
      <c r="E17" s="26">
        <f>股权价值增加表!E42</f>
        <v>8222178983.8299999</v>
      </c>
      <c r="F17" s="26">
        <f>股权价值增加表!F42</f>
        <v>26300626236.230011</v>
      </c>
      <c r="G17" s="26">
        <f>股权价值增加表!G42</f>
        <v>19436117917.600006</v>
      </c>
      <c r="H17" s="26">
        <f>股权价值增加表!H42</f>
        <v>10813093032.529999</v>
      </c>
      <c r="I17" s="26">
        <f>股权价值增加表!I42</f>
        <v>5972930473.5600004</v>
      </c>
      <c r="J17" s="26">
        <f>股权价值增加表!J42</f>
        <v>16762576567.959999</v>
      </c>
      <c r="K17" s="26">
        <f>股权价值增加表!K42</f>
        <v>12521016729.060001</v>
      </c>
      <c r="L17" s="26">
        <f>股权价值增加表!L42</f>
        <v>8871216325.8100014</v>
      </c>
      <c r="M17" s="26">
        <f>股权价值增加表!M42</f>
        <v>4979181640.2499981</v>
      </c>
      <c r="N17" s="26">
        <f>股权价值增加表!N42</f>
        <v>15729528065.549999</v>
      </c>
      <c r="O17" s="26">
        <f>股权价值增加表!O42</f>
        <v>11577860805.09</v>
      </c>
      <c r="P17" s="26">
        <f>股权价值增加表!P42</f>
        <v>7971034609.000001</v>
      </c>
      <c r="Q17" s="26">
        <f>股权价值增加表!Q42</f>
        <v>4415239050.4899998</v>
      </c>
      <c r="R17" s="26">
        <f>股权价值增加表!R42</f>
        <v>15684761095.559998</v>
      </c>
      <c r="S17" s="26">
        <f>股权价值增加表!S42</f>
        <v>10964537738.960001</v>
      </c>
      <c r="T17" s="26">
        <f>股权价值增加表!T42</f>
        <v>7399365652.6099987</v>
      </c>
      <c r="U17" s="26">
        <f>股权价值增加表!U42</f>
        <v>3835518984.5299997</v>
      </c>
      <c r="V17" s="26">
        <f>股权价值增加表!V42</f>
        <v>15851703006.440001</v>
      </c>
      <c r="W17" s="26">
        <f>股权价值增加表!W42</f>
        <v>11610806987.350002</v>
      </c>
      <c r="X17" s="26">
        <f>股权价值增加表!X42</f>
        <v>7611476819.7399988</v>
      </c>
      <c r="Y17" s="26">
        <f>股权价值增加表!Y42</f>
        <v>3772760052.9199986</v>
      </c>
      <c r="Z17" s="26">
        <f>股权价值增加表!Z42</f>
        <v>14008450702.170004</v>
      </c>
      <c r="AA17" s="26">
        <f>股权价值增加表!AA42</f>
        <v>10937979773.700001</v>
      </c>
      <c r="AB17" s="26">
        <f>股权价值增加表!AB42</f>
        <v>7348939538.5500021</v>
      </c>
      <c r="AC17" s="26">
        <f>股权价值增加表!AC42</f>
        <v>3128023492.2599998</v>
      </c>
      <c r="AD17" s="26">
        <f>股权价值增加表!AD42</f>
        <v>9250323807.6200008</v>
      </c>
      <c r="AE17" s="26">
        <f>股权价值增加表!AE42</f>
        <v>6930714312.6100006</v>
      </c>
      <c r="AF17" s="26">
        <f>股权价值增加表!AF42</f>
        <v>5166306192.5299997</v>
      </c>
      <c r="AG17" s="26">
        <f>股权价值增加表!AG42</f>
        <v>1991007144.8600001</v>
      </c>
      <c r="AH17" s="26">
        <f>股权价值增加表!AH42</f>
        <v>5339761496.9699993</v>
      </c>
      <c r="AI17" s="26">
        <f>股权价值增加表!AI42</f>
        <v>4411104477.8300009</v>
      </c>
      <c r="AJ17" s="26">
        <f>股权价值增加表!AJ42</f>
        <v>3274562600.0699997</v>
      </c>
      <c r="AK17" s="26">
        <f>股权价值增加表!AK42</f>
        <v>1344382797.8099995</v>
      </c>
      <c r="AL17" s="26">
        <f>股权价值增加表!AL42</f>
        <v>4552888943.999999</v>
      </c>
      <c r="AM17" s="26">
        <f>股权价值增加表!AM42</f>
        <v>3979795618.1999998</v>
      </c>
      <c r="AN17" s="26">
        <f>股权价值增加表!AN42</f>
        <v>2928842256.250001</v>
      </c>
      <c r="AO17" s="26">
        <f>股权价值增加表!AO42</f>
        <v>1278840567.8199997</v>
      </c>
      <c r="AP17" s="26">
        <f>股权价值增加表!AP42</f>
        <v>4000759343.1100006</v>
      </c>
      <c r="AQ17" s="26">
        <f>股权价值增加表!AQ42</f>
        <v>3304198780.9999995</v>
      </c>
      <c r="AR17" s="26">
        <f>股权价值增加表!AR42</f>
        <v>2351939273.6300011</v>
      </c>
      <c r="AS17" s="26">
        <f>股权价值增加表!AS42</f>
        <v>917048744.59000039</v>
      </c>
      <c r="AT17" s="26">
        <f>股权价值增加表!AT42</f>
        <v>2966052508.9499993</v>
      </c>
      <c r="AU17" s="26">
        <f>股权价值增加表!AU42</f>
        <v>1669221956.1800003</v>
      </c>
      <c r="AV17" s="26">
        <f>股权价值增加表!AV42</f>
        <v>893948241.41000009</v>
      </c>
      <c r="AW17" s="26">
        <f>股权价值增加表!AW42</f>
        <v>561440706.10000014</v>
      </c>
      <c r="AX17" s="26">
        <f>股权价值增加表!AX42</f>
        <v>1573485812.1000001</v>
      </c>
      <c r="AY17" s="26">
        <f>股权价值增加表!AY42</f>
        <v>993614580.42000008</v>
      </c>
      <c r="AZ17" s="26">
        <f>股权价值增加表!AZ42</f>
        <v>634009995.50999987</v>
      </c>
      <c r="BA17" s="26">
        <f>股权价值增加表!BA42</f>
        <v>468498539.01000005</v>
      </c>
      <c r="BB17" s="26">
        <f>股权价值增加表!BB42</f>
        <v>1169073160.7500005</v>
      </c>
      <c r="BC17" s="26">
        <f>股权价值增加表!BC42</f>
        <v>734586763.86000001</v>
      </c>
      <c r="BD17" s="26">
        <f>股权价值增加表!BD42</f>
        <v>502671627.85000002</v>
      </c>
      <c r="BE17" s="26">
        <f>股权价值增加表!BE42</f>
        <v>383940192.03999984</v>
      </c>
      <c r="BF17" s="26">
        <f>股权价值增加表!BF42</f>
        <v>854170293.04000032</v>
      </c>
      <c r="BG17" s="26">
        <f>股权价值增加表!BG42</f>
        <v>537992536.05000007</v>
      </c>
      <c r="BH17" s="26">
        <f>股权价值增加表!BH42</f>
        <v>364052715.39999998</v>
      </c>
      <c r="BI17" s="26">
        <f>股权价值增加表!BI42</f>
        <v>271330791.21000004</v>
      </c>
      <c r="BJ17" s="26">
        <f>股权价值增加表!BJ42</f>
        <v>607068089.12999964</v>
      </c>
      <c r="BK17" s="26">
        <f>股权价值增加表!BK42</f>
        <v>367421973.21999985</v>
      </c>
      <c r="BL17" s="26">
        <f>股权价值增加表!BL42</f>
        <v>260751258.37000003</v>
      </c>
      <c r="BM17" s="26">
        <f>股权价值增加表!BM42</f>
        <v>223788291.70999998</v>
      </c>
      <c r="BN17" s="26">
        <f>股权价值增加表!BN42</f>
        <v>389236355.33000016</v>
      </c>
      <c r="BO17" s="26">
        <f>股权价值增加表!BO42</f>
        <v>317512273.94</v>
      </c>
      <c r="BP17" s="26">
        <f>股权价值增加表!BP42</f>
        <v>245607697.97999993</v>
      </c>
      <c r="BQ17" s="26">
        <f>股权价值增加表!BQ42</f>
        <v>213019772.62999991</v>
      </c>
      <c r="BR17" s="26">
        <f>股权价值增加表!BR42</f>
        <v>341141393.10999966</v>
      </c>
      <c r="BS17" s="26">
        <f>股权价值增加表!BS42</f>
        <v>229104288.61000001</v>
      </c>
      <c r="BT17" s="26">
        <f>股权价值增加表!BT42</f>
        <v>256234280.7299999</v>
      </c>
      <c r="BU17" s="26">
        <f>股权价值增加表!BU42</f>
        <v>215310984.77999994</v>
      </c>
      <c r="BV17" s="26">
        <f>股权价值增加表!BV42</f>
        <v>145858523.61000001</v>
      </c>
      <c r="BW17" s="26">
        <f>股权价值增加表!BW42</f>
        <v>0</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500</v>
      </c>
      <c r="E18" s="28">
        <f>E14/E17</f>
        <v>-0.14381300998135121</v>
      </c>
      <c r="F18" s="28">
        <f t="shared" ref="F18:BQ18" si="10">F14/F17</f>
        <v>7.3386786940882645E-2</v>
      </c>
      <c r="G18" s="28">
        <f t="shared" si="10"/>
        <v>7.2323578715639741E-2</v>
      </c>
      <c r="H18" s="28">
        <f t="shared" si="10"/>
        <v>4.0378981897822554E-2</v>
      </c>
      <c r="I18" s="28">
        <f t="shared" si="10"/>
        <v>-4.6414109894161504E-2</v>
      </c>
      <c r="J18" s="28">
        <f t="shared" si="10"/>
        <v>0.11928796834264647</v>
      </c>
      <c r="K18" s="28">
        <f t="shared" si="10"/>
        <v>0.15411251529610132</v>
      </c>
      <c r="L18" s="28">
        <f t="shared" si="10"/>
        <v>0.14838916139380748</v>
      </c>
      <c r="M18" s="28">
        <f t="shared" si="10"/>
        <v>6.4094676241611553E-2</v>
      </c>
      <c r="N18" s="28">
        <f t="shared" si="10"/>
        <v>8.5112186384797839E-2</v>
      </c>
      <c r="O18" s="28">
        <f t="shared" si="10"/>
        <v>0.1302573880605811</v>
      </c>
      <c r="P18" s="28">
        <f t="shared" si="10"/>
        <v>7.0722507467662649E-2</v>
      </c>
      <c r="Q18" s="28">
        <f t="shared" si="10"/>
        <v>-3.1674309023988087E-2</v>
      </c>
      <c r="R18" s="28">
        <f t="shared" si="10"/>
        <v>0.12827503418075917</v>
      </c>
      <c r="S18" s="28">
        <f t="shared" si="10"/>
        <v>0.16117134101794045</v>
      </c>
      <c r="T18" s="28">
        <f t="shared" si="10"/>
        <v>0.13136981646759474</v>
      </c>
      <c r="U18" s="28">
        <f t="shared" si="10"/>
        <v>-1.2441830683794064E-2</v>
      </c>
      <c r="V18" s="28">
        <f t="shared" si="10"/>
        <v>0.11095923816610886</v>
      </c>
      <c r="W18" s="28">
        <f t="shared" si="10"/>
        <v>0.12952278915138826</v>
      </c>
      <c r="X18" s="28">
        <f t="shared" si="10"/>
        <v>0.12203166710316912</v>
      </c>
      <c r="Y18" s="28">
        <f t="shared" si="10"/>
        <v>-0.16779223979538452</v>
      </c>
      <c r="Z18" s="28">
        <f t="shared" si="10"/>
        <v>0.22272689744531718</v>
      </c>
      <c r="AA18" s="28">
        <f t="shared" si="10"/>
        <v>0.20719867984207879</v>
      </c>
      <c r="AB18" s="28">
        <f t="shared" si="10"/>
        <v>0.20500861548212737</v>
      </c>
      <c r="AC18" s="28">
        <f t="shared" si="10"/>
        <v>-4.0172692552001815E-2</v>
      </c>
      <c r="AD18" s="28">
        <f t="shared" si="10"/>
        <v>0.16673775806198893</v>
      </c>
      <c r="AE18" s="28">
        <f t="shared" si="10"/>
        <v>0.20697797386483058</v>
      </c>
      <c r="AF18" s="28">
        <f t="shared" si="10"/>
        <v>0.17113648128103393</v>
      </c>
      <c r="AG18" s="28">
        <f t="shared" si="10"/>
        <v>-0.11227459787730618</v>
      </c>
      <c r="AH18" s="28">
        <f t="shared" si="10"/>
        <v>0.33474609843047876</v>
      </c>
      <c r="AI18" s="28">
        <f t="shared" si="10"/>
        <v>0.38950152317072706</v>
      </c>
      <c r="AJ18" s="28">
        <f t="shared" si="10"/>
        <v>0.34270313832021748</v>
      </c>
      <c r="AK18" s="28">
        <f t="shared" si="10"/>
        <v>2.2664407287593284E-2</v>
      </c>
      <c r="AL18" s="28">
        <f t="shared" si="10"/>
        <v>0.44556288482357509</v>
      </c>
      <c r="AM18" s="28">
        <f t="shared" si="10"/>
        <v>0.40608187732036033</v>
      </c>
      <c r="AN18" s="28">
        <f t="shared" si="10"/>
        <v>0.32213414746617414</v>
      </c>
      <c r="AO18" s="28">
        <f t="shared" si="10"/>
        <v>0.29581283912104234</v>
      </c>
      <c r="AP18" s="28">
        <f t="shared" si="10"/>
        <v>0.12909976673790624</v>
      </c>
      <c r="AQ18" s="28">
        <f t="shared" si="10"/>
        <v>0.11537404642605249</v>
      </c>
      <c r="AR18" s="28">
        <f t="shared" si="10"/>
        <v>1.7366988790045506E-3</v>
      </c>
      <c r="AS18" s="28">
        <f t="shared" si="10"/>
        <v>-0.31209736821346368</v>
      </c>
      <c r="AT18" s="28">
        <f t="shared" si="10"/>
        <v>0.35666222300443884</v>
      </c>
      <c r="AU18" s="28">
        <f t="shared" si="10"/>
        <v>0.46120893947010977</v>
      </c>
      <c r="AV18" s="28">
        <f t="shared" si="10"/>
        <v>0.33067707439498434</v>
      </c>
      <c r="AW18" s="28">
        <f t="shared" si="10"/>
        <v>-5.4411974173028337E-2</v>
      </c>
      <c r="AX18" s="28">
        <f t="shared" si="10"/>
        <v>0.53826803778398036</v>
      </c>
      <c r="AY18" s="28">
        <f t="shared" si="10"/>
        <v>0.48835846513533387</v>
      </c>
      <c r="AZ18" s="28">
        <f t="shared" si="10"/>
        <v>0.31436325206462207</v>
      </c>
      <c r="BA18" s="28">
        <f t="shared" si="10"/>
        <v>-0.17100023242183471</v>
      </c>
      <c r="BB18" s="28">
        <f t="shared" si="10"/>
        <v>0.20831098418491334</v>
      </c>
      <c r="BC18" s="28">
        <f t="shared" si="10"/>
        <v>-0.22512071446949852</v>
      </c>
      <c r="BD18" s="28">
        <f t="shared" si="10"/>
        <v>-0.31308559847137984</v>
      </c>
      <c r="BE18" s="28">
        <f t="shared" si="10"/>
        <v>-0.60828683847631304</v>
      </c>
      <c r="BF18" s="28">
        <f t="shared" si="10"/>
        <v>0.70790071431538748</v>
      </c>
      <c r="BG18" s="28">
        <f t="shared" si="10"/>
        <v>0.62724494394962704</v>
      </c>
      <c r="BH18" s="28">
        <f t="shared" si="10"/>
        <v>0.21083062675598435</v>
      </c>
      <c r="BI18" s="28">
        <f t="shared" si="10"/>
        <v>0.20914992665199766</v>
      </c>
      <c r="BJ18" s="28">
        <f t="shared" si="10"/>
        <v>0.48128123021375546</v>
      </c>
      <c r="BK18" s="28">
        <f t="shared" si="10"/>
        <v>1.2430489486716936</v>
      </c>
      <c r="BL18" s="28">
        <f t="shared" si="10"/>
        <v>0.60200353525143369</v>
      </c>
      <c r="BM18" s="28">
        <f t="shared" si="10"/>
        <v>-2.6235575307077805E-2</v>
      </c>
      <c r="BN18" s="28">
        <f t="shared" si="10"/>
        <v>1.7742217749534381</v>
      </c>
      <c r="BO18" s="28">
        <f t="shared" si="10"/>
        <v>1.0033983497601857</v>
      </c>
      <c r="BP18" s="28">
        <f t="shared" si="10"/>
        <v>3.6122077508020305</v>
      </c>
      <c r="BQ18" s="28">
        <f t="shared" si="10"/>
        <v>0.93993154024145342</v>
      </c>
      <c r="BR18" s="28">
        <f t="shared" ref="BR18:CK18" si="11">BR14/BR17</f>
        <v>1.9878940116227184</v>
      </c>
      <c r="BS18" s="28">
        <f t="shared" si="11"/>
        <v>0.57481375525089962</v>
      </c>
      <c r="BT18" s="28">
        <f t="shared" si="11"/>
        <v>0.96565185296469402</v>
      </c>
      <c r="BU18" s="28">
        <f t="shared" si="11"/>
        <v>0.20003873668595468</v>
      </c>
      <c r="BV18" s="28">
        <f t="shared" si="11"/>
        <v>-1.0622716558155074</v>
      </c>
      <c r="BW18" s="28" t="e">
        <f t="shared" si="11"/>
        <v>#DIV/0!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501</v>
      </c>
      <c r="E19" s="26">
        <f>现金流量表!E48</f>
        <v>0</v>
      </c>
      <c r="F19" s="26">
        <f>现金流量表!F48</f>
        <v>84893677.329999998</v>
      </c>
      <c r="G19" s="26">
        <f>现金流量表!G48</f>
        <v>0</v>
      </c>
      <c r="H19" s="26">
        <f>现金流量表!H48</f>
        <v>-9017574.5099999998</v>
      </c>
      <c r="I19" s="26">
        <f>现金流量表!I48</f>
        <v>0</v>
      </c>
      <c r="J19" s="26">
        <f>现金流量表!J48</f>
        <v>186234579.59</v>
      </c>
      <c r="K19" s="26">
        <f>现金流量表!K48</f>
        <v>0</v>
      </c>
      <c r="L19" s="26">
        <f>现金流量表!L48</f>
        <v>75046732.370000005</v>
      </c>
      <c r="M19" s="26">
        <f>现金流量表!M48</f>
        <v>0</v>
      </c>
      <c r="N19" s="26">
        <f>现金流量表!N48</f>
        <v>243482658.03</v>
      </c>
      <c r="O19" s="26">
        <f>现金流量表!O48</f>
        <v>0</v>
      </c>
      <c r="P19" s="26">
        <f>现金流量表!P48</f>
        <v>14682542.59</v>
      </c>
      <c r="Q19" s="26">
        <f>现金流量表!Q48</f>
        <v>0</v>
      </c>
      <c r="R19" s="26">
        <f>现金流量表!R48</f>
        <v>124041702.59</v>
      </c>
      <c r="S19" s="26">
        <f>现金流量表!S48</f>
        <v>0</v>
      </c>
      <c r="T19" s="26">
        <f>现金流量表!T48</f>
        <v>-57587392.090000004</v>
      </c>
      <c r="U19" s="26">
        <f>现金流量表!U48</f>
        <v>0</v>
      </c>
      <c r="V19" s="26">
        <f>现金流量表!V48</f>
        <v>96208556.939999998</v>
      </c>
      <c r="W19" s="26">
        <f>现金流量表!W48</f>
        <v>0</v>
      </c>
      <c r="X19" s="26">
        <f>现金流量表!X48</f>
        <v>-18826371.219999999</v>
      </c>
      <c r="Y19" s="26">
        <f>现金流量表!Y48</f>
        <v>0</v>
      </c>
      <c r="Z19" s="26">
        <f>现金流量表!Z48</f>
        <v>53030020.170000002</v>
      </c>
      <c r="AA19" s="26">
        <f>现金流量表!AA48</f>
        <v>0</v>
      </c>
      <c r="AB19" s="26">
        <f>现金流量表!AB48</f>
        <v>14104676.15</v>
      </c>
      <c r="AC19" s="26">
        <f>现金流量表!AC48</f>
        <v>0</v>
      </c>
      <c r="AD19" s="26">
        <f>现金流量表!AD48</f>
        <v>93266157.510000005</v>
      </c>
      <c r="AE19" s="26">
        <f>现金流量表!AE48</f>
        <v>0</v>
      </c>
      <c r="AF19" s="26">
        <f>现金流量表!AF48</f>
        <v>-8577014.7400000002</v>
      </c>
      <c r="AG19" s="26">
        <f>现金流量表!AG48</f>
        <v>0</v>
      </c>
      <c r="AH19" s="26">
        <f>现金流量表!AH48</f>
        <v>181911146.94999999</v>
      </c>
      <c r="AI19" s="26">
        <f>现金流量表!AI48</f>
        <v>0</v>
      </c>
      <c r="AJ19" s="26">
        <f>现金流量表!AJ48</f>
        <v>7482781.3399999999</v>
      </c>
      <c r="AK19" s="26">
        <f>现金流量表!AK48</f>
        <v>0</v>
      </c>
      <c r="AL19" s="26">
        <f>现金流量表!AL48</f>
        <v>114686083.62</v>
      </c>
      <c r="AM19" s="26">
        <f>现金流量表!AM48</f>
        <v>0</v>
      </c>
      <c r="AN19" s="26">
        <f>现金流量表!AN48</f>
        <v>-30637066.32</v>
      </c>
      <c r="AO19" s="26">
        <f>现金流量表!AO48</f>
        <v>0</v>
      </c>
      <c r="AP19" s="26">
        <f>现金流量表!AP48</f>
        <v>115301326.72</v>
      </c>
      <c r="AQ19" s="26">
        <f>现金流量表!AQ48</f>
        <v>0</v>
      </c>
      <c r="AR19" s="26">
        <f>现金流量表!AR48</f>
        <v>36916701.020000003</v>
      </c>
      <c r="AS19" s="26">
        <f>现金流量表!AS48</f>
        <v>0</v>
      </c>
      <c r="AT19" s="26">
        <f>现金流量表!AT48</f>
        <v>43408183.109999999</v>
      </c>
      <c r="AU19" s="26">
        <f>现金流量表!AU48</f>
        <v>0</v>
      </c>
      <c r="AV19" s="26">
        <f>现金流量表!AV48</f>
        <v>-24190045.109999999</v>
      </c>
      <c r="AW19" s="26">
        <f>现金流量表!AW48</f>
        <v>0</v>
      </c>
      <c r="AX19" s="26">
        <f>现金流量表!AX48</f>
        <v>47471913.479999997</v>
      </c>
      <c r="AY19" s="26">
        <f>现金流量表!AY48</f>
        <v>-112846.14</v>
      </c>
      <c r="AZ19" s="26">
        <f>现金流量表!AZ48</f>
        <v>-247134.14</v>
      </c>
      <c r="BA19" s="26">
        <f>现金流量表!BA48</f>
        <v>219280.68</v>
      </c>
      <c r="BB19" s="26">
        <f>现金流量表!BB48</f>
        <v>54908546.030000001</v>
      </c>
      <c r="BC19" s="26">
        <f>现金流量表!BC48</f>
        <v>16293594.689999999</v>
      </c>
      <c r="BD19" s="26">
        <f>现金流量表!BD48</f>
        <v>22490615.210000001</v>
      </c>
      <c r="BE19" s="26">
        <f>现金流量表!BE48</f>
        <v>-95090</v>
      </c>
      <c r="BF19" s="26">
        <f>现金流量表!BF48</f>
        <v>-46257251.75</v>
      </c>
      <c r="BG19" s="26">
        <f>现金流量表!BG48</f>
        <v>-100043275.13</v>
      </c>
      <c r="BH19" s="26">
        <f>现金流量表!BH48</f>
        <v>-95843019.280000001</v>
      </c>
      <c r="BI19" s="26">
        <f>现金流量表!BI48</f>
        <v>-7199676.7400000002</v>
      </c>
      <c r="BJ19" s="26">
        <f>现金流量表!BJ48</f>
        <v>-295008216.08999997</v>
      </c>
      <c r="BK19" s="26">
        <f>现金流量表!BK48</f>
        <v>1480417.41</v>
      </c>
      <c r="BL19" s="26">
        <f>现金流量表!BL48</f>
        <v>4500</v>
      </c>
      <c r="BM19" s="26">
        <f>现金流量表!BM48</f>
        <v>0</v>
      </c>
      <c r="BN19" s="26">
        <f>现金流量表!BN48</f>
        <v>111140736.28</v>
      </c>
      <c r="BO19" s="26">
        <f>现金流量表!BO48</f>
        <v>14610852.029999999</v>
      </c>
      <c r="BP19" s="26">
        <f>现金流量表!BP48</f>
        <v>77915642.629999995</v>
      </c>
      <c r="BQ19" s="26">
        <f>现金流量表!BQ48</f>
        <v>376238.13</v>
      </c>
      <c r="BR19" s="26">
        <f>现金流量表!BR48</f>
        <v>78247504.189999998</v>
      </c>
      <c r="BS19" s="26">
        <f>现金流量表!BS48</f>
        <v>1139178.3799999999</v>
      </c>
      <c r="BT19" s="26">
        <f>现金流量表!BT48</f>
        <v>101429188.83</v>
      </c>
      <c r="BU19" s="26">
        <f>现金流量表!BU48</f>
        <v>-48896.84</v>
      </c>
      <c r="BV19" s="26">
        <f>现金流量表!BV48</f>
        <v>-976817.08</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502</v>
      </c>
      <c r="E20" s="26">
        <f>现金流量表!E49</f>
        <v>0</v>
      </c>
      <c r="F20" s="26">
        <f>现金流量表!F49</f>
        <v>216291451.30000001</v>
      </c>
      <c r="G20" s="26">
        <f>现金流量表!G49</f>
        <v>0</v>
      </c>
      <c r="H20" s="26">
        <f>现金流量表!H49</f>
        <v>108325102.36</v>
      </c>
      <c r="I20" s="26">
        <f>现金流量表!I49</f>
        <v>0</v>
      </c>
      <c r="J20" s="26">
        <f>现金流量表!J49</f>
        <v>203128375.74000001</v>
      </c>
      <c r="K20" s="26">
        <f>现金流量表!K49</f>
        <v>0</v>
      </c>
      <c r="L20" s="26">
        <f>现金流量表!L49</f>
        <v>96679162.939999998</v>
      </c>
      <c r="M20" s="26">
        <f>现金流量表!M49</f>
        <v>0</v>
      </c>
      <c r="N20" s="26">
        <f>现金流量表!N49</f>
        <v>222847806.49000001</v>
      </c>
      <c r="O20" s="26">
        <f>现金流量表!O49</f>
        <v>0</v>
      </c>
      <c r="P20" s="26">
        <f>现金流量表!P49</f>
        <v>119450542.08</v>
      </c>
      <c r="Q20" s="26">
        <f>现金流量表!Q49</f>
        <v>0</v>
      </c>
      <c r="R20" s="26">
        <f>现金流量表!R49</f>
        <v>206709237.77000001</v>
      </c>
      <c r="S20" s="26">
        <f>现金流量表!S49</f>
        <v>0</v>
      </c>
      <c r="T20" s="26">
        <f>现金流量表!T49</f>
        <v>100964149.67</v>
      </c>
      <c r="U20" s="26">
        <f>现金流量表!U49</f>
        <v>0</v>
      </c>
      <c r="V20" s="26">
        <f>现金流量表!V49</f>
        <v>190840526.88</v>
      </c>
      <c r="W20" s="26">
        <f>现金流量表!W49</f>
        <v>0</v>
      </c>
      <c r="X20" s="26">
        <f>现金流量表!X49</f>
        <v>94240872.510000005</v>
      </c>
      <c r="Y20" s="26">
        <f>现金流量表!Y49</f>
        <v>0</v>
      </c>
      <c r="Z20" s="26">
        <f>现金流量表!Z49</f>
        <v>211656428.75</v>
      </c>
      <c r="AA20" s="26">
        <f>现金流量表!AA49</f>
        <v>0</v>
      </c>
      <c r="AB20" s="26">
        <f>现金流量表!AB49</f>
        <v>75401710.290000007</v>
      </c>
      <c r="AC20" s="26">
        <f>现金流量表!AC49</f>
        <v>0</v>
      </c>
      <c r="AD20" s="26">
        <f>现金流量表!AD49</f>
        <v>179708807.44</v>
      </c>
      <c r="AE20" s="26">
        <f>现金流量表!AE49</f>
        <v>0</v>
      </c>
      <c r="AF20" s="26">
        <f>现金流量表!AF49</f>
        <v>93353490.260000005</v>
      </c>
      <c r="AG20" s="26">
        <f>现金流量表!AG49</f>
        <v>0</v>
      </c>
      <c r="AH20" s="26">
        <f>现金流量表!AH49</f>
        <v>183797295.69</v>
      </c>
      <c r="AI20" s="26">
        <f>现金流量表!AI49</f>
        <v>0</v>
      </c>
      <c r="AJ20" s="26">
        <f>现金流量表!AJ49</f>
        <v>96421944.840000004</v>
      </c>
      <c r="AK20" s="26">
        <f>现金流量表!AK49</f>
        <v>0</v>
      </c>
      <c r="AL20" s="26">
        <f>现金流量表!AL49</f>
        <v>173832101</v>
      </c>
      <c r="AM20" s="26">
        <f>现金流量表!AM49</f>
        <v>0</v>
      </c>
      <c r="AN20" s="26">
        <f>现金流量表!AN49</f>
        <v>74238264.670000002</v>
      </c>
      <c r="AO20" s="26">
        <f>现金流量表!AO49</f>
        <v>0</v>
      </c>
      <c r="AP20" s="26">
        <f>现金流量表!AP49</f>
        <v>149697083.86000001</v>
      </c>
      <c r="AQ20" s="26">
        <f>现金流量表!AQ49</f>
        <v>0</v>
      </c>
      <c r="AR20" s="26">
        <f>现金流量表!AR49</f>
        <v>76707133.730000004</v>
      </c>
      <c r="AS20" s="26">
        <f>现金流量表!AS49</f>
        <v>0</v>
      </c>
      <c r="AT20" s="26">
        <f>现金流量表!AT49</f>
        <v>149095466.41</v>
      </c>
      <c r="AU20" s="26">
        <f>现金流量表!AU49</f>
        <v>0</v>
      </c>
      <c r="AV20" s="26">
        <f>现金流量表!AV49</f>
        <v>70480885.659999996</v>
      </c>
      <c r="AW20" s="26">
        <f>现金流量表!AW49</f>
        <v>0</v>
      </c>
      <c r="AX20" s="26">
        <f>现金流量表!AX49</f>
        <v>135970339.59</v>
      </c>
      <c r="AY20" s="26">
        <f>现金流量表!AY49</f>
        <v>99638377.700000003</v>
      </c>
      <c r="AZ20" s="26">
        <f>现金流量表!AZ49</f>
        <v>66467900.159999996</v>
      </c>
      <c r="BA20" s="26">
        <f>现金流量表!BA49</f>
        <v>32543624.02</v>
      </c>
      <c r="BB20" s="26">
        <f>现金流量表!BB49</f>
        <v>127237559.11</v>
      </c>
      <c r="BC20" s="26">
        <f>现金流量表!BC49</f>
        <v>102527567.28</v>
      </c>
      <c r="BD20" s="26">
        <f>现金流量表!BD49</f>
        <v>60330594.689999998</v>
      </c>
      <c r="BE20" s="26">
        <f>现金流量表!BE49</f>
        <v>32978661.32</v>
      </c>
      <c r="BF20" s="26">
        <f>现金流量表!BF49</f>
        <v>126409348.19</v>
      </c>
      <c r="BG20" s="26">
        <f>现金流量表!BG49</f>
        <v>100643777.94</v>
      </c>
      <c r="BH20" s="26">
        <f>现金流量表!BH49</f>
        <v>67804503.920000002</v>
      </c>
      <c r="BI20" s="26">
        <f>现金流量表!BI49</f>
        <v>33559333.810000002</v>
      </c>
      <c r="BJ20" s="26">
        <f>现金流量表!BJ49</f>
        <v>109899974.7</v>
      </c>
      <c r="BK20" s="26">
        <f>现金流量表!BK49</f>
        <v>84496337.579999998</v>
      </c>
      <c r="BL20" s="26">
        <f>现金流量表!BL49</f>
        <v>52892178.280000001</v>
      </c>
      <c r="BM20" s="26">
        <f>现金流量表!BM49</f>
        <v>31403755.149999999</v>
      </c>
      <c r="BN20" s="26">
        <f>现金流量表!BN49</f>
        <v>107782040.09</v>
      </c>
      <c r="BO20" s="26">
        <f>现金流量表!BO49</f>
        <v>44246118.780000001</v>
      </c>
      <c r="BP20" s="26">
        <f>现金流量表!BP49</f>
        <v>88222126.709999993</v>
      </c>
      <c r="BQ20" s="26">
        <f>现金流量表!BQ49</f>
        <v>41275585.07</v>
      </c>
      <c r="BR20" s="26">
        <f>现金流量表!BR49</f>
        <v>95503651.379999995</v>
      </c>
      <c r="BS20" s="26">
        <f>现金流量表!BS49</f>
        <v>40994058.859999999</v>
      </c>
      <c r="BT20" s="26">
        <f>现金流量表!BT49</f>
        <v>89520764.239999995</v>
      </c>
      <c r="BU20" s="26">
        <f>现金流量表!BU49</f>
        <v>41116374.049999997</v>
      </c>
      <c r="BV20" s="26">
        <f>现金流量表!BV49</f>
        <v>26243609.890000001</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503</v>
      </c>
      <c r="E21" s="26">
        <f>现金流量表!E50</f>
        <v>0</v>
      </c>
      <c r="F21" s="26">
        <f>现金流量表!F50</f>
        <v>12100977.699999999</v>
      </c>
      <c r="G21" s="26">
        <f>现金流量表!G50</f>
        <v>0</v>
      </c>
      <c r="H21" s="26">
        <f>现金流量表!H50</f>
        <v>5621280.7300000004</v>
      </c>
      <c r="I21" s="26">
        <f>现金流量表!I50</f>
        <v>0</v>
      </c>
      <c r="J21" s="26">
        <f>现金流量表!J50</f>
        <v>11766445.74</v>
      </c>
      <c r="K21" s="26">
        <f>现金流量表!K50</f>
        <v>0</v>
      </c>
      <c r="L21" s="26">
        <f>现金流量表!L50</f>
        <v>7042826.4699999997</v>
      </c>
      <c r="M21" s="26">
        <f>现金流量表!M50</f>
        <v>0</v>
      </c>
      <c r="N21" s="26">
        <f>现金流量表!N50</f>
        <v>10836222.99</v>
      </c>
      <c r="O21" s="26">
        <f>现金流量表!O50</f>
        <v>0</v>
      </c>
      <c r="P21" s="26">
        <f>现金流量表!P50</f>
        <v>5389341.1500000004</v>
      </c>
      <c r="Q21" s="26">
        <f>现金流量表!Q50</f>
        <v>0</v>
      </c>
      <c r="R21" s="26">
        <f>现金流量表!R50</f>
        <v>29509235.420000002</v>
      </c>
      <c r="S21" s="26">
        <f>现金流量表!S50</f>
        <v>0</v>
      </c>
      <c r="T21" s="26">
        <f>现金流量表!T50</f>
        <v>5904966.6299999999</v>
      </c>
      <c r="U21" s="26">
        <f>现金流量表!U50</f>
        <v>0</v>
      </c>
      <c r="V21" s="26">
        <f>现金流量表!V50</f>
        <v>18250433.190000001</v>
      </c>
      <c r="W21" s="26">
        <f>现金流量表!W50</f>
        <v>0</v>
      </c>
      <c r="X21" s="26">
        <f>现金流量表!X50</f>
        <v>7194405.1900000004</v>
      </c>
      <c r="Y21" s="26">
        <f>现金流量表!Y50</f>
        <v>0</v>
      </c>
      <c r="Z21" s="26">
        <f>现金流量表!Z50</f>
        <v>11104598.15</v>
      </c>
      <c r="AA21" s="26">
        <f>现金流量表!AA50</f>
        <v>0</v>
      </c>
      <c r="AB21" s="26">
        <f>现金流量表!AB50</f>
        <v>3637111.92</v>
      </c>
      <c r="AC21" s="26">
        <f>现金流量表!AC50</f>
        <v>0</v>
      </c>
      <c r="AD21" s="26">
        <f>现金流量表!AD50</f>
        <v>11362406.59</v>
      </c>
      <c r="AE21" s="26">
        <f>现金流量表!AE50</f>
        <v>0</v>
      </c>
      <c r="AF21" s="26">
        <f>现金流量表!AF50</f>
        <v>5885056.0300000003</v>
      </c>
      <c r="AG21" s="26">
        <f>现金流量表!AG50</f>
        <v>0</v>
      </c>
      <c r="AH21" s="26">
        <f>现金流量表!AH50</f>
        <v>13455764.949999999</v>
      </c>
      <c r="AI21" s="26">
        <f>现金流量表!AI50</f>
        <v>0</v>
      </c>
      <c r="AJ21" s="26">
        <f>现金流量表!AJ50</f>
        <v>7770726.2400000002</v>
      </c>
      <c r="AK21" s="26">
        <f>现金流量表!AK50</f>
        <v>0</v>
      </c>
      <c r="AL21" s="26">
        <f>现金流量表!AL50</f>
        <v>10476796.07</v>
      </c>
      <c r="AM21" s="26">
        <f>现金流量表!AM50</f>
        <v>0</v>
      </c>
      <c r="AN21" s="26">
        <f>现金流量表!AN50</f>
        <v>3985898.22</v>
      </c>
      <c r="AO21" s="26">
        <f>现金流量表!AO50</f>
        <v>0</v>
      </c>
      <c r="AP21" s="26">
        <f>现金流量表!AP50</f>
        <v>8281692.7300000004</v>
      </c>
      <c r="AQ21" s="26">
        <f>现金流量表!AQ50</f>
        <v>0</v>
      </c>
      <c r="AR21" s="26">
        <f>现金流量表!AR50</f>
        <v>4287664.18</v>
      </c>
      <c r="AS21" s="26">
        <f>现金流量表!AS50</f>
        <v>0</v>
      </c>
      <c r="AT21" s="26">
        <f>现金流量表!AT50</f>
        <v>9182599.4299999997</v>
      </c>
      <c r="AU21" s="26">
        <f>现金流量表!AU50</f>
        <v>0</v>
      </c>
      <c r="AV21" s="26">
        <f>现金流量表!AV50</f>
        <v>4229515.78</v>
      </c>
      <c r="AW21" s="26">
        <f>现金流量表!AW50</f>
        <v>0</v>
      </c>
      <c r="AX21" s="26">
        <f>现金流量表!AX50</f>
        <v>7588614.3200000003</v>
      </c>
      <c r="AY21" s="26">
        <f>现金流量表!AY50</f>
        <v>5366158.8</v>
      </c>
      <c r="AZ21" s="26">
        <f>现金流量表!AZ50</f>
        <v>3936162.12</v>
      </c>
      <c r="BA21" s="26">
        <f>现金流量表!BA50</f>
        <v>1714130.86</v>
      </c>
      <c r="BB21" s="26">
        <f>现金流量表!BB50</f>
        <v>8559224.7200000007</v>
      </c>
      <c r="BC21" s="26">
        <f>现金流量表!BC50</f>
        <v>6334941.6399999997</v>
      </c>
      <c r="BD21" s="26">
        <f>现金流量表!BD50</f>
        <v>3852457.77</v>
      </c>
      <c r="BE21" s="26">
        <f>现金流量表!BE50</f>
        <v>1902642.2</v>
      </c>
      <c r="BF21" s="26">
        <f>现金流量表!BF50</f>
        <v>10406698.82</v>
      </c>
      <c r="BG21" s="26">
        <f>现金流量表!BG50</f>
        <v>6792565.9699999997</v>
      </c>
      <c r="BH21" s="26">
        <f>现金流量表!BH50</f>
        <v>4751764.13</v>
      </c>
      <c r="BI21" s="26">
        <f>现金流量表!BI50</f>
        <v>2335835.9500000002</v>
      </c>
      <c r="BJ21" s="26">
        <f>现金流量表!BJ50</f>
        <v>8782625.9000000004</v>
      </c>
      <c r="BK21" s="26">
        <f>现金流量表!BK50</f>
        <v>7089526.9800000004</v>
      </c>
      <c r="BL21" s="26">
        <f>现金流量表!BL50</f>
        <v>1620462.95</v>
      </c>
      <c r="BM21" s="26">
        <f>现金流量表!BM50</f>
        <v>1763517.7</v>
      </c>
      <c r="BN21" s="26">
        <f>现金流量表!BN50</f>
        <v>2443610.4700000002</v>
      </c>
      <c r="BO21" s="26">
        <f>现金流量表!BO50</f>
        <v>1123455.74</v>
      </c>
      <c r="BP21" s="26">
        <f>现金流量表!BP50</f>
        <v>1595400.12</v>
      </c>
      <c r="BQ21" s="26">
        <f>现金流量表!BQ50</f>
        <v>600708.37</v>
      </c>
      <c r="BR21" s="26">
        <f>现金流量表!BR50</f>
        <v>11702335.1</v>
      </c>
      <c r="BS21" s="26">
        <f>现金流量表!BS50</f>
        <v>-80152.47</v>
      </c>
      <c r="BT21" s="26">
        <f>现金流量表!BT50</f>
        <v>5482118.0300000003</v>
      </c>
      <c r="BU21" s="26">
        <f>现金流量表!BU50</f>
        <v>2729291.5</v>
      </c>
      <c r="BV21" s="26">
        <f>现金流量表!BV50</f>
        <v>2377808.85</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504</v>
      </c>
      <c r="E22" s="26">
        <f>现金流量表!E51</f>
        <v>0</v>
      </c>
      <c r="F22" s="26">
        <f>现金流量表!F51</f>
        <v>3834444.51</v>
      </c>
      <c r="G22" s="26">
        <f>现金流量表!G51</f>
        <v>0</v>
      </c>
      <c r="H22" s="26">
        <f>现金流量表!H51</f>
        <v>1032693.37</v>
      </c>
      <c r="I22" s="26">
        <f>现金流量表!I51</f>
        <v>0</v>
      </c>
      <c r="J22" s="26">
        <f>现金流量表!J51</f>
        <v>3574635.55</v>
      </c>
      <c r="K22" s="26">
        <f>现金流量表!K51</f>
        <v>0</v>
      </c>
      <c r="L22" s="26">
        <f>现金流量表!L51</f>
        <v>1371001.43</v>
      </c>
      <c r="M22" s="26">
        <f>现金流量表!M51</f>
        <v>0</v>
      </c>
      <c r="N22" s="26">
        <f>现金流量表!N51</f>
        <v>2948250.25</v>
      </c>
      <c r="O22" s="26">
        <f>现金流量表!O51</f>
        <v>0</v>
      </c>
      <c r="P22" s="26">
        <f>现金流量表!P51</f>
        <v>2774819.35</v>
      </c>
      <c r="Q22" s="26">
        <f>现金流量表!Q51</f>
        <v>0</v>
      </c>
      <c r="R22" s="26">
        <f>现金流量表!R51</f>
        <v>3947946.12</v>
      </c>
      <c r="S22" s="26">
        <f>现金流量表!S51</f>
        <v>0</v>
      </c>
      <c r="T22" s="26">
        <f>现金流量表!T51</f>
        <v>1449728.46</v>
      </c>
      <c r="U22" s="26">
        <f>现金流量表!U51</f>
        <v>0</v>
      </c>
      <c r="V22" s="26">
        <f>现金流量表!V51</f>
        <v>3549047</v>
      </c>
      <c r="W22" s="26">
        <f>现金流量表!W51</f>
        <v>0</v>
      </c>
      <c r="X22" s="26">
        <f>现金流量表!X51</f>
        <v>1015878.84</v>
      </c>
      <c r="Y22" s="26">
        <f>现金流量表!Y51</f>
        <v>0</v>
      </c>
      <c r="Z22" s="26">
        <f>现金流量表!Z51</f>
        <v>3261544.59</v>
      </c>
      <c r="AA22" s="26">
        <f>现金流量表!AA51</f>
        <v>0</v>
      </c>
      <c r="AB22" s="26">
        <f>现金流量表!AB51</f>
        <v>1055298.78</v>
      </c>
      <c r="AC22" s="26">
        <f>现金流量表!AC51</f>
        <v>0</v>
      </c>
      <c r="AD22" s="26">
        <f>现金流量表!AD51</f>
        <v>2420528.16</v>
      </c>
      <c r="AE22" s="26">
        <f>现金流量表!AE51</f>
        <v>0</v>
      </c>
      <c r="AF22" s="26">
        <f>现金流量表!AF51</f>
        <v>1236152.3999999999</v>
      </c>
      <c r="AG22" s="26">
        <f>现金流量表!AG51</f>
        <v>0</v>
      </c>
      <c r="AH22" s="26">
        <f>现金流量表!AH51</f>
        <v>2160991.79</v>
      </c>
      <c r="AI22" s="26">
        <f>现金流量表!AI51</f>
        <v>0</v>
      </c>
      <c r="AJ22" s="26">
        <f>现金流量表!AJ51</f>
        <v>1515130.74</v>
      </c>
      <c r="AK22" s="26">
        <f>现金流量表!AK51</f>
        <v>0</v>
      </c>
      <c r="AL22" s="26">
        <f>现金流量表!AL51</f>
        <v>3888307.08</v>
      </c>
      <c r="AM22" s="26">
        <f>现金流量表!AM51</f>
        <v>0</v>
      </c>
      <c r="AN22" s="26">
        <f>现金流量表!AN51</f>
        <v>2222649.63</v>
      </c>
      <c r="AO22" s="26">
        <f>现金流量表!AO51</f>
        <v>0</v>
      </c>
      <c r="AP22" s="26">
        <f>现金流量表!AP51</f>
        <v>3255932.87</v>
      </c>
      <c r="AQ22" s="26">
        <f>现金流量表!AQ51</f>
        <v>0</v>
      </c>
      <c r="AR22" s="26">
        <f>现金流量表!AR51</f>
        <v>521360.08</v>
      </c>
      <c r="AS22" s="26">
        <f>现金流量表!AS51</f>
        <v>0</v>
      </c>
      <c r="AT22" s="26">
        <f>现金流量表!AT51</f>
        <v>549249.48</v>
      </c>
      <c r="AU22" s="26">
        <f>现金流量表!AU51</f>
        <v>0</v>
      </c>
      <c r="AV22" s="26">
        <f>现金流量表!AV51</f>
        <v>320435.40000000002</v>
      </c>
      <c r="AW22" s="26">
        <f>现金流量表!AW51</f>
        <v>0</v>
      </c>
      <c r="AX22" s="26">
        <f>现金流量表!AX51</f>
        <v>472638.68</v>
      </c>
      <c r="AY22" s="26">
        <f>现金流量表!AY51</f>
        <v>0</v>
      </c>
      <c r="AZ22" s="26">
        <f>现金流量表!AZ51</f>
        <v>217166.64</v>
      </c>
      <c r="BA22" s="26">
        <f>现金流量表!BA51</f>
        <v>108583.32</v>
      </c>
      <c r="BB22" s="26">
        <f>现金流量表!BB51</f>
        <v>3725414.18</v>
      </c>
      <c r="BC22" s="26">
        <f>现金流量表!BC51</f>
        <v>1042249.97</v>
      </c>
      <c r="BD22" s="26">
        <f>现金流量表!BD51</f>
        <v>1864638.85</v>
      </c>
      <c r="BE22" s="26">
        <f>现金流量表!BE51</f>
        <v>214083.35</v>
      </c>
      <c r="BF22" s="26">
        <f>现金流量表!BF51</f>
        <v>805724.4</v>
      </c>
      <c r="BG22" s="26">
        <f>现金流量表!BG51</f>
        <v>650441.05000000005</v>
      </c>
      <c r="BH22" s="26">
        <f>现金流量表!BH51</f>
        <v>150594.06</v>
      </c>
      <c r="BI22" s="26">
        <f>现金流量表!BI51</f>
        <v>75297.03</v>
      </c>
      <c r="BJ22" s="26">
        <f>现金流量表!BJ51</f>
        <v>815521.44</v>
      </c>
      <c r="BK22" s="26">
        <f>现金流量表!BK51</f>
        <v>270000</v>
      </c>
      <c r="BL22" s="26">
        <f>现金流量表!BL51</f>
        <v>0</v>
      </c>
      <c r="BM22" s="26">
        <f>现金流量表!BM51</f>
        <v>0</v>
      </c>
      <c r="BN22" s="26">
        <f>现金流量表!BN51</f>
        <v>11111469.439999999</v>
      </c>
      <c r="BO22" s="26">
        <f>现金流量表!BO51</f>
        <v>6254422.8600000003</v>
      </c>
      <c r="BP22" s="26">
        <f>现金流量表!BP51</f>
        <v>16627329</v>
      </c>
      <c r="BQ22" s="26">
        <f>现金流量表!BQ51</f>
        <v>715497.66</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505</v>
      </c>
      <c r="E23" s="26">
        <f>现金流量表!E54</f>
        <v>0</v>
      </c>
      <c r="F23" s="26">
        <f>现金流量表!F54</f>
        <v>2634605.08</v>
      </c>
      <c r="G23" s="26">
        <f>现金流量表!G54</f>
        <v>0</v>
      </c>
      <c r="H23" s="26">
        <f>现金流量表!H54</f>
        <v>177407.02</v>
      </c>
      <c r="I23" s="26">
        <f>现金流量表!I54</f>
        <v>0</v>
      </c>
      <c r="J23" s="26">
        <f>现金流量表!J54</f>
        <v>-2583506.83</v>
      </c>
      <c r="K23" s="26">
        <f>现金流量表!K54</f>
        <v>0</v>
      </c>
      <c r="L23" s="26">
        <f>现金流量表!L54</f>
        <v>-1475420.23</v>
      </c>
      <c r="M23" s="26">
        <f>现金流量表!M54</f>
        <v>0</v>
      </c>
      <c r="N23" s="26">
        <f>现金流量表!N54</f>
        <v>-7584455.8499999996</v>
      </c>
      <c r="O23" s="26">
        <f>现金流量表!O54</f>
        <v>0</v>
      </c>
      <c r="P23" s="26">
        <f>现金流量表!P54</f>
        <v>494174.06</v>
      </c>
      <c r="Q23" s="26">
        <f>现金流量表!Q54</f>
        <v>0</v>
      </c>
      <c r="R23" s="26">
        <f>现金流量表!R54</f>
        <v>-43590900.140000001</v>
      </c>
      <c r="S23" s="26">
        <f>现金流量表!S54</f>
        <v>0</v>
      </c>
      <c r="T23" s="26">
        <f>现金流量表!T54</f>
        <v>-635067.56999999995</v>
      </c>
      <c r="U23" s="26">
        <f>现金流量表!U54</f>
        <v>0</v>
      </c>
      <c r="V23" s="26">
        <f>现金流量表!V54</f>
        <v>-11109.1</v>
      </c>
      <c r="W23" s="26">
        <f>现金流量表!W54</f>
        <v>0</v>
      </c>
      <c r="X23" s="26">
        <f>现金流量表!X54</f>
        <v>-2781848.42</v>
      </c>
      <c r="Y23" s="26">
        <f>现金流量表!Y54</f>
        <v>0</v>
      </c>
      <c r="Z23" s="26">
        <f>现金流量表!Z54</f>
        <v>-15580237.02</v>
      </c>
      <c r="AA23" s="26">
        <f>现金流量表!AA54</f>
        <v>0</v>
      </c>
      <c r="AB23" s="26">
        <f>现金流量表!AB54</f>
        <v>-5509407.6799999997</v>
      </c>
      <c r="AC23" s="26">
        <f>现金流量表!AC54</f>
        <v>0</v>
      </c>
      <c r="AD23" s="26">
        <f>现金流量表!AD54</f>
        <v>-1028767.17</v>
      </c>
      <c r="AE23" s="26">
        <f>现金流量表!AE54</f>
        <v>0</v>
      </c>
      <c r="AF23" s="26">
        <f>现金流量表!AF54</f>
        <v>2470634.19</v>
      </c>
      <c r="AG23" s="26">
        <f>现金流量表!AG54</f>
        <v>0</v>
      </c>
      <c r="AH23" s="26">
        <f>现金流量表!AH54</f>
        <v>-16473816.779999999</v>
      </c>
      <c r="AI23" s="26">
        <f>现金流量表!AI54</f>
        <v>0</v>
      </c>
      <c r="AJ23" s="26">
        <f>现金流量表!AJ54</f>
        <v>297735.53999999998</v>
      </c>
      <c r="AK23" s="26">
        <f>现金流量表!AK54</f>
        <v>0</v>
      </c>
      <c r="AL23" s="26">
        <f>现金流量表!AL54</f>
        <v>-15148984.42</v>
      </c>
      <c r="AM23" s="26">
        <f>现金流量表!AM54</f>
        <v>0</v>
      </c>
      <c r="AN23" s="26">
        <f>现金流量表!AN54</f>
        <v>818666.38</v>
      </c>
      <c r="AO23" s="26">
        <f>现金流量表!AO54</f>
        <v>0</v>
      </c>
      <c r="AP23" s="26">
        <f>现金流量表!AP54</f>
        <v>2982227.09</v>
      </c>
      <c r="AQ23" s="26">
        <f>现金流量表!AQ54</f>
        <v>0</v>
      </c>
      <c r="AR23" s="26">
        <f>现金流量表!AR54</f>
        <v>3814238.88</v>
      </c>
      <c r="AS23" s="26">
        <f>现金流量表!AS54</f>
        <v>0</v>
      </c>
      <c r="AT23" s="26">
        <f>现金流量表!AT54</f>
        <v>-877676.99</v>
      </c>
      <c r="AU23" s="26">
        <f>现金流量表!AU54</f>
        <v>0</v>
      </c>
      <c r="AV23" s="26">
        <f>现金流量表!AV54</f>
        <v>737015.48</v>
      </c>
      <c r="AW23" s="26">
        <f>现金流量表!AW54</f>
        <v>0</v>
      </c>
      <c r="AX23" s="26">
        <f>现金流量表!AX54</f>
        <v>-4208975.4400000004</v>
      </c>
      <c r="AY23" s="26">
        <f>现金流量表!AY54</f>
        <v>-4371197.1399999997</v>
      </c>
      <c r="AZ23" s="26">
        <f>现金流量表!AZ54</f>
        <v>-3444912.78</v>
      </c>
      <c r="BA23" s="26">
        <f>现金流量表!BA54</f>
        <v>-825342.77</v>
      </c>
      <c r="BB23" s="26">
        <f>现金流量表!BB54</f>
        <v>-3771127.98</v>
      </c>
      <c r="BC23" s="26">
        <f>现金流量表!BC54</f>
        <v>-3964748.61</v>
      </c>
      <c r="BD23" s="26">
        <f>现金流量表!BD54</f>
        <v>-34907.67</v>
      </c>
      <c r="BE23" s="26">
        <f>现金流量表!BE54</f>
        <v>20651.740000000002</v>
      </c>
      <c r="BF23" s="26">
        <f>现金流量表!BF54</f>
        <v>-1203819.48</v>
      </c>
      <c r="BG23" s="26">
        <f>现金流量表!BG54</f>
        <v>-1449535.52</v>
      </c>
      <c r="BH23" s="26">
        <f>现金流量表!BH54</f>
        <v>-1646497.44</v>
      </c>
      <c r="BI23" s="26">
        <f>现金流量表!BI54</f>
        <v>-1167774.18</v>
      </c>
      <c r="BJ23" s="26">
        <f>现金流量表!BJ54</f>
        <v>109793000.17</v>
      </c>
      <c r="BK23" s="26">
        <f>现金流量表!BK54</f>
        <v>17882960.59</v>
      </c>
      <c r="BL23" s="26">
        <f>现金流量表!BL54</f>
        <v>876509.65</v>
      </c>
      <c r="BM23" s="26">
        <f>现金流量表!BM54</f>
        <v>-611768.49</v>
      </c>
      <c r="BN23" s="26">
        <f>现金流量表!BN54</f>
        <v>4354770.18</v>
      </c>
      <c r="BO23" s="26">
        <f>现金流量表!BO54</f>
        <v>486335.56</v>
      </c>
      <c r="BP23" s="26">
        <f>现金流量表!BP54</f>
        <v>403950.03</v>
      </c>
      <c r="BQ23" s="26">
        <f>现金流量表!BQ54</f>
        <v>62125.15</v>
      </c>
      <c r="BR23" s="26">
        <f>现金流量表!BR54</f>
        <v>1766643.97</v>
      </c>
      <c r="BS23" s="26">
        <f>现金流量表!BS54</f>
        <v>-26839.89</v>
      </c>
      <c r="BT23" s="26">
        <f>现金流量表!BT54</f>
        <v>2926130.13</v>
      </c>
      <c r="BU23" s="26">
        <f>现金流量表!BU54</f>
        <v>497243.51</v>
      </c>
      <c r="BV23" s="26">
        <f>现金流量表!BV54</f>
        <v>-4723976.24</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-785626.86</v>
      </c>
      <c r="Y24" s="26">
        <f>现金流量表!Y55</f>
        <v>0</v>
      </c>
      <c r="Z24" s="26">
        <f>现金流量表!Z55</f>
        <v>0</v>
      </c>
      <c r="AA24" s="26">
        <f>现金流量表!AA55</f>
        <v>0</v>
      </c>
      <c r="AB24" s="26">
        <f>现金流量表!AB55</f>
        <v>43481.42</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126562.73</v>
      </c>
      <c r="AK24" s="26">
        <f>现金流量表!AK55</f>
        <v>0</v>
      </c>
      <c r="AL24" s="26">
        <f>现金流量表!AL55</f>
        <v>4696280.87</v>
      </c>
      <c r="AM24" s="26">
        <f>现金流量表!AM55</f>
        <v>0</v>
      </c>
      <c r="AN24" s="26">
        <f>现金流量表!AN55</f>
        <v>544578.19999999995</v>
      </c>
      <c r="AO24" s="26">
        <f>现金流量表!AO55</f>
        <v>0</v>
      </c>
      <c r="AP24" s="26">
        <f>现金流量表!AP55</f>
        <v>45788.21</v>
      </c>
      <c r="AQ24" s="26">
        <f>现金流量表!AQ55</f>
        <v>0</v>
      </c>
      <c r="AR24" s="26">
        <f>现金流量表!AR55</f>
        <v>159435.85999999999</v>
      </c>
      <c r="AS24" s="26">
        <f>现金流量表!AS55</f>
        <v>0</v>
      </c>
      <c r="AT24" s="26">
        <f>现金流量表!AT55</f>
        <v>1332829.3400000001</v>
      </c>
      <c r="AU24" s="26">
        <f>现金流量表!AU55</f>
        <v>0</v>
      </c>
      <c r="AV24" s="26">
        <f>现金流量表!AV55</f>
        <v>815529.13</v>
      </c>
      <c r="AW24" s="26">
        <f>现金流量表!AW55</f>
        <v>0</v>
      </c>
      <c r="AX24" s="26">
        <f>现金流量表!AX55</f>
        <v>1794685</v>
      </c>
      <c r="AY24" s="26">
        <f>现金流量表!AY55</f>
        <v>1115687</v>
      </c>
      <c r="AZ24" s="26">
        <f>现金流量表!AZ55</f>
        <v>0</v>
      </c>
      <c r="BA24" s="26">
        <f>现金流量表!BA55</f>
        <v>2650</v>
      </c>
      <c r="BB24" s="26">
        <f>现金流量表!BB55</f>
        <v>72072.160000000003</v>
      </c>
      <c r="BC24" s="26">
        <f>现金流量表!BC55</f>
        <v>147194.41</v>
      </c>
      <c r="BD24" s="26">
        <f>现金流量表!BD55</f>
        <v>47824.41</v>
      </c>
      <c r="BE24" s="26">
        <f>现金流量表!BE55</f>
        <v>142236.41</v>
      </c>
      <c r="BF24" s="26">
        <f>现金流量表!BF55</f>
        <v>1465303.32</v>
      </c>
      <c r="BG24" s="26">
        <f>现金流量表!BG55</f>
        <v>4084502.1</v>
      </c>
      <c r="BH24" s="26">
        <f>现金流量表!BH55</f>
        <v>2197201.34</v>
      </c>
      <c r="BI24" s="26">
        <f>现金流量表!BI55</f>
        <v>1952404.56</v>
      </c>
      <c r="BJ24" s="26">
        <f>现金流量表!BJ55</f>
        <v>927280.99</v>
      </c>
      <c r="BK24" s="26">
        <f>现金流量表!BK55</f>
        <v>859864.72</v>
      </c>
      <c r="BL24" s="26">
        <f>现金流量表!BL55</f>
        <v>648703.48</v>
      </c>
      <c r="BM24" s="26">
        <f>现金流量表!BM55</f>
        <v>8525</v>
      </c>
      <c r="BN24" s="26">
        <f>现金流量表!BN55</f>
        <v>550805.42000000004</v>
      </c>
      <c r="BO24" s="26">
        <f>现金流量表!BO55</f>
        <v>38757.050000000003</v>
      </c>
      <c r="BP24" s="26">
        <f>现金流量表!BP55</f>
        <v>253471</v>
      </c>
      <c r="BQ24" s="26">
        <f>现金流量表!BQ55</f>
        <v>568103.55000000005</v>
      </c>
      <c r="BR24" s="26">
        <f>现金流量表!BR55</f>
        <v>198046.58</v>
      </c>
      <c r="BS24" s="26">
        <f>现金流量表!BS55</f>
        <v>20412.77</v>
      </c>
      <c r="BT24" s="26">
        <f>现金流量表!BT55</f>
        <v>20588.57</v>
      </c>
      <c r="BU24" s="26">
        <f>现金流量表!BU55</f>
        <v>11000</v>
      </c>
      <c r="BV24" s="26">
        <f>现金流量表!BV55</f>
        <v>443143.48</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507</v>
      </c>
      <c r="E25" s="28">
        <f>SUM(E19:E24)</f>
        <v>0</v>
      </c>
      <c r="F25" s="28">
        <f t="shared" ref="F25:BQ25" si="12">SUM(F19:F24)</f>
        <v>319755155.91999996</v>
      </c>
      <c r="G25" s="28">
        <f t="shared" si="12"/>
        <v>0</v>
      </c>
      <c r="H25" s="28">
        <f t="shared" si="12"/>
        <v>106138908.97</v>
      </c>
      <c r="I25" s="28">
        <f t="shared" si="12"/>
        <v>0</v>
      </c>
      <c r="J25" s="28">
        <f t="shared" si="12"/>
        <v>402120529.79000008</v>
      </c>
      <c r="K25" s="28">
        <f t="shared" si="12"/>
        <v>0</v>
      </c>
      <c r="L25" s="28">
        <f t="shared" si="12"/>
        <v>178664302.98000002</v>
      </c>
      <c r="M25" s="28">
        <f t="shared" si="12"/>
        <v>0</v>
      </c>
      <c r="N25" s="28">
        <f t="shared" si="12"/>
        <v>472530481.90999997</v>
      </c>
      <c r="O25" s="28">
        <f t="shared" si="12"/>
        <v>0</v>
      </c>
      <c r="P25" s="28">
        <f t="shared" si="12"/>
        <v>142791419.22999999</v>
      </c>
      <c r="Q25" s="28">
        <f t="shared" si="12"/>
        <v>0</v>
      </c>
      <c r="R25" s="28">
        <f t="shared" si="12"/>
        <v>320617221.76000005</v>
      </c>
      <c r="S25" s="28">
        <f t="shared" si="12"/>
        <v>0</v>
      </c>
      <c r="T25" s="28">
        <f t="shared" si="12"/>
        <v>50096385.100000001</v>
      </c>
      <c r="U25" s="28">
        <f t="shared" si="12"/>
        <v>0</v>
      </c>
      <c r="V25" s="28">
        <f t="shared" si="12"/>
        <v>308837454.90999997</v>
      </c>
      <c r="W25" s="28">
        <f t="shared" si="12"/>
        <v>0</v>
      </c>
      <c r="X25" s="28">
        <f t="shared" si="12"/>
        <v>80057310.040000007</v>
      </c>
      <c r="Y25" s="28">
        <f t="shared" si="12"/>
        <v>0</v>
      </c>
      <c r="Z25" s="28">
        <f t="shared" si="12"/>
        <v>263472354.63999996</v>
      </c>
      <c r="AA25" s="28">
        <f t="shared" si="12"/>
        <v>0</v>
      </c>
      <c r="AB25" s="28">
        <f t="shared" si="12"/>
        <v>88732870.88000001</v>
      </c>
      <c r="AC25" s="28">
        <f t="shared" si="12"/>
        <v>0</v>
      </c>
      <c r="AD25" s="28">
        <f t="shared" si="12"/>
        <v>285729132.52999997</v>
      </c>
      <c r="AE25" s="28">
        <f t="shared" si="12"/>
        <v>0</v>
      </c>
      <c r="AF25" s="28">
        <f t="shared" si="12"/>
        <v>94368318.140000015</v>
      </c>
      <c r="AG25" s="28">
        <f t="shared" si="12"/>
        <v>0</v>
      </c>
      <c r="AH25" s="28">
        <f t="shared" si="12"/>
        <v>364851382.60000002</v>
      </c>
      <c r="AI25" s="28">
        <f t="shared" si="12"/>
        <v>0</v>
      </c>
      <c r="AJ25" s="28">
        <f t="shared" si="12"/>
        <v>113614881.43000001</v>
      </c>
      <c r="AK25" s="28">
        <f t="shared" si="12"/>
        <v>0</v>
      </c>
      <c r="AL25" s="28">
        <f t="shared" si="12"/>
        <v>292430584.21999997</v>
      </c>
      <c r="AM25" s="28">
        <f t="shared" si="12"/>
        <v>0</v>
      </c>
      <c r="AN25" s="28">
        <f t="shared" si="12"/>
        <v>51172990.780000009</v>
      </c>
      <c r="AO25" s="28">
        <f t="shared" si="12"/>
        <v>0</v>
      </c>
      <c r="AP25" s="28">
        <f t="shared" si="12"/>
        <v>279564051.47999996</v>
      </c>
      <c r="AQ25" s="28">
        <f t="shared" si="12"/>
        <v>0</v>
      </c>
      <c r="AR25" s="28">
        <f t="shared" si="12"/>
        <v>122406533.75</v>
      </c>
      <c r="AS25" s="28">
        <f t="shared" si="12"/>
        <v>0</v>
      </c>
      <c r="AT25" s="28">
        <f t="shared" si="12"/>
        <v>202690650.77999997</v>
      </c>
      <c r="AU25" s="28">
        <f t="shared" si="12"/>
        <v>0</v>
      </c>
      <c r="AV25" s="28">
        <f t="shared" si="12"/>
        <v>52393336.339999996</v>
      </c>
      <c r="AW25" s="28">
        <f t="shared" si="12"/>
        <v>0</v>
      </c>
      <c r="AX25" s="28">
        <f t="shared" si="12"/>
        <v>189089215.63</v>
      </c>
      <c r="AY25" s="28">
        <f t="shared" si="12"/>
        <v>101636180.22</v>
      </c>
      <c r="AZ25" s="28">
        <f t="shared" si="12"/>
        <v>66929182</v>
      </c>
      <c r="BA25" s="28">
        <f t="shared" si="12"/>
        <v>33762926.109999999</v>
      </c>
      <c r="BB25" s="28">
        <f t="shared" si="12"/>
        <v>190731688.22</v>
      </c>
      <c r="BC25" s="28">
        <f t="shared" si="12"/>
        <v>122380799.38</v>
      </c>
      <c r="BD25" s="28">
        <f t="shared" si="12"/>
        <v>88551223.25999999</v>
      </c>
      <c r="BE25" s="28">
        <f t="shared" si="12"/>
        <v>35163185.020000003</v>
      </c>
      <c r="BF25" s="28">
        <f t="shared" si="12"/>
        <v>91626003.499999985</v>
      </c>
      <c r="BG25" s="28">
        <f t="shared" si="12"/>
        <v>10678476.410000002</v>
      </c>
      <c r="BH25" s="28">
        <f t="shared" si="12"/>
        <v>-22585453.270000003</v>
      </c>
      <c r="BI25" s="28">
        <f t="shared" si="12"/>
        <v>29555420.43</v>
      </c>
      <c r="BJ25" s="28">
        <f t="shared" si="12"/>
        <v>-64789812.889999978</v>
      </c>
      <c r="BK25" s="28">
        <f t="shared" si="12"/>
        <v>112079107.28</v>
      </c>
      <c r="BL25" s="28">
        <f t="shared" si="12"/>
        <v>56042354.359999999</v>
      </c>
      <c r="BM25" s="28">
        <f t="shared" si="12"/>
        <v>32564029.359999999</v>
      </c>
      <c r="BN25" s="28">
        <f t="shared" si="12"/>
        <v>237383431.88</v>
      </c>
      <c r="BO25" s="28">
        <f t="shared" si="12"/>
        <v>66759942.020000003</v>
      </c>
      <c r="BP25" s="28">
        <f t="shared" si="12"/>
        <v>185017919.48999998</v>
      </c>
      <c r="BQ25" s="28">
        <f t="shared" si="12"/>
        <v>43598257.929999992</v>
      </c>
      <c r="BR25" s="28">
        <f t="shared" ref="BR25:CK25" si="13">SUM(BR19:BR24)</f>
        <v>187418181.22</v>
      </c>
      <c r="BS25" s="28">
        <f t="shared" si="13"/>
        <v>42046657.650000006</v>
      </c>
      <c r="BT25" s="28">
        <f t="shared" si="13"/>
        <v>199378789.79999998</v>
      </c>
      <c r="BU25" s="28">
        <f t="shared" si="13"/>
        <v>44305012.219999991</v>
      </c>
      <c r="BV25" s="28">
        <f t="shared" si="13"/>
        <v>23363768.900000002</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508</v>
      </c>
      <c r="E26" s="28">
        <f>E14-E25</f>
        <v>-1182456308.27</v>
      </c>
      <c r="F26" s="28">
        <f t="shared" ref="F26:BQ26" si="14">F14-F25</f>
        <v>1610363298.0900002</v>
      </c>
      <c r="G26" s="28">
        <f t="shared" si="14"/>
        <v>1405689604.1400001</v>
      </c>
      <c r="H26" s="28">
        <f t="shared" si="14"/>
        <v>330482778.85000002</v>
      </c>
      <c r="I26" s="28">
        <f t="shared" si="14"/>
        <v>-277228251.38999999</v>
      </c>
      <c r="J26" s="28">
        <f t="shared" si="14"/>
        <v>1597453173.1900001</v>
      </c>
      <c r="K26" s="28">
        <f t="shared" si="14"/>
        <v>1929645382.1800001</v>
      </c>
      <c r="L26" s="28">
        <f t="shared" si="14"/>
        <v>1137728048.1500001</v>
      </c>
      <c r="M26" s="28">
        <f t="shared" si="14"/>
        <v>319139035.18000001</v>
      </c>
      <c r="N26" s="28">
        <f t="shared" si="14"/>
        <v>866244042.55000007</v>
      </c>
      <c r="O26" s="28">
        <f t="shared" si="14"/>
        <v>1508101907.8</v>
      </c>
      <c r="P26" s="28">
        <f t="shared" si="14"/>
        <v>420940135.42999995</v>
      </c>
      <c r="Q26" s="28">
        <f t="shared" si="14"/>
        <v>-139849646.09999999</v>
      </c>
      <c r="R26" s="28">
        <f t="shared" si="14"/>
        <v>1691346043.8900001</v>
      </c>
      <c r="S26" s="28">
        <f t="shared" si="14"/>
        <v>1767169251.03</v>
      </c>
      <c r="T26" s="28">
        <f t="shared" si="14"/>
        <v>921956922.65999997</v>
      </c>
      <c r="U26" s="28">
        <f t="shared" si="14"/>
        <v>-47720877.789999999</v>
      </c>
      <c r="V26" s="28">
        <f t="shared" si="14"/>
        <v>1450055434.3200002</v>
      </c>
      <c r="W26" s="28">
        <f t="shared" si="14"/>
        <v>1503864105.3</v>
      </c>
      <c r="X26" s="28">
        <f t="shared" si="14"/>
        <v>848783895.38999999</v>
      </c>
      <c r="Y26" s="28">
        <f t="shared" si="14"/>
        <v>-633039859.49000001</v>
      </c>
      <c r="Z26" s="28">
        <f t="shared" si="14"/>
        <v>2856586408.27</v>
      </c>
      <c r="AA26" s="28">
        <f t="shared" si="14"/>
        <v>2266334969.25</v>
      </c>
      <c r="AB26" s="28">
        <f t="shared" si="14"/>
        <v>1417863049.1799998</v>
      </c>
      <c r="AC26" s="28">
        <f t="shared" si="14"/>
        <v>-125661126.05</v>
      </c>
      <c r="AD26" s="28">
        <f t="shared" si="14"/>
        <v>1256649120.5</v>
      </c>
      <c r="AE26" s="28">
        <f t="shared" si="14"/>
        <v>1434505205.8599999</v>
      </c>
      <c r="AF26" s="28">
        <f t="shared" si="14"/>
        <v>789775144.87</v>
      </c>
      <c r="AG26" s="28">
        <f t="shared" si="14"/>
        <v>-223539526.56</v>
      </c>
      <c r="AH26" s="28">
        <f t="shared" si="14"/>
        <v>1422612945.0599999</v>
      </c>
      <c r="AI26" s="28">
        <f t="shared" si="14"/>
        <v>1718131912.98</v>
      </c>
      <c r="AJ26" s="28">
        <f t="shared" si="14"/>
        <v>1008587998.24</v>
      </c>
      <c r="AK26" s="28">
        <f t="shared" si="14"/>
        <v>30469639.280000001</v>
      </c>
      <c r="AL26" s="28">
        <f t="shared" si="14"/>
        <v>1736167747.95</v>
      </c>
      <c r="AM26" s="28">
        <f t="shared" si="14"/>
        <v>1616122875.99</v>
      </c>
      <c r="AN26" s="28">
        <f t="shared" si="14"/>
        <v>892307112.5</v>
      </c>
      <c r="AO26" s="28">
        <f t="shared" si="14"/>
        <v>378297459.14999998</v>
      </c>
      <c r="AP26" s="28">
        <f t="shared" si="14"/>
        <v>236933046.49000007</v>
      </c>
      <c r="AQ26" s="28">
        <f t="shared" si="14"/>
        <v>381218783.56</v>
      </c>
      <c r="AR26" s="28">
        <f t="shared" si="14"/>
        <v>-118321923.45</v>
      </c>
      <c r="AS26" s="28">
        <f t="shared" si="14"/>
        <v>-286208499.70999998</v>
      </c>
      <c r="AT26" s="28">
        <f t="shared" si="14"/>
        <v>855188230.61000001</v>
      </c>
      <c r="AU26" s="28">
        <f t="shared" si="14"/>
        <v>769860088.14999998</v>
      </c>
      <c r="AV26" s="28">
        <f t="shared" si="14"/>
        <v>243214852.78999999</v>
      </c>
      <c r="AW26" s="28">
        <f t="shared" si="14"/>
        <v>-30549097.199999999</v>
      </c>
      <c r="AX26" s="28">
        <f t="shared" si="14"/>
        <v>657867904.92999995</v>
      </c>
      <c r="AY26" s="28">
        <f t="shared" si="14"/>
        <v>383603911.21000004</v>
      </c>
      <c r="AZ26" s="28">
        <f t="shared" si="14"/>
        <v>132380262.03</v>
      </c>
      <c r="BA26" s="28">
        <f t="shared" si="14"/>
        <v>-113876285.17</v>
      </c>
      <c r="BB26" s="28">
        <f t="shared" si="14"/>
        <v>52799092.479999989</v>
      </c>
      <c r="BC26" s="28">
        <f t="shared" si="14"/>
        <v>-287751496.5</v>
      </c>
      <c r="BD26" s="28">
        <f t="shared" si="14"/>
        <v>-245930470.69999999</v>
      </c>
      <c r="BE26" s="28">
        <f t="shared" si="14"/>
        <v>-268708950.60000002</v>
      </c>
      <c r="BF26" s="28">
        <f t="shared" si="14"/>
        <v>513041757.09000003</v>
      </c>
      <c r="BG26" s="28">
        <f t="shared" si="14"/>
        <v>326774621.70999998</v>
      </c>
      <c r="BH26" s="28">
        <f t="shared" si="14"/>
        <v>99338915.430000007</v>
      </c>
      <c r="BI26" s="28">
        <f t="shared" si="14"/>
        <v>27193394.649999999</v>
      </c>
      <c r="BJ26" s="28">
        <f t="shared" si="14"/>
        <v>356960289.64999998</v>
      </c>
      <c r="BK26" s="28">
        <f t="shared" si="14"/>
        <v>344644390.25</v>
      </c>
      <c r="BL26" s="28">
        <f t="shared" si="14"/>
        <v>100930825.00000001</v>
      </c>
      <c r="BM26" s="28">
        <f t="shared" si="14"/>
        <v>-38435243.939999998</v>
      </c>
      <c r="BN26" s="28">
        <f t="shared" si="14"/>
        <v>453208185.35000002</v>
      </c>
      <c r="BO26" s="28">
        <f t="shared" si="14"/>
        <v>251831349.67999998</v>
      </c>
      <c r="BP26" s="28">
        <f t="shared" si="14"/>
        <v>702168110.80999994</v>
      </c>
      <c r="BQ26" s="28">
        <f t="shared" si="14"/>
        <v>156625745.06</v>
      </c>
      <c r="BR26" s="28">
        <f t="shared" ref="BR26:CK26" si="15">BR14-BR25</f>
        <v>490734751.25999999</v>
      </c>
      <c r="BS26" s="28">
        <f t="shared" si="15"/>
        <v>89645638.829999998</v>
      </c>
      <c r="BT26" s="28">
        <f t="shared" si="15"/>
        <v>48054318.180000007</v>
      </c>
      <c r="BU26" s="28">
        <f t="shared" si="15"/>
        <v>-1234474.8299999908</v>
      </c>
      <c r="BV26" s="28">
        <f t="shared" si="15"/>
        <v>-178305144.28999999</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67.5">
      <c r="A27" s="274" t="s">
        <v>751</v>
      </c>
      <c r="E27" s="26">
        <f>E26</f>
        <v>-1182456308.27</v>
      </c>
      <c r="F27" s="191">
        <f t="shared" ref="F27:BQ27" si="16">F26</f>
        <v>1610363298.0900002</v>
      </c>
      <c r="G27" s="191">
        <f t="shared" si="16"/>
        <v>1405689604.1400001</v>
      </c>
      <c r="H27" s="191">
        <f t="shared" si="16"/>
        <v>330482778.85000002</v>
      </c>
      <c r="I27" s="191">
        <f t="shared" si="16"/>
        <v>-277228251.38999999</v>
      </c>
      <c r="J27" s="191">
        <f t="shared" si="16"/>
        <v>1597453173.1900001</v>
      </c>
      <c r="K27" s="191">
        <f t="shared" si="16"/>
        <v>1929645382.1800001</v>
      </c>
      <c r="L27" s="191">
        <f t="shared" si="16"/>
        <v>1137728048.1500001</v>
      </c>
      <c r="M27" s="191">
        <f t="shared" si="16"/>
        <v>319139035.18000001</v>
      </c>
      <c r="N27" s="191">
        <f t="shared" si="16"/>
        <v>866244042.55000007</v>
      </c>
      <c r="O27" s="191">
        <f t="shared" si="16"/>
        <v>1508101907.8</v>
      </c>
      <c r="P27" s="191">
        <f t="shared" si="16"/>
        <v>420940135.42999995</v>
      </c>
      <c r="Q27" s="191">
        <f t="shared" si="16"/>
        <v>-139849646.09999999</v>
      </c>
      <c r="R27" s="191">
        <f t="shared" si="16"/>
        <v>1691346043.8900001</v>
      </c>
      <c r="S27" s="191">
        <f t="shared" si="16"/>
        <v>1767169251.03</v>
      </c>
      <c r="T27" s="191">
        <f t="shared" si="16"/>
        <v>921956922.65999997</v>
      </c>
      <c r="U27" s="191">
        <f t="shared" si="16"/>
        <v>-47720877.789999999</v>
      </c>
      <c r="V27" s="191">
        <f t="shared" si="16"/>
        <v>1450055434.3200002</v>
      </c>
      <c r="W27" s="191">
        <f t="shared" si="16"/>
        <v>1503864105.3</v>
      </c>
      <c r="X27" s="191">
        <f t="shared" si="16"/>
        <v>848783895.38999999</v>
      </c>
      <c r="Y27" s="191">
        <f t="shared" si="16"/>
        <v>-633039859.49000001</v>
      </c>
      <c r="Z27" s="191">
        <f t="shared" si="16"/>
        <v>2856586408.27</v>
      </c>
      <c r="AA27" s="191">
        <f t="shared" si="16"/>
        <v>2266334969.25</v>
      </c>
      <c r="AB27" s="191">
        <f t="shared" si="16"/>
        <v>1417863049.1799998</v>
      </c>
      <c r="AC27" s="191">
        <f t="shared" si="16"/>
        <v>-125661126.05</v>
      </c>
      <c r="AD27" s="191">
        <f t="shared" si="16"/>
        <v>1256649120.5</v>
      </c>
      <c r="AE27" s="191">
        <f t="shared" si="16"/>
        <v>1434505205.8599999</v>
      </c>
      <c r="AF27" s="191">
        <f t="shared" si="16"/>
        <v>789775144.87</v>
      </c>
      <c r="AG27" s="191">
        <f t="shared" si="16"/>
        <v>-223539526.56</v>
      </c>
      <c r="AH27" s="191">
        <f t="shared" si="16"/>
        <v>1422612945.0599999</v>
      </c>
      <c r="AI27" s="191">
        <f t="shared" si="16"/>
        <v>1718131912.98</v>
      </c>
      <c r="AJ27" s="191">
        <f t="shared" si="16"/>
        <v>1008587998.24</v>
      </c>
      <c r="AK27" s="191">
        <f t="shared" si="16"/>
        <v>30469639.280000001</v>
      </c>
      <c r="AL27" s="191">
        <f t="shared" si="16"/>
        <v>1736167747.95</v>
      </c>
      <c r="AM27" s="191">
        <f t="shared" si="16"/>
        <v>1616122875.99</v>
      </c>
      <c r="AN27" s="191">
        <f t="shared" si="16"/>
        <v>892307112.5</v>
      </c>
      <c r="AO27" s="191">
        <f t="shared" si="16"/>
        <v>378297459.14999998</v>
      </c>
      <c r="AP27" s="191">
        <f t="shared" si="16"/>
        <v>236933046.49000007</v>
      </c>
      <c r="AQ27" s="191">
        <f t="shared" si="16"/>
        <v>381218783.56</v>
      </c>
      <c r="AR27" s="191">
        <f t="shared" si="16"/>
        <v>-118321923.45</v>
      </c>
      <c r="AS27" s="191">
        <f t="shared" si="16"/>
        <v>-286208499.70999998</v>
      </c>
      <c r="AT27" s="191">
        <f t="shared" si="16"/>
        <v>855188230.61000001</v>
      </c>
      <c r="AU27" s="191">
        <f t="shared" si="16"/>
        <v>769860088.14999998</v>
      </c>
      <c r="AV27" s="191">
        <f t="shared" si="16"/>
        <v>243214852.78999999</v>
      </c>
      <c r="AW27" s="191">
        <f t="shared" si="16"/>
        <v>-30549097.199999999</v>
      </c>
      <c r="AX27" s="191">
        <f t="shared" si="16"/>
        <v>657867904.92999995</v>
      </c>
      <c r="AY27" s="191">
        <f t="shared" si="16"/>
        <v>383603911.21000004</v>
      </c>
      <c r="AZ27" s="191">
        <f t="shared" si="16"/>
        <v>132380262.03</v>
      </c>
      <c r="BA27" s="191">
        <f t="shared" si="16"/>
        <v>-113876285.17</v>
      </c>
      <c r="BB27" s="191">
        <f t="shared" si="16"/>
        <v>52799092.479999989</v>
      </c>
      <c r="BC27" s="191">
        <f t="shared" si="16"/>
        <v>-287751496.5</v>
      </c>
      <c r="BD27" s="191">
        <f t="shared" si="16"/>
        <v>-245930470.69999999</v>
      </c>
      <c r="BE27" s="191">
        <f t="shared" si="16"/>
        <v>-268708950.60000002</v>
      </c>
      <c r="BF27" s="191">
        <f t="shared" si="16"/>
        <v>513041757.09000003</v>
      </c>
      <c r="BG27" s="191">
        <f t="shared" si="16"/>
        <v>326774621.70999998</v>
      </c>
      <c r="BH27" s="191">
        <f t="shared" si="16"/>
        <v>99338915.430000007</v>
      </c>
      <c r="BI27" s="191">
        <f t="shared" si="16"/>
        <v>27193394.649999999</v>
      </c>
      <c r="BJ27" s="191">
        <f t="shared" si="16"/>
        <v>356960289.64999998</v>
      </c>
      <c r="BK27" s="191">
        <f t="shared" si="16"/>
        <v>344644390.25</v>
      </c>
      <c r="BL27" s="191">
        <f t="shared" si="16"/>
        <v>100930825.00000001</v>
      </c>
      <c r="BM27" s="191">
        <f t="shared" si="16"/>
        <v>-38435243.939999998</v>
      </c>
      <c r="BN27" s="191">
        <f t="shared" si="16"/>
        <v>453208185.35000002</v>
      </c>
      <c r="BO27" s="191">
        <f t="shared" si="16"/>
        <v>251831349.67999998</v>
      </c>
      <c r="BP27" s="191">
        <f t="shared" si="16"/>
        <v>702168110.80999994</v>
      </c>
      <c r="BQ27" s="191">
        <f t="shared" si="16"/>
        <v>156625745.06</v>
      </c>
      <c r="BR27" s="191">
        <f t="shared" ref="BR27:CL27" si="17">BR26</f>
        <v>490734751.25999999</v>
      </c>
      <c r="BS27" s="191">
        <f t="shared" si="17"/>
        <v>89645638.829999998</v>
      </c>
      <c r="BT27" s="191">
        <f t="shared" si="17"/>
        <v>48054318.180000007</v>
      </c>
      <c r="BU27" s="191">
        <f t="shared" si="17"/>
        <v>-1234474.8299999908</v>
      </c>
      <c r="BV27" s="191">
        <f t="shared" si="17"/>
        <v>-178305144.28999999</v>
      </c>
      <c r="BW27" s="191">
        <f t="shared" si="17"/>
        <v>0</v>
      </c>
      <c r="BX27" s="191">
        <f t="shared" si="17"/>
        <v>0</v>
      </c>
      <c r="BY27" s="191">
        <f t="shared" si="17"/>
        <v>0</v>
      </c>
      <c r="BZ27" s="191">
        <f t="shared" si="17"/>
        <v>0</v>
      </c>
      <c r="CA27" s="191">
        <f t="shared" si="17"/>
        <v>0</v>
      </c>
      <c r="CB27" s="191">
        <f t="shared" si="17"/>
        <v>0</v>
      </c>
      <c r="CC27" s="191">
        <f t="shared" si="17"/>
        <v>0</v>
      </c>
      <c r="CD27" s="191">
        <f t="shared" si="17"/>
        <v>0</v>
      </c>
      <c r="CE27" s="191">
        <f t="shared" si="17"/>
        <v>0</v>
      </c>
      <c r="CF27" s="191">
        <f t="shared" si="17"/>
        <v>0</v>
      </c>
      <c r="CG27" s="191">
        <f t="shared" si="17"/>
        <v>0</v>
      </c>
      <c r="CH27" s="191">
        <f t="shared" si="17"/>
        <v>0</v>
      </c>
      <c r="CI27" s="191">
        <f t="shared" si="17"/>
        <v>0</v>
      </c>
      <c r="CJ27" s="191">
        <f t="shared" si="17"/>
        <v>0</v>
      </c>
      <c r="CK27" s="191">
        <f t="shared" si="17"/>
        <v>0</v>
      </c>
      <c r="CL27" s="191">
        <f t="shared" si="17"/>
        <v>0</v>
      </c>
    </row>
    <row r="28" spans="1:90" s="63" customFormat="1">
      <c r="A28" s="17" t="s">
        <v>509</v>
      </c>
      <c r="E28" s="63">
        <f>(E27-I27)/I27</f>
        <v>3.2652806932239407</v>
      </c>
      <c r="F28" s="63">
        <f t="shared" ref="F28:BQ28" si="18">(F27-J27)/J27</f>
        <v>8.0816922315284506E-3</v>
      </c>
      <c r="G28" s="63">
        <f t="shared" si="18"/>
        <v>-0.27152956853039262</v>
      </c>
      <c r="H28" s="63">
        <f t="shared" si="18"/>
        <v>-0.7095239241158019</v>
      </c>
      <c r="I28" s="63">
        <f t="shared" si="18"/>
        <v>-1.8686754700302906</v>
      </c>
      <c r="J28" s="63">
        <f t="shared" si="18"/>
        <v>0.84411446973708248</v>
      </c>
      <c r="K28" s="63">
        <f t="shared" si="18"/>
        <v>0.27951922360136949</v>
      </c>
      <c r="L28" s="63">
        <f t="shared" si="18"/>
        <v>1.7028262510244716</v>
      </c>
      <c r="M28" s="63">
        <f t="shared" si="18"/>
        <v>-3.2820153220251873</v>
      </c>
      <c r="N28" s="63">
        <f t="shared" si="18"/>
        <v>-0.4878374856054366</v>
      </c>
      <c r="O28" s="63">
        <f t="shared" si="18"/>
        <v>-0.14660018732161723</v>
      </c>
      <c r="P28" s="63">
        <f t="shared" si="18"/>
        <v>-0.54342754516608305</v>
      </c>
      <c r="Q28" s="63">
        <f t="shared" si="18"/>
        <v>1.9305757265283532</v>
      </c>
      <c r="R28" s="63">
        <f t="shared" si="18"/>
        <v>0.16640095534220217</v>
      </c>
      <c r="S28" s="63">
        <f t="shared" si="18"/>
        <v>0.17508573068673269</v>
      </c>
      <c r="T28" s="63">
        <f t="shared" si="18"/>
        <v>8.6209254991081535E-2</v>
      </c>
      <c r="U28" s="63">
        <f t="shared" si="18"/>
        <v>-0.92461631432111457</v>
      </c>
      <c r="V28" s="63">
        <f t="shared" si="18"/>
        <v>-0.49238173572415062</v>
      </c>
      <c r="W28" s="63">
        <f t="shared" si="18"/>
        <v>-0.33643343737590792</v>
      </c>
      <c r="X28" s="63">
        <f t="shared" si="18"/>
        <v>-0.40136397807892543</v>
      </c>
      <c r="Y28" s="63">
        <f t="shared" si="18"/>
        <v>4.0376745727880579</v>
      </c>
      <c r="Z28" s="63">
        <f t="shared" si="18"/>
        <v>1.2731774221378609</v>
      </c>
      <c r="AA28" s="63">
        <f t="shared" si="18"/>
        <v>0.57987225141599263</v>
      </c>
      <c r="AB28" s="63">
        <f t="shared" si="18"/>
        <v>0.79527433648647616</v>
      </c>
      <c r="AC28" s="63">
        <f t="shared" si="18"/>
        <v>-0.43785724169782819</v>
      </c>
      <c r="AD28" s="63">
        <f t="shared" si="18"/>
        <v>-0.11666126414518201</v>
      </c>
      <c r="AE28" s="63">
        <f t="shared" si="18"/>
        <v>-0.16507853964953487</v>
      </c>
      <c r="AF28" s="63">
        <f t="shared" si="18"/>
        <v>-0.21694968981569426</v>
      </c>
      <c r="AG28" s="63">
        <f t="shared" si="18"/>
        <v>-8.3364677706154975</v>
      </c>
      <c r="AH28" s="63">
        <f t="shared" si="18"/>
        <v>-0.18060167472885816</v>
      </c>
      <c r="AI28" s="63">
        <f t="shared" si="18"/>
        <v>6.3119604644858204E-2</v>
      </c>
      <c r="AJ28" s="63">
        <f t="shared" si="18"/>
        <v>0.13031487041968412</v>
      </c>
      <c r="AK28" s="63">
        <f t="shared" si="18"/>
        <v>-0.9194558711854357</v>
      </c>
      <c r="AL28" s="63">
        <f t="shared" si="18"/>
        <v>6.3276724107089732</v>
      </c>
      <c r="AM28" s="63">
        <f t="shared" si="18"/>
        <v>3.2393579374496864</v>
      </c>
      <c r="AN28" s="63">
        <f t="shared" si="18"/>
        <v>-8.5413506346274666</v>
      </c>
      <c r="AO28" s="63">
        <f t="shared" si="18"/>
        <v>-2.3217548029960984</v>
      </c>
      <c r="AP28" s="63">
        <f t="shared" si="18"/>
        <v>-0.72294631987510238</v>
      </c>
      <c r="AQ28" s="63">
        <f t="shared" si="18"/>
        <v>-0.50482069478873526</v>
      </c>
      <c r="AR28" s="63">
        <f t="shared" si="18"/>
        <v>-1.4864913556581316</v>
      </c>
      <c r="AS28" s="63">
        <f t="shared" si="18"/>
        <v>8.3688038581382358</v>
      </c>
      <c r="AT28" s="63">
        <f t="shared" si="18"/>
        <v>0.29993912790288169</v>
      </c>
      <c r="AU28" s="63">
        <f t="shared" si="18"/>
        <v>1.0069140737424545</v>
      </c>
      <c r="AV28" s="63">
        <f t="shared" si="18"/>
        <v>0.83724408050259536</v>
      </c>
      <c r="AW28" s="63">
        <f t="shared" si="18"/>
        <v>-0.73173433648283448</v>
      </c>
      <c r="AX28" s="63">
        <f t="shared" si="18"/>
        <v>11.459833569662143</v>
      </c>
      <c r="AY28" s="63">
        <f t="shared" si="18"/>
        <v>-2.3331083100379288</v>
      </c>
      <c r="AZ28" s="63">
        <f t="shared" si="18"/>
        <v>-1.5382832865451839</v>
      </c>
      <c r="BA28" s="63">
        <f t="shared" si="18"/>
        <v>-0.57620955715942568</v>
      </c>
      <c r="BB28" s="63">
        <f t="shared" si="18"/>
        <v>-0.89708616939977892</v>
      </c>
      <c r="BC28" s="63">
        <f t="shared" si="18"/>
        <v>-1.8805809184146758</v>
      </c>
      <c r="BD28" s="63">
        <f t="shared" si="18"/>
        <v>-3.4756709858916968</v>
      </c>
      <c r="BE28" s="63">
        <f t="shared" si="18"/>
        <v>-10.881405174252491</v>
      </c>
      <c r="BF28" s="63">
        <f t="shared" si="18"/>
        <v>0.43725162704523279</v>
      </c>
      <c r="BG28" s="63">
        <f t="shared" si="18"/>
        <v>-5.1849874959628832E-2</v>
      </c>
      <c r="BH28" s="63">
        <f t="shared" si="18"/>
        <v>-1.5772283343567315E-2</v>
      </c>
      <c r="BI28" s="63">
        <f t="shared" si="18"/>
        <v>-1.7075119567980555</v>
      </c>
      <c r="BJ28" s="63">
        <f t="shared" si="18"/>
        <v>-0.21237016190621202</v>
      </c>
      <c r="BK28" s="63">
        <f t="shared" si="18"/>
        <v>0.36855236922621742</v>
      </c>
      <c r="BL28" s="63">
        <f t="shared" si="18"/>
        <v>-0.85625831841954592</v>
      </c>
      <c r="BM28" s="63">
        <f t="shared" si="18"/>
        <v>-1.2453954420154636</v>
      </c>
      <c r="BN28" s="63">
        <f t="shared" si="18"/>
        <v>-7.6470161963560893E-2</v>
      </c>
      <c r="BO28" s="63">
        <f t="shared" si="18"/>
        <v>1.8091868490954894</v>
      </c>
      <c r="BP28" s="63">
        <f t="shared" si="18"/>
        <v>13.611966986605568</v>
      </c>
      <c r="BQ28" s="63">
        <f t="shared" si="18"/>
        <v>-127.87641841996987</v>
      </c>
      <c r="BR28" s="63">
        <f t="shared" ref="BR28:CK28" si="19">(BR27-BV27)/BV27</f>
        <v>-3.7522186934879262</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15" customHeight="1">
      <c r="A29" s="279" t="s">
        <v>736</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c r="A31" s="111" t="s">
        <v>569</v>
      </c>
      <c r="B31" s="112"/>
      <c r="C31" s="112"/>
      <c r="D31" s="112"/>
      <c r="E31" s="112">
        <f>POWER(E27/U27,1/5)-1</f>
        <v>0.90027010364939852</v>
      </c>
      <c r="F31" s="112"/>
      <c r="G31" s="112"/>
      <c r="H31" s="112"/>
      <c r="I31" s="112">
        <f>POWER(E27/Y27,1/6)-1</f>
        <v>0.10975133046940622</v>
      </c>
      <c r="M31" s="112">
        <f>POWER(E27/AC27,1/7)-1</f>
        <v>0.37747412857713636</v>
      </c>
      <c r="Q31" s="115" t="s">
        <v>602</v>
      </c>
      <c r="R31" s="115"/>
      <c r="S31" s="115"/>
      <c r="T31" s="115"/>
      <c r="U31" s="115">
        <f>POWER(E14/U14,1/5)-1</f>
        <v>0.90027010364939852</v>
      </c>
      <c r="V31" s="115"/>
      <c r="W31" s="115"/>
      <c r="X31" s="115"/>
      <c r="Y31" s="115">
        <f>POWER(E14/Y14,1/6)-1</f>
        <v>0.10975133046940622</v>
      </c>
      <c r="Z31" s="115"/>
      <c r="AA31" s="115"/>
      <c r="AB31" s="115"/>
      <c r="AC31" s="115">
        <f>POWER(E14/AC14,1/7)-1</f>
        <v>0.37747412857713636</v>
      </c>
    </row>
    <row r="32" spans="1:90" s="66" customFormat="1">
      <c r="A32" s="46" t="s">
        <v>511</v>
      </c>
      <c r="E32" s="66">
        <v>0.17</v>
      </c>
    </row>
    <row r="39" spans="1:13" ht="40.5">
      <c r="A39" s="67" t="s">
        <v>512</v>
      </c>
    </row>
    <row r="41" spans="1:13" ht="111" customHeight="1">
      <c r="A41" s="279" t="s">
        <v>735</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workbookViewId="0">
      <selection activeCell="B4" sqref="B4"/>
    </sheetView>
  </sheetViews>
  <sheetFormatPr defaultRowHeight="13.5"/>
  <cols>
    <col min="1" max="1" width="42.5" style="17" bestFit="1" customWidth="1"/>
    <col min="2" max="2" width="24.5" style="26" bestFit="1" customWidth="1"/>
    <col min="3" max="3" width="37.125" bestFit="1" customWidth="1"/>
    <col min="4" max="4" width="23.25" bestFit="1" customWidth="1"/>
    <col min="5" max="6" width="19.375" bestFit="1" customWidth="1"/>
    <col min="7" max="8" width="20.5" bestFit="1" customWidth="1"/>
    <col min="9" max="9" width="21.625" bestFit="1" customWidth="1"/>
    <col min="10" max="11" width="20.5" bestFit="1" customWidth="1"/>
    <col min="12" max="12" width="38.25" bestFit="1" customWidth="1"/>
    <col min="13" max="18" width="20.5" bestFit="1" customWidth="1"/>
    <col min="19" max="19" width="21.625" bestFit="1" customWidth="1"/>
    <col min="20" max="74" width="9.5" bestFit="1" customWidth="1"/>
  </cols>
  <sheetData>
    <row r="1" spans="1:10" ht="16.149999999999999" customHeight="1">
      <c r="A1" s="68" t="s">
        <v>513</v>
      </c>
      <c r="B1" s="69">
        <f>自由现金流分析表!E1</f>
        <v>43190</v>
      </c>
      <c r="C1" s="189" t="s">
        <v>749</v>
      </c>
      <c r="D1" s="272">
        <v>0.08</v>
      </c>
      <c r="E1" s="260" t="s">
        <v>750</v>
      </c>
      <c r="F1" s="63">
        <f>平均资本成本表!E13</f>
        <v>7.3974501459091388E-2</v>
      </c>
    </row>
    <row r="2" spans="1:10">
      <c r="A2" s="70" t="s">
        <v>514</v>
      </c>
      <c r="B2" s="71">
        <f>(自由现金流分析表!E27+自由现金流分析表!I27+自由现金流分析表!M27)/3</f>
        <v>-380181841.49333328</v>
      </c>
      <c r="C2" t="s">
        <v>547</v>
      </c>
      <c r="D2" s="63"/>
      <c r="E2" s="63"/>
      <c r="F2" s="56"/>
    </row>
    <row r="3" spans="1:10" s="63" customFormat="1">
      <c r="A3" s="72" t="s">
        <v>515</v>
      </c>
      <c r="B3" s="98">
        <v>0.04</v>
      </c>
      <c r="D3" s="188"/>
      <c r="E3" s="188"/>
      <c r="F3" s="258"/>
    </row>
    <row r="4" spans="1:10" s="63" customFormat="1">
      <c r="A4" s="72" t="s">
        <v>516</v>
      </c>
      <c r="B4" s="98">
        <f>F1</f>
        <v>7.3974501459091388E-2</v>
      </c>
      <c r="D4" s="188"/>
      <c r="E4" s="188"/>
      <c r="F4" s="259"/>
    </row>
    <row r="5" spans="1:10">
      <c r="A5" s="70" t="s">
        <v>517</v>
      </c>
      <c r="B5" s="71">
        <f>B2*(1+B3)/(B4-B3)</f>
        <v>-11637819487.333866</v>
      </c>
      <c r="D5" s="63"/>
      <c r="E5" s="63"/>
    </row>
    <row r="6" spans="1:10">
      <c r="A6" s="70" t="s">
        <v>518</v>
      </c>
      <c r="B6" s="71">
        <f>资产资本表!E17</f>
        <v>88098584431.25</v>
      </c>
      <c r="D6" s="188"/>
      <c r="E6" s="188"/>
      <c r="F6" s="188"/>
      <c r="G6" s="188"/>
    </row>
    <row r="7" spans="1:10">
      <c r="A7" s="70" t="s">
        <v>519</v>
      </c>
      <c r="B7" s="71">
        <f>资产资本表!E19</f>
        <v>0</v>
      </c>
      <c r="D7" s="188"/>
      <c r="E7" s="188"/>
      <c r="F7" s="188"/>
      <c r="G7" s="188"/>
    </row>
    <row r="8" spans="1:10">
      <c r="A8" s="70" t="s">
        <v>520</v>
      </c>
      <c r="B8" s="195">
        <f>资产资本表!E89</f>
        <v>14307389.24</v>
      </c>
      <c r="C8" s="270" t="s">
        <v>747</v>
      </c>
      <c r="D8" s="271">
        <f>B2/B4</f>
        <v>-5139363348.1068811</v>
      </c>
      <c r="E8" s="63"/>
      <c r="F8" s="188"/>
      <c r="G8" s="188"/>
    </row>
    <row r="9" spans="1:10">
      <c r="A9" s="70" t="s">
        <v>521</v>
      </c>
      <c r="B9" s="195">
        <f>B5+B6+B7-B8</f>
        <v>76446457554.676132</v>
      </c>
      <c r="C9" s="270" t="s">
        <v>748</v>
      </c>
      <c r="D9" s="271">
        <f>(D8+资产资本结构分析表!$E$2+资产资本结构分析表!$E$3)/B55</f>
        <v>66.039935019105357</v>
      </c>
      <c r="E9" s="188"/>
      <c r="F9" s="188"/>
      <c r="G9" s="188"/>
    </row>
    <row r="10" spans="1:10">
      <c r="A10" s="70" t="s">
        <v>522</v>
      </c>
      <c r="B10" s="73">
        <f>资产资本表!E103/资产资本表!E107</f>
        <v>4.9374697708670742E-2</v>
      </c>
      <c r="D10" s="188"/>
      <c r="E10" s="188"/>
      <c r="F10" s="188"/>
      <c r="G10" s="188"/>
    </row>
    <row r="11" spans="1:10">
      <c r="A11" s="70" t="s">
        <v>548</v>
      </c>
      <c r="B11" s="195">
        <f>B9*(1-B10)</f>
        <v>72671936822.015274</v>
      </c>
      <c r="C11" s="267" t="s">
        <v>744</v>
      </c>
      <c r="D11" s="268">
        <f>资产资本结构分析表!E2</f>
        <v>88098584431.25</v>
      </c>
      <c r="E11" s="63"/>
      <c r="F11" s="188"/>
      <c r="G11" s="188"/>
    </row>
    <row r="12" spans="1:10">
      <c r="A12" s="70" t="s">
        <v>523</v>
      </c>
      <c r="B12" s="266">
        <f>B55</f>
        <v>1256197800</v>
      </c>
      <c r="C12" s="267" t="s">
        <v>745</v>
      </c>
      <c r="D12" s="269">
        <f>D11/B55</f>
        <v>70.131140518833902</v>
      </c>
      <c r="E12" s="188"/>
      <c r="F12" s="188"/>
      <c r="G12" s="188"/>
    </row>
    <row r="13" spans="1:10" ht="14.25" thickBot="1">
      <c r="A13" s="74" t="s">
        <v>524</v>
      </c>
      <c r="B13" s="75">
        <f>B11/B12</f>
        <v>57.850711744611615</v>
      </c>
      <c r="D13" s="188"/>
      <c r="E13" s="188"/>
    </row>
    <row r="14" spans="1:10" s="16" customFormat="1" ht="53.25" customHeight="1">
      <c r="A14" s="279" t="s">
        <v>737</v>
      </c>
      <c r="B14" s="278"/>
      <c r="C14" s="278"/>
      <c r="D14" s="278"/>
      <c r="E14" s="278"/>
      <c r="F14" s="278"/>
      <c r="G14" s="278"/>
      <c r="H14" s="278"/>
      <c r="I14" s="278"/>
    </row>
    <row r="16" spans="1:10">
      <c r="A16" s="88"/>
      <c r="B16" s="76"/>
      <c r="C16" s="77"/>
      <c r="D16" s="77"/>
      <c r="E16" s="77"/>
      <c r="F16" s="77"/>
      <c r="G16" s="77"/>
      <c r="H16" s="77"/>
      <c r="I16" s="78"/>
      <c r="J16" s="77"/>
    </row>
    <row r="17" spans="1:10" s="63" customFormat="1">
      <c r="A17" s="90"/>
      <c r="B17" s="90"/>
      <c r="C17" s="90" t="s">
        <v>540</v>
      </c>
      <c r="D17" s="90">
        <v>0.1</v>
      </c>
      <c r="E17" s="90"/>
      <c r="F17" s="90"/>
      <c r="G17" s="90"/>
      <c r="H17" s="90" t="s">
        <v>541</v>
      </c>
      <c r="I17" s="90">
        <v>0.04</v>
      </c>
      <c r="J17" s="78"/>
    </row>
    <row r="18" spans="1:10" s="2" customFormat="1">
      <c r="A18" s="300" t="s">
        <v>525</v>
      </c>
      <c r="B18" s="300"/>
      <c r="C18" s="65" t="s">
        <v>539</v>
      </c>
      <c r="D18" s="97">
        <v>1</v>
      </c>
      <c r="E18" s="97">
        <v>2</v>
      </c>
      <c r="F18" s="97">
        <v>3</v>
      </c>
      <c r="G18" s="97">
        <v>4</v>
      </c>
      <c r="H18" s="97">
        <v>5</v>
      </c>
      <c r="I18" s="96">
        <v>6</v>
      </c>
      <c r="J18" s="80"/>
    </row>
    <row r="19" spans="1:10" s="26" customFormat="1">
      <c r="A19" s="99" t="s">
        <v>526</v>
      </c>
      <c r="B19" s="94"/>
      <c r="C19" s="89">
        <f>B2</f>
        <v>-380181841.49333328</v>
      </c>
      <c r="D19" s="89">
        <f>C19*(1+$D$17)</f>
        <v>-418200025.64266664</v>
      </c>
      <c r="E19" s="89">
        <f>D19*(1+$D$17)</f>
        <v>-460020028.20693332</v>
      </c>
      <c r="F19" s="89">
        <f>E19*(1+$D$17)</f>
        <v>-506022031.02762669</v>
      </c>
      <c r="G19" s="89">
        <f>F19*(1+$D$17)</f>
        <v>-556624234.13038945</v>
      </c>
      <c r="H19" s="89">
        <f>G19*(1+$D$17)</f>
        <v>-612286657.54342842</v>
      </c>
      <c r="I19" s="89">
        <f>H19*(1+I17)</f>
        <v>-636778123.84516561</v>
      </c>
      <c r="J19" s="76"/>
    </row>
    <row r="20" spans="1:10" s="26" customFormat="1">
      <c r="A20" s="99" t="s">
        <v>527</v>
      </c>
      <c r="B20" s="95">
        <f>B4</f>
        <v>7.3974501459091388E-2</v>
      </c>
      <c r="C20" s="89"/>
      <c r="D20" s="89">
        <f t="shared" ref="D20:I20" si="0">(1+$B$20)^D18</f>
        <v>1.0739745014590913</v>
      </c>
      <c r="E20" s="89">
        <f t="shared" si="0"/>
        <v>1.1534212297843038</v>
      </c>
      <c r="F20" s="89">
        <f t="shared" si="0"/>
        <v>1.2387449902299297</v>
      </c>
      <c r="G20" s="89">
        <f t="shared" si="0"/>
        <v>1.3303805333171359</v>
      </c>
      <c r="H20" s="89">
        <f t="shared" si="0"/>
        <v>1.4287947700201511</v>
      </c>
      <c r="I20" s="89">
        <f t="shared" si="0"/>
        <v>1.5344891508197489</v>
      </c>
      <c r="J20" s="76"/>
    </row>
    <row r="21" spans="1:10" s="26" customFormat="1">
      <c r="A21" s="301" t="s">
        <v>528</v>
      </c>
      <c r="B21" s="301"/>
      <c r="C21" s="89"/>
      <c r="D21" s="89">
        <f>D19/D20</f>
        <v>-389394743.61309707</v>
      </c>
      <c r="E21" s="89">
        <f>E19/E20</f>
        <v>-398830900.91289514</v>
      </c>
      <c r="F21" s="89">
        <f>F19/F20</f>
        <v>-408495723.50940561</v>
      </c>
      <c r="G21" s="89">
        <f>G19/G20</f>
        <v>-418394752.62203151</v>
      </c>
      <c r="H21" s="89">
        <f>H19/H20</f>
        <v>-428533663.74989808</v>
      </c>
      <c r="I21" s="89">
        <f>I19/((B20-I17)*I20)</f>
        <v>-12214374179.532879</v>
      </c>
      <c r="J21" s="76"/>
    </row>
    <row r="22" spans="1:10" s="26" customFormat="1">
      <c r="A22" s="301" t="s">
        <v>546</v>
      </c>
      <c r="B22" s="301"/>
      <c r="C22" s="89"/>
      <c r="D22" s="297">
        <f>SUM(D21:H21)</f>
        <v>-2043649784.4073272</v>
      </c>
      <c r="E22" s="298"/>
      <c r="F22" s="298"/>
      <c r="G22" s="298"/>
      <c r="H22" s="299"/>
      <c r="I22" s="89">
        <f>I21</f>
        <v>-12214374179.532879</v>
      </c>
      <c r="J22" s="76"/>
    </row>
    <row r="23" spans="1:10">
      <c r="A23" s="92" t="s">
        <v>529</v>
      </c>
      <c r="B23" s="76">
        <f>D22+I22</f>
        <v>-14258023963.940207</v>
      </c>
      <c r="C23" s="77"/>
      <c r="D23" s="77"/>
      <c r="E23" s="77"/>
      <c r="F23" s="77"/>
      <c r="G23" s="77"/>
      <c r="H23" s="77"/>
      <c r="I23" s="79"/>
      <c r="J23" s="77"/>
    </row>
    <row r="24" spans="1:10">
      <c r="A24" s="92" t="s">
        <v>530</v>
      </c>
      <c r="B24" s="76">
        <f>B23</f>
        <v>-14258023963.940207</v>
      </c>
      <c r="C24" s="77"/>
      <c r="D24" s="77"/>
      <c r="E24" s="77"/>
      <c r="F24" s="77"/>
      <c r="G24" s="77"/>
      <c r="H24" s="77"/>
      <c r="I24" s="79"/>
      <c r="J24" s="77"/>
    </row>
    <row r="25" spans="1:10">
      <c r="A25" s="70" t="s">
        <v>531</v>
      </c>
      <c r="B25" s="71">
        <f>资产资本表!E17</f>
        <v>88098584431.25</v>
      </c>
      <c r="C25" s="77"/>
      <c r="D25" s="77"/>
      <c r="E25" s="77"/>
      <c r="F25" s="77"/>
      <c r="G25" s="77"/>
      <c r="H25" s="77"/>
      <c r="I25" s="79"/>
      <c r="J25" s="77"/>
    </row>
    <row r="26" spans="1:10">
      <c r="A26" s="70" t="s">
        <v>532</v>
      </c>
      <c r="B26" s="71">
        <f>资产资本表!E19</f>
        <v>0</v>
      </c>
      <c r="C26" s="77"/>
      <c r="D26" s="77"/>
      <c r="E26" s="77"/>
      <c r="F26" s="77"/>
      <c r="G26" s="77"/>
      <c r="H26" s="77"/>
      <c r="I26" s="79"/>
      <c r="J26" s="77"/>
    </row>
    <row r="27" spans="1:10">
      <c r="A27" s="70" t="s">
        <v>533</v>
      </c>
      <c r="B27" s="71">
        <f>资产资本表!E89</f>
        <v>14307389.24</v>
      </c>
      <c r="C27" s="77"/>
      <c r="D27" s="77"/>
      <c r="E27" s="77"/>
      <c r="F27" s="77"/>
      <c r="G27" s="77"/>
      <c r="H27" s="77"/>
      <c r="I27" s="79"/>
      <c r="J27" s="77"/>
    </row>
    <row r="28" spans="1:10" s="2" customFormat="1">
      <c r="A28" s="82" t="s">
        <v>534</v>
      </c>
      <c r="B28" s="83">
        <f>B24+B25+B26-B27</f>
        <v>73826253078.069794</v>
      </c>
      <c r="C28" s="80"/>
      <c r="D28" s="80"/>
      <c r="E28" s="80"/>
      <c r="F28" s="80"/>
      <c r="G28" s="80"/>
      <c r="H28" s="80"/>
      <c r="I28" s="81"/>
      <c r="J28" s="80"/>
    </row>
    <row r="29" spans="1:10">
      <c r="A29" s="70" t="s">
        <v>535</v>
      </c>
      <c r="B29" s="78">
        <f>资产资本表!E103/资产资本表!E107</f>
        <v>4.9374697708670742E-2</v>
      </c>
      <c r="C29" s="302" t="s">
        <v>542</v>
      </c>
      <c r="D29" s="302"/>
      <c r="E29" s="302"/>
      <c r="F29" s="77"/>
      <c r="G29" s="77"/>
      <c r="H29" s="77"/>
      <c r="I29" s="79"/>
      <c r="J29" s="77"/>
    </row>
    <row r="30" spans="1:10" s="2" customFormat="1">
      <c r="A30" s="82" t="s">
        <v>536</v>
      </c>
      <c r="B30" s="83">
        <f>B28*(1-B29)</f>
        <v>70181104149.376266</v>
      </c>
      <c r="C30" s="91">
        <v>0.4</v>
      </c>
      <c r="D30" s="91">
        <v>0.3</v>
      </c>
      <c r="E30" s="91">
        <v>0.2</v>
      </c>
      <c r="F30" s="80"/>
      <c r="G30" s="80"/>
      <c r="H30" s="80"/>
      <c r="I30" s="81"/>
      <c r="J30" s="80"/>
    </row>
    <row r="31" spans="1:10">
      <c r="A31" s="70" t="s">
        <v>746</v>
      </c>
      <c r="B31" s="101">
        <f>B55</f>
        <v>1256197800</v>
      </c>
      <c r="C31" s="213">
        <f>$B$32*(1-C30)</f>
        <v>33.520726186294674</v>
      </c>
      <c r="D31" s="213">
        <f>$B$32*(1-D30)</f>
        <v>39.107513884010451</v>
      </c>
      <c r="E31" s="213">
        <f>$B$32*(1-E30)</f>
        <v>44.694301581726236</v>
      </c>
      <c r="F31" s="77"/>
      <c r="G31" s="77"/>
      <c r="H31" s="77"/>
      <c r="I31" s="79"/>
      <c r="J31" s="77"/>
    </row>
    <row r="32" spans="1:10" s="2" customFormat="1" ht="14.25" thickBot="1">
      <c r="A32" s="84" t="s">
        <v>537</v>
      </c>
      <c r="B32" s="85">
        <f>B30/B31</f>
        <v>55.867876977157792</v>
      </c>
      <c r="C32" s="86"/>
      <c r="D32" s="86"/>
      <c r="E32" s="86"/>
      <c r="F32" s="86"/>
      <c r="G32" s="86"/>
      <c r="H32" s="86"/>
      <c r="I32" s="87"/>
      <c r="J32" s="80"/>
    </row>
    <row r="33" spans="1:19" ht="63" customHeight="1">
      <c r="A33" s="303" t="s">
        <v>738</v>
      </c>
      <c r="B33" s="304"/>
      <c r="C33" s="304"/>
      <c r="D33" s="304"/>
      <c r="E33" s="304"/>
      <c r="F33" s="304"/>
      <c r="G33" s="304"/>
      <c r="H33" s="304"/>
      <c r="I33" s="304"/>
    </row>
    <row r="37" spans="1:19" s="63" customFormat="1">
      <c r="A37" s="202"/>
      <c r="B37" s="202"/>
      <c r="C37" s="212" t="s">
        <v>540</v>
      </c>
      <c r="D37" s="212">
        <v>0.15</v>
      </c>
      <c r="E37" s="212"/>
      <c r="F37" s="212"/>
      <c r="G37" s="212"/>
      <c r="H37" s="212" t="s">
        <v>635</v>
      </c>
      <c r="I37" s="212">
        <v>0.09</v>
      </c>
      <c r="J37" s="212"/>
      <c r="K37" s="212"/>
      <c r="L37" s="212"/>
      <c r="M37" s="212"/>
      <c r="N37" s="212"/>
      <c r="O37" s="212"/>
      <c r="P37" s="212"/>
      <c r="Q37" s="212"/>
      <c r="R37" s="212" t="s">
        <v>545</v>
      </c>
      <c r="S37" s="212">
        <v>0.02</v>
      </c>
    </row>
    <row r="38" spans="1:19" s="24" customFormat="1">
      <c r="A38" s="311" t="s">
        <v>543</v>
      </c>
      <c r="B38" s="312"/>
      <c r="C38" s="214" t="s">
        <v>539</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c r="A39" s="99" t="s">
        <v>526</v>
      </c>
      <c r="B39" s="94"/>
      <c r="C39" s="89">
        <f>B2</f>
        <v>-380181841.49333328</v>
      </c>
      <c r="D39" s="89">
        <f>$C$39*(1+$D$37)^D38</f>
        <v>-437209117.71733326</v>
      </c>
      <c r="E39" s="89">
        <f>$C$39*(1+$D$37)^E38</f>
        <v>-502790485.37493318</v>
      </c>
      <c r="F39" s="89">
        <f>$C$39*(1+$D$37)^F38</f>
        <v>-578209058.18117309</v>
      </c>
      <c r="G39" s="89">
        <f>$C$39*(1+$D$37)^G38</f>
        <v>-664940416.90834904</v>
      </c>
      <c r="H39" s="89">
        <f>$C$39*(1+$D$37)^H38</f>
        <v>-764681479.44460142</v>
      </c>
      <c r="I39" s="89">
        <f>H39*(1+$I$37)</f>
        <v>-833502812.59461558</v>
      </c>
      <c r="J39" s="89">
        <f t="shared" ref="J39:N39" si="1">I39*(1+$I$37)</f>
        <v>-908518065.72813106</v>
      </c>
      <c r="K39" s="89">
        <f t="shared" si="1"/>
        <v>-990284691.64366293</v>
      </c>
      <c r="L39" s="89">
        <f t="shared" si="1"/>
        <v>-1079410313.8915927</v>
      </c>
      <c r="M39" s="89">
        <f t="shared" si="1"/>
        <v>-1176557242.1418362</v>
      </c>
      <c r="N39" s="89">
        <f t="shared" si="1"/>
        <v>-1282447393.9346015</v>
      </c>
      <c r="O39" s="89">
        <f t="shared" ref="O39" si="2">N39*(1+$I$37)</f>
        <v>-1397867659.3887157</v>
      </c>
      <c r="P39" s="89">
        <f t="shared" ref="P39" si="3">O39*(1+$I$37)</f>
        <v>-1523675748.7337003</v>
      </c>
      <c r="Q39" s="89">
        <f t="shared" ref="Q39" si="4">P39*(1+$I$37)</f>
        <v>-1660806566.1197333</v>
      </c>
      <c r="R39" s="89">
        <f t="shared" ref="R39" si="5">Q39*(1+$I$37)</f>
        <v>-1810279157.0705094</v>
      </c>
      <c r="S39" s="89">
        <f>R39*(1+S37)</f>
        <v>-1846484740.2119195</v>
      </c>
    </row>
    <row r="40" spans="1:19" s="23" customFormat="1">
      <c r="A40" s="208" t="s">
        <v>527</v>
      </c>
      <c r="B40" s="207">
        <f>B4</f>
        <v>7.3974501459091388E-2</v>
      </c>
      <c r="C40" s="213"/>
      <c r="D40" s="213">
        <f>(1+$B$40)^D38</f>
        <v>1.0739745014590913</v>
      </c>
      <c r="E40" s="213">
        <f t="shared" ref="E40:R40" si="6">(1+$B$40)^E38</f>
        <v>1.1534212297843038</v>
      </c>
      <c r="F40" s="213">
        <f t="shared" si="6"/>
        <v>1.2387449902299297</v>
      </c>
      <c r="G40" s="213">
        <f t="shared" si="6"/>
        <v>1.3303805333171359</v>
      </c>
      <c r="H40" s="213">
        <f t="shared" si="6"/>
        <v>1.4287947700201511</v>
      </c>
      <c r="I40" s="213">
        <f t="shared" si="6"/>
        <v>1.5344891508197489</v>
      </c>
      <c r="J40" s="213">
        <f t="shared" si="6"/>
        <v>1.6480022207460241</v>
      </c>
      <c r="K40" s="213">
        <f t="shared" si="6"/>
        <v>1.7699123634291869</v>
      </c>
      <c r="L40" s="213">
        <f t="shared" si="6"/>
        <v>1.900840748140143</v>
      </c>
      <c r="M40" s="213">
        <f t="shared" si="6"/>
        <v>2.0414544948369366</v>
      </c>
      <c r="N40" s="213">
        <f t="shared" si="6"/>
        <v>2.19247007334392</v>
      </c>
      <c r="O40" s="213">
        <f t="shared" si="6"/>
        <v>2.3546569539835143</v>
      </c>
      <c r="P40" s="213">
        <f t="shared" si="6"/>
        <v>2.5288415282616272</v>
      </c>
      <c r="Q40" s="213">
        <f t="shared" si="6"/>
        <v>2.7159113195838276</v>
      </c>
      <c r="R40" s="213">
        <f t="shared" si="6"/>
        <v>2.916819505457144</v>
      </c>
      <c r="S40" s="181">
        <f>(1+$B$40)^S38</f>
        <v>3.1325897742194901</v>
      </c>
    </row>
    <row r="41" spans="1:19" s="191" customFormat="1">
      <c r="A41" s="313" t="s">
        <v>528</v>
      </c>
      <c r="B41" s="314"/>
      <c r="C41" s="89"/>
      <c r="D41" s="89">
        <f t="shared" ref="D41:R41" si="7">D39/D40</f>
        <v>-407094504.68641967</v>
      </c>
      <c r="E41" s="89">
        <f t="shared" si="7"/>
        <v>-435912286.32835013</v>
      </c>
      <c r="F41" s="89">
        <f t="shared" si="7"/>
        <v>-466770047.70275503</v>
      </c>
      <c r="G41" s="89">
        <f t="shared" si="7"/>
        <v>-499812196.77831882</v>
      </c>
      <c r="H41" s="89">
        <f t="shared" si="7"/>
        <v>-535193364.00833601</v>
      </c>
      <c r="I41" s="89">
        <f t="shared" si="7"/>
        <v>-543179345.48402953</v>
      </c>
      <c r="J41" s="89">
        <f t="shared" si="7"/>
        <v>-551284491.18039393</v>
      </c>
      <c r="K41" s="89">
        <f t="shared" si="7"/>
        <v>-559510579.22720909</v>
      </c>
      <c r="L41" s="89">
        <f t="shared" si="7"/>
        <v>-567859414.28693068</v>
      </c>
      <c r="M41" s="89">
        <f t="shared" si="7"/>
        <v>-576332827.9506005</v>
      </c>
      <c r="N41" s="89">
        <f t="shared" si="7"/>
        <v>-584932679.13966715</v>
      </c>
      <c r="O41" s="89">
        <f t="shared" si="7"/>
        <v>-593660854.5138005</v>
      </c>
      <c r="P41" s="89">
        <f t="shared" si="7"/>
        <v>-602519268.88479376</v>
      </c>
      <c r="Q41" s="89">
        <f t="shared" si="7"/>
        <v>-611509865.636639</v>
      </c>
      <c r="R41" s="89">
        <f t="shared" si="7"/>
        <v>-620634617.15187275</v>
      </c>
      <c r="S41" s="89">
        <f>S39/((B40-S37)*S40)</f>
        <v>-10920777461.607279</v>
      </c>
    </row>
    <row r="42" spans="1:19" s="23" customFormat="1">
      <c r="A42" s="315" t="s">
        <v>546</v>
      </c>
      <c r="B42" s="316"/>
      <c r="C42" s="213"/>
      <c r="D42" s="308">
        <f>SUM(D41:H41)</f>
        <v>-2344782399.5041795</v>
      </c>
      <c r="E42" s="309"/>
      <c r="F42" s="309"/>
      <c r="G42" s="309"/>
      <c r="H42" s="310"/>
      <c r="I42" s="308">
        <f>SUM(I41:R41)</f>
        <v>-5811423943.4559364</v>
      </c>
      <c r="J42" s="309"/>
      <c r="K42" s="309"/>
      <c r="L42" s="309"/>
      <c r="M42" s="309"/>
      <c r="N42" s="309"/>
      <c r="O42" s="309"/>
      <c r="P42" s="309"/>
      <c r="Q42" s="309"/>
      <c r="R42" s="310"/>
      <c r="S42" s="213">
        <f>S41</f>
        <v>-10920777461.607279</v>
      </c>
    </row>
    <row r="43" spans="1:19">
      <c r="A43" s="204" t="s">
        <v>544</v>
      </c>
      <c r="B43" s="195">
        <f>D42+I42+S42</f>
        <v>-19076983804.567394</v>
      </c>
      <c r="C43" s="196"/>
      <c r="D43" s="196"/>
      <c r="E43" s="196"/>
      <c r="F43" s="196"/>
      <c r="G43" s="196"/>
      <c r="H43" s="196"/>
      <c r="I43" s="196"/>
      <c r="J43" s="196"/>
      <c r="K43" s="196"/>
      <c r="L43" s="196"/>
      <c r="M43" s="196"/>
      <c r="N43" s="196"/>
      <c r="O43" s="196"/>
      <c r="P43" s="196"/>
      <c r="Q43" s="196"/>
      <c r="R43" s="196"/>
      <c r="S43" s="198"/>
    </row>
    <row r="44" spans="1:19">
      <c r="A44" s="204" t="s">
        <v>530</v>
      </c>
      <c r="B44" s="195">
        <f>B43</f>
        <v>-19076983804.567394</v>
      </c>
      <c r="C44" s="196"/>
      <c r="D44" s="196"/>
      <c r="E44" s="196"/>
      <c r="F44" s="196"/>
      <c r="G44" s="196"/>
      <c r="H44" s="196"/>
      <c r="I44" s="196"/>
      <c r="J44" s="196"/>
      <c r="K44" s="196"/>
      <c r="L44" s="196"/>
      <c r="M44" s="196"/>
      <c r="N44" s="196"/>
      <c r="O44" s="196"/>
      <c r="P44" s="196"/>
      <c r="Q44" s="196"/>
      <c r="R44" s="196"/>
      <c r="S44" s="198"/>
    </row>
    <row r="45" spans="1:19">
      <c r="A45" s="194" t="s">
        <v>531</v>
      </c>
      <c r="B45" s="195">
        <f>资产资本表!E17</f>
        <v>88098584431.25</v>
      </c>
      <c r="C45" s="196"/>
      <c r="D45" s="196"/>
      <c r="E45" s="196"/>
      <c r="F45" s="196"/>
      <c r="G45" s="196"/>
      <c r="H45" s="196"/>
      <c r="I45" s="196"/>
      <c r="J45" s="196"/>
      <c r="K45" s="196"/>
      <c r="L45" s="196"/>
      <c r="M45" s="196"/>
      <c r="N45" s="196"/>
      <c r="O45" s="196"/>
      <c r="P45" s="196"/>
      <c r="Q45" s="196"/>
      <c r="R45" s="196"/>
      <c r="S45" s="198"/>
    </row>
    <row r="46" spans="1:19">
      <c r="A46" s="194" t="s">
        <v>532</v>
      </c>
      <c r="B46" s="195">
        <f>资产资本表!E19</f>
        <v>0</v>
      </c>
      <c r="C46" s="196"/>
      <c r="D46" s="196"/>
      <c r="E46" s="196"/>
      <c r="F46" s="196"/>
      <c r="G46" s="196"/>
      <c r="H46" s="196"/>
      <c r="I46" s="196"/>
      <c r="J46" s="196"/>
      <c r="K46" s="196"/>
      <c r="L46" s="196"/>
      <c r="M46" s="196"/>
      <c r="N46" s="196"/>
      <c r="O46" s="196"/>
      <c r="P46" s="196"/>
      <c r="Q46" s="196"/>
      <c r="R46" s="196"/>
      <c r="S46" s="198"/>
    </row>
    <row r="47" spans="1:19">
      <c r="A47" s="194" t="s">
        <v>533</v>
      </c>
      <c r="B47" s="195">
        <f>资产资本表!E89</f>
        <v>14307389.24</v>
      </c>
      <c r="C47" s="196"/>
      <c r="D47" s="196"/>
      <c r="E47" s="196"/>
      <c r="F47" s="196"/>
      <c r="G47" s="196"/>
      <c r="H47" s="196"/>
      <c r="I47" s="196"/>
      <c r="J47" s="196"/>
      <c r="K47" s="196"/>
      <c r="L47" s="196"/>
      <c r="M47" s="196"/>
      <c r="N47" s="196"/>
      <c r="O47" s="196"/>
      <c r="P47" s="196"/>
      <c r="Q47" s="196"/>
      <c r="R47" s="196"/>
      <c r="S47" s="198"/>
    </row>
    <row r="48" spans="1:19">
      <c r="A48" s="199" t="s">
        <v>534</v>
      </c>
      <c r="B48" s="195">
        <f>B44+B45+B46-B47</f>
        <v>69007293237.442596</v>
      </c>
      <c r="C48" s="196"/>
      <c r="D48" s="196"/>
      <c r="E48" s="196"/>
      <c r="F48" s="196"/>
      <c r="G48" s="196"/>
      <c r="H48" s="196"/>
      <c r="I48" s="196"/>
      <c r="J48" s="196"/>
      <c r="K48" s="196"/>
      <c r="L48" s="196"/>
      <c r="M48" s="196"/>
      <c r="N48" s="196"/>
      <c r="O48" s="196"/>
      <c r="P48" s="196"/>
      <c r="Q48" s="196"/>
      <c r="R48" s="196"/>
      <c r="S48" s="198"/>
    </row>
    <row r="49" spans="1:74">
      <c r="A49" s="194" t="s">
        <v>535</v>
      </c>
      <c r="B49" s="197">
        <f>资产资本表!E103/资产资本表!E107</f>
        <v>4.9374697708670742E-2</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c r="A50" s="199" t="s">
        <v>536</v>
      </c>
      <c r="B50" s="195">
        <f>B48*(1-B49)</f>
        <v>65600078994.150269</v>
      </c>
      <c r="C50" s="305" t="s">
        <v>542</v>
      </c>
      <c r="D50" s="306"/>
      <c r="E50" s="307"/>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c r="A51" s="194" t="s">
        <v>538</v>
      </c>
      <c r="B51" s="209">
        <f>B55</f>
        <v>1256197800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4.25" thickBot="1">
      <c r="A52" s="200" t="s">
        <v>537</v>
      </c>
      <c r="B52" s="205">
        <f>B50/B51</f>
        <v>52.221138258760099</v>
      </c>
      <c r="C52" s="206">
        <f>$B$52*(1-C51)</f>
        <v>31.332682955256058</v>
      </c>
      <c r="D52" s="206">
        <f>$B$52*(1-D51)</f>
        <v>36.554796781132069</v>
      </c>
      <c r="E52" s="206">
        <f>$B$52*(1-E51)</f>
        <v>41.776910607008084</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3" customFormat="1">
      <c r="A54" s="193">
        <v>600519</v>
      </c>
      <c r="B54" s="178">
        <f>自由现金流分析表!E1</f>
        <v>43190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2" customFormat="1">
      <c r="A55" s="210" t="s">
        <v>549</v>
      </c>
      <c r="B55" s="100">
        <v>1256197800</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4.25" thickBot="1">
      <c r="A56" s="74"/>
      <c r="B56" s="93"/>
    </row>
    <row r="57" spans="1:74" ht="52.9" customHeight="1">
      <c r="A57" s="295" t="s">
        <v>739</v>
      </c>
      <c r="B57" s="296"/>
      <c r="C57" s="296"/>
      <c r="D57" s="296"/>
      <c r="E57" s="296"/>
      <c r="F57" s="296"/>
      <c r="G57" s="296"/>
      <c r="H57" s="296"/>
      <c r="I57" s="296"/>
    </row>
    <row r="60" spans="1:74" s="154" customFormat="1" ht="51" customHeight="1">
      <c r="A60" s="293" t="s">
        <v>607</v>
      </c>
      <c r="B60" s="294"/>
      <c r="C60" s="294"/>
      <c r="D60" s="294"/>
      <c r="E60" s="294"/>
      <c r="F60" s="294"/>
      <c r="G60" s="294"/>
      <c r="H60" s="294"/>
      <c r="I60" s="294"/>
    </row>
    <row r="63" spans="1:74" s="4" customFormat="1">
      <c r="A63" s="176" t="s">
        <v>609</v>
      </c>
      <c r="B63" s="175" t="s">
        <v>610</v>
      </c>
      <c r="C63" s="96" t="s">
        <v>611</v>
      </c>
      <c r="D63" s="96" t="s">
        <v>612</v>
      </c>
      <c r="E63" s="96" t="s">
        <v>627</v>
      </c>
      <c r="F63" s="96" t="s">
        <v>613</v>
      </c>
      <c r="G63" s="96" t="s">
        <v>614</v>
      </c>
      <c r="H63" s="96" t="s">
        <v>623</v>
      </c>
      <c r="I63" s="96" t="s">
        <v>616</v>
      </c>
      <c r="J63" s="96" t="s">
        <v>622</v>
      </c>
      <c r="K63" s="96" t="s">
        <v>618</v>
      </c>
      <c r="L63" s="96" t="s">
        <v>624</v>
      </c>
    </row>
    <row r="64" spans="1:74" s="26" customFormat="1">
      <c r="A64" s="177">
        <f>股权价值增加表!M1</f>
        <v>42460</v>
      </c>
      <c r="B64" s="165">
        <v>42366</v>
      </c>
      <c r="C64" s="164">
        <v>17.39</v>
      </c>
      <c r="D64" s="164">
        <v>3.4</v>
      </c>
      <c r="E64" s="166">
        <f>股权价值增加表!M42/100000000</f>
        <v>49.791816402499983</v>
      </c>
      <c r="F64" s="166">
        <v>0</v>
      </c>
      <c r="G64" s="164">
        <v>16.47</v>
      </c>
      <c r="H64" s="166">
        <f>G64*D64</f>
        <v>55.997999999999998</v>
      </c>
      <c r="I64" s="166">
        <f>C64*D64</f>
        <v>59.125999999999998</v>
      </c>
      <c r="J64" s="166">
        <f>H64/E64</f>
        <v>1.1246426430265439</v>
      </c>
      <c r="K64" s="166">
        <f>I64/E64</f>
        <v>1.1874642114287552</v>
      </c>
      <c r="L64" s="261">
        <v>0</v>
      </c>
    </row>
    <row r="65" spans="1:12" s="26" customFormat="1">
      <c r="A65" s="177">
        <f>股权价值增加表!I1</f>
        <v>42825</v>
      </c>
      <c r="B65" s="165">
        <v>42543</v>
      </c>
      <c r="C65" s="164">
        <v>23.13</v>
      </c>
      <c r="D65" s="164">
        <v>3.64</v>
      </c>
      <c r="E65" s="166">
        <f>股权价值增加表!I42/100000000</f>
        <v>59.729304735600003</v>
      </c>
      <c r="F65" s="166">
        <f>(E65-E64)/E64*100</f>
        <v>19.958075545524931</v>
      </c>
      <c r="G65" s="164">
        <v>23.11</v>
      </c>
      <c r="H65" s="166">
        <f t="shared" ref="H65:H66" si="8">G65*D65</f>
        <v>84.120400000000004</v>
      </c>
      <c r="I65" s="166">
        <f t="shared" ref="I65:I66" si="9">C65*D65</f>
        <v>84.193200000000004</v>
      </c>
      <c r="J65" s="166">
        <f t="shared" ref="J65:J66" si="10">H65/E65</f>
        <v>1.4083606091242908</v>
      </c>
      <c r="K65" s="166">
        <f t="shared" ref="K65:K66" si="11">I65/E65</f>
        <v>1.4095794413260425</v>
      </c>
      <c r="L65" s="261">
        <f>K65/F65</f>
        <v>7.062702203480252E-2</v>
      </c>
    </row>
    <row r="66" spans="1:12" s="26" customFormat="1">
      <c r="A66" s="177">
        <f>股权价值增加表!E1</f>
        <v>43190</v>
      </c>
      <c r="B66" s="165">
        <v>42872</v>
      </c>
      <c r="C66" s="164">
        <v>16.399999999999999</v>
      </c>
      <c r="D66" s="164">
        <v>9.09</v>
      </c>
      <c r="E66" s="166">
        <f>股权价值增加表!E42/100000000</f>
        <v>82.221789838299998</v>
      </c>
      <c r="F66" s="166">
        <f t="shared" ref="F66" si="12">(E66-E65)/E65*100</f>
        <v>37.657369698619597</v>
      </c>
      <c r="G66" s="164">
        <v>15.76</v>
      </c>
      <c r="H66" s="166">
        <f t="shared" si="8"/>
        <v>143.25839999999999</v>
      </c>
      <c r="I66" s="166">
        <f t="shared" si="9"/>
        <v>149.07599999999999</v>
      </c>
      <c r="J66" s="166">
        <f t="shared" si="10"/>
        <v>1.7423410543815276</v>
      </c>
      <c r="K66" s="166">
        <f t="shared" si="11"/>
        <v>1.8130960210569196</v>
      </c>
      <c r="L66" s="261">
        <f t="shared" ref="L66" si="13">K66/F66</f>
        <v>4.8147176384530706E-2</v>
      </c>
    </row>
    <row r="67" spans="1:12" s="26" customFormat="1">
      <c r="A67" s="160"/>
      <c r="B67" s="161"/>
      <c r="C67" s="83"/>
      <c r="D67" s="83"/>
      <c r="E67" s="83"/>
      <c r="F67" s="163"/>
      <c r="G67" s="83"/>
      <c r="H67" s="163"/>
      <c r="I67" s="163"/>
      <c r="J67" s="163"/>
      <c r="K67" s="163"/>
      <c r="L67" s="262"/>
    </row>
    <row r="68" spans="1:12" s="155" customFormat="1" ht="14.25" thickBot="1">
      <c r="A68" s="162" t="s">
        <v>621</v>
      </c>
      <c r="B68" s="44" t="s">
        <v>610</v>
      </c>
      <c r="C68" s="44" t="s">
        <v>611</v>
      </c>
      <c r="D68" s="44" t="s">
        <v>612</v>
      </c>
      <c r="E68" s="44" t="s">
        <v>620</v>
      </c>
      <c r="F68" s="44" t="s">
        <v>613</v>
      </c>
      <c r="G68" s="44" t="s">
        <v>614</v>
      </c>
      <c r="H68" s="44" t="s">
        <v>615</v>
      </c>
      <c r="I68" s="44" t="s">
        <v>616</v>
      </c>
      <c r="J68" s="44" t="s">
        <v>617</v>
      </c>
      <c r="K68" s="44" t="s">
        <v>618</v>
      </c>
      <c r="L68" s="263" t="s">
        <v>619</v>
      </c>
    </row>
    <row r="69" spans="1:12" s="26" customFormat="1" ht="14.25" thickBot="1">
      <c r="A69" s="167" t="s">
        <v>626</v>
      </c>
      <c r="B69" s="168">
        <v>43305</v>
      </c>
      <c r="C69" s="169">
        <v>11.65</v>
      </c>
      <c r="D69" s="169">
        <v>9.09</v>
      </c>
      <c r="E69" s="169">
        <v>4.33</v>
      </c>
      <c r="F69" s="170">
        <f>(E69-E66)/E66*100</f>
        <v>-94.733756090063821</v>
      </c>
      <c r="G69" s="169">
        <v>10.119999999999999</v>
      </c>
      <c r="H69" s="170">
        <f>G69*D69</f>
        <v>91.990799999999993</v>
      </c>
      <c r="I69" s="170">
        <f>C69*D69</f>
        <v>105.8985</v>
      </c>
      <c r="J69" s="170">
        <f>H69/E69</f>
        <v>21.244988452655885</v>
      </c>
      <c r="K69" s="170">
        <f>I69/E69</f>
        <v>24.456928406466513</v>
      </c>
      <c r="L69" s="264">
        <f>K69/F69</f>
        <v>-0.25816487613153644</v>
      </c>
    </row>
    <row r="70" spans="1:12" s="26" customFormat="1" ht="14.25" thickBot="1">
      <c r="A70" s="171" t="s">
        <v>625</v>
      </c>
      <c r="B70" s="172">
        <v>43305</v>
      </c>
      <c r="C70" s="173">
        <v>11.65</v>
      </c>
      <c r="D70" s="173">
        <v>9.09</v>
      </c>
      <c r="E70" s="173">
        <v>3.86</v>
      </c>
      <c r="F70" s="174">
        <f>(E70-E66)/E66*100</f>
        <v>-95.30538071770124</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-0.28786249373315781</v>
      </c>
    </row>
    <row r="71" spans="1:12" s="88" customFormat="1" ht="138" customHeight="1">
      <c r="A71" s="291" t="s">
        <v>628</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2019-04-01T05:46:09Z</dcterms:modified>
</cp:coreProperties>
</file>