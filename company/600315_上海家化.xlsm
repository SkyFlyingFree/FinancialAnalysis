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FF72D68B-4969-4009-8BB3-2C9B6C2B8FE3}"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 i="13"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M87" i="11"/>
  <c r="BZ100" i="11"/>
  <c r="BZ101" i="11" s="1"/>
  <c r="BU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T24" i="6"/>
  <c r="BL24" i="6"/>
  <c r="BD24" i="6"/>
  <c r="AX24" i="6"/>
  <c r="AV24" i="6"/>
  <c r="AN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8" i="10" s="1"/>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8" i="10" s="1"/>
  <c r="BC7" i="6"/>
  <c r="BK7" i="10"/>
  <c r="BK8" i="10" s="1"/>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8"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Y26" i="12" s="1"/>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X8" i="10"/>
  <c r="BB2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13" i="12"/>
  <c r="BA13" i="12"/>
  <c r="CK18" i="12"/>
  <c r="AE13" i="12"/>
  <c r="X13" i="12"/>
  <c r="BL13" i="12"/>
  <c r="CJ13" i="12"/>
  <c r="CC26" i="12"/>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O23" i="7" l="1"/>
  <c r="BK9" i="10"/>
  <c r="BR9" i="10"/>
  <c r="BI9" i="10"/>
  <c r="CC9" i="10"/>
  <c r="CB9" i="10"/>
  <c r="BZ31" i="6"/>
  <c r="BZ32" i="6" s="1"/>
  <c r="D11" i="13"/>
  <c r="D12" i="13" s="1"/>
  <c r="BQ32" i="9"/>
  <c r="AJ74" i="11"/>
  <c r="AJ75" i="11" s="1"/>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Q5" i="8"/>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50" i="10" l="1"/>
  <c r="V33" i="6"/>
  <c r="V34" i="6" s="1"/>
  <c r="BZ49" i="10"/>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F1" i="13" s="1"/>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<sst xmlns="http://schemas.openxmlformats.org/spreadsheetml/2006/main" count="1013" uniqueCount="752">
  <si>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</si>
  <si>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</si>
  <si>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</si>
  <si>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</si>
  <si>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</si>
  <si>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</si>
  <si>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</si>
  <si>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</si>
  <si>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</si>
  <si>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</si>
  <si>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</si>
  <si>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</si>
  <si>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</si>
  <si>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</si>
  <si>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</si>
  <si>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</si>
  <si>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</si>
  <si>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</si>
  <si>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</si>
  <si>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</si>
  <si>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</si>
  <si>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</si>
  <si>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</si>
  <si>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</si>
  <si>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</si>
  <si>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</si>
  <si>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</si>
  <si>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</si>
  <si>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</si>
  <si>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</si>
  <si>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</si>
  <si>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</si>
  <si>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</si>
  <si>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</si>
  <si>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</si>
  <si>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</si>
  <si>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</si>
  <si>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</si>
  <si>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</si>
  <si>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</si>
  <si>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</si>
  <si>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</si>
  <si>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</si>
  <si>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</si>
  <si>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</si>
  <si>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</si>
  <si>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</si>
  <si>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</si>
  <si>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</si>
  <si>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</si>
  <si>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</si>
  <si>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</si>
  <si>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</si>
  <si>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</si>
  <si>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</si>
  <si>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</si>
  <si>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</si>
  <si>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</si>
  <si>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</si>
  <si>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</si>
  <si>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</si>
  <si>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</si>
  <si>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</si>
  <si>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</si>
  <si>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</si>
  <si>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</si>
  <si>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</si>
  <si>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</si>
  <si>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</si>
  <si>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</si>
  <si>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</si>
  <si>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</si>
  <si>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</si>
  <si>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</si>
  <si>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</si>
  <si>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</si>
  <si>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</si>
  <si>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</si>
  <si>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</si>
  <si>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</si>
  <si>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</si>
  <si>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</si>
  <si>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</si>
  <si>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</si>
  <si>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</si>
  <si>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</si>
  <si>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</si>
  <si>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</si>
  <si>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</si>
  <si>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</si>
  <si>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</si>
  <si>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</si>
  <si>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</si>
  <si>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</si>
  <si>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</si>
  <si>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</si>
  <si>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</si>
  <si>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</si>
  <si>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</si>
  <si>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</si>
  <si>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</si>
  <si>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</si>
  <si>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</si>
  <si>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</si>
  <si>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</si>
  <si>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</si>
  <si>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</si>
  <si>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</si>
  <si>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</si>
  <si>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</si>
  <si>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</si>
  <si>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</si>
  <si>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</si>
  <si>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</si>
  <si>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</si>
  <si>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</si>
  <si>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</si>
  <si>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</si>
  <si>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</si>
  <si>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</si>
  <si>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</si>
  <si>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</si>
  <si>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</si>
  <si>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</si>
  <si>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</si>
  <si>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</si>
  <si>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</si>
  <si>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</si>
  <si>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</si>
  <si>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</si>
  <si>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</si>
  <si>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</si>
  <si>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</si>
  <si>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</si>
  <si>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</si>
  <si>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</si>
  <si>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</si>
  <si>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</si>
  <si>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</si>
  <si>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</si>
  <si>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</si>
  <si>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</si>
  <si>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</si>
  <si>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</si>
  <si>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</si>
  <si>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</si>
  <si>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</si>
  <si>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</si>
  <si>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</si>
  <si>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</si>
  <si>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</si>
  <si>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</si>
  <si>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</si>
  <si>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</si>
  <si>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</si>
  <si>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</si>
  <si>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</si>
  <si>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</si>
  <si>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</si>
  <si>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</si>
  <si>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</si>
  <si>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</si>
  <si>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</si>
  <si>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</si>
  <si>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</si>
  <si>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</si>
  <si>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</si>
  <si>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</si>
  <si>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</si>
  <si>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</si>
  <si>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</si>
  <si>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</si>
  <si>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</si>
  <si>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</si>
  <si>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</si>
  <si>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</si>
  <si>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</si>
  <si>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</si>
  <si>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</si>
  <si>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</si>
  <si>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</si>
  <si>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</si>
  <si>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</si>
  <si>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</si>
  <si>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</si>
  <si>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</si>
  <si>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</si>
  <si>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</si>
  <si>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</si>
  <si>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</si>
  <si>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</si>
  <si>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</si>
  <si>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</si>
  <si>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</si>
  <si>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</si>
  <si>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</si>
  <si>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</si>
  <si>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</si>
  <si>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</si>
  <si>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</si>
  <si>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</si>
  <si>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</si>
  <si>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</si>
  <si>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</si>
  <si>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</si>
  <si>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</si>
  <si>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</si>
  <si>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</si>
  <si>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</si>
  <si>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</si>
  <si>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</si>
  <si>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</si>
  <si>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</si>
  <si>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</si>
  <si>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</si>
  <si>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</si>
  <si>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</si>
  <si>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</si>
  <si>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</si>
  <si>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</si>
  <si>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</si>
  <si>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</si>
  <si>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</si>
  <si>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</si>
  <si>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</si>
  <si>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</si>
  <si>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</si>
  <si>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</si>
  <si>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</si>
  <si>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</si>
  <si>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</si>
  <si>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</si>
  <si>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</si>
  <si>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</si>
  <si>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</si>
  <si>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</si>
  <si>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</si>
  <si>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</si>
  <si>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</si>
  <si>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</si>
  <si>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</si>
  <si>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</si>
  <si>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</si>
  <si>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</si>
  <si>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</si>
  <si>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</si>
  <si>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</si>
  <si>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</si>
  <si>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</si>
  <si>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</si>
  <si>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</si>
  <si>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</si>
  <si>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</si>
  <si>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</si>
  <si>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</si>
  <si>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</si>
  <si>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</si>
  <si>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</si>
  <si>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</si>
  <si>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</si>
  <si>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</si>
  <si>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</si>
  <si>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</si>
  <si>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</si>
  <si>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</si>
  <si>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</si>
  <si>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</si>
  <si>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</si>
  <si>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</si>
  <si>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</si>
  <si>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</si>
  <si>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</si>
  <si>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</si>
  <si>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</si>
  <si>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</si>
  <si>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</si>
  <si>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</si>
  <si>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</si>
  <si>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</si>
  <si>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</si>
  <si>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</si>
  <si>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</si>
  <si>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</si>
  <si>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</si>
  <si>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</si>
  <si>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</si>
  <si>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</si>
  <si>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</si>
  <si>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</si>
  <si>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</si>
  <si>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</si>
  <si>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</si>
  <si>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</si>
  <si>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</si>
  <si>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</si>
  <si>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</si>
  <si>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</si>
  <si>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</si>
  <si>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</si>
  <si>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</si>
  <si>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</si>
  <si>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</si>
  <si>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</si>
  <si>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</si>
  <si>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</si>
  <si>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</si>
  <si>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</si>
  <si>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</si>
  <si>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</si>
  <si>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</si>
  <si>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</si>
  <si>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</si>
  <si>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</si>
  <si>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</si>
  <si>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</si>
  <si>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</si>
  <si>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</si>
  <si>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</si>
  <si>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</si>
  <si>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</si>
  <si>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</si>
  <si>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</si>
  <si>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</si>
  <si>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</si>
  <si>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</si>
  <si>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</si>
  <si>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</si>
  <si>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</si>
  <si>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</si>
  <si>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</si>
  <si>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</si>
  <si>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</si>
  <si>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</si>
  <si>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</si>
  <si>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</si>
  <si>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</si>
  <si>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</si>
  <si>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</si>
  <si>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</si>
  <si>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</si>
  <si>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</si>
  <si>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</si>
  <si>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</si>
  <si>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</si>
  <si>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</si>
  <si>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</si>
  <si>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</si>
  <si>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</si>
  <si>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</si>
  <si>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</si>
  <si>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</si>
  <si>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</si>
  <si>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</si>
  <si>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</si>
  <si>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</si>
  <si>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</si>
  <si>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</si>
  <si>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</si>
  <si>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</si>
  <si>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</si>
  <si>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</si>
  <si>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</si>
  <si>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</si>
  <si>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</si>
  <si>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</si>
  <si>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</si>
  <si>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</si>
  <si>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</si>
  <si>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</si>
  <si>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</si>
  <si>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</si>
  <si>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</si>
  <si>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</si>
  <si>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</si>
  <si>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</si>
  <si>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</si>
  <si>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</si>
  <si>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</si>
  <si>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</si>
  <si>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</si>
  <si>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</si>
  <si>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</si>
  <si>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</si>
  <si>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</si>
  <si>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</si>
  <si>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</si>
  <si>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</si>
  <si>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</si>
  <si>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</si>
  <si>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</si>
  <si>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</si>
  <si>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</si>
  <si>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</si>
  <si>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</si>
  <si>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</si>
  <si>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</si>
  <si>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</si>
  <si>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</si>
  <si>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</si>
  <si>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</si>
  <si>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</si>
  <si>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</si>
  <si>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</si>
  <si>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</si>
  <si>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</si>
  <si>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</si>
  <si>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</si>
  <si>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</si>
  <si>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</si>
  <si>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</si>
  <si>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</si>
  <si>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</si>
  <si>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</si>
  <si>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</si>
  <si>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</si>
  <si>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</si>
  <si>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</si>
  <si>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</si>
  <si>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</si>
  <si>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</si>
  <si>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</si>
  <si>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</si>
  <si>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</si>
  <si>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</si>
  <si>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</si>
  <si>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</si>
  <si>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</si>
  <si>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</si>
  <si>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</si>
  <si>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</si>
  <si>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</si>
  <si>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</si>
  <si>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</si>
  <si>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</si>
  <si>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</si>
  <si>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</si>
  <si>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</si>
  <si>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</si>
  <si>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</si>
  <si>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</si>
  <si>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</si>
  <si>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</si>
  <si>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</si>
  <si>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</si>
  <si>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</si>
  <si>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</si>
  <si>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</si>
  <si>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</si>
  <si>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</si>
  <si>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</si>
  <si>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</si>
  <si>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</si>
  <si>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</si>
  <si>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</si>
  <si>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</si>
  <si>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</si>
  <si>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</si>
  <si>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</si>
  <si>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</si>
  <si>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</si>
  <si>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</si>
  <si>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</si>
  <si>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</si>
  <si>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</si>
  <si>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</si>
  <si>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</si>
  <si>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</si>
  <si>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</si>
  <si>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</si>
  <si>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</si>
  <si>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</si>
  <si>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</si>
  <si>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</si>
  <si>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</si>
  <si>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</si>
  <si>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</si>
  <si>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</si>
  <si>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</si>
  <si>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</si>
  <si>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</si>
  <si>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</si>
  <si>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</si>
  <si>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</si>
  <si>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</si>
  <si>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</si>
  <si>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</si>
  <si>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</si>
  <si>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</si>
  <si>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</si>
  <si>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</si>
  <si>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</si>
  <si>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</si>
  <si>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</si>
  <si>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</si>
  <si>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</si>
  <si>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</si>
  <si>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</si>
  <si>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</si>
  <si>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</si>
  <si>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</si>
  <si>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</si>
  <si>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</si>
  <si>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</si>
  <si>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</si>
  <si>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</si>
  <si>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</si>
  <si>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</si>
  <si>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</si>
  <si>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</si>
  <si>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</si>
  <si>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</si>
  <si>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</si>
  <si>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</si>
  <si>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</si>
  <si>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</si>
  <si>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</si>
  <si>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</si>
  <si>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</si>
  <si>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</si>
  <si>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</si>
  <si>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</si>
  <si>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</si>
  <si>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</si>
  <si>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</si>
  <si>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</si>
  <si>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</si>
  <si>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</si>
  <si>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</si>
  <si>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</si>
  <si>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</si>
  <si>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</si>
  <si>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</si>
  <si>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</si>
  <si>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</si>
  <si>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</si>
  <si>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</si>
  <si>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</si>
  <si>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</si>
  <si>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</si>
  <si>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</si>
  <si>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</si>
  <si>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</si>
  <si>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</si>
  <si>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</si>
  <si>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</si>
  <si>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</si>
  <si>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</si>
  <si>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</si>
  <si>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</si>
  <si>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</si>
  <si>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</si>
  <si>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</si>
  <si>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</si>
  <si>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</si>
  <si>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</si>
  <si>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</si>
  <si>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</si>
  <si>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</si>
  <si>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</si>
  <si>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</si>
  <si>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</si>
  <si>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</si>
  <si>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</si>
  <si>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</si>
  <si>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</si>
  <si>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</si>
  <si>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</si>
  <si>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</si>
  <si>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</si>
  <si>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</si>
  <si>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</si>
  <si>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</si>
  <si>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</si>
  <si>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</si>
  <si>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</si>
  <si>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</si>
  <si>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</si>
  <si>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</si>
  <si>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</si>
  <si>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</si>
  <si>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</si>
  <si>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</si>
  <si>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</si>
  <si>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</si>
  <si>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</si>
  <si>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</si>
  <si>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</si>
  <si>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</si>
  <si>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</si>
  <si>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</si>
  <si>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</si>
  <si>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</si>
  <si>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</si>
  <si>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</si>
  <si>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</si>
  <si>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</si>
  <si>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</si>
  <si>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</si>
  <si>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</si>
  <si>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</si>
  <si>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</si>
  <si>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</si>
  <si>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</si>
  <si>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</si>
  <si>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</si>
  <si>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</si>
  <si>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</si>
  <si>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</si>
  <si>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</si>
  <si>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</si>
  <si>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</si>
  <si>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</si>
  <si>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</si>
  <si>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</si>
  <si>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</si>
  <si>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</si>
  <si>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</si>
  <si>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</si>
  <si>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</si>
  <si>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</si>
  <si>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</si>
  <si>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</si>
  <si>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</si>
  <si>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</si>
  <si>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</si>
  <si>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</si>
  <si>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</si>
  <si>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</si>
  <si>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</si>
  <si>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</si>
  <si>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</si>
  <si>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</si>
  <si>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</si>
  <si>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</si>
  <si>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</si>
  <si>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</si>
  <si>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</si>
  <si>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</si>
  <si>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</si>
  <si>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</si>
  <si>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</si>
  <si>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</si>
  <si>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</si>
  <si>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</si>
  <si>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</si>
  <si>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</si>
  <si>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</si>
  <si>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</si>
  <si>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</si>
  <si>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</si>
  <si>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</si>
  <si>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</si>
  <si>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</si>
  <si>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</si>
  <si>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</si>
  <si>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</si>
  <si>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</si>
  <si>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</si>
  <si>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</si>
  <si>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</si>
  <si>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</si>
  <si>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</si>
  <si>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</si>
  <si>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</si>
  <si>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</si>
  <si>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</si>
  <si>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</si>
  <si>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</si>
  <si>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</si>
  <si>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</si>
  <si>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</si>
  <si>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</si>
  <si>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</si>
  <si>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</si>
  <si>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</si>
  <si>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</si>
  <si>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</si>
  <si>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</si>
  <si>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</si>
  <si>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</si>
  <si>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</si>
  <si>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</si>
  <si>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</si>
  <si>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</si>
  <si>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</si>
  <si>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</si>
  <si>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</si>
  <si>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</si>
  <si>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</si>
  <si>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</si>
  <si>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</si>
  <si>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</si>
  <si>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</si>
  <si>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</si>
  <si>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</si>
  <si>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</si>
  <si>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</si>
  <si>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</si>
  <si>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</si>
  <si>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</si>
  <si>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</si>
  <si>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</si>
  <si>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</si>
  <si>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</si>
  <si>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</si>
  <si>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</si>
  <si>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</si>
  <si>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</si>
  <si>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</si>
  <si>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</si>
  <si>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</si>
  <si>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</si>
  <si>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</si>
  <si>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</si>
  <si>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</si>
  <si>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</si>
  <si>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</si>
  <si>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</si>
  <si>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</si>
  <si>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</si>
  <si>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</si>
  <si>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</si>
  <si>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</si>
  <si>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</si>
  <si>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</si>
  <si>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</si>
  <si>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</si>
  <si>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</si>
  <si>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</si>
  <si>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</si>
  <si>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</si>
  <si>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</si>
  <si>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</si>
  <si>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</si>
  <si>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</si>
  <si>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</si>
  <si>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</si>
  <si>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</si>
  <si>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</si>
  <si>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</si>
  <si>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</si>
  <si>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</si>
  <si>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</si>
  <si>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</si>
  <si>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</si>
  <si>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</si>
  <si>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</si>
  <si>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</si>
  <si>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</si>
  <si>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股权资本成本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</si>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</sst>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0.64927810075360026</c:v>
                </c:pt>
                <c:pt idx="1">
                  <c:v>0.61260708123569074</c:v>
                </c:pt>
                <c:pt idx="2">
                  <c:v>0.59179550572466144</c:v>
                </c:pt>
                <c:pt idx="3">
                  <c:v>0.61815901104149651</c:v>
                </c:pt>
                <c:pt idx="4">
                  <c:v>0.62958758431560502</c:v>
                </c:pt>
                <c:pt idx="5">
                  <c:v>0.55012674316819221</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3.9595987671992086E-2</c:v>
                </c:pt>
                <c:pt idx="1">
                  <c:v>2.5935208779394623E-2</c:v>
                </c:pt>
                <c:pt idx="2">
                  <c:v>0.11224379460487069</c:v>
                </c:pt>
                <c:pt idx="3">
                  <c:v>0.13224555070744778</c:v>
                </c:pt>
                <c:pt idx="4">
                  <c:v>0.14784492040883809</c:v>
                </c:pt>
                <c:pt idx="5">
                  <c:v>0.10349489234709675</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8.1123306056906819E-2</c:v>
                </c:pt>
                <c:pt idx="1">
                  <c:v>4.6975110459600213E-2</c:v>
                </c:pt>
                <c:pt idx="2">
                  <c:v>0.45510182544344552</c:v>
                </c:pt>
                <c:pt idx="3">
                  <c:v>0.21259658375221868</c:v>
                </c:pt>
                <c:pt idx="4">
                  <c:v>0.21575295562642852</c:v>
                </c:pt>
                <c:pt idx="5">
                  <c:v>0.16246232668206237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6.8231626347409063E-2</c:v>
                </c:pt>
                <c:pt idx="1">
                  <c:v>3.1977961548067167E-2</c:v>
                </c:pt>
                <c:pt idx="2">
                  <c:v>0.43270154877905059</c:v>
                </c:pt>
                <c:pt idx="3">
                  <c:v>0.17523504048106181</c:v>
                </c:pt>
                <c:pt idx="4">
                  <c:v>0.18890348932262763</c:v>
                </c:pt>
                <c:pt idx="5">
                  <c:v>0.14624760518541363</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7.1017774611857959E-2</c:v>
                </c:pt>
                <c:pt idx="1">
                  <c:v>4.6287966317927587E-2</c:v>
                </c:pt>
                <c:pt idx="2">
                  <c:v>0.45467075027648257</c:v>
                </c:pt>
                <c:pt idx="3">
                  <c:v>0.2122083632892974</c:v>
                </c:pt>
                <c:pt idx="4">
                  <c:v>0.21531935620350928</c:v>
                </c:pt>
                <c:pt idx="5">
                  <c:v>0.16185774542179879</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5.8465397916039268E-2</c:v>
                </c:pt>
                <c:pt idx="1">
                  <c:v>3.2277240137776539E-2</c:v>
                </c:pt>
                <c:pt idx="2">
                  <c:v>0.38599005490789973</c:v>
                </c:pt>
                <c:pt idx="3">
                  <c:v>0.16823757290271568</c:v>
                </c:pt>
                <c:pt idx="4">
                  <c:v>0.1837779866484785</c:v>
                </c:pt>
                <c:pt idx="5">
                  <c:v>0.14067027308990948</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471244800.93000001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290570545.68000001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2611460171.1500001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1142101985.72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960642405.05999994</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723368555.76999998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-50786251.158800364</c:v>
                </c:pt>
                <c:pt idx="1">
                  <c:v>-249376485.76839989</c:v>
                </c:pt>
                <c:pt idx="2">
                  <c:v>1798146078.2652009</c:v>
                </c:pt>
                <c:pt idx="3">
                  <c:v>593073619.09440041</c:v>
                </c:pt>
                <c:pt idx="4">
                  <c:v>551981317.63080072</c:v>
                </c:pt>
                <c:pt idx="5">
                  <c:v>415077450.02519977</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5376551846.6099997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5264125997.2299995</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5728747482.5600004</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3805206460.5700002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3365391166.2399998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2731483774.8099999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1,776,679,236.93 </c:v>
                </c:pt>
                <c:pt idx="5">
                  <c:v>1,675,159,186.32 </c:v>
                </c:pt>
                <c:pt idx="6">
                  <c:v>1,376,532,698.55 </c:v>
                </c:pt>
                <c:pt idx="7">
                  <c:v>1,218,608,485.24 </c:v>
                </c:pt>
                <c:pt idx="8">
                  <c:v>1,113,668,565.66 </c:v>
                </c:pt>
                <c:pt idx="9">
                  <c:v>955,706,154.93 </c:v>
                </c:pt>
                <c:pt idx="10">
                  <c:v>1,609,318,877.15 </c:v>
                </c:pt>
                <c:pt idx="11">
                  <c:v>1,341,990,518.96 </c:v>
                </c:pt>
                <c:pt idx="12">
                  <c:v>1,205,907,962.55 </c:v>
                </c:pt>
                <c:pt idx="13">
                  <c:v>1,177,300,050.62 </c:v>
                </c:pt>
                <c:pt idx="14">
                  <c:v>1,229,640,851.91 </c:v>
                </c:pt>
                <c:pt idx="15">
                  <c:v>1,219,659,301.60 </c:v>
                </c:pt>
                <c:pt idx="16">
                  <c:v>1,186,320,402.14 </c:v>
                </c:pt>
                <c:pt idx="17">
                  <c:v>1,094,017,530.25 </c:v>
                </c:pt>
                <c:pt idx="18">
                  <c:v>1,033,441,975.80 </c:v>
                </c:pt>
                <c:pt idx="19">
                  <c:v>1,002,490,727.98 </c:v>
                </c:pt>
                <c:pt idx="20">
                  <c:v>958,142,068.28 </c:v>
                </c:pt>
              </c:strCache>
            </c:strRef>
          </c:tx>
          <c:invertIfNegative val="0"/>
          <c:cat>
            <c:numRef>
              <c:f>投资和筹资活动现金流表!$E$12</c:f>
              <c:numCache>
                <c:formatCode>#,##0.00_ </c:formatCode>
                <c:ptCount val="1"/>
                <c:pt idx="0">
                  <c:v>1776679236.9299998</c:v>
                </c:pt>
              </c:numCache>
            </c:numRef>
          </c:cat>
          <c:val>
            <c:numRef>
              <c:f>投资和筹资活动现金流表!$E$12:$U$12</c:f>
              <c:numCache>
                <c:formatCode>#,##0.00_ </c:formatCode>
                <c:ptCount val="5"/>
                <c:pt idx="0">
                  <c:v>1776679236.9299998</c:v>
                </c:pt>
                <c:pt idx="1">
                  <c:v>1113668565.6600001</c:v>
                </c:pt>
                <c:pt idx="2">
                  <c:v>1205907962.55</c:v>
                </c:pt>
                <c:pt idx="3">
                  <c:v>1186320402.1400001</c:v>
                </c:pt>
                <c:pt idx="4">
                  <c:v>958142068.27999997</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0.18756435195124058</c:v>
                </c:pt>
                <c:pt idx="1">
                  <c:v>0.29964924029460371</c:v>
                </c:pt>
                <c:pt idx="2">
                  <c:v>0.31404235906958605</c:v>
                </c:pt>
                <c:pt idx="3">
                  <c:v>-2.4749110566619969E-3</c:v>
                </c:pt>
                <c:pt idx="4">
                  <c:v>5.6982626300930601E-2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1.539609960830906</c:v>
                </c:pt>
                <c:pt idx="1">
                  <c:v>0.39840603757705145</c:v>
                </c:pt>
                <c:pt idx="2">
                  <c:v>-0.34983474211498283</c:v>
                </c:pt>
                <c:pt idx="3">
                  <c:v>12.551188792753072</c:v>
                </c:pt>
                <c:pt idx="4">
                  <c:v>6.5580823083146838</c:v>
                </c:pt>
                <c:pt idx="5">
                  <c:v>6.0197041042990493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523646716.59000003</c:v>
                </c:pt>
                <c:pt idx="1">
                  <c:v>480376955.06</c:v>
                </c:pt>
                <c:pt idx="2">
                  <c:v>480253786.83999997</c:v>
                </c:pt>
                <c:pt idx="3">
                  <c:v>97201249.390000001</c:v>
                </c:pt>
                <c:pt idx="4">
                  <c:v>156871214.64999998</c:v>
                </c:pt>
                <c:pt idx="5">
                  <c:v>132243563.97999999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36083631.280000001</c:v>
                </c:pt>
                <c:pt idx="1">
                  <c:v>-344842967</c:v>
                </c:pt>
                <c:pt idx="2">
                  <c:v>-1916888138.51</c:v>
                </c:pt>
                <c:pt idx="3">
                  <c:v>-7204267.3899999997</c:v>
                </c:pt>
                <c:pt idx="4">
                  <c:v>0</c:v>
                </c:pt>
                <c:pt idx="5">
                  <c:v>6121010.6600000001</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861766418.96000004</c:v>
                </c:pt>
                <c:pt idx="1">
                  <c:v>53997559.140000001</c:v>
                </c:pt>
                <c:pt idx="2">
                  <c:v>502584607.93000001</c:v>
                </c:pt>
                <c:pt idx="3">
                  <c:v>1129569111.8599999</c:v>
                </c:pt>
                <c:pt idx="4">
                  <c:v>1028774337.48</c:v>
                </c:pt>
                <c:pt idx="5">
                  <c:v>832913797.85000002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-2102637513.2</c:v>
                </c:pt>
                <c:pt idx="1">
                  <c:v>-676059467.37</c:v>
                </c:pt>
                <c:pt idx="2">
                  <c:v>-399083491.27999997</c:v>
                </c:pt>
                <c:pt idx="3">
                  <c:v>-373362826.51999998</c:v>
                </c:pt>
                <c:pt idx="4">
                  <c:v>-310793943.76999998</c:v>
                </c:pt>
                <c:pt idx="5">
                  <c:v>238314773.43000001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-67341646.700000003</c:v>
                </c:pt>
                <c:pt idx="1">
                  <c:v>-667291789.88999999</c:v>
                </c:pt>
                <c:pt idx="2">
                  <c:v>-378501093.70999998</c:v>
                </c:pt>
                <c:pt idx="3">
                  <c:v>-342946037.61000001</c:v>
                </c:pt>
                <c:pt idx="4">
                  <c:v>-31385</c:v>
                </c:pt>
                <c:pt idx="5">
                  <c:v>415975566</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-72019143.469999999</c:v>
                </c:pt>
                <c:pt idx="1">
                  <c:v>-42133639.380000003</c:v>
                </c:pt>
                <c:pt idx="2">
                  <c:v>0</c:v>
                </c:pt>
                <c:pt idx="3">
                  <c:v>0</c:v>
                </c:pt>
                <c:pt idx="4">
                  <c:v>0</c:v>
                </c:pt>
                <c:pt idx="5">
                  <c:v>-631806.73</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73812809.920000002</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-939820000</c:v>
                </c:pt>
                <c:pt idx="1">
                  <c:v>578920000</c:v>
                </c:pt>
                <c:pt idx="2">
                  <c:v>1627866141.6999998</c:v>
                </c:pt>
                <c:pt idx="3">
                  <c:v>-159533439.70000005</c:v>
                </c:pt>
                <c:pt idx="4">
                  <c:v>191690793.13999999</c:v>
                </c:pt>
                <c:pt idx="5">
                  <c:v>494087368</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60031779.07</c:v>
                </c:pt>
                <c:pt idx="1">
                  <c:v>42133639.380000003</c:v>
                </c:pt>
                <c:pt idx="2">
                  <c:v>0</c:v>
                </c:pt>
                <c:pt idx="3">
                  <c:v>0</c:v>
                </c:pt>
                <c:pt idx="4">
                  <c:v>0</c:v>
                </c:pt>
                <c:pt idx="5">
                  <c:v>631806.73</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1101185072.3800001</c:v>
                </c:pt>
                <c:pt idx="1">
                  <c:v>0</c:v>
                </c:pt>
                <c:pt idx="2">
                  <c:v>0</c:v>
                </c:pt>
                <c:pt idx="3">
                  <c:v>0</c:v>
                </c:pt>
                <c:pt idx="4">
                  <c:v>15161744.57</c:v>
                </c:pt>
                <c:pt idx="5">
                  <c:v>2638330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5376551846.6099997</c:v>
                </c:pt>
                <c:pt idx="1">
                  <c:v>5264125997.2299995</c:v>
                </c:pt>
                <c:pt idx="2">
                  <c:v>5728747482.5600004</c:v>
                </c:pt>
                <c:pt idx="3">
                  <c:v>3805206460.5699997</c:v>
                </c:pt>
                <c:pt idx="4">
                  <c:v>3365391166.2400002</c:v>
                </c:pt>
                <c:pt idx="5">
                  <c:v>2731483774.8100004</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6480245388.0299997</c:v>
                </c:pt>
                <c:pt idx="1">
                  <c:v>5302630348.1700001</c:v>
                </c:pt>
                <c:pt idx="2">
                  <c:v>5729931762.5599995</c:v>
                </c:pt>
                <c:pt idx="3">
                  <c:v>3819507280.5699997</c:v>
                </c:pt>
                <c:pt idx="4">
                  <c:v>3397247610.8099999</c:v>
                </c:pt>
                <c:pt idx="5">
                  <c:v>2744262104.8100004</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8.1627541180422925E-2</c:v>
                </c:pt>
                <c:pt idx="1">
                  <c:v>7.9419090550737134E-2</c:v>
                </c:pt>
                <c:pt idx="2">
                  <c:v>7.998346535283038E-2</c:v>
                </c:pt>
                <c:pt idx="3">
                  <c:v>7.9700467752524026E-2</c:v>
                </c:pt>
                <c:pt idx="4">
                  <c:v>7.9249829315505102E-2</c:v>
                </c:pt>
                <c:pt idx="5">
                  <c:v>7.9697537418942338E-2</c:v>
                </c:pt>
                <c:pt idx="6">
                  <c:v>7.9704317322561211E-2</c:v>
                </c:pt>
                <c:pt idx="7">
                  <c:v>7.9397873418957265E-2</c:v>
                </c:pt>
                <c:pt idx="8">
                  <c:v>7.8874249126539966E-2</c:v>
                </c:pt>
                <c:pt idx="9">
                  <c:v>7.2911071185770351E-2</c:v>
                </c:pt>
                <c:pt idx="10">
                  <c:v>6.5230286058985967E-2</c:v>
                </c:pt>
                <c:pt idx="11">
                  <c:v>6.3379667673873208E-2</c:v>
                </c:pt>
                <c:pt idx="12">
                  <c:v>6.8289882249130823E-2</c:v>
                </c:pt>
                <c:pt idx="13">
                  <c:v>7.2270403756524243E-2</c:v>
                </c:pt>
                <c:pt idx="14">
                  <c:v>7.5738374208370041E-2</c:v>
                </c:pt>
                <c:pt idx="15">
                  <c:v>7.4794122680818892E-2</c:v>
                </c:pt>
                <c:pt idx="16">
                  <c:v>6.8272292723031688E-2</c:v>
                </c:pt>
                <c:pt idx="17">
                  <c:v>6.9321288960232111E-2</c:v>
                </c:pt>
                <c:pt idx="18">
                  <c:v>6.6084512967862649E-2</c:v>
                </c:pt>
                <c:pt idx="19">
                  <c:v>3.0350504663129E-2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-0.32221183450236007</c:v>
                </c:pt>
                <c:pt idx="1">
                  <c:v>-0.22897854923943836</c:v>
                </c:pt>
                <c:pt idx="2">
                  <c:v>0.33304677516100334</c:v>
                </c:pt>
                <c:pt idx="3">
                  <c:v>0.51351500886358481</c:v>
                </c:pt>
                <c:pt idx="4">
                  <c:v>-2.0569975009135068E-2</c:v>
                </c:pt>
                <c:pt idx="5">
                  <c:v>1.0843969359381913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9.4776400059503156E-3</c:v>
                </c:pt>
                <c:pt idx="1">
                  <c:v>0.7351662118486475</c:v>
                </c:pt>
                <c:pt idx="2">
                  <c:v>-0.83203922331961022</c:v>
                </c:pt>
                <c:pt idx="3">
                  <c:v>0.11024968768583203</c:v>
                </c:pt>
                <c:pt idx="4">
                  <c:v>0.24826935398180608</c:v>
                </c:pt>
                <c:pt idx="5">
                  <c:v>0.41655772311946349</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-0.98697552316794124</c:v>
                </c:pt>
                <c:pt idx="1">
                  <c:v>-0.261624791900951</c:v>
                </c:pt>
                <c:pt idx="2">
                  <c:v>-35.151398539735048</c:v>
                </c:pt>
                <c:pt idx="3">
                  <c:v>-1.0680965929351365</c:v>
                </c:pt>
                <c:pt idx="4">
                  <c:v>-17.934203107727871</c:v>
                </c:pt>
                <c:pt idx="5">
                  <c:v>-1.1821459967893744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-1.4158344305312653E-2</c:v>
                </c:pt>
                <c:pt idx="1">
                  <c:v>-0.10623108649839048</c:v>
                </c:pt>
                <c:pt idx="2">
                  <c:v>1.1164350859452352</c:v>
                </c:pt>
                <c:pt idx="3">
                  <c:v>5.0547529779474243E-2</c:v>
                </c:pt>
                <c:pt idx="4">
                  <c:v>0.78583289371010756</c:v>
                </c:pt>
                <c:pt idx="5">
                  <c:v>-2.8636955779565071E-2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0.30020059904725671</c:v>
                </c:pt>
                <c:pt idx="1">
                  <c:v>-4.1013713298812544E-2</c:v>
                </c:pt>
                <c:pt idx="2">
                  <c:v>0.46395139668133817</c:v>
                </c:pt>
                <c:pt idx="3">
                  <c:v>0.49127820287342927</c:v>
                </c:pt>
                <c:pt idx="4">
                  <c:v>0.24401889333418714</c:v>
                </c:pt>
                <c:pt idx="5">
                  <c:v>0.18936480312918452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1.7894444486594556</c:v>
                </c:pt>
                <c:pt idx="1">
                  <c:v>0.5787360818424081</c:v>
                </c:pt>
                <c:pt idx="2">
                  <c:v>1.2242563849300774</c:v>
                </c:pt>
                <c:pt idx="3">
                  <c:v>-0.17471605914168065</c:v>
                </c:pt>
                <c:pt idx="4">
                  <c:v>0.22616987227886756</c:v>
                </c:pt>
                <c:pt idx="5">
                  <c:v>5.0865502423284935E-2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4.7467203003415044</c:v>
                </c:pt>
                <c:pt idx="5">
                  <c:v>8.3776806051631111E-2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0.29004546076015025</c:v>
                </c:pt>
                <c:pt idx="1">
                  <c:v>0.52296447727815398</c:v>
                </c:pt>
                <c:pt idx="2">
                  <c:v>0.6276935013730609</c:v>
                </c:pt>
                <c:pt idx="3">
                  <c:v>0.70638968937306446</c:v>
                </c:pt>
                <c:pt idx="4">
                  <c:v>0.5247322537714485</c:v>
                </c:pt>
                <c:pt idx="5">
                  <c:v>0.66323274467109039</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3.1950254901217869E-2</c:v>
                </c:pt>
                <c:pt idx="1">
                  <c:v>3.8679221302081332E-2</c:v>
                </c:pt>
                <c:pt idx="2">
                  <c:v>2.0629017438279183E-2</c:v>
                </c:pt>
                <c:pt idx="3">
                  <c:v>0.18425224007819571</c:v>
                </c:pt>
                <c:pt idx="4">
                  <c:v>0.1865830797151897</c:v>
                </c:pt>
                <c:pt idx="5">
                  <c:v>0.18503997547098641</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0.67649112294228853</c:v>
                </c:pt>
                <c:pt idx="1">
                  <c:v>0.29637699047838961</c:v>
                </c:pt>
                <c:pt idx="2">
                  <c:v>0.17373081297660151</c:v>
                </c:pt>
                <c:pt idx="3">
                  <c:v>0.11717477110901342</c:v>
                </c:pt>
                <c:pt idx="4">
                  <c:v>0.15962865701470047</c:v>
                </c:pt>
                <c:pt idx="5">
                  <c:v>0.16116169714431147</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2.0431306239353107E-2</c:v>
                </c:pt>
                <c:pt idx="1">
                  <c:v>0</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0.97956869376064681</c:v>
                </c:pt>
                <c:pt idx="1">
                  <c:v>0</c:v>
                </c:pt>
                <c:pt idx="2">
                  <c:v>0</c:v>
                </c:pt>
                <c:pt idx="3">
                  <c:v>0</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190.38731791945693</c:v>
                </c:pt>
                <c:pt idx="1">
                  <c:v>4.6833850918891438</c:v>
                </c:pt>
                <c:pt idx="2">
                  <c:v>4.5274248609422694</c:v>
                </c:pt>
                <c:pt idx="3">
                  <c:v>-89.369291227953482</c:v>
                </c:pt>
                <c:pt idx="4">
                  <c:v>5.0659265369342688</c:v>
                </c:pt>
                <c:pt idx="5">
                  <c:v>-69.299280235142604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1879565759.4100001</c:v>
                </c:pt>
                <c:pt idx="1">
                  <c:v>2773087308.23</c:v>
                </c:pt>
                <c:pt idx="2">
                  <c:v>3596640930.6700001</c:v>
                </c:pt>
                <c:pt idx="3">
                  <c:v>2698060561.48</c:v>
                </c:pt>
                <c:pt idx="4">
                  <c:v>1782645395.4399998</c:v>
                </c:pt>
                <c:pt idx="5">
                  <c:v>1820084487.8700001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207045491.97</c:v>
                </c:pt>
                <c:pt idx="1">
                  <c:v>205101612.72</c:v>
                </c:pt>
                <c:pt idx="2">
                  <c:v>118202862.25</c:v>
                </c:pt>
                <c:pt idx="3">
                  <c:v>703752772.44000006</c:v>
                </c:pt>
                <c:pt idx="4">
                  <c:v>633868921.77999997</c:v>
                </c:pt>
                <c:pt idx="5">
                  <c:v>507798192.56</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4383828479.4900007</c:v>
                </c:pt>
                <c:pt idx="1">
                  <c:v>1571577624.21</c:v>
                </c:pt>
                <c:pt idx="2">
                  <c:v>995465703.40999997</c:v>
                </c:pt>
                <c:pt idx="3">
                  <c:v>447549891.35000002</c:v>
                </c:pt>
                <c:pt idx="4">
                  <c:v>542298073.66000009</c:v>
                </c:pt>
                <c:pt idx="5">
                  <c:v>442269938.22000003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6480245388.0299997</c:v>
                </c:pt>
                <c:pt idx="1">
                  <c:v>5302630348.1700001</c:v>
                </c:pt>
                <c:pt idx="2">
                  <c:v>5729931762.5599995</c:v>
                </c:pt>
                <c:pt idx="3">
                  <c:v>3819507280.5699997</c:v>
                </c:pt>
                <c:pt idx="4">
                  <c:v>3397247610.8099999</c:v>
                </c:pt>
                <c:pt idx="5">
                  <c:v>2744262104.8100004</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22498649.439999998</c:v>
                </c:pt>
                <c:pt idx="1">
                  <c:v>0</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1078686422.9400001</c:v>
                </c:pt>
                <c:pt idx="1">
                  <c:v>0</c:v>
                </c:pt>
                <c:pt idx="2">
                  <c:v>0</c:v>
                </c:pt>
                <c:pt idx="3">
                  <c:v>0</c:v>
                </c:pt>
                <c:pt idx="4">
                  <c:v>15161744.57</c:v>
                </c:pt>
                <c:pt idx="5">
                  <c:v>2638330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1857067109.9700003</c:v>
                </c:pt>
                <c:pt idx="1">
                  <c:v>2773087308.2299995</c:v>
                </c:pt>
                <c:pt idx="2">
                  <c:v>3596640930.6700001</c:v>
                </c:pt>
                <c:pt idx="3">
                  <c:v>2698060561.48</c:v>
                </c:pt>
                <c:pt idx="4">
                  <c:v>1782645395.4399993</c:v>
                </c:pt>
                <c:pt idx="5">
                  <c:v>1820084487.8700006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-1857067109.97</c:v>
                </c:pt>
                <c:pt idx="1">
                  <c:v>-2773087308.23</c:v>
                </c:pt>
                <c:pt idx="2">
                  <c:v>-3596640930.6700001</c:v>
                </c:pt>
                <c:pt idx="3">
                  <c:v>-2698060561.48</c:v>
                </c:pt>
                <c:pt idx="4">
                  <c:v>-1782645395.4399998</c:v>
                </c:pt>
                <c:pt idx="5">
                  <c:v>-1820084487.8700001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0.35072189924639979</c:v>
                </c:pt>
                <c:pt idx="1">
                  <c:v>0.3873929187643092</c:v>
                </c:pt>
                <c:pt idx="2">
                  <c:v>0.40820449427533856</c:v>
                </c:pt>
                <c:pt idx="3">
                  <c:v>0.38184098895850349</c:v>
                </c:pt>
                <c:pt idx="4">
                  <c:v>0.37041241568439504</c:v>
                </c:pt>
                <c:pt idx="5">
                  <c:v>0.44987325683180779</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0.64927810075360026</c:v>
                </c:pt>
                <c:pt idx="1">
                  <c:v>0.61260708123569074</c:v>
                </c:pt>
                <c:pt idx="2">
                  <c:v>0.59179550572466144</c:v>
                </c:pt>
                <c:pt idx="3">
                  <c:v>0.61815901104149651</c:v>
                </c:pt>
                <c:pt idx="4">
                  <c:v>0.62958758431560502</c:v>
                </c:pt>
                <c:pt idx="5">
                  <c:v>0.55012674316819221</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8.8824075421440659E-3</c:v>
                </c:pt>
                <c:pt idx="1">
                  <c:v>1.0312896134332811E-2</c:v>
                </c:pt>
                <c:pt idx="2">
                  <c:v>9.1127130065224351E-3</c:v>
                </c:pt>
                <c:pt idx="3">
                  <c:v>9.1883327551379283E-3</c:v>
                </c:pt>
                <c:pt idx="4">
                  <c:v>9.4866754039460485E-3</c:v>
                </c:pt>
                <c:pt idx="5">
                  <c:v>9.4830372336230529E-3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0.42816901521277478</c:v>
                </c:pt>
                <c:pt idx="1">
                  <c:v>0.44805964202066217</c:v>
                </c:pt>
                <c:pt idx="2">
                  <c:v>0.34810902362201396</c:v>
                </c:pt>
                <c:pt idx="3">
                  <c:v>0.32753324179327592</c:v>
                </c:pt>
                <c:pt idx="4">
                  <c:v>0.32187669683056952</c:v>
                </c:pt>
                <c:pt idx="5">
                  <c:v>0.30973251699120824</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0.15469374082506579</c:v>
                </c:pt>
                <c:pt idx="1">
                  <c:v>0.12162601600445823</c:v>
                </c:pt>
                <c:pt idx="2">
                  <c:v>0.10345336855911061</c:v>
                </c:pt>
                <c:pt idx="3">
                  <c:v>0.11468848878205555</c:v>
                </c:pt>
                <c:pt idx="4">
                  <c:v>0.12808896741740991</c:v>
                </c:pt>
                <c:pt idx="5">
                  <c:v>0.1116221651033433</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7.5482590778327939E-3</c:v>
                </c:pt>
                <c:pt idx="1">
                  <c:v>-1.8037973617475653E-3</c:v>
                </c:pt>
                <c:pt idx="2">
                  <c:v>4.6054877223619499E-3</c:v>
                </c:pt>
                <c:pt idx="3">
                  <c:v>3.119135470102776E-3</c:v>
                </c:pt>
                <c:pt idx="4">
                  <c:v>1.9619115668372909E-3</c:v>
                </c:pt>
                <c:pt idx="5">
                  <c:v>2.9381497179805567E-3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1.8345706853307E-4</c:v>
                </c:pt>
                <c:pt idx="1">
                  <c:v>4.8379153246030818E-4</c:v>
                </c:pt>
                <c:pt idx="2">
                  <c:v>3.9303826947596852E-4</c:v>
                </c:pt>
                <c:pt idx="3">
                  <c:v>3.8198936585997015E-4</c:v>
                </c:pt>
                <c:pt idx="4">
                  <c:v>4.835698370981705E-4</c:v>
                </c:pt>
                <c:pt idx="5">
                  <c:v>3.952145111890155E-4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-1.7040724871557065E-3</c:v>
                </c:pt>
                <c:pt idx="1">
                  <c:v>3.2644880995148975E-3</c:v>
                </c:pt>
                <c:pt idx="2">
                  <c:v>6.0938902341855748E-3</c:v>
                </c:pt>
                <c:pt idx="3">
                  <c:v>3.561596588845908E-3</c:v>
                </c:pt>
                <c:pt idx="4">
                  <c:v>5.5294218066390287E-3</c:v>
                </c:pt>
                <c:pt idx="5">
                  <c:v>3.1274243273352476E-3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0.59777280723919468</c:v>
                </c:pt>
                <c:pt idx="1">
                  <c:v>0.58194303642968082</c:v>
                </c:pt>
                <c:pt idx="2">
                  <c:v>0.47176752141367045</c:v>
                </c:pt>
                <c:pt idx="3">
                  <c:v>0.45847278475527808</c:v>
                </c:pt>
                <c:pt idx="4">
                  <c:v>0.46742724286249993</c:v>
                </c:pt>
                <c:pt idx="5">
                  <c:v>0.43729850788467944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3.9595987671992086E-2</c:v>
                </c:pt>
                <c:pt idx="1">
                  <c:v>2.5935208779394623E-2</c:v>
                </c:pt>
                <c:pt idx="2">
                  <c:v>0.11224379460487069</c:v>
                </c:pt>
                <c:pt idx="3">
                  <c:v>0.13224555070744778</c:v>
                </c:pt>
                <c:pt idx="4">
                  <c:v>0.14784492040883809</c:v>
                </c:pt>
                <c:pt idx="5">
                  <c:v>0.10349489234709675</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0.59288940352547392</c:v>
                </c:pt>
                <c:pt idx="1">
                  <c:v>0.7917601606711876</c:v>
                </c:pt>
                <c:pt idx="2">
                  <c:v>0.29051908251638586</c:v>
                </c:pt>
                <c:pt idx="3">
                  <c:v>0.78462888029436373</c:v>
                </c:pt>
                <c:pt idx="4">
                  <c:v>0.8028589205809461</c:v>
                </c:pt>
                <c:pt idx="5">
                  <c:v>0.73298891115371034</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2.5914505886461291E-2</c:v>
                </c:pt>
                <c:pt idx="1">
                  <c:v>-2.5043684955306539E-2</c:v>
                </c:pt>
                <c:pt idx="2">
                  <c:v>0.65573867242232797</c:v>
                </c:pt>
                <c:pt idx="3">
                  <c:v>0.15889041236267726</c:v>
                </c:pt>
                <c:pt idx="4">
                  <c:v>0.14642249767135673</c:v>
                </c:pt>
                <c:pt idx="5">
                  <c:v>0.22695949302803675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0.38119609058806464</c:v>
                </c:pt>
                <c:pt idx="1">
                  <c:v>0.23328352428411894</c:v>
                </c:pt>
                <c:pt idx="2">
                  <c:v>5.3742245061286109E-2</c:v>
                </c:pt>
                <c:pt idx="3">
                  <c:v>5.6480707342958965E-2</c:v>
                </c:pt>
                <c:pt idx="4">
                  <c:v>5.071858174769709E-2</c:v>
                </c:pt>
                <c:pt idx="5">
                  <c:v>4.0051595818252891E-2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5.8465397916039268E-2</c:v>
                </c:pt>
                <c:pt idx="1">
                  <c:v>3.2277240137776539E-2</c:v>
                </c:pt>
                <c:pt idx="2">
                  <c:v>0.38599005490789973</c:v>
                </c:pt>
                <c:pt idx="3">
                  <c:v>0.16823757290271568</c:v>
                </c:pt>
                <c:pt idx="4">
                  <c:v>0.1837779866484785</c:v>
                </c:pt>
                <c:pt idx="5">
                  <c:v>0.14067027308990948</c:v>
                </c:pt>
                <c:pt idx="6">
                  <c:v>0.10147416901360258</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0.59288940352547392</c:v>
                </c:pt>
                <c:pt idx="1">
                  <c:v>0.7917601606711876</c:v>
                </c:pt>
                <c:pt idx="2">
                  <c:v>0.29051908251638586</c:v>
                </c:pt>
                <c:pt idx="3">
                  <c:v>0.78462888029436373</c:v>
                </c:pt>
                <c:pt idx="4">
                  <c:v>0.8028589205809461</c:v>
                </c:pt>
                <c:pt idx="5">
                  <c:v>0.73298891115371034</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2.5914505886461291E-2</c:v>
                </c:pt>
                <c:pt idx="1">
                  <c:v>-2.5043684955306539E-2</c:v>
                </c:pt>
                <c:pt idx="2">
                  <c:v>0.65573867242232797</c:v>
                </c:pt>
                <c:pt idx="3">
                  <c:v>0.15889041236267726</c:v>
                </c:pt>
                <c:pt idx="4">
                  <c:v>0.14642249767135673</c:v>
                </c:pt>
                <c:pt idx="5">
                  <c:v>0.22695949302803675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0.38119609058806464</c:v>
                </c:pt>
                <c:pt idx="1">
                  <c:v>0.23328352428411894</c:v>
                </c:pt>
                <c:pt idx="2">
                  <c:v>5.3742245061286109E-2</c:v>
                </c:pt>
                <c:pt idx="3">
                  <c:v>5.6480707342958965E-2</c:v>
                </c:pt>
                <c:pt idx="4">
                  <c:v>5.071858174769709E-2</c:v>
                </c:pt>
                <c:pt idx="5">
                  <c:v>4.0051595818252891E-2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0.12457001490989517</c:v>
                </c:pt>
                <c:pt idx="1">
                  <c:v>1.4627834505329895E-2</c:v>
                </c:pt>
                <c:pt idx="2">
                  <c:v>9.4720597207642587E-4</c:v>
                </c:pt>
                <c:pt idx="3">
                  <c:v>1.8260898461743835E-3</c:v>
                </c:pt>
                <c:pt idx="4">
                  <c:v>2.009703281516062E-3</c:v>
                </c:pt>
                <c:pt idx="5">
                  <c:v>3.7213628082941597E-3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6488246212.1400003</c:v>
                </c:pt>
                <c:pt idx="1">
                  <c:v>5321198258.4899998</c:v>
                </c:pt>
                <c:pt idx="2">
                  <c:v>5845865322.6400003</c:v>
                </c:pt>
                <c:pt idx="3">
                  <c:v>5334659318.1000004</c:v>
                </c:pt>
                <c:pt idx="4">
                  <c:v>4468503687.0100002</c:v>
                </c:pt>
                <c:pt idx="5">
                  <c:v>4504122570.4099998</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2275570034.3000002</c:v>
                </c:pt>
                <c:pt idx="1">
                  <c:v>2061394524.6800001</c:v>
                </c:pt>
                <c:pt idx="2">
                  <c:v>2386308497.6300001</c:v>
                </c:pt>
                <c:pt idx="3">
                  <c:v>2036991589.78</c:v>
                </c:pt>
                <c:pt idx="4">
                  <c:v>1655189245.2</c:v>
                </c:pt>
                <c:pt idx="5">
                  <c:v>2026284289.9200001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4212676177.8400002</c:v>
                </c:pt>
                <c:pt idx="1">
                  <c:v>3259803733.8099995</c:v>
                </c:pt>
                <c:pt idx="2">
                  <c:v>3459556825.0100002</c:v>
                </c:pt>
                <c:pt idx="3">
                  <c:v>3297667728.3200006</c:v>
                </c:pt>
                <c:pt idx="4">
                  <c:v>2813314441.8100004</c:v>
                </c:pt>
                <c:pt idx="5">
                  <c:v>2477838280.4899998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6.587947305791321E-2</c:v>
                </c:pt>
                <c:pt idx="1">
                  <c:v>-3.0521537480770716E-2</c:v>
                </c:pt>
                <c:pt idx="2">
                  <c:v>14.759110607154524</c:v>
                </c:pt>
                <c:pt idx="3">
                  <c:v>0.25605929452358006</c:v>
                </c:pt>
                <c:pt idx="4">
                  <c:v>0.22270359421248734</c:v>
                </c:pt>
                <c:pt idx="5">
                  <c:v>0.32705445630426644</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9.1696364111626461E-2</c:v>
                </c:pt>
                <c:pt idx="1">
                  <c:v>1.3852683958106323E-2</c:v>
                </c:pt>
                <c:pt idx="2">
                  <c:v>3.5806675437000508E-2</c:v>
                </c:pt>
                <c:pt idx="3">
                  <c:v>1.8210059652709817E-2</c:v>
                </c:pt>
                <c:pt idx="4">
                  <c:v>2.3731853537916136E-2</c:v>
                </c:pt>
                <c:pt idx="5">
                  <c:v>1.4551960218240269E-2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661.68397551239866</c:v>
                </c:pt>
                <c:pt idx="1">
                  <c:v>7.0679427503560275</c:v>
                </c:pt>
                <c:pt idx="2">
                  <c:v>5.7333637330761533</c:v>
                </c:pt>
                <c:pt idx="3">
                  <c:v>-178.6799704951205</c:v>
                </c:pt>
                <c:pt idx="4">
                  <c:v>10.191935966557237</c:v>
                </c:pt>
                <c:pt idx="5">
                  <c:v>-173.96806406566066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1.4800410742563588</c:v>
                </c:pt>
                <c:pt idx="1">
                  <c:v>3.3858959153639372</c:v>
                </c:pt>
                <c:pt idx="2">
                  <c:v>5.8724929473861325</c:v>
                </c:pt>
                <c:pt idx="3">
                  <c:v>11.919697493408854</c:v>
                </c:pt>
                <c:pt idx="4">
                  <c:v>8.2399401805944432</c:v>
                </c:pt>
                <c:pt idx="5">
                  <c:v>10.184102922612608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3.4519921315105653</c:v>
                </c:pt>
                <c:pt idx="1">
                  <c:v>1.9188715200915916</c:v>
                </c:pt>
                <c:pt idx="2">
                  <c:v>1.6253680685191456</c:v>
                </c:pt>
                <c:pt idx="3">
                  <c:v>1.977220005459668</c:v>
                </c:pt>
                <c:pt idx="4">
                  <c:v>2.5066699739838421</c:v>
                </c:pt>
                <c:pt idx="5">
                  <c:v>2.4746777418454147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31.337297665385147</c:v>
                </c:pt>
                <c:pt idx="1">
                  <c:v>25.944204864709558</c:v>
                </c:pt>
                <c:pt idx="2">
                  <c:v>49.456207839332592</c:v>
                </c:pt>
                <c:pt idx="3">
                  <c:v>7.580303093661799</c:v>
                </c:pt>
                <c:pt idx="4">
                  <c:v>7.0495705554734638</c:v>
                </c:pt>
                <c:pt idx="5">
                  <c:v>8.8699066605633998</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2.3816422114639719</c:v>
                </c:pt>
                <c:pt idx="1">
                  <c:v>2.9950247337188034</c:v>
                </c:pt>
                <c:pt idx="2">
                  <c:v>5.2491966666721259</c:v>
                </c:pt>
                <c:pt idx="3">
                  <c:v>4.4237698761183957</c:v>
                </c:pt>
                <c:pt idx="4">
                  <c:v>3.7666921001689584</c:v>
                </c:pt>
                <c:pt idx="5">
                  <c:v>6.4929725817908102</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21.841319397627437</c:v>
                </c:pt>
                <c:pt idx="1">
                  <c:v>25.765038240201726</c:v>
                </c:pt>
                <c:pt idx="2">
                  <c:v>26.09867125890537</c:v>
                </c:pt>
                <c:pt idx="3">
                  <c:v>24.745478400138989</c:v>
                </c:pt>
                <c:pt idx="4">
                  <c:v>20.642892620347435</c:v>
                </c:pt>
                <c:pt idx="5">
                  <c:v>20.711742033459114</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6.9851400655820868</c:v>
                </c:pt>
                <c:pt idx="1">
                  <c:v>9.0980234637628996</c:v>
                </c:pt>
                <c:pt idx="2">
                  <c:v>38.168344554789492</c:v>
                </c:pt>
                <c:pt idx="3">
                  <c:v>186.86074597726909</c:v>
                </c:pt>
                <c:pt idx="4">
                  <c:v>97.147516704900113</c:v>
                </c:pt>
                <c:pt idx="5">
                  <c:v>454.76611644153093</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7.8951121955853596</c:v>
                </c:pt>
                <c:pt idx="1">
                  <c:v>16.731477388634875</c:v>
                </c:pt>
                <c:pt idx="2">
                  <c:v>17.481079094322819</c:v>
                </c:pt>
                <c:pt idx="3">
                  <c:v>39.335162054031755</c:v>
                </c:pt>
                <c:pt idx="4">
                  <c:v>32.722119801677131</c:v>
                </c:pt>
                <c:pt idx="5">
                  <c:v>39.044857845023024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9.1660960147474384</c:v>
                </c:pt>
                <c:pt idx="1">
                  <c:v>8.5290858205748172</c:v>
                </c:pt>
                <c:pt idx="2">
                  <c:v>10.299451682102641</c:v>
                </c:pt>
                <c:pt idx="3">
                  <c:v>13.332590235594395</c:v>
                </c:pt>
                <c:pt idx="4">
                  <c:v>12.405022753795798</c:v>
                </c:pt>
                <c:pt idx="5">
                  <c:v>11.96051995751167</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3.3859799770391561</c:v>
                </c:pt>
                <c:pt idx="1">
                  <c:v>3.2442330208300083</c:v>
                </c:pt>
                <c:pt idx="2">
                  <c:v>3.9720288773200725</c:v>
                </c:pt>
                <c:pt idx="3">
                  <c:v>4.2392616008989261</c:v>
                </c:pt>
                <c:pt idx="4">
                  <c:v>4.0791213012169916</c:v>
                </c:pt>
                <c:pt idx="5">
                  <c:v>5.238429963081928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4.2896961787036476</c:v>
                </c:pt>
                <c:pt idx="1">
                  <c:v>4.1485615110778529</c:v>
                </c:pt>
                <c:pt idx="2">
                  <c:v>4.6459226269176268</c:v>
                </c:pt>
                <c:pt idx="3">
                  <c:v>4.9215571043923036</c:v>
                </c:pt>
                <c:pt idx="4">
                  <c:v>4.1346906661177574</c:v>
                </c:pt>
                <c:pt idx="5">
                  <c:v>5.20958370023481</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7.1026883924372369E-2</c:v>
                </c:pt>
                <c:pt idx="1">
                  <c:v>8.514365485074811E-2</c:v>
                </c:pt>
                <c:pt idx="2">
                  <c:v>0.38356417490204336</c:v>
                </c:pt>
                <c:pt idx="3">
                  <c:v>2.1304388800148319</c:v>
                </c:pt>
                <c:pt idx="4">
                  <c:v>0.78923655614529142</c:v>
                </c:pt>
                <c:pt idx="5">
                  <c:v>1.2881635708072301</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4.8097148540093955E-2</c:v>
                </c:pt>
                <c:pt idx="1">
                  <c:v>3.719302100503985E-2</c:v>
                </c:pt>
                <c:pt idx="2">
                  <c:v>0.13221576477936217</c:v>
                </c:pt>
                <c:pt idx="3">
                  <c:v>0.16680941946391026</c:v>
                </c:pt>
                <c:pt idx="4">
                  <c:v>0.17321918506638315</c:v>
                </c:pt>
                <c:pt idx="5">
                  <c:v>0.11908308393818327</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379337896.56999964</c:v>
                </c:pt>
                <c:pt idx="1">
                  <c:v>171753594.01000005</c:v>
                </c:pt>
                <c:pt idx="2">
                  <c:v>2256445876.8700008</c:v>
                </c:pt>
                <c:pt idx="3">
                  <c:v>897490135.94000041</c:v>
                </c:pt>
                <c:pt idx="4">
                  <c:v>821212610.93000078</c:v>
                </c:pt>
                <c:pt idx="5">
                  <c:v>633596152.00999975</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5376551846.6099997</c:v>
                </c:pt>
                <c:pt idx="1">
                  <c:v>5264125997.2299995</c:v>
                </c:pt>
                <c:pt idx="2">
                  <c:v>5728747482.5600004</c:v>
                </c:pt>
                <c:pt idx="3">
                  <c:v>3805206460.5699997</c:v>
                </c:pt>
                <c:pt idx="4">
                  <c:v>3365391166.2400002</c:v>
                </c:pt>
                <c:pt idx="5">
                  <c:v>2731483774.8100004</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6488246212.1400003</c:v>
                </c:pt>
                <c:pt idx="1">
                  <c:v>5321198258.4899998</c:v>
                </c:pt>
                <c:pt idx="2">
                  <c:v>5845865322.6400003</c:v>
                </c:pt>
                <c:pt idx="3">
                  <c:v>5334659318.1000004</c:v>
                </c:pt>
                <c:pt idx="4">
                  <c:v>4468503687.0100002</c:v>
                </c:pt>
                <c:pt idx="5">
                  <c:v>4504122570.4099998</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312066141.82999957</c:v>
                </c:pt>
                <c:pt idx="1">
                  <c:v>197911438.60000002</c:v>
                </c:pt>
                <c:pt idx="2">
                  <c:v>772915554.43000042</c:v>
                </c:pt>
                <c:pt idx="3">
                  <c:v>889871423.89000046</c:v>
                </c:pt>
                <c:pt idx="4">
                  <c:v>774030567.13000071</c:v>
                </c:pt>
                <c:pt idx="5">
                  <c:v>536364806.11999983</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13640047.91</c:v>
                </c:pt>
                <c:pt idx="1">
                  <c:v>-6260016.5599999996</c:v>
                </c:pt>
                <c:pt idx="2">
                  <c:v>1744569118.03</c:v>
                </c:pt>
                <c:pt idx="3">
                  <c:v>180202438.43000001</c:v>
                </c:pt>
                <c:pt idx="4">
                  <c:v>141164887.13999999</c:v>
                </c:pt>
                <c:pt idx="5">
                  <c:v>166077661.78</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207045491.97</c:v>
                </c:pt>
                <c:pt idx="1">
                  <c:v>205101612.72</c:v>
                </c:pt>
                <c:pt idx="2">
                  <c:v>118202862.25</c:v>
                </c:pt>
                <c:pt idx="3">
                  <c:v>703752772.44000006</c:v>
                </c:pt>
                <c:pt idx="4">
                  <c:v>633868921.77999997</c:v>
                </c:pt>
                <c:pt idx="5">
                  <c:v>507798192.56</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0.92458083553983128</c:v>
                </c:pt>
                <c:pt idx="1">
                  <c:v>1.0193713327286056</c:v>
                </c:pt>
                <c:pt idx="2">
                  <c:v>0.9607295256737669</c:v>
                </c:pt>
                <c:pt idx="3">
                  <c:v>0.98094989380596498</c:v>
                </c:pt>
                <c:pt idx="4">
                  <c:v>1.1590390408482196</c:v>
                </c:pt>
                <c:pt idx="5">
                  <c:v>1.0017540155078737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0.49798537612858712</c:v>
                </c:pt>
                <c:pt idx="1">
                  <c:v>0.58103585567831539</c:v>
                </c:pt>
                <c:pt idx="2">
                  <c:v>0.63942151966942362</c:v>
                </c:pt>
                <c:pt idx="3">
                  <c:v>0.55972436772218748</c:v>
                </c:pt>
                <c:pt idx="4">
                  <c:v>0.72831232509577326</c:v>
                </c:pt>
                <c:pt idx="5">
                  <c:v>0.54537053789587475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3.3543707656199628</c:v>
                </c:pt>
                <c:pt idx="1">
                  <c:v>0.39126854926436433</c:v>
                </c:pt>
                <c:pt idx="2">
                  <c:v>0.76594579739329072</c:v>
                </c:pt>
                <c:pt idx="3">
                  <c:v>1.6011243002072175</c:v>
                </c:pt>
                <c:pt idx="4">
                  <c:v>1.5572258123813223</c:v>
                </c:pt>
                <c:pt idx="5">
                  <c:v>1.7867794090573179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2.2717646371537183</c:v>
                </c:pt>
                <c:pt idx="1">
                  <c:v>0.31438968978347021</c:v>
                </c:pt>
                <c:pt idx="2">
                  <c:v>0.22273284419618058</c:v>
                </c:pt>
                <c:pt idx="3">
                  <c:v>1.2585866592025861</c:v>
                </c:pt>
                <c:pt idx="4">
                  <c:v>1.2527502912004009</c:v>
                </c:pt>
                <c:pt idx="5">
                  <c:v>1.3145815283247719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-8.4922142826412728</c:v>
                </c:pt>
                <c:pt idx="1">
                  <c:v>-1.2220475734396015</c:v>
                </c:pt>
                <c:pt idx="2">
                  <c:v>-0.63061138839559427</c:v>
                </c:pt>
                <c:pt idx="3">
                  <c:v>0.10357964184891405</c:v>
                </c:pt>
                <c:pt idx="4">
                  <c:v>0.281554470678053</c:v>
                </c:pt>
                <c:pt idx="5">
                  <c:v>2.2760130195340507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861766418.96000004</c:v>
                </c:pt>
                <c:pt idx="1">
                  <c:v>53997559.140000001</c:v>
                </c:pt>
                <c:pt idx="2">
                  <c:v>502584607.93000001</c:v>
                </c:pt>
                <c:pt idx="3">
                  <c:v>1129569111.8599999</c:v>
                </c:pt>
                <c:pt idx="4">
                  <c:v>1028774337.48</c:v>
                </c:pt>
                <c:pt idx="5">
                  <c:v>832913797.85000002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256908517.02874482</c:v>
                </c:pt>
                <c:pt idx="1">
                  <c:v>138006387.79048923</c:v>
                </c:pt>
                <c:pt idx="2">
                  <c:v>656162106.56214035</c:v>
                </c:pt>
                <c:pt idx="3">
                  <c:v>705484959.35875249</c:v>
                </c:pt>
                <c:pt idx="4">
                  <c:v>660645571.95259309</c:v>
                </c:pt>
                <c:pt idx="5">
                  <c:v>466153680.54271162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379337896.56999964</c:v>
                </c:pt>
                <c:pt idx="1">
                  <c:v>171753594.01000005</c:v>
                </c:pt>
                <c:pt idx="2">
                  <c:v>2256445876.8700008</c:v>
                </c:pt>
                <c:pt idx="3">
                  <c:v>897490135.94000041</c:v>
                </c:pt>
                <c:pt idx="4">
                  <c:v>821212610.93000078</c:v>
                </c:pt>
                <c:pt idx="5">
                  <c:v>633596152.00999975</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W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1" width="12.77734375" style="189" bestFit="1" customWidth="1"/>
    <col min="72" max="73" width="13.88671875" style="189" bestFit="1" customWidth="1"/>
    <col min="74" max="74" width="12.77734375" style="189" bestFit="1" customWidth="1"/>
    <col min="75" max="75" width="9.5546875" style="189" hidden="1" customWidth="1"/>
    <col min="76" max="16384" width="8.88671875" style="189"/>
  </cols>
  <sheetData>
    <row r="1" spans="1:75" x14ac:dyDescent="0.25">
      <c r="A1" s="189">
        <v>600315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19991231</v>
      </c>
      <c r="BU1" s="189">
        <v>19981231</v>
      </c>
      <c r="BV1" s="189">
        <v>19971231</v>
      </c>
      <c r="BW1" s="189">
        <v>19700101</v>
      </c>
    </row>
    <row r="2" spans="1:75"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row>
    <row r="3" spans="1:75" x14ac:dyDescent="0.25">
      <c r="A3" s="189" t="s">
        <v>107</v>
      </c>
    </row>
    <row r="4" spans="1:75" x14ac:dyDescent="0.25">
      <c r="A4" s="189" t="s">
        <v>108</v>
      </c>
      <c r="B4" s="189">
        <v>1244673067.6099999</v>
      </c>
      <c r="C4" s="189">
        <v>1213085694.1800001</v>
      </c>
      <c r="D4" s="189">
        <v>1203099825.28</v>
      </c>
      <c r="E4" s="189">
        <v>1330955759.4100001</v>
      </c>
      <c r="F4" s="189">
        <v>1676950117.79</v>
      </c>
      <c r="G4" s="189">
        <v>2140018551.8399999</v>
      </c>
      <c r="H4" s="189">
        <v>2106880370.73</v>
      </c>
      <c r="I4" s="189">
        <v>2330449996.3299999</v>
      </c>
      <c r="J4" s="189">
        <v>2880954242.46</v>
      </c>
      <c r="K4" s="189">
        <v>3619608171.04</v>
      </c>
      <c r="L4" s="189">
        <v>3844051282.4499998</v>
      </c>
      <c r="M4" s="189">
        <v>3477140930.6700001</v>
      </c>
      <c r="N4" s="189">
        <v>1670661607.74</v>
      </c>
      <c r="O4" s="189">
        <v>2139767821.3099999</v>
      </c>
      <c r="P4" s="189">
        <v>3001408760.3600001</v>
      </c>
      <c r="Q4" s="189">
        <v>2633560561.48</v>
      </c>
      <c r="R4" s="189">
        <v>2370726949.3400002</v>
      </c>
      <c r="S4" s="189">
        <v>2208807833.5100002</v>
      </c>
      <c r="T4" s="189">
        <v>2253225380.6399999</v>
      </c>
      <c r="U4" s="189">
        <v>1733026803.0899999</v>
      </c>
      <c r="V4" s="189">
        <v>1588745407.8599999</v>
      </c>
      <c r="W4" s="189">
        <v>1349957091.27</v>
      </c>
      <c r="X4" s="189">
        <v>1530938466.8699999</v>
      </c>
      <c r="Y4" s="189">
        <v>1328500030.21</v>
      </c>
      <c r="Z4" s="189">
        <v>1689311720.4200001</v>
      </c>
      <c r="AA4" s="189">
        <v>1576784250.97</v>
      </c>
      <c r="AB4" s="189">
        <v>1054018437.67</v>
      </c>
      <c r="AC4" s="189">
        <v>871579654.60000002</v>
      </c>
      <c r="AD4" s="189">
        <v>941436942.50999999</v>
      </c>
      <c r="AE4" s="189">
        <v>796301613.28999996</v>
      </c>
      <c r="AF4" s="189">
        <v>822114901.82000005</v>
      </c>
      <c r="AG4" s="189">
        <v>768359723.28999996</v>
      </c>
      <c r="AH4" s="189">
        <v>800320298.29999995</v>
      </c>
      <c r="AI4" s="189">
        <v>678805129.55999994</v>
      </c>
      <c r="AJ4" s="189">
        <v>692269835.62</v>
      </c>
      <c r="AK4" s="189">
        <v>700605005.73000002</v>
      </c>
      <c r="AL4" s="189">
        <v>689605047.82000005</v>
      </c>
      <c r="AM4" s="189">
        <v>486582727.50999999</v>
      </c>
      <c r="AN4" s="189">
        <v>522189527.00999999</v>
      </c>
      <c r="AO4" s="189">
        <v>478990556.25999999</v>
      </c>
      <c r="AP4" s="189">
        <v>466931262.31</v>
      </c>
      <c r="AQ4" s="189">
        <v>504966248.72000003</v>
      </c>
      <c r="AR4" s="189">
        <v>414543859.06999999</v>
      </c>
      <c r="AS4" s="189">
        <v>337658094.49000001</v>
      </c>
      <c r="AT4" s="189">
        <v>465844349.69999999</v>
      </c>
      <c r="AU4" s="189">
        <v>349804253.05000001</v>
      </c>
      <c r="AV4" s="189">
        <v>261977252.28999999</v>
      </c>
      <c r="AW4" s="189">
        <v>231085673.77000001</v>
      </c>
      <c r="AX4" s="189">
        <v>224546110.24000001</v>
      </c>
      <c r="AY4" s="189">
        <v>229902436.65000001</v>
      </c>
      <c r="AZ4" s="189">
        <v>467764060.77999997</v>
      </c>
      <c r="BA4" s="189">
        <v>350250323.23000002</v>
      </c>
      <c r="BB4" s="189">
        <v>226605194.72</v>
      </c>
      <c r="BC4" s="189">
        <v>305300697.36000001</v>
      </c>
      <c r="BD4" s="189">
        <v>262260123.28999999</v>
      </c>
      <c r="BE4" s="189">
        <v>376853902.33999997</v>
      </c>
      <c r="BF4" s="189">
        <v>388795604.60000002</v>
      </c>
      <c r="BG4" s="189">
        <v>448866748.66000003</v>
      </c>
      <c r="BH4" s="189">
        <v>389457078.69</v>
      </c>
      <c r="BI4" s="189">
        <v>422470524.32999998</v>
      </c>
      <c r="BJ4" s="189">
        <v>484643945.29000002</v>
      </c>
      <c r="BK4" s="189">
        <v>416024122.68000001</v>
      </c>
      <c r="BL4" s="189">
        <v>371399864.50999999</v>
      </c>
      <c r="BM4" s="189">
        <v>477729129.73000002</v>
      </c>
      <c r="BN4" s="189">
        <v>644075309.75999999</v>
      </c>
      <c r="BO4" s="189">
        <v>616799243.40999997</v>
      </c>
      <c r="BP4" s="189">
        <v>576480068.09000003</v>
      </c>
      <c r="BQ4" s="189">
        <v>610055618.49000001</v>
      </c>
      <c r="BR4" s="189">
        <v>0</v>
      </c>
      <c r="BS4" s="189">
        <v>67125512.590000004</v>
      </c>
      <c r="BT4" s="189">
        <v>74297081.659999996</v>
      </c>
      <c r="BU4" s="189">
        <v>44152475.600000001</v>
      </c>
      <c r="BV4" s="189">
        <v>50314733.219999999</v>
      </c>
      <c r="BW4" s="189">
        <v>0</v>
      </c>
    </row>
    <row r="5" spans="1:75"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830720</v>
      </c>
      <c r="AX5" s="189">
        <v>5746000</v>
      </c>
      <c r="AY5" s="189">
        <v>9704053.9900000002</v>
      </c>
      <c r="AZ5" s="189">
        <v>11116600</v>
      </c>
      <c r="BA5" s="189">
        <v>14327600</v>
      </c>
      <c r="BB5" s="189">
        <v>18736441.699999999</v>
      </c>
      <c r="BC5" s="189">
        <v>19914333.260000002</v>
      </c>
      <c r="BD5" s="189">
        <v>48647433.899999999</v>
      </c>
      <c r="BE5" s="189">
        <v>20159320.68</v>
      </c>
      <c r="BF5" s="189">
        <v>22525058.359999999</v>
      </c>
      <c r="BG5" s="189">
        <v>23255017.140000001</v>
      </c>
      <c r="BH5" s="189">
        <v>42895577.719999999</v>
      </c>
      <c r="BI5" s="189">
        <v>28686928.329999998</v>
      </c>
      <c r="BJ5" s="189">
        <v>24214450.219999999</v>
      </c>
      <c r="BK5" s="189">
        <v>-8349198.8600000003</v>
      </c>
      <c r="BL5" s="189">
        <v>41534713.409999996</v>
      </c>
      <c r="BM5" s="189">
        <v>40671079.399999999</v>
      </c>
      <c r="BN5" s="189">
        <v>44796956.289999999</v>
      </c>
      <c r="BO5" s="189">
        <v>127502929.18000001</v>
      </c>
      <c r="BP5" s="189">
        <v>134345890.68000001</v>
      </c>
      <c r="BQ5" s="189">
        <v>122867038.56999999</v>
      </c>
      <c r="BR5" s="189">
        <v>870343081.78999996</v>
      </c>
      <c r="BS5" s="189">
        <v>0</v>
      </c>
      <c r="BT5" s="189">
        <v>0</v>
      </c>
      <c r="BU5" s="189">
        <v>0</v>
      </c>
      <c r="BV5" s="189">
        <v>0</v>
      </c>
      <c r="BW5" s="189">
        <v>0</v>
      </c>
    </row>
    <row r="6" spans="1:75"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row>
    <row r="7" spans="1:75" x14ac:dyDescent="0.25">
      <c r="A7" s="189" t="s">
        <v>111</v>
      </c>
      <c r="B7" s="189">
        <v>3036685.48</v>
      </c>
      <c r="C7" s="189">
        <v>14303060.300000001</v>
      </c>
      <c r="D7" s="189">
        <v>7843102.8799999999</v>
      </c>
      <c r="E7" s="189">
        <v>9973526.9800000004</v>
      </c>
      <c r="F7" s="189">
        <v>20939632.32</v>
      </c>
      <c r="G7" s="189">
        <v>11480177.560000001</v>
      </c>
      <c r="H7" s="189">
        <v>16747976.470000001</v>
      </c>
      <c r="I7" s="189">
        <v>30603534.23</v>
      </c>
      <c r="J7" s="189">
        <v>20371000</v>
      </c>
      <c r="K7" s="189">
        <v>55923222.509999998</v>
      </c>
      <c r="L7" s="189">
        <v>40757478.130000003</v>
      </c>
      <c r="M7" s="189">
        <v>1964378.97</v>
      </c>
      <c r="N7" s="189">
        <v>48857212.82</v>
      </c>
      <c r="O7" s="189">
        <v>30967854.109999999</v>
      </c>
      <c r="P7" s="189">
        <v>69935243.959999993</v>
      </c>
      <c r="Q7" s="189">
        <v>12663861.800000001</v>
      </c>
      <c r="R7" s="189">
        <v>46587660.259999998</v>
      </c>
      <c r="S7" s="189">
        <v>79096216.150000006</v>
      </c>
      <c r="T7" s="189">
        <v>85302979.829999998</v>
      </c>
      <c r="U7" s="189">
        <v>8093647.8600000003</v>
      </c>
      <c r="V7" s="189">
        <v>20328564.800000001</v>
      </c>
      <c r="W7" s="189">
        <v>19615185.460000001</v>
      </c>
      <c r="X7" s="189">
        <v>52134549.920000002</v>
      </c>
      <c r="Y7" s="189">
        <v>11037773.050000001</v>
      </c>
      <c r="Z7" s="189">
        <v>40597006.670000002</v>
      </c>
      <c r="AA7" s="189">
        <v>56856770.950000003</v>
      </c>
      <c r="AB7" s="189">
        <v>68339471.290000007</v>
      </c>
      <c r="AC7" s="189">
        <v>73218069.609999999</v>
      </c>
      <c r="AD7" s="189">
        <v>90352249.450000003</v>
      </c>
      <c r="AE7" s="189">
        <v>70670933.819999993</v>
      </c>
      <c r="AF7" s="189">
        <v>55486082.710000001</v>
      </c>
      <c r="AG7" s="189">
        <v>37804230.799999997</v>
      </c>
      <c r="AH7" s="189">
        <v>50765406.259999998</v>
      </c>
      <c r="AI7" s="189">
        <v>21628638.41</v>
      </c>
      <c r="AJ7" s="189">
        <v>41251059.850000001</v>
      </c>
      <c r="AK7" s="189">
        <v>34239048.130000003</v>
      </c>
      <c r="AL7" s="189">
        <v>53718688.600000001</v>
      </c>
      <c r="AM7" s="189">
        <v>40923445.020000003</v>
      </c>
      <c r="AN7" s="189">
        <v>33236874.949999999</v>
      </c>
      <c r="AO7" s="189">
        <v>45090609.490000002</v>
      </c>
      <c r="AP7" s="189">
        <v>53498660.740000002</v>
      </c>
      <c r="AQ7" s="189">
        <v>35766186.329999998</v>
      </c>
      <c r="AR7" s="189">
        <v>27312255.460000001</v>
      </c>
      <c r="AS7" s="189">
        <v>39267318</v>
      </c>
      <c r="AT7" s="189">
        <v>40068285.850000001</v>
      </c>
      <c r="AU7" s="189">
        <v>19112003.100000001</v>
      </c>
      <c r="AV7" s="189">
        <v>36088973.350000001</v>
      </c>
      <c r="AW7" s="189">
        <v>38664432.390000001</v>
      </c>
      <c r="AX7" s="189">
        <v>41046380.210000001</v>
      </c>
      <c r="AY7" s="189">
        <v>20100668.940000001</v>
      </c>
      <c r="AZ7" s="189">
        <v>36363466.950000003</v>
      </c>
      <c r="BA7" s="189">
        <v>96616077.430000007</v>
      </c>
      <c r="BB7" s="189">
        <v>97103346.689999998</v>
      </c>
      <c r="BC7" s="189">
        <v>72240705.489999995</v>
      </c>
      <c r="BD7" s="189">
        <v>34921836.359999999</v>
      </c>
      <c r="BE7" s="189">
        <v>92278327.090000004</v>
      </c>
      <c r="BF7" s="189">
        <v>93032723.819999993</v>
      </c>
      <c r="BG7" s="189">
        <v>56052338.659999996</v>
      </c>
      <c r="BH7" s="189">
        <v>41012167.390000001</v>
      </c>
      <c r="BI7" s="189">
        <v>54063651.479999997</v>
      </c>
      <c r="BJ7" s="189">
        <v>67026767.079999998</v>
      </c>
      <c r="BK7" s="189">
        <v>0</v>
      </c>
      <c r="BL7" s="189">
        <v>27563907.84</v>
      </c>
      <c r="BM7" s="189">
        <v>25752096.670000002</v>
      </c>
      <c r="BN7" s="189">
        <v>32200822.809999999</v>
      </c>
      <c r="BO7" s="189">
        <v>20629716.969999999</v>
      </c>
      <c r="BP7" s="189">
        <v>5520000</v>
      </c>
      <c r="BQ7" s="189">
        <v>19783240.77</v>
      </c>
      <c r="BR7" s="189">
        <v>163590</v>
      </c>
      <c r="BS7" s="189">
        <v>250000</v>
      </c>
      <c r="BT7" s="189">
        <v>1873618.81</v>
      </c>
      <c r="BU7" s="189">
        <v>6024771.0999999996</v>
      </c>
      <c r="BV7" s="189">
        <v>21336004.66</v>
      </c>
      <c r="BW7" s="189">
        <v>0</v>
      </c>
    </row>
    <row r="8" spans="1:75" x14ac:dyDescent="0.25">
      <c r="A8" s="189" t="s">
        <v>112</v>
      </c>
      <c r="B8" s="189">
        <v>1161538902.01</v>
      </c>
      <c r="C8" s="189">
        <v>1071323495.49</v>
      </c>
      <c r="D8" s="189">
        <v>1039462670.41</v>
      </c>
      <c r="E8" s="189">
        <v>926859205.88999999</v>
      </c>
      <c r="F8" s="189">
        <v>718667512.76999998</v>
      </c>
      <c r="G8" s="189">
        <v>717343758.27999997</v>
      </c>
      <c r="H8" s="189">
        <v>710087189.00999999</v>
      </c>
      <c r="I8" s="189">
        <v>625465967.98000002</v>
      </c>
      <c r="J8" s="189">
        <v>818245750.38999999</v>
      </c>
      <c r="K8" s="189">
        <v>865088297.17999995</v>
      </c>
      <c r="L8" s="189">
        <v>820613250.25</v>
      </c>
      <c r="M8" s="189">
        <v>762326711.47000003</v>
      </c>
      <c r="N8" s="189">
        <v>838064080.51999998</v>
      </c>
      <c r="O8" s="189">
        <v>850265134.58000004</v>
      </c>
      <c r="P8" s="189">
        <v>660370326.05999994</v>
      </c>
      <c r="Q8" s="189">
        <v>530098698.44</v>
      </c>
      <c r="R8" s="189">
        <v>600220533.16999996</v>
      </c>
      <c r="S8" s="189">
        <v>648204335.92999995</v>
      </c>
      <c r="T8" s="189">
        <v>481437309.20999998</v>
      </c>
      <c r="U8" s="189">
        <v>429072458.13999999</v>
      </c>
      <c r="V8" s="189">
        <v>510360926.35000002</v>
      </c>
      <c r="W8" s="189">
        <v>608478474.13</v>
      </c>
      <c r="X8" s="189">
        <v>547259817.87</v>
      </c>
      <c r="Y8" s="189">
        <v>428395165.35000002</v>
      </c>
      <c r="Z8" s="189">
        <v>438471744.70999998</v>
      </c>
      <c r="AA8" s="189">
        <v>525088512.85000002</v>
      </c>
      <c r="AB8" s="189">
        <v>406566856.75</v>
      </c>
      <c r="AC8" s="189">
        <v>371389926.02999997</v>
      </c>
      <c r="AD8" s="189">
        <v>381102508.83999997</v>
      </c>
      <c r="AE8" s="189">
        <v>460683854.63</v>
      </c>
      <c r="AF8" s="189">
        <v>355606829.05000001</v>
      </c>
      <c r="AG8" s="189">
        <v>263903151.38</v>
      </c>
      <c r="AH8" s="189">
        <v>308881925.83999997</v>
      </c>
      <c r="AI8" s="189">
        <v>389391826.94</v>
      </c>
      <c r="AJ8" s="189">
        <v>313344124.5</v>
      </c>
      <c r="AK8" s="189">
        <v>262583200.74000001</v>
      </c>
      <c r="AL8" s="189">
        <v>283940892.61000001</v>
      </c>
      <c r="AM8" s="189">
        <v>368767136.51999998</v>
      </c>
      <c r="AN8" s="189">
        <v>216074365.28</v>
      </c>
      <c r="AO8" s="189">
        <v>204950354.58000001</v>
      </c>
      <c r="AP8" s="189">
        <v>269568057.99000001</v>
      </c>
      <c r="AQ8" s="189">
        <v>383181346.32999998</v>
      </c>
      <c r="AR8" s="189">
        <v>267050679.30000001</v>
      </c>
      <c r="AS8" s="189">
        <v>204542361.03</v>
      </c>
      <c r="AT8" s="189">
        <v>274670936.41000003</v>
      </c>
      <c r="AU8" s="189">
        <v>304328889.30000001</v>
      </c>
      <c r="AV8" s="189">
        <v>260604368.58000001</v>
      </c>
      <c r="AW8" s="189">
        <v>235232531.90000001</v>
      </c>
      <c r="AX8" s="189">
        <v>317279704.89999998</v>
      </c>
      <c r="AY8" s="189">
        <v>339029137.23000002</v>
      </c>
      <c r="AZ8" s="189">
        <v>259061246.09999999</v>
      </c>
      <c r="BA8" s="189">
        <v>223442257.47</v>
      </c>
      <c r="BB8" s="189">
        <v>400055432.11000001</v>
      </c>
      <c r="BC8" s="189">
        <v>417819644.25999999</v>
      </c>
      <c r="BD8" s="189">
        <v>336316241.29000002</v>
      </c>
      <c r="BE8" s="189">
        <v>286670973.47000003</v>
      </c>
      <c r="BF8" s="189">
        <v>351004515.5</v>
      </c>
      <c r="BG8" s="189">
        <v>369236740.06999999</v>
      </c>
      <c r="BH8" s="189">
        <v>274582737.62</v>
      </c>
      <c r="BI8" s="189">
        <v>279394303.20999998</v>
      </c>
      <c r="BJ8" s="189">
        <v>292915933.70999998</v>
      </c>
      <c r="BK8" s="189">
        <v>351255758.91000003</v>
      </c>
      <c r="BL8" s="189">
        <v>276906342</v>
      </c>
      <c r="BM8" s="189">
        <v>272503052.93000001</v>
      </c>
      <c r="BN8" s="189">
        <v>285889441.01999998</v>
      </c>
      <c r="BO8" s="189">
        <v>297994238.92000002</v>
      </c>
      <c r="BP8" s="189">
        <v>217607846.49000001</v>
      </c>
      <c r="BQ8" s="189">
        <v>242694118.41999999</v>
      </c>
      <c r="BR8" s="189">
        <v>265898290.75999999</v>
      </c>
      <c r="BS8" s="189">
        <v>237690916.34</v>
      </c>
      <c r="BT8" s="189">
        <v>251513721.05000001</v>
      </c>
      <c r="BU8" s="189">
        <v>263926948.97999999</v>
      </c>
      <c r="BV8" s="189">
        <v>281221727.86000001</v>
      </c>
      <c r="BW8" s="189">
        <v>0</v>
      </c>
    </row>
    <row r="9" spans="1:75" x14ac:dyDescent="0.25">
      <c r="A9" s="189" t="s">
        <v>113</v>
      </c>
      <c r="B9" s="189">
        <v>99843559.049999997</v>
      </c>
      <c r="C9" s="189">
        <v>92742027.549999997</v>
      </c>
      <c r="D9" s="189">
        <v>86977353.980000004</v>
      </c>
      <c r="E9" s="189">
        <v>63342520.409999996</v>
      </c>
      <c r="F9" s="189">
        <v>83615410.370000005</v>
      </c>
      <c r="G9" s="189">
        <v>100353720.08</v>
      </c>
      <c r="H9" s="189">
        <v>88335566.609999999</v>
      </c>
      <c r="I9" s="189">
        <v>44349125.399999999</v>
      </c>
      <c r="J9" s="189">
        <v>98081077.799999997</v>
      </c>
      <c r="K9" s="189">
        <v>104909353.18000001</v>
      </c>
      <c r="L9" s="189">
        <v>80071130.349999994</v>
      </c>
      <c r="M9" s="189">
        <v>87397123.299999997</v>
      </c>
      <c r="N9" s="189">
        <v>175893858.25</v>
      </c>
      <c r="O9" s="189">
        <v>35146765.369999997</v>
      </c>
      <c r="P9" s="189">
        <v>32135368.07</v>
      </c>
      <c r="Q9" s="189">
        <v>21201490.510000002</v>
      </c>
      <c r="R9" s="189">
        <v>25027966.109999999</v>
      </c>
      <c r="S9" s="189">
        <v>30957022.43</v>
      </c>
      <c r="T9" s="189">
        <v>25118360.800000001</v>
      </c>
      <c r="U9" s="189">
        <v>18980395.699999999</v>
      </c>
      <c r="V9" s="189">
        <v>39547945.740000002</v>
      </c>
      <c r="W9" s="189">
        <v>36813695.770000003</v>
      </c>
      <c r="X9" s="189">
        <v>22438648.77</v>
      </c>
      <c r="Y9" s="189">
        <v>17130682.609999999</v>
      </c>
      <c r="Z9" s="189">
        <v>37560737.25</v>
      </c>
      <c r="AA9" s="189">
        <v>54055442.479999997</v>
      </c>
      <c r="AB9" s="189">
        <v>47475642.630000003</v>
      </c>
      <c r="AC9" s="189">
        <v>28033486.260000002</v>
      </c>
      <c r="AD9" s="189">
        <v>52680897.740000002</v>
      </c>
      <c r="AE9" s="189">
        <v>47404104.5</v>
      </c>
      <c r="AF9" s="189">
        <v>34542988.409999996</v>
      </c>
      <c r="AG9" s="189">
        <v>21666464.399999999</v>
      </c>
      <c r="AH9" s="189">
        <v>7153773.4400000004</v>
      </c>
      <c r="AI9" s="189">
        <v>7567677.3700000001</v>
      </c>
      <c r="AJ9" s="189">
        <v>8886655.3599999994</v>
      </c>
      <c r="AK9" s="189">
        <v>10387531.050000001</v>
      </c>
      <c r="AL9" s="189">
        <v>18272517.620000001</v>
      </c>
      <c r="AM9" s="189">
        <v>7687065.9900000002</v>
      </c>
      <c r="AN9" s="189">
        <v>12032772.68</v>
      </c>
      <c r="AO9" s="189">
        <v>9778255.0800000001</v>
      </c>
      <c r="AP9" s="189">
        <v>17137756.199999999</v>
      </c>
      <c r="AQ9" s="189">
        <v>17812795.489999998</v>
      </c>
      <c r="AR9" s="189">
        <v>41067978.57</v>
      </c>
      <c r="AS9" s="189">
        <v>28376025.25</v>
      </c>
      <c r="AT9" s="189">
        <v>31316541.449999999</v>
      </c>
      <c r="AU9" s="189">
        <v>40504000.57</v>
      </c>
      <c r="AV9" s="189">
        <v>43614093.299999997</v>
      </c>
      <c r="AW9" s="189">
        <v>67415772.430000007</v>
      </c>
      <c r="AX9" s="189">
        <v>3995480.6</v>
      </c>
      <c r="AY9" s="189">
        <v>35316600.380000003</v>
      </c>
      <c r="AZ9" s="189">
        <v>115890962.87</v>
      </c>
      <c r="BA9" s="189">
        <v>140975349.77000001</v>
      </c>
      <c r="BB9" s="189">
        <v>22847040.449999999</v>
      </c>
      <c r="BC9" s="189">
        <v>6255748.8700000001</v>
      </c>
      <c r="BD9" s="189">
        <v>4283996.07</v>
      </c>
      <c r="BE9" s="189">
        <v>12712354.09</v>
      </c>
      <c r="BF9" s="189">
        <v>24059963.550000001</v>
      </c>
      <c r="BG9" s="189">
        <v>22085422.579999998</v>
      </c>
      <c r="BH9" s="189">
        <v>1137188.68</v>
      </c>
      <c r="BI9" s="189">
        <v>14830112.99</v>
      </c>
      <c r="BJ9" s="189">
        <v>1725968.56</v>
      </c>
      <c r="BK9" s="189">
        <v>1302456.6299999999</v>
      </c>
      <c r="BL9" s="189">
        <v>1631980.67</v>
      </c>
      <c r="BM9" s="189">
        <v>6191690.46</v>
      </c>
      <c r="BN9" s="189">
        <v>734808.07</v>
      </c>
      <c r="BO9" s="189">
        <v>141500</v>
      </c>
      <c r="BP9" s="189">
        <v>2000</v>
      </c>
      <c r="BQ9" s="189">
        <v>11825009.720000001</v>
      </c>
      <c r="BR9" s="189">
        <v>5743719.7599999998</v>
      </c>
      <c r="BS9" s="189">
        <v>4248025.5599999996</v>
      </c>
      <c r="BT9" s="189">
        <v>1437670.35</v>
      </c>
      <c r="BU9" s="189">
        <v>1483285.46</v>
      </c>
      <c r="BV9" s="189">
        <v>202979.24</v>
      </c>
      <c r="BW9" s="189">
        <v>0</v>
      </c>
    </row>
    <row r="10" spans="1:75" x14ac:dyDescent="0.25">
      <c r="A10" s="189" t="s">
        <v>114</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row>
    <row r="11" spans="1:75"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18837837.73</v>
      </c>
      <c r="S11" s="189">
        <v>0</v>
      </c>
      <c r="T11" s="189">
        <v>0</v>
      </c>
      <c r="U11" s="189">
        <v>0</v>
      </c>
      <c r="V11" s="189">
        <v>0</v>
      </c>
      <c r="W11" s="189">
        <v>14302702.640000001</v>
      </c>
      <c r="X11" s="189">
        <v>0</v>
      </c>
      <c r="Y11" s="189">
        <v>0</v>
      </c>
      <c r="Z11" s="189">
        <v>15874476.119999999</v>
      </c>
      <c r="AA11" s="189">
        <v>0</v>
      </c>
      <c r="AB11" s="189">
        <v>0</v>
      </c>
      <c r="AC11" s="189">
        <v>1615108.11</v>
      </c>
      <c r="AD11" s="189">
        <v>13243243.24</v>
      </c>
      <c r="AE11" s="189">
        <v>13243243.24</v>
      </c>
      <c r="AF11" s="189">
        <v>7500000</v>
      </c>
      <c r="AG11" s="189">
        <v>5517531.7599999998</v>
      </c>
      <c r="AH11" s="189">
        <v>8823243.2400000002</v>
      </c>
      <c r="AI11" s="189">
        <v>0</v>
      </c>
      <c r="AJ11" s="189">
        <v>3160000</v>
      </c>
      <c r="AK11" s="189">
        <v>6329729.7300000004</v>
      </c>
      <c r="AL11" s="189">
        <v>11529729.73</v>
      </c>
      <c r="AM11" s="189">
        <v>15229729.73</v>
      </c>
      <c r="AN11" s="189">
        <v>12516159.699999999</v>
      </c>
      <c r="AO11" s="189">
        <v>5007742.49</v>
      </c>
      <c r="AP11" s="189">
        <v>5007742.49</v>
      </c>
      <c r="AQ11" s="189">
        <v>0</v>
      </c>
      <c r="AR11" s="189">
        <v>0</v>
      </c>
      <c r="AS11" s="189">
        <v>0</v>
      </c>
      <c r="AT11" s="189">
        <v>0</v>
      </c>
      <c r="AU11" s="189">
        <v>0</v>
      </c>
      <c r="AV11" s="189">
        <v>0</v>
      </c>
      <c r="AW11" s="189">
        <v>0</v>
      </c>
      <c r="AX11" s="189">
        <v>0</v>
      </c>
      <c r="AY11" s="189">
        <v>0</v>
      </c>
      <c r="AZ11" s="189">
        <v>0</v>
      </c>
      <c r="BA11" s="189">
        <v>453711.72</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860237.85</v>
      </c>
      <c r="BS11" s="189">
        <v>0</v>
      </c>
      <c r="BT11" s="189">
        <v>0</v>
      </c>
      <c r="BU11" s="189">
        <v>0</v>
      </c>
      <c r="BV11" s="189">
        <v>0</v>
      </c>
      <c r="BW11" s="189">
        <v>0</v>
      </c>
    </row>
    <row r="12" spans="1:75" x14ac:dyDescent="0.25">
      <c r="A12" s="189" t="s">
        <v>116</v>
      </c>
      <c r="B12" s="189">
        <v>63727590.939999998</v>
      </c>
      <c r="C12" s="189">
        <v>53772323.810000002</v>
      </c>
      <c r="D12" s="189">
        <v>53565348.18</v>
      </c>
      <c r="E12" s="189">
        <v>63576669.93</v>
      </c>
      <c r="F12" s="189">
        <v>70181368.030000001</v>
      </c>
      <c r="G12" s="189">
        <v>71843796.010000005</v>
      </c>
      <c r="H12" s="189">
        <v>102012328.06</v>
      </c>
      <c r="I12" s="189">
        <v>101602383.77</v>
      </c>
      <c r="J12" s="189">
        <v>90965249.019999996</v>
      </c>
      <c r="K12" s="189">
        <v>80248695.609999999</v>
      </c>
      <c r="L12" s="189">
        <v>66052675.119999997</v>
      </c>
      <c r="M12" s="189">
        <v>413150516.70999998</v>
      </c>
      <c r="N12" s="189">
        <v>45739232.799999997</v>
      </c>
      <c r="O12" s="189">
        <v>32591555.5</v>
      </c>
      <c r="P12" s="189">
        <v>27723817.73</v>
      </c>
      <c r="Q12" s="189">
        <v>24957170.739999998</v>
      </c>
      <c r="R12" s="189">
        <v>34489097.810000002</v>
      </c>
      <c r="S12" s="189">
        <v>22101594.559999999</v>
      </c>
      <c r="T12" s="189">
        <v>25945601.93</v>
      </c>
      <c r="U12" s="189">
        <v>22797949.780000001</v>
      </c>
      <c r="V12" s="189">
        <v>41851186.409999996</v>
      </c>
      <c r="W12" s="189">
        <v>46235316.93</v>
      </c>
      <c r="X12" s="189">
        <v>40799191.43</v>
      </c>
      <c r="Y12" s="189">
        <v>37102505.990000002</v>
      </c>
      <c r="Z12" s="189">
        <v>33217122.309999999</v>
      </c>
      <c r="AA12" s="189">
        <v>45040918.079999998</v>
      </c>
      <c r="AB12" s="189">
        <v>28509685.780000001</v>
      </c>
      <c r="AC12" s="189">
        <v>22966422.030000001</v>
      </c>
      <c r="AD12" s="189">
        <v>27242767.93</v>
      </c>
      <c r="AE12" s="189">
        <v>27549416.800000001</v>
      </c>
      <c r="AF12" s="189">
        <v>52242385.25</v>
      </c>
      <c r="AG12" s="189">
        <v>19916090.449999999</v>
      </c>
      <c r="AH12" s="189">
        <v>39502564.200000003</v>
      </c>
      <c r="AI12" s="189">
        <v>49903018.299999997</v>
      </c>
      <c r="AJ12" s="189">
        <v>23170481.359999999</v>
      </c>
      <c r="AK12" s="189">
        <v>17223546.199999999</v>
      </c>
      <c r="AL12" s="189">
        <v>21488185.440000001</v>
      </c>
      <c r="AM12" s="189">
        <v>27098067.620000001</v>
      </c>
      <c r="AN12" s="189">
        <v>24788748.359999999</v>
      </c>
      <c r="AO12" s="189">
        <v>16993339.75</v>
      </c>
      <c r="AP12" s="189">
        <v>28038458.640000001</v>
      </c>
      <c r="AQ12" s="189">
        <v>48530508.479999997</v>
      </c>
      <c r="AR12" s="189">
        <v>49215204.170000002</v>
      </c>
      <c r="AS12" s="189">
        <v>46979367.890000001</v>
      </c>
      <c r="AT12" s="189">
        <v>59806003.25</v>
      </c>
      <c r="AU12" s="189">
        <v>64510640.979999997</v>
      </c>
      <c r="AV12" s="189">
        <v>53182678.039999999</v>
      </c>
      <c r="AW12" s="189">
        <v>59337226.170000002</v>
      </c>
      <c r="AX12" s="189">
        <v>122332600.56999999</v>
      </c>
      <c r="AY12" s="189">
        <v>122133476.94</v>
      </c>
      <c r="AZ12" s="189">
        <v>117283759.78</v>
      </c>
      <c r="BA12" s="189">
        <v>88484208.099999994</v>
      </c>
      <c r="BB12" s="189">
        <v>95813012.969999999</v>
      </c>
      <c r="BC12" s="189">
        <v>116700975.98</v>
      </c>
      <c r="BD12" s="189">
        <v>107439940.8</v>
      </c>
      <c r="BE12" s="189">
        <v>114530241.23</v>
      </c>
      <c r="BF12" s="189">
        <v>102306821.69</v>
      </c>
      <c r="BG12" s="189">
        <v>98014137.120000005</v>
      </c>
      <c r="BH12" s="189">
        <v>75140382.849999994</v>
      </c>
      <c r="BI12" s="189">
        <v>72782982.519999996</v>
      </c>
      <c r="BJ12" s="189">
        <v>43729613.799999997</v>
      </c>
      <c r="BK12" s="189">
        <v>46206931.539999999</v>
      </c>
      <c r="BL12" s="189">
        <v>38856911.329999998</v>
      </c>
      <c r="BM12" s="189">
        <v>36569624.310000002</v>
      </c>
      <c r="BN12" s="189">
        <v>30873993.550000001</v>
      </c>
      <c r="BO12" s="189">
        <v>29159060.809999999</v>
      </c>
      <c r="BP12" s="189">
        <v>23178123.579999998</v>
      </c>
      <c r="BQ12" s="189">
        <v>24183931.960000001</v>
      </c>
      <c r="BR12" s="189">
        <v>25721451.489999998</v>
      </c>
      <c r="BS12" s="189">
        <v>25626689.789999999</v>
      </c>
      <c r="BT12" s="189">
        <v>53094348.039999999</v>
      </c>
      <c r="BU12" s="189">
        <v>77310513.980000004</v>
      </c>
      <c r="BV12" s="189">
        <v>43538670.460000001</v>
      </c>
      <c r="BW12" s="189">
        <v>0</v>
      </c>
    </row>
    <row r="13" spans="1:75"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row>
    <row r="14" spans="1:75" x14ac:dyDescent="0.25">
      <c r="A14" s="189" t="s">
        <v>118</v>
      </c>
      <c r="B14" s="189">
        <v>1045304760.2</v>
      </c>
      <c r="C14" s="189">
        <v>994403572.28999996</v>
      </c>
      <c r="D14" s="189">
        <v>868341267.04999995</v>
      </c>
      <c r="E14" s="189">
        <v>750415795.02999997</v>
      </c>
      <c r="F14" s="189">
        <v>591039967.70000005</v>
      </c>
      <c r="G14" s="189">
        <v>636878882.95000005</v>
      </c>
      <c r="H14" s="189">
        <v>631180644.24000001</v>
      </c>
      <c r="I14" s="189">
        <v>593697312.38999999</v>
      </c>
      <c r="J14" s="189">
        <v>683246190.65999997</v>
      </c>
      <c r="K14" s="189">
        <v>634597095.58000004</v>
      </c>
      <c r="L14" s="189">
        <v>724307054.13999999</v>
      </c>
      <c r="M14" s="189">
        <v>677108151.61000001</v>
      </c>
      <c r="N14" s="189">
        <v>703293294.42999995</v>
      </c>
      <c r="O14" s="189">
        <v>677960534.10000002</v>
      </c>
      <c r="P14" s="189">
        <v>621816314.36000001</v>
      </c>
      <c r="Q14" s="189">
        <v>524448318.06</v>
      </c>
      <c r="R14" s="189">
        <v>495236558.51999998</v>
      </c>
      <c r="S14" s="189">
        <v>484403802.22000003</v>
      </c>
      <c r="T14" s="189">
        <v>469474644.88</v>
      </c>
      <c r="U14" s="189">
        <v>436564132.48000002</v>
      </c>
      <c r="V14" s="189">
        <v>385275930.97000003</v>
      </c>
      <c r="W14" s="189">
        <v>401334108.26999998</v>
      </c>
      <c r="X14" s="189">
        <v>357715646.44999999</v>
      </c>
      <c r="Y14" s="189">
        <v>374977924.24000001</v>
      </c>
      <c r="Z14" s="189">
        <v>390655393.66000003</v>
      </c>
      <c r="AA14" s="189">
        <v>414402030.64999998</v>
      </c>
      <c r="AB14" s="189">
        <v>373135455.63</v>
      </c>
      <c r="AC14" s="189">
        <v>398644823.11000001</v>
      </c>
      <c r="AD14" s="189">
        <v>295599970.01999998</v>
      </c>
      <c r="AE14" s="189">
        <v>348340307.41000003</v>
      </c>
      <c r="AF14" s="189">
        <v>287437718.31999999</v>
      </c>
      <c r="AG14" s="189">
        <v>317515496.18000001</v>
      </c>
      <c r="AH14" s="189">
        <v>328487017.25999999</v>
      </c>
      <c r="AI14" s="189">
        <v>340879302.25</v>
      </c>
      <c r="AJ14" s="189">
        <v>263056206.49000001</v>
      </c>
      <c r="AK14" s="189">
        <v>267955613.59999999</v>
      </c>
      <c r="AL14" s="189">
        <v>248789834.56999999</v>
      </c>
      <c r="AM14" s="189">
        <v>283555156.91000003</v>
      </c>
      <c r="AN14" s="189">
        <v>353386353.68000001</v>
      </c>
      <c r="AO14" s="189">
        <v>334628555.87</v>
      </c>
      <c r="AP14" s="189">
        <v>237681828.58000001</v>
      </c>
      <c r="AQ14" s="189">
        <v>335379001.69999999</v>
      </c>
      <c r="AR14" s="189">
        <v>292487837.72000003</v>
      </c>
      <c r="AS14" s="189">
        <v>256119303.94999999</v>
      </c>
      <c r="AT14" s="189">
        <v>266069487.00999999</v>
      </c>
      <c r="AU14" s="189">
        <v>281673799.39999998</v>
      </c>
      <c r="AV14" s="189">
        <v>303704997.63</v>
      </c>
      <c r="AW14" s="189">
        <v>251840064.31999999</v>
      </c>
      <c r="AX14" s="189">
        <v>236053895.34</v>
      </c>
      <c r="AY14" s="189">
        <v>257643283.52000001</v>
      </c>
      <c r="AZ14" s="189">
        <v>235212757.56</v>
      </c>
      <c r="BA14" s="189">
        <v>207341977.61000001</v>
      </c>
      <c r="BB14" s="189">
        <v>219724881.36000001</v>
      </c>
      <c r="BC14" s="189">
        <v>228744037.25</v>
      </c>
      <c r="BD14" s="189">
        <v>263374915.52000001</v>
      </c>
      <c r="BE14" s="189">
        <v>205628983.91</v>
      </c>
      <c r="BF14" s="189">
        <v>210722466.72999999</v>
      </c>
      <c r="BG14" s="189">
        <v>200828800.37</v>
      </c>
      <c r="BH14" s="189">
        <v>192157521.25</v>
      </c>
      <c r="BI14" s="189">
        <v>178420120.31999999</v>
      </c>
      <c r="BJ14" s="189">
        <v>197296087.06999999</v>
      </c>
      <c r="BK14" s="189">
        <v>198311663.02000001</v>
      </c>
      <c r="BL14" s="189">
        <v>203550687.59</v>
      </c>
      <c r="BM14" s="189">
        <v>201549744.49000001</v>
      </c>
      <c r="BN14" s="189">
        <v>203104633.53999999</v>
      </c>
      <c r="BO14" s="189">
        <v>203775573.43000001</v>
      </c>
      <c r="BP14" s="189">
        <v>195530577.11000001</v>
      </c>
      <c r="BQ14" s="189">
        <v>150205880.24000001</v>
      </c>
      <c r="BR14" s="189">
        <v>180217252.00999999</v>
      </c>
      <c r="BS14" s="189">
        <v>133358001.56999999</v>
      </c>
      <c r="BT14" s="189">
        <v>152707697.31999999</v>
      </c>
      <c r="BU14" s="189">
        <v>162908716.36000001</v>
      </c>
      <c r="BV14" s="189">
        <v>184340512.91999999</v>
      </c>
      <c r="BW14" s="189">
        <v>0</v>
      </c>
    </row>
    <row r="15" spans="1:75" x14ac:dyDescent="0.25">
      <c r="A15" s="189" t="s">
        <v>119</v>
      </c>
      <c r="B15" s="189">
        <v>0</v>
      </c>
      <c r="C15" s="189">
        <v>0</v>
      </c>
      <c r="D15" s="189">
        <v>0</v>
      </c>
      <c r="E15" s="189">
        <v>0</v>
      </c>
      <c r="F15" s="189">
        <v>0</v>
      </c>
      <c r="G15" s="189">
        <v>0</v>
      </c>
      <c r="H15" s="189">
        <v>0</v>
      </c>
      <c r="I15" s="189">
        <v>0</v>
      </c>
      <c r="J15" s="189">
        <v>0</v>
      </c>
      <c r="K15" s="189">
        <v>0</v>
      </c>
      <c r="L15" s="189">
        <v>0</v>
      </c>
      <c r="M15" s="189">
        <v>0</v>
      </c>
      <c r="N15" s="189">
        <v>732957396.09000003</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row>
    <row r="16" spans="1:75"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1000</v>
      </c>
      <c r="BG16" s="189">
        <v>1000</v>
      </c>
      <c r="BH16" s="189">
        <v>1000</v>
      </c>
      <c r="BI16" s="189">
        <v>2000</v>
      </c>
      <c r="BJ16" s="189">
        <v>0</v>
      </c>
      <c r="BK16" s="189">
        <v>0</v>
      </c>
      <c r="BL16" s="189">
        <v>0</v>
      </c>
      <c r="BM16" s="189">
        <v>0</v>
      </c>
      <c r="BN16" s="189">
        <v>0</v>
      </c>
      <c r="BO16" s="189">
        <v>0</v>
      </c>
      <c r="BP16" s="189">
        <v>0</v>
      </c>
      <c r="BQ16" s="189">
        <v>0</v>
      </c>
      <c r="BR16" s="189">
        <v>0</v>
      </c>
      <c r="BS16" s="189">
        <v>3000</v>
      </c>
      <c r="BT16" s="189">
        <v>0</v>
      </c>
      <c r="BU16" s="189">
        <v>0</v>
      </c>
      <c r="BV16" s="189">
        <v>0</v>
      </c>
      <c r="BW16" s="189">
        <v>0</v>
      </c>
    </row>
    <row r="17" spans="1:75"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4062190.64</v>
      </c>
      <c r="AX17" s="189">
        <v>1887167.66</v>
      </c>
      <c r="AY17" s="189">
        <v>3748096.77</v>
      </c>
      <c r="AZ17" s="189">
        <v>2745936.48</v>
      </c>
      <c r="BA17" s="189">
        <v>2558844.87</v>
      </c>
      <c r="BB17" s="189">
        <v>2458142.36</v>
      </c>
      <c r="BC17" s="189">
        <v>4734613.5599999996</v>
      </c>
      <c r="BD17" s="189">
        <v>5795351.4400000004</v>
      </c>
      <c r="BE17" s="189">
        <v>3622034.21</v>
      </c>
      <c r="BF17" s="189">
        <v>2221893.4300000002</v>
      </c>
      <c r="BG17" s="189">
        <v>3175109.57</v>
      </c>
      <c r="BH17" s="189">
        <v>4737322.83</v>
      </c>
      <c r="BI17" s="189">
        <v>3059465.38</v>
      </c>
      <c r="BJ17" s="189">
        <v>3621050.29</v>
      </c>
      <c r="BK17" s="189">
        <v>4357679.8600000003</v>
      </c>
      <c r="BL17" s="189">
        <v>3501469.91</v>
      </c>
      <c r="BM17" s="189">
        <v>2029851.07</v>
      </c>
      <c r="BN17" s="189">
        <v>2192098.41</v>
      </c>
      <c r="BO17" s="189">
        <v>2443159.36</v>
      </c>
      <c r="BP17" s="189">
        <v>2044813.72</v>
      </c>
      <c r="BQ17" s="189">
        <v>1792629.77</v>
      </c>
      <c r="BR17" s="189">
        <v>1884632.04</v>
      </c>
      <c r="BS17" s="189">
        <v>1403130.64</v>
      </c>
      <c r="BT17" s="189">
        <v>8142994.9699999997</v>
      </c>
      <c r="BU17" s="189">
        <v>9113947.0899999999</v>
      </c>
      <c r="BV17" s="189">
        <v>3983557.19</v>
      </c>
      <c r="BW17" s="189">
        <v>0</v>
      </c>
    </row>
    <row r="18" spans="1:75"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17928.849999999999</v>
      </c>
      <c r="BT18" s="189">
        <v>-16019.37</v>
      </c>
      <c r="BU18" s="189">
        <v>-23799.599999999999</v>
      </c>
      <c r="BV18" s="189">
        <v>0</v>
      </c>
      <c r="BW18" s="189">
        <v>0</v>
      </c>
    </row>
    <row r="19" spans="1:75" x14ac:dyDescent="0.25">
      <c r="A19" s="189" t="s">
        <v>123</v>
      </c>
      <c r="B19" s="189">
        <v>1442442658.9000001</v>
      </c>
      <c r="C19" s="189">
        <v>1432160642.75</v>
      </c>
      <c r="D19" s="189">
        <v>1259240573.9200001</v>
      </c>
      <c r="E19" s="189">
        <v>1224867524.5</v>
      </c>
      <c r="F19" s="189">
        <v>2506699692.7199998</v>
      </c>
      <c r="G19" s="189">
        <v>2051804285.3</v>
      </c>
      <c r="H19" s="189">
        <v>1874056686.8800001</v>
      </c>
      <c r="I19" s="189">
        <v>1686962576.54</v>
      </c>
      <c r="J19" s="189">
        <v>1230004557.53</v>
      </c>
      <c r="K19" s="189">
        <v>1166547509.53</v>
      </c>
      <c r="L19" s="189">
        <v>1521337737.78</v>
      </c>
      <c r="M19" s="189">
        <v>1507133583.53</v>
      </c>
      <c r="N19" s="189">
        <v>1334196534.26</v>
      </c>
      <c r="O19" s="189">
        <v>784510958.90999997</v>
      </c>
      <c r="P19" s="189">
        <v>363661428.39999998</v>
      </c>
      <c r="Q19" s="189">
        <v>516295593.33999997</v>
      </c>
      <c r="R19" s="189">
        <v>481191933.45999998</v>
      </c>
      <c r="S19" s="189">
        <v>317877383.88999999</v>
      </c>
      <c r="T19" s="189">
        <v>461358865.30000001</v>
      </c>
      <c r="U19" s="189">
        <v>635744535.66999996</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143402.57</v>
      </c>
      <c r="BS19" s="189">
        <v>0</v>
      </c>
      <c r="BT19" s="189">
        <v>0</v>
      </c>
      <c r="BU19" s="189">
        <v>0</v>
      </c>
      <c r="BV19" s="189">
        <v>0</v>
      </c>
      <c r="BW19" s="189">
        <v>0</v>
      </c>
    </row>
    <row r="20" spans="1:75" x14ac:dyDescent="0.25">
      <c r="A20" s="189" t="s">
        <v>124</v>
      </c>
      <c r="B20" s="189">
        <v>5060567224.1899996</v>
      </c>
      <c r="C20" s="189">
        <v>4871790816.3699999</v>
      </c>
      <c r="D20" s="189">
        <v>4518530141.6999998</v>
      </c>
      <c r="E20" s="189">
        <v>4369991002.1499996</v>
      </c>
      <c r="F20" s="189">
        <v>5668093701.6999998</v>
      </c>
      <c r="G20" s="189">
        <v>5729723172.0200005</v>
      </c>
      <c r="H20" s="189">
        <v>5529300762</v>
      </c>
      <c r="I20" s="189">
        <v>5413130896.6400003</v>
      </c>
      <c r="J20" s="189">
        <v>5821868067.8599997</v>
      </c>
      <c r="K20" s="189">
        <v>6526922344.6300001</v>
      </c>
      <c r="L20" s="189">
        <v>7097190608.2200003</v>
      </c>
      <c r="M20" s="189">
        <v>6926221396.2600002</v>
      </c>
      <c r="N20" s="189">
        <v>5549663216.9099998</v>
      </c>
      <c r="O20" s="189">
        <v>4551210623.8800001</v>
      </c>
      <c r="P20" s="189">
        <v>4777051258.9399996</v>
      </c>
      <c r="Q20" s="189">
        <v>4263225694.3699999</v>
      </c>
      <c r="R20" s="189">
        <v>4072318536.4000001</v>
      </c>
      <c r="S20" s="189">
        <v>3791448188.6900001</v>
      </c>
      <c r="T20" s="189">
        <v>3801863142.5900002</v>
      </c>
      <c r="U20" s="189">
        <v>3284279922.7199998</v>
      </c>
      <c r="V20" s="189">
        <v>2586109962.1300001</v>
      </c>
      <c r="W20" s="189">
        <v>2476736574.4699998</v>
      </c>
      <c r="X20" s="189">
        <v>2551286321.3099999</v>
      </c>
      <c r="Y20" s="189">
        <v>2197144081.4499998</v>
      </c>
      <c r="Z20" s="189">
        <v>2645688201.1399999</v>
      </c>
      <c r="AA20" s="189">
        <v>2672227925.98</v>
      </c>
      <c r="AB20" s="189">
        <v>1978045549.75</v>
      </c>
      <c r="AC20" s="189">
        <v>1767447489.75</v>
      </c>
      <c r="AD20" s="189">
        <v>1801658579.73</v>
      </c>
      <c r="AE20" s="189">
        <v>1764193473.6900001</v>
      </c>
      <c r="AF20" s="189">
        <v>1614930905.5599999</v>
      </c>
      <c r="AG20" s="189">
        <v>1434682688.26</v>
      </c>
      <c r="AH20" s="189">
        <v>1543934228.54</v>
      </c>
      <c r="AI20" s="189">
        <v>1488175592.8299999</v>
      </c>
      <c r="AJ20" s="189">
        <v>1345138363.1800001</v>
      </c>
      <c r="AK20" s="189">
        <v>1299323675.1800001</v>
      </c>
      <c r="AL20" s="189">
        <v>1327344896.3900001</v>
      </c>
      <c r="AM20" s="189">
        <v>1229843329.3</v>
      </c>
      <c r="AN20" s="189">
        <v>1174224801.6600001</v>
      </c>
      <c r="AO20" s="189">
        <v>1095439413.52</v>
      </c>
      <c r="AP20" s="189">
        <v>1077863766.95</v>
      </c>
      <c r="AQ20" s="189">
        <v>1325636087.05</v>
      </c>
      <c r="AR20" s="189">
        <v>1091677814.29</v>
      </c>
      <c r="AS20" s="189">
        <v>912942470.61000001</v>
      </c>
      <c r="AT20" s="189">
        <v>1137775603.6700001</v>
      </c>
      <c r="AU20" s="189">
        <v>1059933586.4</v>
      </c>
      <c r="AV20" s="189">
        <v>959172363.19000006</v>
      </c>
      <c r="AW20" s="189">
        <v>890896517.17999995</v>
      </c>
      <c r="AX20" s="189">
        <v>955691716.64999998</v>
      </c>
      <c r="AY20" s="189">
        <v>1019925068.55</v>
      </c>
      <c r="AZ20" s="189">
        <v>1248996674.55</v>
      </c>
      <c r="BA20" s="189">
        <v>1124468426.26</v>
      </c>
      <c r="BB20" s="189">
        <v>1083343492.3599999</v>
      </c>
      <c r="BC20" s="189">
        <v>1171710756.03</v>
      </c>
      <c r="BD20" s="189">
        <v>1063063427.39</v>
      </c>
      <c r="BE20" s="189">
        <v>1112456137.02</v>
      </c>
      <c r="BF20" s="189">
        <v>1194670047.6800001</v>
      </c>
      <c r="BG20" s="189">
        <v>1221515314.1700001</v>
      </c>
      <c r="BH20" s="189">
        <v>1027221960.97</v>
      </c>
      <c r="BI20" s="189">
        <v>1059811072.5</v>
      </c>
      <c r="BJ20" s="189">
        <v>1115173816.02</v>
      </c>
      <c r="BK20" s="189">
        <v>1102133832.7</v>
      </c>
      <c r="BL20" s="189">
        <v>964945877.25999999</v>
      </c>
      <c r="BM20" s="189">
        <v>1062996269.0599999</v>
      </c>
      <c r="BN20" s="189">
        <v>1243868063.45</v>
      </c>
      <c r="BO20" s="189">
        <v>1298445422.0799999</v>
      </c>
      <c r="BP20" s="189">
        <v>1154709319.6700001</v>
      </c>
      <c r="BQ20" s="189">
        <v>1183407467.9400001</v>
      </c>
      <c r="BR20" s="189">
        <v>1350975658.27</v>
      </c>
      <c r="BS20" s="189">
        <v>469705276.49000001</v>
      </c>
      <c r="BT20" s="189">
        <v>525275524.30000001</v>
      </c>
      <c r="BU20" s="189">
        <v>544707156.73000002</v>
      </c>
      <c r="BV20" s="189">
        <v>563440791.72000003</v>
      </c>
      <c r="BW20" s="189">
        <v>0</v>
      </c>
    </row>
    <row r="21" spans="1:75" x14ac:dyDescent="0.25">
      <c r="A21" s="189" t="s">
        <v>125</v>
      </c>
    </row>
    <row r="22" spans="1:75"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row>
    <row r="23" spans="1:75" x14ac:dyDescent="0.25">
      <c r="A23" s="189" t="s">
        <v>127</v>
      </c>
      <c r="B23" s="189">
        <v>752575806.45000005</v>
      </c>
      <c r="C23" s="189">
        <v>771478838.63</v>
      </c>
      <c r="D23" s="189">
        <v>772411162.09000003</v>
      </c>
      <c r="E23" s="189">
        <v>548610000</v>
      </c>
      <c r="F23" s="189">
        <v>461687812</v>
      </c>
      <c r="G23" s="189">
        <v>455318010.85000002</v>
      </c>
      <c r="H23" s="189">
        <v>440937311.89999998</v>
      </c>
      <c r="I23" s="189">
        <v>442637311.89999998</v>
      </c>
      <c r="J23" s="189">
        <v>438700000</v>
      </c>
      <c r="K23" s="189">
        <v>438950000</v>
      </c>
      <c r="L23" s="189">
        <v>98550000</v>
      </c>
      <c r="M23" s="189">
        <v>119500000</v>
      </c>
      <c r="N23" s="189">
        <v>93000000</v>
      </c>
      <c r="O23" s="189">
        <v>171700000</v>
      </c>
      <c r="P23" s="189">
        <v>64500000</v>
      </c>
      <c r="Q23" s="189">
        <v>64500000</v>
      </c>
      <c r="R23" s="189">
        <v>113571381.41</v>
      </c>
      <c r="S23" s="189">
        <v>48528970.560000002</v>
      </c>
      <c r="T23" s="189">
        <v>50151403.009999998</v>
      </c>
      <c r="U23" s="189">
        <v>49618592.350000001</v>
      </c>
      <c r="V23" s="189">
        <v>679446276.16999996</v>
      </c>
      <c r="W23" s="189">
        <v>676554700.32000005</v>
      </c>
      <c r="X23" s="189">
        <v>521697794.47000003</v>
      </c>
      <c r="Y23" s="189">
        <v>491584457.66000003</v>
      </c>
      <c r="Z23" s="189">
        <v>100000000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491599.24</v>
      </c>
      <c r="AS23" s="189">
        <v>570889.43999999994</v>
      </c>
      <c r="AT23" s="189">
        <v>631563.68000000005</v>
      </c>
      <c r="AU23" s="189">
        <v>515041.56</v>
      </c>
      <c r="AV23" s="189">
        <v>431614.48</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row>
    <row r="24" spans="1:75"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2000</v>
      </c>
      <c r="BK24" s="189">
        <v>2000</v>
      </c>
      <c r="BL24" s="189">
        <v>2000</v>
      </c>
      <c r="BM24" s="189">
        <v>2000</v>
      </c>
      <c r="BN24" s="189">
        <v>2000</v>
      </c>
      <c r="BO24" s="189">
        <v>2000</v>
      </c>
      <c r="BP24" s="189">
        <v>2000</v>
      </c>
      <c r="BQ24" s="189">
        <v>2000</v>
      </c>
      <c r="BR24" s="189">
        <v>2000</v>
      </c>
      <c r="BS24" s="189">
        <v>2000</v>
      </c>
      <c r="BT24" s="189">
        <v>4000</v>
      </c>
      <c r="BU24" s="189">
        <v>3000</v>
      </c>
      <c r="BV24" s="189">
        <v>3000</v>
      </c>
      <c r="BW24" s="189">
        <v>0</v>
      </c>
    </row>
    <row r="25" spans="1:75"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row>
    <row r="26" spans="1:75" x14ac:dyDescent="0.25">
      <c r="A26" s="189" t="s">
        <v>130</v>
      </c>
      <c r="B26" s="189">
        <v>265598318.37</v>
      </c>
      <c r="C26" s="189">
        <v>241680408.63999999</v>
      </c>
      <c r="D26" s="189">
        <v>236502742.09</v>
      </c>
      <c r="E26" s="189">
        <v>207045491.97</v>
      </c>
      <c r="F26" s="189">
        <v>194880010.28999999</v>
      </c>
      <c r="G26" s="189">
        <v>205669036.63999999</v>
      </c>
      <c r="H26" s="189">
        <v>207219060.93000001</v>
      </c>
      <c r="I26" s="189">
        <v>205101612.72</v>
      </c>
      <c r="J26" s="189">
        <v>212965977.13999999</v>
      </c>
      <c r="K26" s="189">
        <v>171657131.87</v>
      </c>
      <c r="L26" s="189">
        <v>170346402.28</v>
      </c>
      <c r="M26" s="189">
        <v>118202862.25</v>
      </c>
      <c r="N26" s="189">
        <v>115560201.05</v>
      </c>
      <c r="O26" s="189">
        <v>791942039.50999999</v>
      </c>
      <c r="P26" s="189">
        <v>744940292.03999996</v>
      </c>
      <c r="Q26" s="189">
        <v>703752772.44000006</v>
      </c>
      <c r="R26" s="189">
        <v>655310620.20000005</v>
      </c>
      <c r="S26" s="189">
        <v>702282180.88</v>
      </c>
      <c r="T26" s="189">
        <v>675317161.55999994</v>
      </c>
      <c r="U26" s="189">
        <v>633868921.77999997</v>
      </c>
      <c r="V26" s="189">
        <v>598754113.67999995</v>
      </c>
      <c r="W26" s="189">
        <v>561767078.84000003</v>
      </c>
      <c r="X26" s="189">
        <v>543831936.99000001</v>
      </c>
      <c r="Y26" s="189">
        <v>507798192.56</v>
      </c>
      <c r="Z26" s="189">
        <v>481002211.52999997</v>
      </c>
      <c r="AA26" s="189">
        <v>466395831.44</v>
      </c>
      <c r="AB26" s="189">
        <v>387508464.47000003</v>
      </c>
      <c r="AC26" s="189">
        <v>358473350.06</v>
      </c>
      <c r="AD26" s="189">
        <v>341172083.88</v>
      </c>
      <c r="AE26" s="189">
        <v>315011594</v>
      </c>
      <c r="AF26" s="189">
        <v>307724741.49000001</v>
      </c>
      <c r="AG26" s="189">
        <v>292012679.68000001</v>
      </c>
      <c r="AH26" s="189">
        <v>244885572.72999999</v>
      </c>
      <c r="AI26" s="189">
        <v>252299709.12</v>
      </c>
      <c r="AJ26" s="189">
        <v>239813620.88</v>
      </c>
      <c r="AK26" s="189">
        <v>163932913.41999999</v>
      </c>
      <c r="AL26" s="189">
        <v>198436551.91999999</v>
      </c>
      <c r="AM26" s="189">
        <v>170625915.52000001</v>
      </c>
      <c r="AN26" s="189">
        <v>177159526.24000001</v>
      </c>
      <c r="AO26" s="189">
        <v>176249306.83000001</v>
      </c>
      <c r="AP26" s="189">
        <v>175603618.08000001</v>
      </c>
      <c r="AQ26" s="189">
        <v>98140365.739999995</v>
      </c>
      <c r="AR26" s="189">
        <v>103767804.09</v>
      </c>
      <c r="AS26" s="189">
        <v>95057978.010000005</v>
      </c>
      <c r="AT26" s="189">
        <v>108995616.31999999</v>
      </c>
      <c r="AU26" s="189">
        <v>102201474.23</v>
      </c>
      <c r="AV26" s="189">
        <v>99695249.099999994</v>
      </c>
      <c r="AW26" s="189">
        <v>141214351.81999999</v>
      </c>
      <c r="AX26" s="189">
        <v>139813863.02000001</v>
      </c>
      <c r="AY26" s="189">
        <v>146797905.83000001</v>
      </c>
      <c r="AZ26" s="189">
        <v>151320459.31</v>
      </c>
      <c r="BA26" s="189">
        <v>143150804.46000001</v>
      </c>
      <c r="BB26" s="189">
        <v>132635980.97</v>
      </c>
      <c r="BC26" s="189">
        <v>133275752.09</v>
      </c>
      <c r="BD26" s="189">
        <v>137615001.56999999</v>
      </c>
      <c r="BE26" s="189">
        <v>121066935.12</v>
      </c>
      <c r="BF26" s="189">
        <v>120304394.26000001</v>
      </c>
      <c r="BG26" s="189">
        <v>93157156.730000004</v>
      </c>
      <c r="BH26" s="189">
        <v>109272597.03</v>
      </c>
      <c r="BI26" s="189">
        <v>102102723.65000001</v>
      </c>
      <c r="BJ26" s="189">
        <v>96715504.489999995</v>
      </c>
      <c r="BK26" s="189">
        <v>99318235.209999993</v>
      </c>
      <c r="BL26" s="189">
        <v>66036505.789999999</v>
      </c>
      <c r="BM26" s="189">
        <v>65235560.880000003</v>
      </c>
      <c r="BN26" s="189">
        <v>59312928.140000001</v>
      </c>
      <c r="BO26" s="189">
        <v>69028533.200000003</v>
      </c>
      <c r="BP26" s="189">
        <v>11397799.52</v>
      </c>
      <c r="BQ26" s="189">
        <v>11457748.77</v>
      </c>
      <c r="BR26" s="189">
        <v>23389260.390000001</v>
      </c>
      <c r="BS26" s="189">
        <v>16239320.220000001</v>
      </c>
      <c r="BT26" s="189">
        <v>15679775.9</v>
      </c>
      <c r="BU26" s="189">
        <v>10421401.550000001</v>
      </c>
      <c r="BV26" s="189">
        <v>14017346.949999999</v>
      </c>
      <c r="BW26" s="189">
        <v>0</v>
      </c>
    </row>
    <row r="27" spans="1:75"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row>
    <row r="28" spans="1:75" x14ac:dyDescent="0.25">
      <c r="A28" s="189" t="s">
        <v>132</v>
      </c>
      <c r="B28" s="189">
        <v>899370062.94000006</v>
      </c>
      <c r="C28" s="189">
        <v>881152386.40999997</v>
      </c>
      <c r="D28" s="189">
        <v>286895181.69999999</v>
      </c>
      <c r="E28" s="189">
        <v>297062924.36000001</v>
      </c>
      <c r="F28" s="189">
        <v>187811063.59</v>
      </c>
      <c r="G28" s="189">
        <v>198619254.72999999</v>
      </c>
      <c r="H28" s="189">
        <v>201466347.58000001</v>
      </c>
      <c r="I28" s="189">
        <v>206527861.86000001</v>
      </c>
      <c r="J28" s="189">
        <v>207698826.53999999</v>
      </c>
      <c r="K28" s="189">
        <v>211654467.03999999</v>
      </c>
      <c r="L28" s="189">
        <v>216257532.15000001</v>
      </c>
      <c r="M28" s="189">
        <v>223990917.56999999</v>
      </c>
      <c r="N28" s="189">
        <v>189755973.36000001</v>
      </c>
      <c r="O28" s="189">
        <v>194772817.52000001</v>
      </c>
      <c r="P28" s="189">
        <v>211071704.46000001</v>
      </c>
      <c r="Q28" s="189">
        <v>215581175.34999999</v>
      </c>
      <c r="R28" s="189">
        <v>214693826.5</v>
      </c>
      <c r="S28" s="189">
        <v>228150384.83000001</v>
      </c>
      <c r="T28" s="189">
        <v>224601979.87</v>
      </c>
      <c r="U28" s="189">
        <v>216466934.61000001</v>
      </c>
      <c r="V28" s="189">
        <v>217266110.41999999</v>
      </c>
      <c r="W28" s="189">
        <v>210129158.63</v>
      </c>
      <c r="X28" s="189">
        <v>214264857.59999999</v>
      </c>
      <c r="Y28" s="189">
        <v>217467104.56</v>
      </c>
      <c r="Z28" s="189">
        <v>226164520.31</v>
      </c>
      <c r="AA28" s="189">
        <v>225380073.88999999</v>
      </c>
      <c r="AB28" s="189">
        <v>228548788.24000001</v>
      </c>
      <c r="AC28" s="189">
        <v>234531569.31</v>
      </c>
      <c r="AD28" s="189">
        <v>250919584.00999999</v>
      </c>
      <c r="AE28" s="189">
        <v>252765826.65000001</v>
      </c>
      <c r="AF28" s="189">
        <v>250725181.22999999</v>
      </c>
      <c r="AG28" s="189">
        <v>257760918.06999999</v>
      </c>
      <c r="AH28" s="189">
        <v>248338802.63</v>
      </c>
      <c r="AI28" s="189">
        <v>252847769.41</v>
      </c>
      <c r="AJ28" s="189">
        <v>258640549.88</v>
      </c>
      <c r="AK28" s="189">
        <v>262068655.86000001</v>
      </c>
      <c r="AL28" s="189">
        <v>281218145.36000001</v>
      </c>
      <c r="AM28" s="189">
        <v>281873857.37</v>
      </c>
      <c r="AN28" s="189">
        <v>286058982.05000001</v>
      </c>
      <c r="AO28" s="189">
        <v>283120631.62</v>
      </c>
      <c r="AP28" s="189">
        <v>279938730.94</v>
      </c>
      <c r="AQ28" s="189">
        <v>327806800.24000001</v>
      </c>
      <c r="AR28" s="189">
        <v>364800049.42000002</v>
      </c>
      <c r="AS28" s="189">
        <v>373808526.88999999</v>
      </c>
      <c r="AT28" s="189">
        <v>380326409.80000001</v>
      </c>
      <c r="AU28" s="189">
        <v>392991166.18000001</v>
      </c>
      <c r="AV28" s="189">
        <v>402827537.75</v>
      </c>
      <c r="AW28" s="189">
        <v>446119707.56</v>
      </c>
      <c r="AX28" s="189">
        <v>416491849.99000001</v>
      </c>
      <c r="AY28" s="189">
        <v>419993120.44999999</v>
      </c>
      <c r="AZ28" s="189">
        <v>408800889.36000001</v>
      </c>
      <c r="BA28" s="189">
        <v>417967079.56</v>
      </c>
      <c r="BB28" s="189">
        <v>403336058.80000001</v>
      </c>
      <c r="BC28" s="189">
        <v>412214707.44</v>
      </c>
      <c r="BD28" s="189">
        <v>421686447.94999999</v>
      </c>
      <c r="BE28" s="189">
        <v>431883492.13</v>
      </c>
      <c r="BF28" s="189">
        <v>336953694.74000001</v>
      </c>
      <c r="BG28" s="189">
        <v>334280296.25</v>
      </c>
      <c r="BH28" s="189">
        <v>330934296.20999998</v>
      </c>
      <c r="BI28" s="189">
        <v>345349617.94</v>
      </c>
      <c r="BJ28" s="189">
        <v>319252509.68000001</v>
      </c>
      <c r="BK28" s="189">
        <v>305007847.69</v>
      </c>
      <c r="BL28" s="189">
        <v>299295084.94999999</v>
      </c>
      <c r="BM28" s="189">
        <v>307001312.16000003</v>
      </c>
      <c r="BN28" s="189">
        <v>259483407.24000001</v>
      </c>
      <c r="BO28" s="189">
        <v>257640559.43000001</v>
      </c>
      <c r="BP28" s="189">
        <v>223730557.47999999</v>
      </c>
      <c r="BQ28" s="189">
        <v>228985805.99000001</v>
      </c>
      <c r="BR28" s="189">
        <v>230587790.81</v>
      </c>
      <c r="BS28" s="189">
        <v>239724274.46000001</v>
      </c>
      <c r="BT28" s="189">
        <v>278402995.75</v>
      </c>
      <c r="BU28" s="189">
        <v>230762140.72</v>
      </c>
      <c r="BV28" s="189">
        <v>139259547.97999999</v>
      </c>
      <c r="BW28" s="189">
        <v>0</v>
      </c>
    </row>
    <row r="29" spans="1:75" x14ac:dyDescent="0.25">
      <c r="A29" s="189" t="s">
        <v>133</v>
      </c>
      <c r="B29" s="189">
        <v>321741897.73000002</v>
      </c>
      <c r="C29" s="189">
        <v>355643456.88999999</v>
      </c>
      <c r="D29" s="189">
        <v>972891625.82000005</v>
      </c>
      <c r="E29" s="189">
        <v>928864153.22000003</v>
      </c>
      <c r="F29" s="189">
        <v>804391494.25</v>
      </c>
      <c r="G29" s="189">
        <v>746603891.78999996</v>
      </c>
      <c r="H29" s="189">
        <v>704476549.73000002</v>
      </c>
      <c r="I29" s="189">
        <v>584874097.07000005</v>
      </c>
      <c r="J29" s="189">
        <v>543647826.29999995</v>
      </c>
      <c r="K29" s="189">
        <v>356445805.98000002</v>
      </c>
      <c r="L29" s="189">
        <v>213359458.28</v>
      </c>
      <c r="M29" s="189">
        <v>153160043.77000001</v>
      </c>
      <c r="N29" s="189">
        <v>84446275.329999998</v>
      </c>
      <c r="O29" s="189">
        <v>61289438.479999997</v>
      </c>
      <c r="P29" s="189">
        <v>35903913.950000003</v>
      </c>
      <c r="Q29" s="189">
        <v>28548849.52</v>
      </c>
      <c r="R29" s="189">
        <v>41873784.210000001</v>
      </c>
      <c r="S29" s="189">
        <v>41614978.700000003</v>
      </c>
      <c r="T29" s="189">
        <v>39690760.920000002</v>
      </c>
      <c r="U29" s="189">
        <v>45997096.359999999</v>
      </c>
      <c r="V29" s="189">
        <v>40707819.579999998</v>
      </c>
      <c r="W29" s="189">
        <v>34830137.219999999</v>
      </c>
      <c r="X29" s="189">
        <v>22846209.170000002</v>
      </c>
      <c r="Y29" s="189">
        <v>9904261.5700000003</v>
      </c>
      <c r="Z29" s="189">
        <v>27078111.199999999</v>
      </c>
      <c r="AA29" s="189">
        <v>20753027.469999999</v>
      </c>
      <c r="AB29" s="189">
        <v>20539557.239999998</v>
      </c>
      <c r="AC29" s="189">
        <v>16560029.26</v>
      </c>
      <c r="AD29" s="189">
        <v>31957867.190000001</v>
      </c>
      <c r="AE29" s="189">
        <v>32776102.43</v>
      </c>
      <c r="AF29" s="189">
        <v>33005203.23</v>
      </c>
      <c r="AG29" s="189">
        <v>31687558.539999999</v>
      </c>
      <c r="AH29" s="189">
        <v>35291977.960000001</v>
      </c>
      <c r="AI29" s="189">
        <v>36904401.969999999</v>
      </c>
      <c r="AJ29" s="189">
        <v>32186283.420000002</v>
      </c>
      <c r="AK29" s="189">
        <v>30475652.690000001</v>
      </c>
      <c r="AL29" s="189">
        <v>33749797.329999998</v>
      </c>
      <c r="AM29" s="189">
        <v>32664936.260000002</v>
      </c>
      <c r="AN29" s="189">
        <v>29436393.190000001</v>
      </c>
      <c r="AO29" s="189">
        <v>31330383.289999999</v>
      </c>
      <c r="AP29" s="189">
        <v>37256962.079999998</v>
      </c>
      <c r="AQ29" s="189">
        <v>30008701.859999999</v>
      </c>
      <c r="AR29" s="189">
        <v>25119857.239999998</v>
      </c>
      <c r="AS29" s="189">
        <v>17994664.18</v>
      </c>
      <c r="AT29" s="189">
        <v>32145912.609999999</v>
      </c>
      <c r="AU29" s="189">
        <v>30012637.82</v>
      </c>
      <c r="AV29" s="189">
        <v>27644779.309999999</v>
      </c>
      <c r="AW29" s="189">
        <v>19857093.579999998</v>
      </c>
      <c r="AX29" s="189">
        <v>67272844.049999997</v>
      </c>
      <c r="AY29" s="189">
        <v>65595419.210000001</v>
      </c>
      <c r="AZ29" s="189">
        <v>74804131.780000001</v>
      </c>
      <c r="BA29" s="189">
        <v>57989673.119999997</v>
      </c>
      <c r="BB29" s="189">
        <v>61799084.159999996</v>
      </c>
      <c r="BC29" s="189">
        <v>40437162.109999999</v>
      </c>
      <c r="BD29" s="189">
        <v>36116045.520000003</v>
      </c>
      <c r="BE29" s="189">
        <v>29287913.449999999</v>
      </c>
      <c r="BF29" s="189">
        <v>33178313.699999999</v>
      </c>
      <c r="BG29" s="189">
        <v>30180953.300000001</v>
      </c>
      <c r="BH29" s="189">
        <v>29389017.32</v>
      </c>
      <c r="BI29" s="189">
        <v>25189071.960000001</v>
      </c>
      <c r="BJ29" s="189">
        <v>40858695.469999999</v>
      </c>
      <c r="BK29" s="189">
        <v>35666409.130000003</v>
      </c>
      <c r="BL29" s="189">
        <v>37934684.880000003</v>
      </c>
      <c r="BM29" s="189">
        <v>28249593.800000001</v>
      </c>
      <c r="BN29" s="189">
        <v>63886854.869999997</v>
      </c>
      <c r="BO29" s="189">
        <v>57438503.479999997</v>
      </c>
      <c r="BP29" s="189">
        <v>48438957.509999998</v>
      </c>
      <c r="BQ29" s="189">
        <v>33631464.689999998</v>
      </c>
      <c r="BR29" s="189">
        <v>19581388.68</v>
      </c>
      <c r="BS29" s="189">
        <v>13536233.970000001</v>
      </c>
      <c r="BT29" s="189">
        <v>15138865.800000001</v>
      </c>
      <c r="BU29" s="189">
        <v>67141737.450000003</v>
      </c>
      <c r="BV29" s="189">
        <v>134235138.52000001</v>
      </c>
      <c r="BW29" s="189">
        <v>0</v>
      </c>
    </row>
    <row r="30" spans="1:75"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row>
    <row r="31" spans="1:75" x14ac:dyDescent="0.25">
      <c r="A31" s="189" t="s">
        <v>135</v>
      </c>
      <c r="B31" s="189">
        <v>0</v>
      </c>
      <c r="C31" s="189">
        <v>0</v>
      </c>
      <c r="D31" s="189">
        <v>0</v>
      </c>
      <c r="E31" s="189">
        <v>0</v>
      </c>
      <c r="F31" s="189">
        <v>125157.43</v>
      </c>
      <c r="G31" s="189">
        <v>121020.1</v>
      </c>
      <c r="H31" s="189">
        <v>121020.1</v>
      </c>
      <c r="I31" s="189">
        <v>62372.34</v>
      </c>
      <c r="J31" s="189">
        <v>28185.95</v>
      </c>
      <c r="K31" s="189">
        <v>59972.34</v>
      </c>
      <c r="L31" s="189">
        <v>17122.900000000001</v>
      </c>
      <c r="M31" s="189">
        <v>13430</v>
      </c>
      <c r="N31" s="189">
        <v>149892.70000000001</v>
      </c>
      <c r="O31" s="189">
        <v>148183.29999999999</v>
      </c>
      <c r="P31" s="189">
        <v>149892.70000000001</v>
      </c>
      <c r="Q31" s="189">
        <v>149892.70000000001</v>
      </c>
      <c r="R31" s="189">
        <v>134837.17000000001</v>
      </c>
      <c r="S31" s="189">
        <v>141605.47</v>
      </c>
      <c r="T31" s="189">
        <v>141605.47</v>
      </c>
      <c r="U31" s="189">
        <v>141605.47</v>
      </c>
      <c r="V31" s="189">
        <v>141883.29</v>
      </c>
      <c r="W31" s="189">
        <v>144721.07999999999</v>
      </c>
      <c r="X31" s="189">
        <v>0</v>
      </c>
      <c r="Y31" s="189">
        <v>0</v>
      </c>
      <c r="Z31" s="189">
        <v>0</v>
      </c>
      <c r="AA31" s="189">
        <v>0</v>
      </c>
      <c r="AB31" s="189">
        <v>0</v>
      </c>
      <c r="AC31" s="189">
        <v>0</v>
      </c>
      <c r="AD31" s="189">
        <v>28671.19</v>
      </c>
      <c r="AE31" s="189">
        <v>0</v>
      </c>
      <c r="AF31" s="189">
        <v>0</v>
      </c>
      <c r="AG31" s="189">
        <v>0</v>
      </c>
      <c r="AH31" s="189">
        <v>0</v>
      </c>
      <c r="AI31" s="189">
        <v>0</v>
      </c>
      <c r="AJ31" s="189">
        <v>0</v>
      </c>
      <c r="AK31" s="189">
        <v>0</v>
      </c>
      <c r="AL31" s="189">
        <v>-56683.12</v>
      </c>
      <c r="AM31" s="189">
        <v>1524.38</v>
      </c>
      <c r="AN31" s="189">
        <v>208802.79</v>
      </c>
      <c r="AO31" s="189">
        <v>207002.79</v>
      </c>
      <c r="AP31" s="189">
        <v>13707.66</v>
      </c>
      <c r="AQ31" s="189">
        <v>0</v>
      </c>
      <c r="AR31" s="189">
        <v>30291.360000000001</v>
      </c>
      <c r="AS31" s="189">
        <v>0</v>
      </c>
      <c r="AT31" s="189">
        <v>282711.02</v>
      </c>
      <c r="AU31" s="189">
        <v>300599.43</v>
      </c>
      <c r="AV31" s="189">
        <v>238070.88</v>
      </c>
      <c r="AW31" s="189">
        <v>100851.5</v>
      </c>
      <c r="AX31" s="189">
        <v>81152.95</v>
      </c>
      <c r="AY31" s="189">
        <v>79059.850000000006</v>
      </c>
      <c r="AZ31" s="189">
        <v>95040</v>
      </c>
      <c r="BA31" s="189">
        <v>95040</v>
      </c>
      <c r="BB31" s="189">
        <v>98780</v>
      </c>
      <c r="BC31" s="189">
        <v>98780</v>
      </c>
      <c r="BD31" s="189">
        <v>88780</v>
      </c>
      <c r="BE31" s="189">
        <v>98780</v>
      </c>
      <c r="BF31" s="189">
        <v>66635.179999999993</v>
      </c>
      <c r="BG31" s="189">
        <v>3740</v>
      </c>
      <c r="BH31" s="189">
        <v>3740</v>
      </c>
      <c r="BI31" s="189">
        <v>296424.40999999997</v>
      </c>
      <c r="BJ31" s="189">
        <v>853417.17</v>
      </c>
      <c r="BK31" s="189">
        <v>884879.92</v>
      </c>
      <c r="BL31" s="189">
        <v>796169.3</v>
      </c>
      <c r="BM31" s="189">
        <v>305397.90000000002</v>
      </c>
      <c r="BN31" s="189">
        <v>505797.9</v>
      </c>
      <c r="BO31" s="189">
        <v>534904.92000000004</v>
      </c>
      <c r="BP31" s="189">
        <v>363564.64</v>
      </c>
      <c r="BQ31" s="189">
        <v>281351.87</v>
      </c>
      <c r="BR31" s="189">
        <v>287377.78999999998</v>
      </c>
      <c r="BS31" s="189">
        <v>61355.38</v>
      </c>
      <c r="BT31" s="189">
        <v>131978.22</v>
      </c>
      <c r="BU31" s="189">
        <v>5843472.4199999999</v>
      </c>
      <c r="BV31" s="189">
        <v>4637179.25</v>
      </c>
      <c r="BW31" s="189">
        <v>0</v>
      </c>
    </row>
    <row r="32" spans="1:75"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row>
    <row r="33" spans="1:75"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row>
    <row r="34" spans="1:75"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row>
    <row r="35" spans="1:75" x14ac:dyDescent="0.25">
      <c r="A35" s="189" t="s">
        <v>139</v>
      </c>
      <c r="B35" s="189">
        <v>838510834.91999996</v>
      </c>
      <c r="C35" s="189">
        <v>814305407.84000003</v>
      </c>
      <c r="D35" s="189">
        <v>826803322.55999994</v>
      </c>
      <c r="E35" s="189">
        <v>821805447.64999998</v>
      </c>
      <c r="F35" s="189">
        <v>308668374.06999999</v>
      </c>
      <c r="G35" s="189">
        <v>311698753.70999998</v>
      </c>
      <c r="H35" s="189">
        <v>314799780.39999998</v>
      </c>
      <c r="I35" s="189">
        <v>318035170.17000002</v>
      </c>
      <c r="J35" s="189">
        <v>325011031.92000002</v>
      </c>
      <c r="K35" s="189">
        <v>329190255.50999999</v>
      </c>
      <c r="L35" s="189">
        <v>328530250.67000002</v>
      </c>
      <c r="M35" s="189">
        <v>334411010.38999999</v>
      </c>
      <c r="N35" s="189">
        <v>126449050.01000001</v>
      </c>
      <c r="O35" s="189">
        <v>128001128.25</v>
      </c>
      <c r="P35" s="189">
        <v>134130911.33</v>
      </c>
      <c r="Q35" s="189">
        <v>135620626.41999999</v>
      </c>
      <c r="R35" s="189">
        <v>131507705.34999999</v>
      </c>
      <c r="S35" s="189">
        <v>132601698.59999999</v>
      </c>
      <c r="T35" s="189">
        <v>134599454.44</v>
      </c>
      <c r="U35" s="189">
        <v>136559113.96000001</v>
      </c>
      <c r="V35" s="189">
        <v>131860418.7</v>
      </c>
      <c r="W35" s="189">
        <v>112533205.36</v>
      </c>
      <c r="X35" s="189">
        <v>114298534.47</v>
      </c>
      <c r="Y35" s="189">
        <v>115357637.83</v>
      </c>
      <c r="Z35" s="189">
        <v>119324435.03</v>
      </c>
      <c r="AA35" s="189">
        <v>120101779.52</v>
      </c>
      <c r="AB35" s="189">
        <v>97148474.329999998</v>
      </c>
      <c r="AC35" s="189">
        <v>94225631.549999997</v>
      </c>
      <c r="AD35" s="189">
        <v>35502321.350000001</v>
      </c>
      <c r="AE35" s="189">
        <v>36336948.119999997</v>
      </c>
      <c r="AF35" s="189">
        <v>31008980</v>
      </c>
      <c r="AG35" s="189">
        <v>31453008.699999999</v>
      </c>
      <c r="AH35" s="189">
        <v>31974430.73</v>
      </c>
      <c r="AI35" s="189">
        <v>22954956.420000002</v>
      </c>
      <c r="AJ35" s="189">
        <v>23358406.18</v>
      </c>
      <c r="AK35" s="189">
        <v>23494764.34</v>
      </c>
      <c r="AL35" s="189">
        <v>26171249.760000002</v>
      </c>
      <c r="AM35" s="189">
        <v>26897221.699999999</v>
      </c>
      <c r="AN35" s="189">
        <v>28061480.989999998</v>
      </c>
      <c r="AO35" s="189">
        <v>29297093.09</v>
      </c>
      <c r="AP35" s="189">
        <v>30272193.800000001</v>
      </c>
      <c r="AQ35" s="189">
        <v>36298778.950000003</v>
      </c>
      <c r="AR35" s="189">
        <v>41813780.850000001</v>
      </c>
      <c r="AS35" s="189">
        <v>42800209.259999998</v>
      </c>
      <c r="AT35" s="189">
        <v>46594797.969999999</v>
      </c>
      <c r="AU35" s="189">
        <v>46295685.5</v>
      </c>
      <c r="AV35" s="189">
        <v>46401383.810000002</v>
      </c>
      <c r="AW35" s="189">
        <v>46924170.619999997</v>
      </c>
      <c r="AX35" s="189">
        <v>43196675.140000001</v>
      </c>
      <c r="AY35" s="189">
        <v>49358292.299999997</v>
      </c>
      <c r="AZ35" s="189">
        <v>50707040.039999999</v>
      </c>
      <c r="BA35" s="189">
        <v>51978771.119999997</v>
      </c>
      <c r="BB35" s="189">
        <v>52450024.060000002</v>
      </c>
      <c r="BC35" s="189">
        <v>51193771.990000002</v>
      </c>
      <c r="BD35" s="189">
        <v>51312378.689999998</v>
      </c>
      <c r="BE35" s="189">
        <v>51692234.020000003</v>
      </c>
      <c r="BF35" s="189">
        <v>43166903.479999997</v>
      </c>
      <c r="BG35" s="189">
        <v>49703390.219999999</v>
      </c>
      <c r="BH35" s="189">
        <v>49847513.799999997</v>
      </c>
      <c r="BI35" s="189">
        <v>51767317.560000002</v>
      </c>
      <c r="BJ35" s="189">
        <v>48626345.170000002</v>
      </c>
      <c r="BK35" s="189">
        <v>49329173.659999996</v>
      </c>
      <c r="BL35" s="189">
        <v>50180759.93</v>
      </c>
      <c r="BM35" s="189">
        <v>51023901.759999998</v>
      </c>
      <c r="BN35" s="189">
        <v>51633265.909999996</v>
      </c>
      <c r="BO35" s="189">
        <v>40579862.82</v>
      </c>
      <c r="BP35" s="189">
        <v>39448900.840000004</v>
      </c>
      <c r="BQ35" s="189">
        <v>40088259.649999999</v>
      </c>
      <c r="BR35" s="189">
        <v>41368643.950000003</v>
      </c>
      <c r="BS35" s="189">
        <v>42092826.950000003</v>
      </c>
      <c r="BT35" s="189">
        <v>23337014.690000001</v>
      </c>
      <c r="BU35" s="189">
        <v>14483980.08</v>
      </c>
      <c r="BV35" s="189">
        <v>15108575</v>
      </c>
      <c r="BW35" s="189">
        <v>0</v>
      </c>
    </row>
    <row r="36" spans="1:75" x14ac:dyDescent="0.25">
      <c r="A36" s="189" t="s">
        <v>140</v>
      </c>
      <c r="B36" s="189">
        <v>19226664.73</v>
      </c>
      <c r="C36" s="189">
        <v>15483613.5</v>
      </c>
      <c r="D36" s="189">
        <v>14250444.33</v>
      </c>
      <c r="E36" s="189">
        <v>11313616.24</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row>
    <row r="37" spans="1:75" x14ac:dyDescent="0.25">
      <c r="A37" s="189" t="s">
        <v>141</v>
      </c>
      <c r="B37" s="189">
        <v>2010867356.23</v>
      </c>
      <c r="C37" s="189">
        <v>1933570125.3099999</v>
      </c>
      <c r="D37" s="189">
        <v>1969996792.1800001</v>
      </c>
      <c r="E37" s="189">
        <v>1961083992.46</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62590683.240000002</v>
      </c>
      <c r="AE37" s="189">
        <v>62590683.240000002</v>
      </c>
      <c r="AF37" s="189">
        <v>0</v>
      </c>
      <c r="AG37" s="189">
        <v>0</v>
      </c>
      <c r="AH37" s="189">
        <v>30057710.489999998</v>
      </c>
      <c r="AI37" s="189">
        <v>30057710.489999998</v>
      </c>
      <c r="AJ37" s="189">
        <v>30057710.489999998</v>
      </c>
      <c r="AK37" s="189">
        <v>30057710.489999998</v>
      </c>
      <c r="AL37" s="189">
        <v>30057710.489999998</v>
      </c>
      <c r="AM37" s="189">
        <v>30057710.489999998</v>
      </c>
      <c r="AN37" s="189">
        <v>30057710.489999998</v>
      </c>
      <c r="AO37" s="189">
        <v>30057710.489999998</v>
      </c>
      <c r="AP37" s="189">
        <v>28758091.199999999</v>
      </c>
      <c r="AQ37" s="189">
        <v>28758091.199999999</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row>
    <row r="38" spans="1:75" x14ac:dyDescent="0.25">
      <c r="A38" s="189" t="s">
        <v>142</v>
      </c>
      <c r="B38" s="189">
        <v>87727151.640000001</v>
      </c>
      <c r="C38" s="189">
        <v>91327233.569999993</v>
      </c>
      <c r="D38" s="189">
        <v>99563495.239999995</v>
      </c>
      <c r="E38" s="189">
        <v>111566514.70999999</v>
      </c>
      <c r="F38" s="189">
        <v>135730339.69999999</v>
      </c>
      <c r="G38" s="189">
        <v>145593905.74000001</v>
      </c>
      <c r="H38" s="189">
        <v>146614603.97999999</v>
      </c>
      <c r="I38" s="189">
        <v>165753726.22</v>
      </c>
      <c r="J38" s="189">
        <v>156873435.44999999</v>
      </c>
      <c r="K38" s="189">
        <v>88590560.790000007</v>
      </c>
      <c r="L38" s="189">
        <v>84464188.469999999</v>
      </c>
      <c r="M38" s="189">
        <v>87496743.590000004</v>
      </c>
      <c r="N38" s="189">
        <v>79492024.609999999</v>
      </c>
      <c r="O38" s="189">
        <v>67651777.409999996</v>
      </c>
      <c r="P38" s="189">
        <v>67371045.409999996</v>
      </c>
      <c r="Q38" s="189">
        <v>62678520.969999999</v>
      </c>
      <c r="R38" s="189">
        <v>48876208.140000001</v>
      </c>
      <c r="S38" s="189">
        <v>52346528.200000003</v>
      </c>
      <c r="T38" s="189">
        <v>56702429.560000002</v>
      </c>
      <c r="U38" s="189">
        <v>64515985.719999999</v>
      </c>
      <c r="V38" s="189">
        <v>59044603.369999997</v>
      </c>
      <c r="W38" s="189">
        <v>55895127.600000001</v>
      </c>
      <c r="X38" s="189">
        <v>51288140.880000003</v>
      </c>
      <c r="Y38" s="189">
        <v>54774691.409999996</v>
      </c>
      <c r="Z38" s="189">
        <v>53298169.590000004</v>
      </c>
      <c r="AA38" s="189">
        <v>47801498.18</v>
      </c>
      <c r="AB38" s="189">
        <v>44844557.600000001</v>
      </c>
      <c r="AC38" s="189">
        <v>49680474.799999997</v>
      </c>
      <c r="AD38" s="189">
        <v>43277323.840000004</v>
      </c>
      <c r="AE38" s="189">
        <v>43770930.869999997</v>
      </c>
      <c r="AF38" s="189">
        <v>43857516.289999999</v>
      </c>
      <c r="AG38" s="189">
        <v>44341450.770000003</v>
      </c>
      <c r="AH38" s="189">
        <v>44757917.729999997</v>
      </c>
      <c r="AI38" s="189">
        <v>44557671.990000002</v>
      </c>
      <c r="AJ38" s="189">
        <v>44235209.079999998</v>
      </c>
      <c r="AK38" s="189">
        <v>41442240.719999999</v>
      </c>
      <c r="AL38" s="189">
        <v>30031050.48</v>
      </c>
      <c r="AM38" s="189">
        <v>29803617.43</v>
      </c>
      <c r="AN38" s="189">
        <v>28468283.329999998</v>
      </c>
      <c r="AO38" s="189">
        <v>29180357.27</v>
      </c>
      <c r="AP38" s="189">
        <v>22685331.719999999</v>
      </c>
      <c r="AQ38" s="189">
        <v>24083849.789999999</v>
      </c>
      <c r="AR38" s="189">
        <v>24634742.800000001</v>
      </c>
      <c r="AS38" s="189">
        <v>31164435.91</v>
      </c>
      <c r="AT38" s="189">
        <v>20055660.510000002</v>
      </c>
      <c r="AU38" s="189">
        <v>20947323.59</v>
      </c>
      <c r="AV38" s="189">
        <v>25954897.23</v>
      </c>
      <c r="AW38" s="189">
        <v>4438746.01</v>
      </c>
      <c r="AX38" s="189">
        <v>6138743.0199999996</v>
      </c>
      <c r="AY38" s="189">
        <v>7041266.46</v>
      </c>
      <c r="AZ38" s="189">
        <v>7964352.3700000001</v>
      </c>
      <c r="BA38" s="189">
        <v>8935472.6600000001</v>
      </c>
      <c r="BB38" s="189">
        <v>3500479.3</v>
      </c>
      <c r="BC38" s="189">
        <v>3720871.57</v>
      </c>
      <c r="BD38" s="189">
        <v>4473025.5</v>
      </c>
      <c r="BE38" s="189">
        <v>4179157.83</v>
      </c>
      <c r="BF38" s="189">
        <v>5429412.79</v>
      </c>
      <c r="BG38" s="189">
        <v>5798758.9299999997</v>
      </c>
      <c r="BH38" s="189">
        <v>3778675.78</v>
      </c>
      <c r="BI38" s="189">
        <v>4002378.56</v>
      </c>
      <c r="BJ38" s="189">
        <v>4931889.17</v>
      </c>
      <c r="BK38" s="189">
        <v>6577747.9900000002</v>
      </c>
      <c r="BL38" s="189">
        <v>6416539.8600000003</v>
      </c>
      <c r="BM38" s="189">
        <v>7129169.3399999999</v>
      </c>
      <c r="BN38" s="189">
        <v>7973940.2599999998</v>
      </c>
      <c r="BO38" s="189">
        <v>4452805.16</v>
      </c>
      <c r="BP38" s="189">
        <v>5484771.2000000002</v>
      </c>
      <c r="BQ38" s="189">
        <v>5810586.5499999998</v>
      </c>
      <c r="BR38" s="189">
        <v>5420067.04</v>
      </c>
      <c r="BS38" s="189">
        <v>5354904.25</v>
      </c>
      <c r="BT38" s="189">
        <v>14031151.300000001</v>
      </c>
      <c r="BU38" s="189">
        <v>13717927.220000001</v>
      </c>
      <c r="BV38" s="189">
        <v>14151474.869999999</v>
      </c>
      <c r="BW38" s="189">
        <v>0</v>
      </c>
    </row>
    <row r="39" spans="1:75" x14ac:dyDescent="0.25">
      <c r="A39" s="189" t="s">
        <v>143</v>
      </c>
      <c r="B39" s="189">
        <v>190647416.53</v>
      </c>
      <c r="C39" s="189">
        <v>173640549.71000001</v>
      </c>
      <c r="D39" s="189">
        <v>172033259.22999999</v>
      </c>
      <c r="E39" s="189">
        <v>184246738.30000001</v>
      </c>
      <c r="F39" s="189">
        <v>135297155.61000001</v>
      </c>
      <c r="G39" s="189">
        <v>146102579.47999999</v>
      </c>
      <c r="H39" s="189">
        <v>138583950.88999999</v>
      </c>
      <c r="I39" s="189">
        <v>130519998.72</v>
      </c>
      <c r="J39" s="189">
        <v>122621574.25</v>
      </c>
      <c r="K39" s="189">
        <v>113630395.43000001</v>
      </c>
      <c r="L39" s="189">
        <v>101326681.17</v>
      </c>
      <c r="M39" s="189">
        <v>93083969.049999997</v>
      </c>
      <c r="N39" s="189">
        <v>50462737.869999997</v>
      </c>
      <c r="O39" s="189">
        <v>56123492.68</v>
      </c>
      <c r="P39" s="189">
        <v>48422759.07</v>
      </c>
      <c r="Q39" s="189">
        <v>59576125.149999999</v>
      </c>
      <c r="R39" s="189">
        <v>84903069.049999997</v>
      </c>
      <c r="S39" s="189">
        <v>72503475.230000004</v>
      </c>
      <c r="T39" s="189">
        <v>88605909.780000001</v>
      </c>
      <c r="U39" s="189">
        <v>88770744.239999995</v>
      </c>
      <c r="V39" s="189">
        <v>46242581.210000001</v>
      </c>
      <c r="W39" s="189">
        <v>45272547.07</v>
      </c>
      <c r="X39" s="189">
        <v>43091048.869999997</v>
      </c>
      <c r="Y39" s="189">
        <v>44840180.350000001</v>
      </c>
      <c r="Z39" s="189">
        <v>28415889.510000002</v>
      </c>
      <c r="AA39" s="189">
        <v>23399044.710000001</v>
      </c>
      <c r="AB39" s="189">
        <v>25681547.440000001</v>
      </c>
      <c r="AC39" s="189">
        <v>25864848.09</v>
      </c>
      <c r="AD39" s="189">
        <v>28629512.27</v>
      </c>
      <c r="AE39" s="189">
        <v>31814898.829999998</v>
      </c>
      <c r="AF39" s="189">
        <v>35106875.170000002</v>
      </c>
      <c r="AG39" s="189">
        <v>30405984.309999999</v>
      </c>
      <c r="AH39" s="189">
        <v>19797597.170000002</v>
      </c>
      <c r="AI39" s="189">
        <v>20442156.32</v>
      </c>
      <c r="AJ39" s="189">
        <v>26557134.719999999</v>
      </c>
      <c r="AK39" s="189">
        <v>12856270.300000001</v>
      </c>
      <c r="AL39" s="189">
        <v>10851594.210000001</v>
      </c>
      <c r="AM39" s="189">
        <v>11189683.41</v>
      </c>
      <c r="AN39" s="189">
        <v>10766458.24</v>
      </c>
      <c r="AO39" s="189">
        <v>10967095.550000001</v>
      </c>
      <c r="AP39" s="189">
        <v>12147455.779999999</v>
      </c>
      <c r="AQ39" s="189">
        <v>11752166.75</v>
      </c>
      <c r="AR39" s="189">
        <v>7753956.25</v>
      </c>
      <c r="AS39" s="189">
        <v>6158637.9000000004</v>
      </c>
      <c r="AT39" s="189">
        <v>23547791.649999999</v>
      </c>
      <c r="AU39" s="189">
        <v>26415045.670000002</v>
      </c>
      <c r="AV39" s="189">
        <v>26247218.870000001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row>
    <row r="40" spans="1:75" x14ac:dyDescent="0.25">
      <c r="A40" s="189" t="s">
        <v>144</v>
      </c>
      <c r="B40" s="189">
        <v>161366670.22</v>
      </c>
      <c r="C40" s="189">
        <v>153542264.41</v>
      </c>
      <c r="D40" s="189">
        <v>165952349.19999999</v>
      </c>
      <c r="E40" s="189">
        <v>162369221.94</v>
      </c>
      <c r="F40" s="189">
        <v>146326997.55000001</v>
      </c>
      <c r="G40" s="189">
        <v>132391321.97</v>
      </c>
      <c r="H40" s="189">
        <v>130207370.73</v>
      </c>
      <c r="I40" s="189">
        <v>165804397.83000001</v>
      </c>
      <c r="J40" s="189">
        <v>106312328.77</v>
      </c>
      <c r="K40" s="189">
        <v>105304109.59</v>
      </c>
      <c r="L40" s="189">
        <v>104306849.31999999</v>
      </c>
      <c r="M40" s="189">
        <v>103309589.04000001</v>
      </c>
      <c r="N40" s="189">
        <v>309390000</v>
      </c>
      <c r="O40" s="189">
        <v>309390000</v>
      </c>
      <c r="P40" s="189">
        <v>100000000</v>
      </c>
      <c r="Q40" s="189">
        <v>0</v>
      </c>
      <c r="R40" s="189">
        <v>0</v>
      </c>
      <c r="S40" s="189">
        <v>0</v>
      </c>
      <c r="T40" s="189">
        <v>0</v>
      </c>
      <c r="U40" s="189">
        <v>0</v>
      </c>
      <c r="V40" s="189">
        <v>0</v>
      </c>
      <c r="W40" s="189">
        <v>12870000</v>
      </c>
      <c r="X40" s="189">
        <v>12870000</v>
      </c>
      <c r="Y40" s="189">
        <v>8000000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0</v>
      </c>
    </row>
    <row r="41" spans="1:75" x14ac:dyDescent="0.25">
      <c r="A41" s="189" t="s">
        <v>145</v>
      </c>
      <c r="B41" s="189">
        <v>5547632179.7600002</v>
      </c>
      <c r="C41" s="189">
        <v>5431824284.9099998</v>
      </c>
      <c r="D41" s="189">
        <v>5517300374.4399996</v>
      </c>
      <c r="E41" s="189">
        <v>5233968100.8500004</v>
      </c>
      <c r="F41" s="189">
        <v>2374918404.4899998</v>
      </c>
      <c r="G41" s="189">
        <v>2342117775.0100002</v>
      </c>
      <c r="H41" s="189">
        <v>2284425996.2399998</v>
      </c>
      <c r="I41" s="189">
        <v>2219316548.8299999</v>
      </c>
      <c r="J41" s="189">
        <v>2113859186.3199999</v>
      </c>
      <c r="K41" s="189">
        <v>1815482698.55</v>
      </c>
      <c r="L41" s="189">
        <v>1317158485.24</v>
      </c>
      <c r="M41" s="189">
        <v>1233168565.6600001</v>
      </c>
      <c r="N41" s="189">
        <v>1048706154.9299999</v>
      </c>
      <c r="O41" s="189">
        <v>1781018877.1500001</v>
      </c>
      <c r="P41" s="189">
        <v>1406490518.96</v>
      </c>
      <c r="Q41" s="189">
        <v>1270407962.55</v>
      </c>
      <c r="R41" s="189">
        <v>1290871432.03</v>
      </c>
      <c r="S41" s="189">
        <v>1278169822.47</v>
      </c>
      <c r="T41" s="189">
        <v>1269810704.6099999</v>
      </c>
      <c r="U41" s="189">
        <v>1235938994.49</v>
      </c>
      <c r="V41" s="189">
        <v>1773463806.4200001</v>
      </c>
      <c r="W41" s="189">
        <v>1709996676.1199999</v>
      </c>
      <c r="X41" s="189">
        <v>1524188522.45</v>
      </c>
      <c r="Y41" s="189">
        <v>1449726525.9400001</v>
      </c>
      <c r="Z41" s="189">
        <v>1035283337.17</v>
      </c>
      <c r="AA41" s="189">
        <v>903831255.21000004</v>
      </c>
      <c r="AB41" s="189">
        <v>804271389.32000005</v>
      </c>
      <c r="AC41" s="189">
        <v>779335903.07000005</v>
      </c>
      <c r="AD41" s="189">
        <v>794078046.97000003</v>
      </c>
      <c r="AE41" s="189">
        <v>775066984.13999999</v>
      </c>
      <c r="AF41" s="189">
        <v>701428497.40999997</v>
      </c>
      <c r="AG41" s="189">
        <v>687661600.07000005</v>
      </c>
      <c r="AH41" s="189">
        <v>655104009.44000006</v>
      </c>
      <c r="AI41" s="189">
        <v>660064375.72000003</v>
      </c>
      <c r="AJ41" s="189">
        <v>654848914.64999998</v>
      </c>
      <c r="AK41" s="189">
        <v>564328207.82000005</v>
      </c>
      <c r="AL41" s="189">
        <v>610459416.42999995</v>
      </c>
      <c r="AM41" s="189">
        <v>583114466.55999994</v>
      </c>
      <c r="AN41" s="189">
        <v>590217637.32000005</v>
      </c>
      <c r="AO41" s="189">
        <v>590409580.92999995</v>
      </c>
      <c r="AP41" s="189">
        <v>586676091.25999999</v>
      </c>
      <c r="AQ41" s="189">
        <v>556848754.52999997</v>
      </c>
      <c r="AR41" s="189">
        <v>568412081.25</v>
      </c>
      <c r="AS41" s="189">
        <v>567555341.59000003</v>
      </c>
      <c r="AT41" s="189">
        <v>612580463.55999994</v>
      </c>
      <c r="AU41" s="189">
        <v>619678973.98000002</v>
      </c>
      <c r="AV41" s="189">
        <v>629440751.42999995</v>
      </c>
      <c r="AW41" s="189">
        <v>658654921.09000003</v>
      </c>
      <c r="AX41" s="189">
        <v>672995128.16999996</v>
      </c>
      <c r="AY41" s="189">
        <v>688865064.10000002</v>
      </c>
      <c r="AZ41" s="189">
        <v>693691912.86000001</v>
      </c>
      <c r="BA41" s="189">
        <v>680116840.91999996</v>
      </c>
      <c r="BB41" s="189">
        <v>653820407.28999996</v>
      </c>
      <c r="BC41" s="189">
        <v>640941045.20000005</v>
      </c>
      <c r="BD41" s="189">
        <v>651291679.23000002</v>
      </c>
      <c r="BE41" s="189">
        <v>638208512.54999995</v>
      </c>
      <c r="BF41" s="189">
        <v>539099354.14999998</v>
      </c>
      <c r="BG41" s="189">
        <v>513124295.43000001</v>
      </c>
      <c r="BH41" s="189">
        <v>523225840.13999999</v>
      </c>
      <c r="BI41" s="189">
        <v>528707534.07999998</v>
      </c>
      <c r="BJ41" s="189">
        <v>511240361.14999998</v>
      </c>
      <c r="BK41" s="189">
        <v>496786293.60000002</v>
      </c>
      <c r="BL41" s="189">
        <v>460661744.70999998</v>
      </c>
      <c r="BM41" s="189">
        <v>458946935.83999997</v>
      </c>
      <c r="BN41" s="189">
        <v>442798194.31999999</v>
      </c>
      <c r="BO41" s="189">
        <v>429677169.00999999</v>
      </c>
      <c r="BP41" s="189">
        <v>328866551.19</v>
      </c>
      <c r="BQ41" s="189">
        <v>320257217.51999998</v>
      </c>
      <c r="BR41" s="189">
        <v>320636528.66000003</v>
      </c>
      <c r="BS41" s="189">
        <v>317010915.23000002</v>
      </c>
      <c r="BT41" s="189">
        <v>346830828.18000001</v>
      </c>
      <c r="BU41" s="189">
        <v>342886997.76999998</v>
      </c>
      <c r="BV41" s="189">
        <v>321891495.07999998</v>
      </c>
      <c r="BW41" s="189">
        <v>0</v>
      </c>
    </row>
    <row r="42" spans="1:75" x14ac:dyDescent="0.25">
      <c r="A42" s="189" t="s">
        <v>146</v>
      </c>
      <c r="B42" s="189">
        <v>10608199403.950001</v>
      </c>
      <c r="C42" s="189">
        <v>10303615101.280001</v>
      </c>
      <c r="D42" s="189">
        <v>10035830516.139999</v>
      </c>
      <c r="E42" s="189">
        <v>9603959103</v>
      </c>
      <c r="F42" s="189">
        <v>8043012106.1899996</v>
      </c>
      <c r="G42" s="189">
        <v>8071840947.0299997</v>
      </c>
      <c r="H42" s="189">
        <v>7813726758.2399998</v>
      </c>
      <c r="I42" s="189">
        <v>7632447445.4700003</v>
      </c>
      <c r="J42" s="189">
        <v>7935727254.1800003</v>
      </c>
      <c r="K42" s="189">
        <v>8342405043.1800003</v>
      </c>
      <c r="L42" s="189">
        <v>8414349093.46</v>
      </c>
      <c r="M42" s="189">
        <v>8159389961.9200001</v>
      </c>
      <c r="N42" s="189">
        <v>6598369371.8400002</v>
      </c>
      <c r="O42" s="189">
        <v>6332229501.0299997</v>
      </c>
      <c r="P42" s="189">
        <v>6183541777.8999996</v>
      </c>
      <c r="Q42" s="189">
        <v>5533633656.9200001</v>
      </c>
      <c r="R42" s="189">
        <v>5363189968.4300003</v>
      </c>
      <c r="S42" s="189">
        <v>5069618011.1599998</v>
      </c>
      <c r="T42" s="189">
        <v>5071673847.1999998</v>
      </c>
      <c r="U42" s="189">
        <v>4520218917.21</v>
      </c>
      <c r="V42" s="189">
        <v>4359573768.5500002</v>
      </c>
      <c r="W42" s="189">
        <v>4186733250.5900002</v>
      </c>
      <c r="X42" s="189">
        <v>4075474843.7600002</v>
      </c>
      <c r="Y42" s="189">
        <v>3646870607.3899999</v>
      </c>
      <c r="Z42" s="189">
        <v>3680971538.3099999</v>
      </c>
      <c r="AA42" s="189">
        <v>3576059181.1900001</v>
      </c>
      <c r="AB42" s="189">
        <v>2782316939.0700002</v>
      </c>
      <c r="AC42" s="189">
        <v>2546783392.8200002</v>
      </c>
      <c r="AD42" s="189">
        <v>2595736626.6999998</v>
      </c>
      <c r="AE42" s="189">
        <v>2539260457.8299999</v>
      </c>
      <c r="AF42" s="189">
        <v>2316359402.9699998</v>
      </c>
      <c r="AG42" s="189">
        <v>2122344288.3299999</v>
      </c>
      <c r="AH42" s="189">
        <v>2199038237.98</v>
      </c>
      <c r="AI42" s="189">
        <v>2148239968.5500002</v>
      </c>
      <c r="AJ42" s="189">
        <v>1999987277.8299999</v>
      </c>
      <c r="AK42" s="189">
        <v>1863651883</v>
      </c>
      <c r="AL42" s="189">
        <v>1937804312.8199999</v>
      </c>
      <c r="AM42" s="189">
        <v>1812957795.8599999</v>
      </c>
      <c r="AN42" s="189">
        <v>1764442438.98</v>
      </c>
      <c r="AO42" s="189">
        <v>1685848994.45</v>
      </c>
      <c r="AP42" s="189">
        <v>1664539858.21</v>
      </c>
      <c r="AQ42" s="189">
        <v>1882484841.5799999</v>
      </c>
      <c r="AR42" s="189">
        <v>1660089895.54</v>
      </c>
      <c r="AS42" s="189">
        <v>1480497812.2</v>
      </c>
      <c r="AT42" s="189">
        <v>1750356067.23</v>
      </c>
      <c r="AU42" s="189">
        <v>1679612560.3800001</v>
      </c>
      <c r="AV42" s="189">
        <v>1588613114.6199999</v>
      </c>
      <c r="AW42" s="189">
        <v>1549551438.27</v>
      </c>
      <c r="AX42" s="189">
        <v>1628686844.8199999</v>
      </c>
      <c r="AY42" s="189">
        <v>1708790132.6500001</v>
      </c>
      <c r="AZ42" s="189">
        <v>1942688587.4100001</v>
      </c>
      <c r="BA42" s="189">
        <v>1804585267.1800001</v>
      </c>
      <c r="BB42" s="189">
        <v>1737163899.6500001</v>
      </c>
      <c r="BC42" s="189">
        <v>1812651801.23</v>
      </c>
      <c r="BD42" s="189">
        <v>1714355106.6199999</v>
      </c>
      <c r="BE42" s="189">
        <v>1750664649.5699999</v>
      </c>
      <c r="BF42" s="189">
        <v>1733769401.8299999</v>
      </c>
      <c r="BG42" s="189">
        <v>1734639609.5999999</v>
      </c>
      <c r="BH42" s="189">
        <v>1550447801.1099999</v>
      </c>
      <c r="BI42" s="189">
        <v>1588518606.5799999</v>
      </c>
      <c r="BJ42" s="189">
        <v>1626414177.1700001</v>
      </c>
      <c r="BK42" s="189">
        <v>1598920126.3</v>
      </c>
      <c r="BL42" s="189">
        <v>1425607621.97</v>
      </c>
      <c r="BM42" s="189">
        <v>1521943204.9000001</v>
      </c>
      <c r="BN42" s="189">
        <v>1686666257.77</v>
      </c>
      <c r="BO42" s="189">
        <v>1728122591.0899999</v>
      </c>
      <c r="BP42" s="189">
        <v>1483575870.8599999</v>
      </c>
      <c r="BQ42" s="189">
        <v>1503664685.46</v>
      </c>
      <c r="BR42" s="189">
        <v>1671612186.9300001</v>
      </c>
      <c r="BS42" s="189">
        <v>786716191.72000003</v>
      </c>
      <c r="BT42" s="189">
        <v>872106352.48000002</v>
      </c>
      <c r="BU42" s="189">
        <v>887594154.5</v>
      </c>
      <c r="BV42" s="189">
        <v>885332286.79999995</v>
      </c>
      <c r="BW42" s="189">
        <v>0</v>
      </c>
    </row>
    <row r="43" spans="1:75" x14ac:dyDescent="0.25">
      <c r="A43" s="189" t="s">
        <v>147</v>
      </c>
    </row>
    <row r="44" spans="1:75" x14ac:dyDescent="0.25">
      <c r="A44" s="189" t="s">
        <v>148</v>
      </c>
      <c r="B44" s="189">
        <v>0</v>
      </c>
      <c r="C44" s="189">
        <v>0</v>
      </c>
      <c r="D44" s="189">
        <v>0</v>
      </c>
      <c r="E44" s="189">
        <v>18522735.68</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10000000</v>
      </c>
      <c r="AA44" s="189">
        <v>10000000</v>
      </c>
      <c r="AB44" s="189">
        <v>10000000</v>
      </c>
      <c r="AC44" s="189">
        <v>10000000</v>
      </c>
      <c r="AD44" s="189">
        <v>12000000</v>
      </c>
      <c r="AE44" s="189">
        <v>12000000</v>
      </c>
      <c r="AF44" s="189">
        <v>12000000</v>
      </c>
      <c r="AG44" s="189">
        <v>14000000</v>
      </c>
      <c r="AH44" s="189">
        <v>14000000</v>
      </c>
      <c r="AI44" s="189">
        <v>14000000</v>
      </c>
      <c r="AJ44" s="189">
        <v>15000000</v>
      </c>
      <c r="AK44" s="189">
        <v>12000000</v>
      </c>
      <c r="AL44" s="189">
        <v>10000000</v>
      </c>
      <c r="AM44" s="189">
        <v>7000000</v>
      </c>
      <c r="AN44" s="189">
        <v>100000000</v>
      </c>
      <c r="AO44" s="189">
        <v>103000000</v>
      </c>
      <c r="AP44" s="189">
        <v>72100000</v>
      </c>
      <c r="AQ44" s="189">
        <v>157000000</v>
      </c>
      <c r="AR44" s="189">
        <v>193000000</v>
      </c>
      <c r="AS44" s="189">
        <v>196214636.59</v>
      </c>
      <c r="AT44" s="189">
        <v>234668584.59</v>
      </c>
      <c r="AU44" s="189">
        <v>270295000</v>
      </c>
      <c r="AV44" s="189">
        <v>287983274.00999999</v>
      </c>
      <c r="AW44" s="189">
        <v>229500000</v>
      </c>
      <c r="AX44" s="189">
        <v>237500000</v>
      </c>
      <c r="AY44" s="189">
        <v>373500000</v>
      </c>
      <c r="AZ44" s="189">
        <v>290000000</v>
      </c>
      <c r="BA44" s="189">
        <v>203531825.30000001</v>
      </c>
      <c r="BB44" s="189">
        <v>95000000</v>
      </c>
      <c r="BC44" s="189">
        <v>104000000</v>
      </c>
      <c r="BD44" s="189">
        <v>86800000</v>
      </c>
      <c r="BE44" s="189">
        <v>111358159</v>
      </c>
      <c r="BF44" s="189">
        <v>86800000</v>
      </c>
      <c r="BG44" s="189">
        <v>86800000</v>
      </c>
      <c r="BH44" s="189">
        <v>69710000</v>
      </c>
      <c r="BI44" s="189">
        <v>66970000</v>
      </c>
      <c r="BJ44" s="189">
        <v>68500000</v>
      </c>
      <c r="BK44" s="189">
        <v>76950000</v>
      </c>
      <c r="BL44" s="189">
        <v>66000000</v>
      </c>
      <c r="BM44" s="189">
        <v>66000000</v>
      </c>
      <c r="BN44" s="189">
        <v>116500000</v>
      </c>
      <c r="BO44" s="189">
        <v>130180000</v>
      </c>
      <c r="BP44" s="189">
        <v>130180000</v>
      </c>
      <c r="BQ44" s="189">
        <v>130480000</v>
      </c>
      <c r="BR44" s="189">
        <v>207630000</v>
      </c>
      <c r="BS44" s="189">
        <v>194730000</v>
      </c>
      <c r="BT44" s="189">
        <v>272129000</v>
      </c>
      <c r="BU44" s="189">
        <v>233329000</v>
      </c>
      <c r="BV44" s="189">
        <v>199539000</v>
      </c>
      <c r="BW44" s="189">
        <v>0</v>
      </c>
    </row>
    <row r="45" spans="1:75"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row>
    <row r="46" spans="1:75" x14ac:dyDescent="0.25">
      <c r="A46" s="189" t="s">
        <v>150</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179484.46</v>
      </c>
      <c r="AL46" s="189">
        <v>2652817.4</v>
      </c>
      <c r="AM46" s="189">
        <v>8331526.7400000002</v>
      </c>
      <c r="AN46" s="189">
        <v>3189909.81</v>
      </c>
      <c r="AO46" s="189">
        <v>1806145.52</v>
      </c>
      <c r="AP46" s="189">
        <v>3930719.7</v>
      </c>
      <c r="AQ46" s="189">
        <v>22382287.59</v>
      </c>
      <c r="AR46" s="189">
        <v>16240672.1</v>
      </c>
      <c r="AS46" s="189">
        <v>0</v>
      </c>
      <c r="AT46" s="189">
        <v>4737750</v>
      </c>
      <c r="AU46" s="189">
        <v>7096935</v>
      </c>
      <c r="AV46" s="189">
        <v>7497050.4000000004</v>
      </c>
      <c r="AW46" s="189">
        <v>47730</v>
      </c>
      <c r="AX46" s="189">
        <v>40980</v>
      </c>
      <c r="AY46" s="189">
        <v>172299.2</v>
      </c>
      <c r="AZ46" s="189">
        <v>173070.88</v>
      </c>
      <c r="BA46" s="189">
        <v>63360</v>
      </c>
      <c r="BB46" s="189">
        <v>125294.39999999999</v>
      </c>
      <c r="BC46" s="189">
        <v>58220.800000000003</v>
      </c>
      <c r="BD46" s="189">
        <v>52384</v>
      </c>
      <c r="BE46" s="189">
        <v>24993589.760000002</v>
      </c>
      <c r="BF46" s="189">
        <v>20000000</v>
      </c>
      <c r="BG46" s="189">
        <v>1073076.8999999999</v>
      </c>
      <c r="BH46" s="189">
        <v>3574525.6</v>
      </c>
      <c r="BI46" s="189">
        <v>14142468.67</v>
      </c>
      <c r="BJ46" s="189">
        <v>8866517.3399999999</v>
      </c>
      <c r="BK46" s="189">
        <v>8324359.96</v>
      </c>
      <c r="BL46" s="189">
        <v>0</v>
      </c>
      <c r="BM46" s="189">
        <v>5054049.07</v>
      </c>
      <c r="BN46" s="189">
        <v>10054049.07</v>
      </c>
      <c r="BO46" s="189">
        <v>12837268.449999999</v>
      </c>
      <c r="BP46" s="189">
        <v>0</v>
      </c>
      <c r="BQ46" s="189">
        <v>11913222.710000001</v>
      </c>
      <c r="BR46" s="189">
        <v>12488946.75</v>
      </c>
      <c r="BS46" s="189">
        <v>2997406.92</v>
      </c>
      <c r="BT46" s="189">
        <v>4352450.2699999996</v>
      </c>
      <c r="BU46" s="189">
        <v>13111309.720000001</v>
      </c>
      <c r="BV46" s="189">
        <v>8475117.5099999998</v>
      </c>
      <c r="BW46" s="189">
        <v>0</v>
      </c>
    </row>
    <row r="47" spans="1:75" x14ac:dyDescent="0.25">
      <c r="A47" s="189" t="s">
        <v>151</v>
      </c>
      <c r="B47" s="189">
        <v>0</v>
      </c>
      <c r="C47" s="189">
        <v>1017239375.79</v>
      </c>
      <c r="D47" s="189">
        <v>794390376.94000006</v>
      </c>
      <c r="E47" s="189">
        <v>683904842.53999996</v>
      </c>
      <c r="F47" s="189">
        <v>559455975.95000005</v>
      </c>
      <c r="G47" s="189">
        <v>636219414.97000003</v>
      </c>
      <c r="H47" s="189">
        <v>469702537.42000002</v>
      </c>
      <c r="I47" s="189">
        <v>484733751.25999999</v>
      </c>
      <c r="J47" s="189">
        <v>613850993.04999995</v>
      </c>
      <c r="K47" s="189">
        <v>580085781.88</v>
      </c>
      <c r="L47" s="189">
        <v>649348022.95000005</v>
      </c>
      <c r="M47" s="189">
        <v>640800112.34000003</v>
      </c>
      <c r="N47" s="189">
        <v>667358433.35000002</v>
      </c>
      <c r="O47" s="189">
        <v>658799188.14999998</v>
      </c>
      <c r="P47" s="189">
        <v>589611825.79999995</v>
      </c>
      <c r="Q47" s="189">
        <v>495068514.01999998</v>
      </c>
      <c r="R47" s="189">
        <v>553926479.95000005</v>
      </c>
      <c r="S47" s="189">
        <v>526689966.17000002</v>
      </c>
      <c r="T47" s="189">
        <v>463928499.85000002</v>
      </c>
      <c r="U47" s="189">
        <v>372896753.17000002</v>
      </c>
      <c r="V47" s="189">
        <v>468369017.11000001</v>
      </c>
      <c r="W47" s="189">
        <v>550107977.66999996</v>
      </c>
      <c r="X47" s="189">
        <v>481253487.94999999</v>
      </c>
      <c r="Y47" s="189">
        <v>463849428.88</v>
      </c>
      <c r="Z47" s="189">
        <v>464507635.95999998</v>
      </c>
      <c r="AA47" s="189">
        <v>470298606.48000002</v>
      </c>
      <c r="AB47" s="189">
        <v>425566303.91000003</v>
      </c>
      <c r="AC47" s="189">
        <v>359221154.98000002</v>
      </c>
      <c r="AD47" s="189">
        <v>372951056.26999998</v>
      </c>
      <c r="AE47" s="189">
        <v>455939815.92000002</v>
      </c>
      <c r="AF47" s="189">
        <v>308077885.43000001</v>
      </c>
      <c r="AG47" s="189">
        <v>301876960.72000003</v>
      </c>
      <c r="AH47" s="189">
        <v>376658349.91000003</v>
      </c>
      <c r="AI47" s="189">
        <v>443185090.64999998</v>
      </c>
      <c r="AJ47" s="189">
        <v>282245010.50999999</v>
      </c>
      <c r="AK47" s="189">
        <v>294841584.30000001</v>
      </c>
      <c r="AL47" s="189">
        <v>359529781.72000003</v>
      </c>
      <c r="AM47" s="189">
        <v>289535171.75</v>
      </c>
      <c r="AN47" s="189">
        <v>244204844.46000001</v>
      </c>
      <c r="AO47" s="189">
        <v>267980282.78</v>
      </c>
      <c r="AP47" s="189">
        <v>249769331.30000001</v>
      </c>
      <c r="AQ47" s="189">
        <v>377357784.80000001</v>
      </c>
      <c r="AR47" s="189">
        <v>251509642.75</v>
      </c>
      <c r="AS47" s="189">
        <v>216691418.78</v>
      </c>
      <c r="AT47" s="189">
        <v>315981117.94</v>
      </c>
      <c r="AU47" s="189">
        <v>313439046.80000001</v>
      </c>
      <c r="AV47" s="189">
        <v>253062470.53</v>
      </c>
      <c r="AW47" s="189">
        <v>248084322.33000001</v>
      </c>
      <c r="AX47" s="189">
        <v>275834547.79000002</v>
      </c>
      <c r="AY47" s="189">
        <v>258027524.13</v>
      </c>
      <c r="AZ47" s="189">
        <v>175955760.19</v>
      </c>
      <c r="BA47" s="189">
        <v>186640662.88999999</v>
      </c>
      <c r="BB47" s="189">
        <v>216547190.41999999</v>
      </c>
      <c r="BC47" s="189">
        <v>239558488.94999999</v>
      </c>
      <c r="BD47" s="189">
        <v>216637447.80000001</v>
      </c>
      <c r="BE47" s="189">
        <v>213096133.43000001</v>
      </c>
      <c r="BF47" s="189">
        <v>225383401.69999999</v>
      </c>
      <c r="BG47" s="189">
        <v>231776253.02000001</v>
      </c>
      <c r="BH47" s="189">
        <v>131885056.47</v>
      </c>
      <c r="BI47" s="189">
        <v>163397705.53</v>
      </c>
      <c r="BJ47" s="189">
        <v>212263126.03999999</v>
      </c>
      <c r="BK47" s="189">
        <v>201395500.86000001</v>
      </c>
      <c r="BL47" s="189">
        <v>94407947.689999998</v>
      </c>
      <c r="BM47" s="189">
        <v>165333437.05000001</v>
      </c>
      <c r="BN47" s="189">
        <v>257346286.09</v>
      </c>
      <c r="BO47" s="189">
        <v>283253135.61000001</v>
      </c>
      <c r="BP47" s="189">
        <v>160442512.65000001</v>
      </c>
      <c r="BQ47" s="189">
        <v>164960678.91999999</v>
      </c>
      <c r="BR47" s="189">
        <v>291594335.35000002</v>
      </c>
      <c r="BS47" s="189">
        <v>179621723.43000001</v>
      </c>
      <c r="BT47" s="189">
        <v>195144486.06</v>
      </c>
      <c r="BU47" s="189">
        <v>206247022.88999999</v>
      </c>
      <c r="BV47" s="189">
        <v>190753780.08000001</v>
      </c>
      <c r="BW47" s="189">
        <v>0</v>
      </c>
    </row>
    <row r="48" spans="1:75" x14ac:dyDescent="0.25">
      <c r="A48" s="189" t="s">
        <v>152</v>
      </c>
      <c r="B48" s="189">
        <v>110382017.04000001</v>
      </c>
      <c r="C48" s="189">
        <v>93466887.689999998</v>
      </c>
      <c r="D48" s="189">
        <v>99741957.560000002</v>
      </c>
      <c r="E48" s="189">
        <v>85056770.069999993</v>
      </c>
      <c r="F48" s="189">
        <v>75566607.530000001</v>
      </c>
      <c r="G48" s="189">
        <v>106060821.06</v>
      </c>
      <c r="H48" s="189">
        <v>119600232.38</v>
      </c>
      <c r="I48" s="189">
        <v>92139977.810000002</v>
      </c>
      <c r="J48" s="189">
        <v>91107375.459999993</v>
      </c>
      <c r="K48" s="189">
        <v>91224958.370000005</v>
      </c>
      <c r="L48" s="189">
        <v>95782840.049999997</v>
      </c>
      <c r="M48" s="189">
        <v>80443685.299999997</v>
      </c>
      <c r="N48" s="189">
        <v>71819781.780000001</v>
      </c>
      <c r="O48" s="189">
        <v>79939454.840000004</v>
      </c>
      <c r="P48" s="189">
        <v>104543354.45</v>
      </c>
      <c r="Q48" s="189">
        <v>91430054.239999995</v>
      </c>
      <c r="R48" s="189">
        <v>67409375.709999993</v>
      </c>
      <c r="S48" s="189">
        <v>79345503.239999995</v>
      </c>
      <c r="T48" s="189">
        <v>120916691.23</v>
      </c>
      <c r="U48" s="189">
        <v>88255114.849999994</v>
      </c>
      <c r="V48" s="189">
        <v>79393189.180000007</v>
      </c>
      <c r="W48" s="189">
        <v>66510151.75</v>
      </c>
      <c r="X48" s="189">
        <v>48943026.600000001</v>
      </c>
      <c r="Y48" s="189">
        <v>67909348.219999999</v>
      </c>
      <c r="Z48" s="189">
        <v>64400009.990000002</v>
      </c>
      <c r="AA48" s="189">
        <v>64489184.340000004</v>
      </c>
      <c r="AB48" s="189">
        <v>50017482</v>
      </c>
      <c r="AC48" s="189">
        <v>62966575.200000003</v>
      </c>
      <c r="AD48" s="189">
        <v>57449822.880000003</v>
      </c>
      <c r="AE48" s="189">
        <v>58696619.969999999</v>
      </c>
      <c r="AF48" s="189">
        <v>79172498.5</v>
      </c>
      <c r="AG48" s="189">
        <v>41596665.979999997</v>
      </c>
      <c r="AH48" s="189">
        <v>37723107.329999998</v>
      </c>
      <c r="AI48" s="189">
        <v>41085311.810000002</v>
      </c>
      <c r="AJ48" s="189">
        <v>57823454.200000003</v>
      </c>
      <c r="AK48" s="189">
        <v>27492817.629999999</v>
      </c>
      <c r="AL48" s="189">
        <v>23119612.48</v>
      </c>
      <c r="AM48" s="189">
        <v>21616115.48</v>
      </c>
      <c r="AN48" s="189">
        <v>65182227.340000004</v>
      </c>
      <c r="AO48" s="189">
        <v>24177986.25</v>
      </c>
      <c r="AP48" s="189">
        <v>18269005.09</v>
      </c>
      <c r="AQ48" s="189">
        <v>19436000.02</v>
      </c>
      <c r="AR48" s="189">
        <v>66447971.229999997</v>
      </c>
      <c r="AS48" s="189">
        <v>17723099.850000001</v>
      </c>
      <c r="AT48" s="189">
        <v>21859111.140000001</v>
      </c>
      <c r="AU48" s="189">
        <v>18299406.629999999</v>
      </c>
      <c r="AV48" s="189">
        <v>35844793.689999998</v>
      </c>
      <c r="AW48" s="189">
        <v>57456925.609999999</v>
      </c>
      <c r="AX48" s="189">
        <v>33902020.409999996</v>
      </c>
      <c r="AY48" s="189">
        <v>47033925.130000003</v>
      </c>
      <c r="AZ48" s="189">
        <v>54575615.07</v>
      </c>
      <c r="BA48" s="189">
        <v>23103623.93</v>
      </c>
      <c r="BB48" s="189">
        <v>20381623.379999999</v>
      </c>
      <c r="BC48" s="189">
        <v>16721125.210000001</v>
      </c>
      <c r="BD48" s="189">
        <v>14244225.300000001</v>
      </c>
      <c r="BE48" s="189">
        <v>10920628.74</v>
      </c>
      <c r="BF48" s="189">
        <v>7436419.5599999996</v>
      </c>
      <c r="BG48" s="189">
        <v>11537127.279999999</v>
      </c>
      <c r="BH48" s="189">
        <v>5163810.46</v>
      </c>
      <c r="BI48" s="189">
        <v>4620829.82</v>
      </c>
      <c r="BJ48" s="189">
        <v>3900736.07</v>
      </c>
      <c r="BK48" s="189">
        <v>2006018.11</v>
      </c>
      <c r="BL48" s="189">
        <v>378348</v>
      </c>
      <c r="BM48" s="189">
        <v>1844706.59</v>
      </c>
      <c r="BN48" s="189">
        <v>386180.67</v>
      </c>
      <c r="BO48" s="189">
        <v>334845.3</v>
      </c>
      <c r="BP48" s="189">
        <v>68084.56</v>
      </c>
      <c r="BQ48" s="189">
        <v>4866236.18</v>
      </c>
      <c r="BR48" s="189">
        <v>248147.95</v>
      </c>
      <c r="BS48" s="189">
        <v>3936188.18</v>
      </c>
      <c r="BT48" s="189">
        <v>2464102.19</v>
      </c>
      <c r="BU48" s="189">
        <v>5088855.46</v>
      </c>
      <c r="BV48" s="189">
        <v>4654517.8</v>
      </c>
      <c r="BW48" s="189">
        <v>0</v>
      </c>
    </row>
    <row r="49" spans="1:75"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row>
    <row r="50" spans="1:75" x14ac:dyDescent="0.25">
      <c r="A50" s="189" t="s">
        <v>154</v>
      </c>
      <c r="B50" s="189">
        <v>144803788.71000001</v>
      </c>
      <c r="C50" s="189">
        <v>114190944.22</v>
      </c>
      <c r="D50" s="189">
        <v>134060475.37</v>
      </c>
      <c r="E50" s="189">
        <v>155125294.97999999</v>
      </c>
      <c r="F50" s="189">
        <v>71441880.969999999</v>
      </c>
      <c r="G50" s="189">
        <v>56090466.090000004</v>
      </c>
      <c r="H50" s="189">
        <v>39405878.5</v>
      </c>
      <c r="I50" s="189">
        <v>82613607.129999995</v>
      </c>
      <c r="J50" s="189">
        <v>55994670.140000001</v>
      </c>
      <c r="K50" s="189">
        <v>43541746.619999997</v>
      </c>
      <c r="L50" s="189">
        <v>26936401.280000001</v>
      </c>
      <c r="M50" s="189">
        <v>75742913.209999993</v>
      </c>
      <c r="N50" s="189">
        <v>45475442.950000003</v>
      </c>
      <c r="O50" s="189">
        <v>33829566.369999997</v>
      </c>
      <c r="P50" s="189">
        <v>21563543.579999998</v>
      </c>
      <c r="Q50" s="189">
        <v>57586070.060000002</v>
      </c>
      <c r="R50" s="189">
        <v>34361998.939999998</v>
      </c>
      <c r="S50" s="189">
        <v>24388960.559999999</v>
      </c>
      <c r="T50" s="189">
        <v>13679903.390000001</v>
      </c>
      <c r="U50" s="189">
        <v>34745259.469999999</v>
      </c>
      <c r="V50" s="189">
        <v>31981780.079999998</v>
      </c>
      <c r="W50" s="189">
        <v>32718653.73</v>
      </c>
      <c r="X50" s="189">
        <v>32400005.59</v>
      </c>
      <c r="Y50" s="189">
        <v>33186661.739999998</v>
      </c>
      <c r="Z50" s="189">
        <v>22502859.039999999</v>
      </c>
      <c r="AA50" s="189">
        <v>22472228.079999998</v>
      </c>
      <c r="AB50" s="189">
        <v>21972370.350000001</v>
      </c>
      <c r="AC50" s="189">
        <v>22166920.489999998</v>
      </c>
      <c r="AD50" s="189">
        <v>10479916.85</v>
      </c>
      <c r="AE50" s="189">
        <v>10410540.91</v>
      </c>
      <c r="AF50" s="189">
        <v>498525.56</v>
      </c>
      <c r="AG50" s="189">
        <v>15809050.9</v>
      </c>
      <c r="AH50" s="189">
        <v>385326.68</v>
      </c>
      <c r="AI50" s="189">
        <v>870827.98</v>
      </c>
      <c r="AJ50" s="189">
        <v>534672.42000000004</v>
      </c>
      <c r="AK50" s="189">
        <v>404508.01</v>
      </c>
      <c r="AL50" s="189">
        <v>560696.76</v>
      </c>
      <c r="AM50" s="189">
        <v>1022405.14</v>
      </c>
      <c r="AN50" s="189">
        <v>634143.86</v>
      </c>
      <c r="AO50" s="189">
        <v>458145.11</v>
      </c>
      <c r="AP50" s="189">
        <v>2444475.52</v>
      </c>
      <c r="AQ50" s="189">
        <v>3873035.15</v>
      </c>
      <c r="AR50" s="189">
        <v>1117939.3899999999</v>
      </c>
      <c r="AS50" s="189">
        <v>1289025.5</v>
      </c>
      <c r="AT50" s="189">
        <v>16810652.02</v>
      </c>
      <c r="AU50" s="189">
        <v>19065159</v>
      </c>
      <c r="AV50" s="189">
        <v>20527952.73</v>
      </c>
      <c r="AW50" s="189">
        <v>19545152.579999998</v>
      </c>
      <c r="AX50" s="189">
        <v>18035858.510000002</v>
      </c>
      <c r="AY50" s="189">
        <v>16683045.119999999</v>
      </c>
      <c r="AZ50" s="189">
        <v>15340070.050000001</v>
      </c>
      <c r="BA50" s="189">
        <v>15551842.74</v>
      </c>
      <c r="BB50" s="189">
        <v>14664238.779999999</v>
      </c>
      <c r="BC50" s="189">
        <v>14719540.08</v>
      </c>
      <c r="BD50" s="189">
        <v>14844190.48</v>
      </c>
      <c r="BE50" s="189">
        <v>16011115.41</v>
      </c>
      <c r="BF50" s="189">
        <v>15186192.92</v>
      </c>
      <c r="BG50" s="189">
        <v>15696459.68</v>
      </c>
      <c r="BH50" s="189">
        <v>15914371.65</v>
      </c>
      <c r="BI50" s="189">
        <v>16188272.32</v>
      </c>
      <c r="BJ50" s="189">
        <v>16591660.369999999</v>
      </c>
      <c r="BK50" s="189">
        <v>17458824.460000001</v>
      </c>
      <c r="BL50" s="189">
        <v>15734138.859999999</v>
      </c>
      <c r="BM50" s="189">
        <v>16835599.239999998</v>
      </c>
      <c r="BN50" s="189">
        <v>18086300.75</v>
      </c>
      <c r="BO50" s="189">
        <v>16184027.789999999</v>
      </c>
      <c r="BP50" s="189">
        <v>13330687.460000001</v>
      </c>
      <c r="BQ50" s="189">
        <v>12935377.640000001</v>
      </c>
      <c r="BR50" s="189">
        <v>17845813.77</v>
      </c>
      <c r="BS50" s="189">
        <v>15625017.5</v>
      </c>
      <c r="BT50" s="189">
        <v>15552103.52</v>
      </c>
      <c r="BU50" s="189">
        <v>13728720.710000001</v>
      </c>
      <c r="BV50" s="189">
        <v>11725441.92</v>
      </c>
      <c r="BW50" s="189">
        <v>0</v>
      </c>
    </row>
    <row r="51" spans="1:75" x14ac:dyDescent="0.25">
      <c r="A51" s="189" t="s">
        <v>155</v>
      </c>
      <c r="B51" s="189">
        <v>173153526.40000001</v>
      </c>
      <c r="C51" s="189">
        <v>158852998.55000001</v>
      </c>
      <c r="D51" s="189">
        <v>274211456.94999999</v>
      </c>
      <c r="E51" s="189">
        <v>159427541.59</v>
      </c>
      <c r="F51" s="189">
        <v>109050198.08</v>
      </c>
      <c r="G51" s="189">
        <v>102314411.62</v>
      </c>
      <c r="H51" s="189">
        <v>98072567.329999998</v>
      </c>
      <c r="I51" s="189">
        <v>66376374.299999997</v>
      </c>
      <c r="J51" s="189">
        <v>145400015.83000001</v>
      </c>
      <c r="K51" s="189">
        <v>127006111.01000001</v>
      </c>
      <c r="L51" s="189">
        <v>523920434.85000002</v>
      </c>
      <c r="M51" s="189">
        <v>443323856.76999998</v>
      </c>
      <c r="N51" s="189">
        <v>133306385.31</v>
      </c>
      <c r="O51" s="189">
        <v>133598574.03</v>
      </c>
      <c r="P51" s="189">
        <v>133400893.69</v>
      </c>
      <c r="Q51" s="189">
        <v>169589110.94999999</v>
      </c>
      <c r="R51" s="189">
        <v>146724183.02000001</v>
      </c>
      <c r="S51" s="189">
        <v>102658326.63</v>
      </c>
      <c r="T51" s="189">
        <v>189097747.16999999</v>
      </c>
      <c r="U51" s="189">
        <v>119213427.01000001</v>
      </c>
      <c r="V51" s="189">
        <v>113723683.94</v>
      </c>
      <c r="W51" s="189">
        <v>135269629.40000001</v>
      </c>
      <c r="X51" s="189">
        <v>133813532.43000001</v>
      </c>
      <c r="Y51" s="189">
        <v>120100595.09</v>
      </c>
      <c r="Z51" s="189">
        <v>144481608.88</v>
      </c>
      <c r="AA51" s="189">
        <v>129705284.78</v>
      </c>
      <c r="AB51" s="189">
        <v>103809736.53</v>
      </c>
      <c r="AC51" s="189">
        <v>80297463.530000001</v>
      </c>
      <c r="AD51" s="189">
        <v>75394508.129999995</v>
      </c>
      <c r="AE51" s="189">
        <v>89796975.420000002</v>
      </c>
      <c r="AF51" s="189">
        <v>122084036.22</v>
      </c>
      <c r="AG51" s="189">
        <v>82546694.719999999</v>
      </c>
      <c r="AH51" s="189">
        <v>44707917.659999996</v>
      </c>
      <c r="AI51" s="189">
        <v>69400895.650000006</v>
      </c>
      <c r="AJ51" s="189">
        <v>95200993.599999994</v>
      </c>
      <c r="AK51" s="189">
        <v>53183486.869999997</v>
      </c>
      <c r="AL51" s="189">
        <v>40765000.920000002</v>
      </c>
      <c r="AM51" s="189">
        <v>63992297.68</v>
      </c>
      <c r="AN51" s="189">
        <v>63371631.450000003</v>
      </c>
      <c r="AO51" s="189">
        <v>46018578.689999998</v>
      </c>
      <c r="AP51" s="189">
        <v>43600147.469999999</v>
      </c>
      <c r="AQ51" s="189">
        <v>58060809.759999998</v>
      </c>
      <c r="AR51" s="189">
        <v>67821557.409999996</v>
      </c>
      <c r="AS51" s="189">
        <v>29966568.989999998</v>
      </c>
      <c r="AT51" s="189">
        <v>36565315.82</v>
      </c>
      <c r="AU51" s="189">
        <v>39982023.899999999</v>
      </c>
      <c r="AV51" s="189">
        <v>41622853.68</v>
      </c>
      <c r="AW51" s="189">
        <v>15900826.640000001</v>
      </c>
      <c r="AX51" s="189">
        <v>27521611.25</v>
      </c>
      <c r="AY51" s="189">
        <v>21568111.440000001</v>
      </c>
      <c r="AZ51" s="189">
        <v>33438490.34</v>
      </c>
      <c r="BA51" s="189">
        <v>13642765.970000001</v>
      </c>
      <c r="BB51" s="189">
        <v>16436905.02</v>
      </c>
      <c r="BC51" s="189">
        <v>19092469.32</v>
      </c>
      <c r="BD51" s="189">
        <v>3779716.04</v>
      </c>
      <c r="BE51" s="189">
        <v>8004074.7000000002</v>
      </c>
      <c r="BF51" s="189">
        <v>7545549.6399999997</v>
      </c>
      <c r="BG51" s="189">
        <v>6651402.8300000001</v>
      </c>
      <c r="BH51" s="189">
        <v>4222813.2699999996</v>
      </c>
      <c r="BI51" s="189">
        <v>5657050.7699999996</v>
      </c>
      <c r="BJ51" s="189">
        <v>3242870.87</v>
      </c>
      <c r="BK51" s="189">
        <v>7888274.9699999997</v>
      </c>
      <c r="BL51" s="189">
        <v>-4086993.9</v>
      </c>
      <c r="BM51" s="189">
        <v>-2308033.9500000002</v>
      </c>
      <c r="BN51" s="189">
        <v>-2753404.26</v>
      </c>
      <c r="BO51" s="189">
        <v>890400.17</v>
      </c>
      <c r="BP51" s="189">
        <v>-2914836.42</v>
      </c>
      <c r="BQ51" s="189">
        <v>1908048.16</v>
      </c>
      <c r="BR51" s="189">
        <v>-355770.79</v>
      </c>
      <c r="BS51" s="189">
        <v>3054533.72</v>
      </c>
      <c r="BT51" s="189">
        <v>2391938.4700000002</v>
      </c>
      <c r="BU51" s="189">
        <v>-3330904.73</v>
      </c>
      <c r="BV51" s="189">
        <v>1129442.28</v>
      </c>
      <c r="BW51" s="189">
        <v>0</v>
      </c>
    </row>
    <row r="52" spans="1:75"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row>
    <row r="53" spans="1:75" x14ac:dyDescent="0.25">
      <c r="A53" s="189" t="s">
        <v>157</v>
      </c>
      <c r="B53" s="189">
        <v>506943.74</v>
      </c>
      <c r="C53" s="189">
        <v>121415382.2</v>
      </c>
      <c r="D53" s="189">
        <v>1012158.74</v>
      </c>
      <c r="E53" s="189">
        <v>2508469.04</v>
      </c>
      <c r="F53" s="189">
        <v>2508469.04</v>
      </c>
      <c r="G53" s="189">
        <v>3222146.54</v>
      </c>
      <c r="H53" s="189">
        <v>3056525.94</v>
      </c>
      <c r="I53" s="189">
        <v>3504350.94</v>
      </c>
      <c r="J53" s="189">
        <v>4113838.5</v>
      </c>
      <c r="K53" s="189">
        <v>1184280</v>
      </c>
      <c r="L53" s="189">
        <v>1184280</v>
      </c>
      <c r="M53" s="189">
        <v>1184280</v>
      </c>
      <c r="N53" s="189">
        <v>1367760</v>
      </c>
      <c r="O53" s="189">
        <v>2397750</v>
      </c>
      <c r="P53" s="189">
        <v>14300820</v>
      </c>
      <c r="Q53" s="189">
        <v>14300820</v>
      </c>
      <c r="R53" s="189">
        <v>14300820</v>
      </c>
      <c r="S53" s="189">
        <v>16159752</v>
      </c>
      <c r="T53" s="189">
        <v>16694700</v>
      </c>
      <c r="U53" s="189">
        <v>16694700</v>
      </c>
      <c r="V53" s="189">
        <v>16945961.969999999</v>
      </c>
      <c r="W53" s="189">
        <v>16755200</v>
      </c>
      <c r="X53" s="189">
        <v>10140000</v>
      </c>
      <c r="Y53" s="189">
        <v>10140000</v>
      </c>
      <c r="Z53" s="189">
        <v>10140000</v>
      </c>
      <c r="AA53" s="189">
        <v>1254275.22</v>
      </c>
      <c r="AB53" s="189">
        <v>2776067.04</v>
      </c>
      <c r="AC53" s="189">
        <v>516393.76</v>
      </c>
      <c r="AD53" s="189">
        <v>516393.76</v>
      </c>
      <c r="AE53" s="189">
        <v>516393.76</v>
      </c>
      <c r="AF53" s="189">
        <v>670927.53</v>
      </c>
      <c r="AG53" s="189">
        <v>516393.76</v>
      </c>
      <c r="AH53" s="189">
        <v>516393.76</v>
      </c>
      <c r="AI53" s="189">
        <v>516393.76</v>
      </c>
      <c r="AJ53" s="189">
        <v>0</v>
      </c>
      <c r="AK53" s="189">
        <v>1933584.68</v>
      </c>
      <c r="AL53" s="189">
        <v>1954632.56</v>
      </c>
      <c r="AM53" s="189">
        <v>2958588.14</v>
      </c>
      <c r="AN53" s="189">
        <v>3321081.57</v>
      </c>
      <c r="AO53" s="189">
        <v>3436279.22</v>
      </c>
      <c r="AP53" s="189">
        <v>3436279.22</v>
      </c>
      <c r="AQ53" s="189">
        <v>3945075.18</v>
      </c>
      <c r="AR53" s="189">
        <v>13762772.810000001</v>
      </c>
      <c r="AS53" s="189">
        <v>4357578.3</v>
      </c>
      <c r="AT53" s="189">
        <v>6406020.79</v>
      </c>
      <c r="AU53" s="189">
        <v>8406020.7899999991</v>
      </c>
      <c r="AV53" s="189">
        <v>0</v>
      </c>
      <c r="AW53" s="189">
        <v>32670</v>
      </c>
      <c r="AX53" s="189">
        <v>0</v>
      </c>
      <c r="AY53" s="189">
        <v>0</v>
      </c>
      <c r="AZ53" s="189">
        <v>1829997.45</v>
      </c>
      <c r="BA53" s="189">
        <v>0</v>
      </c>
      <c r="BB53" s="189">
        <v>0</v>
      </c>
      <c r="BC53" s="189">
        <v>44662530.840000004</v>
      </c>
      <c r="BD53" s="189">
        <v>1462530.84</v>
      </c>
      <c r="BE53" s="189">
        <v>5651146.6799999997</v>
      </c>
      <c r="BF53" s="189">
        <v>2534304.2400000002</v>
      </c>
      <c r="BG53" s="189">
        <v>43034304.240000002</v>
      </c>
      <c r="BH53" s="189">
        <v>1206804.24</v>
      </c>
      <c r="BI53" s="189">
        <v>5509043.1600000001</v>
      </c>
      <c r="BJ53" s="189">
        <v>1658006.28</v>
      </c>
      <c r="BK53" s="189">
        <v>1658006.28</v>
      </c>
      <c r="BL53" s="189">
        <v>42158006.280000001</v>
      </c>
      <c r="BM53" s="189">
        <v>2693090.34</v>
      </c>
      <c r="BN53" s="189">
        <v>804023.42</v>
      </c>
      <c r="BO53" s="189">
        <v>30278460.93</v>
      </c>
      <c r="BP53" s="189">
        <v>27000000</v>
      </c>
      <c r="BQ53" s="189">
        <v>27000000</v>
      </c>
      <c r="BR53" s="189">
        <v>0</v>
      </c>
      <c r="BS53" s="189">
        <v>16335774.5</v>
      </c>
      <c r="BT53" s="189">
        <v>0</v>
      </c>
      <c r="BU53" s="189">
        <v>3900000</v>
      </c>
      <c r="BV53" s="189">
        <v>46772213.710000001</v>
      </c>
      <c r="BW53" s="189">
        <v>0</v>
      </c>
    </row>
    <row r="54" spans="1:75" x14ac:dyDescent="0.25">
      <c r="A54" s="189" t="s">
        <v>158</v>
      </c>
      <c r="B54" s="189">
        <v>1619014341.0799999</v>
      </c>
      <c r="C54" s="189">
        <v>1593011322.3599999</v>
      </c>
      <c r="D54" s="189">
        <v>1409738854.55</v>
      </c>
      <c r="E54" s="189">
        <v>1391326249.74</v>
      </c>
      <c r="F54" s="189">
        <v>1146907373.05</v>
      </c>
      <c r="G54" s="189">
        <v>1184834200.5999999</v>
      </c>
      <c r="H54" s="189">
        <v>1180257853.8399999</v>
      </c>
      <c r="I54" s="189">
        <v>1139822677.95</v>
      </c>
      <c r="J54" s="189">
        <v>1058324657.97</v>
      </c>
      <c r="K54" s="189">
        <v>976006536.13</v>
      </c>
      <c r="L54" s="189">
        <v>827523671.53999996</v>
      </c>
      <c r="M54" s="189">
        <v>837376171.20000005</v>
      </c>
      <c r="N54" s="189">
        <v>892992330.61000001</v>
      </c>
      <c r="O54" s="189">
        <v>761054733.46000004</v>
      </c>
      <c r="P54" s="189">
        <v>935050250.90999997</v>
      </c>
      <c r="Q54" s="189">
        <v>758139036.21000004</v>
      </c>
      <c r="R54" s="189">
        <v>683046276.47000003</v>
      </c>
      <c r="S54" s="189">
        <v>608530510.08000004</v>
      </c>
      <c r="T54" s="189">
        <v>627745502.00999999</v>
      </c>
      <c r="U54" s="189">
        <v>441540057.29000002</v>
      </c>
      <c r="V54" s="189">
        <v>434632382.12</v>
      </c>
      <c r="W54" s="189">
        <v>342672481.93000001</v>
      </c>
      <c r="X54" s="189">
        <v>447274798.63</v>
      </c>
      <c r="Y54" s="189">
        <v>209488531.15000001</v>
      </c>
      <c r="Z54" s="189">
        <v>426781709.68000001</v>
      </c>
      <c r="AA54" s="189">
        <v>307359846.83999997</v>
      </c>
      <c r="AB54" s="189">
        <v>297045456.10000002</v>
      </c>
      <c r="AC54" s="189">
        <v>227459065.41999999</v>
      </c>
      <c r="AD54" s="189">
        <v>369117133.57999998</v>
      </c>
      <c r="AE54" s="189">
        <v>288675005.47000003</v>
      </c>
      <c r="AF54" s="189">
        <v>210280716.49000001</v>
      </c>
      <c r="AG54" s="189">
        <v>143745028.38</v>
      </c>
      <c r="AH54" s="189">
        <v>248903941.62</v>
      </c>
      <c r="AI54" s="189">
        <v>161997973.44999999</v>
      </c>
      <c r="AJ54" s="189">
        <v>131777464.5</v>
      </c>
      <c r="AK54" s="189">
        <v>99426888.489999995</v>
      </c>
      <c r="AL54" s="189">
        <v>185666928.22</v>
      </c>
      <c r="AM54" s="189">
        <v>156872252.59999999</v>
      </c>
      <c r="AN54" s="189">
        <v>94826546.230000004</v>
      </c>
      <c r="AO54" s="189">
        <v>89622289.099999994</v>
      </c>
      <c r="AP54" s="189">
        <v>168565672.80000001</v>
      </c>
      <c r="AQ54" s="189">
        <v>146152964.21000001</v>
      </c>
      <c r="AR54" s="189">
        <v>117115954.23</v>
      </c>
      <c r="AS54" s="189">
        <v>106662052.41</v>
      </c>
      <c r="AT54" s="189">
        <v>220908844.47</v>
      </c>
      <c r="AU54" s="189">
        <v>144335950.75</v>
      </c>
      <c r="AV54" s="189">
        <v>99114971.900000006</v>
      </c>
      <c r="AW54" s="189">
        <v>113305251.16</v>
      </c>
      <c r="AX54" s="189">
        <v>175006776.91999999</v>
      </c>
      <c r="AY54" s="189">
        <v>149802132.46000001</v>
      </c>
      <c r="AZ54" s="189">
        <v>96172454.180000007</v>
      </c>
      <c r="BA54" s="189">
        <v>90349690.420000002</v>
      </c>
      <c r="BB54" s="189">
        <v>94084660.450000003</v>
      </c>
      <c r="BC54" s="189">
        <v>106010206.45999999</v>
      </c>
      <c r="BD54" s="189">
        <v>83814582.450000003</v>
      </c>
      <c r="BE54" s="189">
        <v>82017017.609999999</v>
      </c>
      <c r="BF54" s="189">
        <v>69436175.049999997</v>
      </c>
      <c r="BG54" s="189">
        <v>61818665.969999999</v>
      </c>
      <c r="BH54" s="189">
        <v>52199926.68</v>
      </c>
      <c r="BI54" s="189">
        <v>61938784.899999999</v>
      </c>
      <c r="BJ54" s="189">
        <v>59724806.479999997</v>
      </c>
      <c r="BK54" s="189">
        <v>54282552.32</v>
      </c>
      <c r="BL54" s="189">
        <v>33333680.829999998</v>
      </c>
      <c r="BM54" s="189">
        <v>65107049.039999999</v>
      </c>
      <c r="BN54" s="189">
        <v>70671595.290000007</v>
      </c>
      <c r="BO54" s="189">
        <v>70528388.290000007</v>
      </c>
      <c r="BP54" s="189">
        <v>54424834.909999996</v>
      </c>
      <c r="BQ54" s="189">
        <v>65237713.640000001</v>
      </c>
      <c r="BR54" s="189">
        <v>50350577.5</v>
      </c>
      <c r="BS54" s="189">
        <v>47475349.020000003</v>
      </c>
      <c r="BT54" s="189">
        <v>31412635.140000001</v>
      </c>
      <c r="BU54" s="189">
        <v>49207620.670000002</v>
      </c>
      <c r="BV54" s="189">
        <v>72136949.909999996</v>
      </c>
      <c r="BW54" s="189">
        <v>0</v>
      </c>
    </row>
    <row r="55" spans="1:75"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795487.99</v>
      </c>
      <c r="AX55" s="189">
        <v>11482360.23</v>
      </c>
      <c r="AY55" s="189">
        <v>7428009.3600000003</v>
      </c>
      <c r="AZ55" s="189">
        <v>4136774.87</v>
      </c>
      <c r="BA55" s="189">
        <v>2956559.4</v>
      </c>
      <c r="BB55" s="189">
        <v>3486125.03</v>
      </c>
      <c r="BC55" s="189">
        <v>5650206.5199999996</v>
      </c>
      <c r="BD55" s="189">
        <v>585344.49</v>
      </c>
      <c r="BE55" s="189">
        <v>1730743.24</v>
      </c>
      <c r="BF55" s="189">
        <v>3387263.02</v>
      </c>
      <c r="BG55" s="189">
        <v>1687440.97</v>
      </c>
      <c r="BH55" s="189">
        <v>2926192.79</v>
      </c>
      <c r="BI55" s="189">
        <v>882166.47</v>
      </c>
      <c r="BJ55" s="189">
        <v>4465051.5199999996</v>
      </c>
      <c r="BK55" s="189">
        <v>2182358.96</v>
      </c>
      <c r="BL55" s="189">
        <v>3809253.31</v>
      </c>
      <c r="BM55" s="189">
        <v>863834.55</v>
      </c>
      <c r="BN55" s="189">
        <v>14669578.789999999</v>
      </c>
      <c r="BO55" s="189">
        <v>13740688.140000001</v>
      </c>
      <c r="BP55" s="189">
        <v>4759035.62</v>
      </c>
      <c r="BQ55" s="189">
        <v>336977.93</v>
      </c>
      <c r="BR55" s="189">
        <v>8292537.4100000001</v>
      </c>
      <c r="BS55" s="189">
        <v>726051.56</v>
      </c>
      <c r="BT55" s="189">
        <v>807887.77</v>
      </c>
      <c r="BU55" s="189">
        <v>615647.75</v>
      </c>
      <c r="BV55" s="189">
        <v>1027615.74</v>
      </c>
      <c r="BW55" s="189">
        <v>0</v>
      </c>
    </row>
    <row r="56" spans="1:75"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row>
    <row r="57" spans="1:75"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row>
    <row r="58" spans="1:75" x14ac:dyDescent="0.25">
      <c r="A58" s="189" t="s">
        <v>162</v>
      </c>
      <c r="B58" s="189">
        <v>3027057.78</v>
      </c>
      <c r="C58" s="189">
        <v>3318878.95</v>
      </c>
      <c r="D58" s="189">
        <v>3621151.34</v>
      </c>
      <c r="E58" s="189">
        <v>3975913.76</v>
      </c>
      <c r="F58" s="189">
        <v>2981935.32</v>
      </c>
      <c r="G58" s="189">
        <v>3673740.88</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10000000</v>
      </c>
      <c r="BA58" s="189">
        <v>10000000</v>
      </c>
      <c r="BB58" s="189">
        <v>0</v>
      </c>
      <c r="BC58" s="189">
        <v>0</v>
      </c>
      <c r="BD58" s="189">
        <v>4000000</v>
      </c>
      <c r="BE58" s="189">
        <v>4000000</v>
      </c>
      <c r="BF58" s="189">
        <v>0</v>
      </c>
      <c r="BG58" s="189">
        <v>0</v>
      </c>
      <c r="BH58" s="189">
        <v>0</v>
      </c>
      <c r="BI58" s="189">
        <v>0</v>
      </c>
      <c r="BJ58" s="189">
        <v>2850000</v>
      </c>
      <c r="BK58" s="189">
        <v>6350000</v>
      </c>
      <c r="BL58" s="189">
        <v>6350000</v>
      </c>
      <c r="BM58" s="189">
        <v>6350000</v>
      </c>
      <c r="BN58" s="189">
        <v>6500000</v>
      </c>
      <c r="BO58" s="189">
        <v>8650000</v>
      </c>
      <c r="BP58" s="189">
        <v>0</v>
      </c>
      <c r="BQ58" s="189">
        <v>0</v>
      </c>
      <c r="BR58" s="189">
        <v>0</v>
      </c>
      <c r="BS58" s="189">
        <v>18000000</v>
      </c>
      <c r="BT58" s="189">
        <v>3630000</v>
      </c>
      <c r="BU58" s="189">
        <v>15000000</v>
      </c>
      <c r="BV58" s="189">
        <v>0</v>
      </c>
      <c r="BW58" s="189">
        <v>0</v>
      </c>
    </row>
    <row r="59" spans="1:75" x14ac:dyDescent="0.25">
      <c r="A59" s="189" t="s">
        <v>163</v>
      </c>
      <c r="B59" s="189">
        <v>0</v>
      </c>
      <c r="C59" s="189">
        <v>0</v>
      </c>
      <c r="D59" s="189">
        <v>2979055.29</v>
      </c>
      <c r="E59" s="189">
        <v>8224429.71</v>
      </c>
      <c r="F59" s="189">
        <v>0</v>
      </c>
      <c r="G59" s="189">
        <v>0</v>
      </c>
      <c r="H59" s="189">
        <v>0</v>
      </c>
      <c r="I59" s="189">
        <v>0</v>
      </c>
      <c r="J59" s="189">
        <v>0</v>
      </c>
      <c r="K59" s="189">
        <v>0</v>
      </c>
      <c r="L59" s="189">
        <v>0</v>
      </c>
      <c r="M59" s="189">
        <v>0</v>
      </c>
      <c r="N59" s="189">
        <v>0</v>
      </c>
      <c r="O59" s="189">
        <v>0</v>
      </c>
      <c r="P59" s="189">
        <v>0</v>
      </c>
      <c r="Q59" s="189">
        <v>0</v>
      </c>
      <c r="R59" s="189">
        <v>49033121.850000001</v>
      </c>
      <c r="S59" s="189">
        <v>41907195.630000003</v>
      </c>
      <c r="T59" s="189">
        <v>61916869.43</v>
      </c>
      <c r="U59" s="189">
        <v>56167287.909999996</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row>
    <row r="60" spans="1:75" x14ac:dyDescent="0.25">
      <c r="A60" s="189" t="s">
        <v>164</v>
      </c>
      <c r="B60" s="189">
        <v>3084713904.75</v>
      </c>
      <c r="C60" s="189">
        <v>3101495789.7600002</v>
      </c>
      <c r="D60" s="189">
        <v>2719755486.7399998</v>
      </c>
      <c r="E60" s="189">
        <v>2508072247.1100001</v>
      </c>
      <c r="F60" s="189">
        <v>1967912439.9400001</v>
      </c>
      <c r="G60" s="189">
        <v>2092415201.76</v>
      </c>
      <c r="H60" s="189">
        <v>1910095595.4100001</v>
      </c>
      <c r="I60" s="189">
        <v>1869190739.3900001</v>
      </c>
      <c r="J60" s="189">
        <v>1968791550.95</v>
      </c>
      <c r="K60" s="189">
        <v>1819049414.01</v>
      </c>
      <c r="L60" s="189">
        <v>2124695650.6700001</v>
      </c>
      <c r="M60" s="189">
        <v>2078871018.8199999</v>
      </c>
      <c r="N60" s="189">
        <v>1812320134</v>
      </c>
      <c r="O60" s="189">
        <v>1669619266.8499999</v>
      </c>
      <c r="P60" s="189">
        <v>1798470688.4300001</v>
      </c>
      <c r="Q60" s="189">
        <v>1586113605.48</v>
      </c>
      <c r="R60" s="189">
        <v>1548802255.9400001</v>
      </c>
      <c r="S60" s="189">
        <v>1399680214.3099999</v>
      </c>
      <c r="T60" s="189">
        <v>1493979913.0799999</v>
      </c>
      <c r="U60" s="189">
        <v>1129512599.7</v>
      </c>
      <c r="V60" s="189">
        <v>1145046014.4000001</v>
      </c>
      <c r="W60" s="189">
        <v>1144034094.48</v>
      </c>
      <c r="X60" s="189">
        <v>1153824851.2</v>
      </c>
      <c r="Y60" s="189">
        <v>904674565.08000004</v>
      </c>
      <c r="Z60" s="189">
        <v>1142813823.55</v>
      </c>
      <c r="AA60" s="189">
        <v>1005579425.74</v>
      </c>
      <c r="AB60" s="189">
        <v>911187415.92999995</v>
      </c>
      <c r="AC60" s="189">
        <v>762627573.38</v>
      </c>
      <c r="AD60" s="189">
        <v>897908831.47000003</v>
      </c>
      <c r="AE60" s="189">
        <v>916035351.45000005</v>
      </c>
      <c r="AF60" s="189">
        <v>732784589.73000002</v>
      </c>
      <c r="AG60" s="189">
        <v>600090794.46000004</v>
      </c>
      <c r="AH60" s="189">
        <v>722895036.96000004</v>
      </c>
      <c r="AI60" s="189">
        <v>731056493.29999995</v>
      </c>
      <c r="AJ60" s="189">
        <v>582581595.23000002</v>
      </c>
      <c r="AK60" s="189">
        <v>489462354.44</v>
      </c>
      <c r="AL60" s="189">
        <v>624249470.05999994</v>
      </c>
      <c r="AM60" s="189">
        <v>551328357.52999997</v>
      </c>
      <c r="AN60" s="189">
        <v>574730384.72000003</v>
      </c>
      <c r="AO60" s="189">
        <v>536499706.67000002</v>
      </c>
      <c r="AP60" s="189">
        <v>562115631.10000002</v>
      </c>
      <c r="AQ60" s="189">
        <v>788207956.71000004</v>
      </c>
      <c r="AR60" s="189">
        <v>727016509.91999996</v>
      </c>
      <c r="AS60" s="189">
        <v>572904380.41999996</v>
      </c>
      <c r="AT60" s="189">
        <v>857937396.76999998</v>
      </c>
      <c r="AU60" s="189">
        <v>820919542.87</v>
      </c>
      <c r="AV60" s="189">
        <v>745653366.94000006</v>
      </c>
      <c r="AW60" s="189">
        <v>685240204.53999996</v>
      </c>
      <c r="AX60" s="189">
        <v>780582187.92999995</v>
      </c>
      <c r="AY60" s="189">
        <v>875157462.82000005</v>
      </c>
      <c r="AZ60" s="189">
        <v>682980653.70000005</v>
      </c>
      <c r="BA60" s="189">
        <v>546581550.02999997</v>
      </c>
      <c r="BB60" s="189">
        <v>461358761.81999999</v>
      </c>
      <c r="BC60" s="189">
        <v>551312435.44000006</v>
      </c>
      <c r="BD60" s="189">
        <v>427182331.02999997</v>
      </c>
      <c r="BE60" s="189">
        <v>482237296.38999999</v>
      </c>
      <c r="BF60" s="189">
        <v>438282810.06999999</v>
      </c>
      <c r="BG60" s="189">
        <v>460799432.86000001</v>
      </c>
      <c r="BH60" s="189">
        <v>287516450.74000001</v>
      </c>
      <c r="BI60" s="189">
        <v>339944644.57999998</v>
      </c>
      <c r="BJ60" s="189">
        <v>382580206.61000001</v>
      </c>
      <c r="BK60" s="189">
        <v>379294941.25999999</v>
      </c>
      <c r="BL60" s="189">
        <v>258594553.41</v>
      </c>
      <c r="BM60" s="189">
        <v>328339578.27999997</v>
      </c>
      <c r="BN60" s="189">
        <v>492719228.44</v>
      </c>
      <c r="BO60" s="189">
        <v>567482406.09000003</v>
      </c>
      <c r="BP60" s="189">
        <v>387731003.94</v>
      </c>
      <c r="BQ60" s="189">
        <v>420140706.24000001</v>
      </c>
      <c r="BR60" s="189">
        <v>588508142.5</v>
      </c>
      <c r="BS60" s="189">
        <v>482923317.68000001</v>
      </c>
      <c r="BT60" s="189">
        <v>528300841.95999998</v>
      </c>
      <c r="BU60" s="189">
        <v>537278759.83000004</v>
      </c>
      <c r="BV60" s="189">
        <v>536718082.33999997</v>
      </c>
      <c r="BW60" s="189">
        <v>0</v>
      </c>
    </row>
    <row r="61" spans="1:75" x14ac:dyDescent="0.25">
      <c r="A61" s="189" t="s">
        <v>165</v>
      </c>
    </row>
    <row r="62" spans="1:75" x14ac:dyDescent="0.25">
      <c r="A62" s="189" t="s">
        <v>166</v>
      </c>
      <c r="B62" s="189">
        <v>1111013132.8399999</v>
      </c>
      <c r="C62" s="189">
        <v>1066689292.66</v>
      </c>
      <c r="D62" s="189">
        <v>1085245092.1600001</v>
      </c>
      <c r="E62" s="189">
        <v>1078686422.9400001</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10000000</v>
      </c>
      <c r="BC62" s="189">
        <v>10000000</v>
      </c>
      <c r="BD62" s="189">
        <v>10000000</v>
      </c>
      <c r="BE62" s="189">
        <v>10000000</v>
      </c>
      <c r="BF62" s="189">
        <v>0</v>
      </c>
      <c r="BG62" s="189">
        <v>0</v>
      </c>
      <c r="BH62" s="189">
        <v>4000000</v>
      </c>
      <c r="BI62" s="189">
        <v>4000000</v>
      </c>
      <c r="BJ62" s="189">
        <v>0</v>
      </c>
      <c r="BK62" s="189">
        <v>0</v>
      </c>
      <c r="BL62" s="189">
        <v>0</v>
      </c>
      <c r="BM62" s="189">
        <v>0</v>
      </c>
      <c r="BN62" s="189">
        <v>4850000</v>
      </c>
      <c r="BO62" s="189">
        <v>6350000</v>
      </c>
      <c r="BP62" s="189">
        <v>0</v>
      </c>
      <c r="BQ62" s="189">
        <v>0</v>
      </c>
      <c r="BR62" s="189">
        <v>0</v>
      </c>
      <c r="BS62" s="189">
        <v>129375</v>
      </c>
      <c r="BT62" s="189">
        <v>33470000</v>
      </c>
      <c r="BU62" s="189">
        <v>37120000</v>
      </c>
      <c r="BV62" s="189">
        <v>51220000</v>
      </c>
      <c r="BW62" s="189">
        <v>0</v>
      </c>
    </row>
    <row r="63" spans="1:75"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row>
    <row r="64" spans="1:75" x14ac:dyDescent="0.25">
      <c r="A64" s="189" t="s">
        <v>168</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873264.3</v>
      </c>
      <c r="BG64" s="189">
        <v>873264.3</v>
      </c>
      <c r="BH64" s="189">
        <v>873264.3</v>
      </c>
      <c r="BI64" s="189">
        <v>873264.3</v>
      </c>
      <c r="BJ64" s="189">
        <v>7314805.2400000002</v>
      </c>
      <c r="BK64" s="189">
        <v>9398264.3000000007</v>
      </c>
      <c r="BL64" s="189">
        <v>8873264.3000000007</v>
      </c>
      <c r="BM64" s="189">
        <v>8073264.2999999998</v>
      </c>
      <c r="BN64" s="189">
        <v>10193264.300000001</v>
      </c>
      <c r="BO64" s="189">
        <v>9320000</v>
      </c>
      <c r="BP64" s="189">
        <v>9000000</v>
      </c>
      <c r="BQ64" s="189">
        <v>9000000</v>
      </c>
      <c r="BR64" s="189">
        <v>11250000</v>
      </c>
      <c r="BS64" s="189">
        <v>13500000</v>
      </c>
      <c r="BT64" s="189">
        <v>43666856.479999997</v>
      </c>
      <c r="BU64" s="189">
        <v>80206806.859999999</v>
      </c>
      <c r="BV64" s="189">
        <v>83227215.980000004</v>
      </c>
      <c r="BW64" s="189">
        <v>0</v>
      </c>
    </row>
    <row r="65" spans="1:75" x14ac:dyDescent="0.25">
      <c r="A65" s="189" t="s">
        <v>169</v>
      </c>
      <c r="B65" s="189">
        <v>89624119.269999996</v>
      </c>
      <c r="C65" s="189">
        <v>78677520.430000007</v>
      </c>
      <c r="D65" s="189">
        <v>71024218.609999999</v>
      </c>
      <c r="E65" s="189">
        <v>62398030.259999998</v>
      </c>
      <c r="F65" s="189">
        <v>10723671.82</v>
      </c>
      <c r="G65" s="189">
        <v>10285051.460000001</v>
      </c>
      <c r="H65" s="189">
        <v>2312589.21</v>
      </c>
      <c r="I65" s="189">
        <v>1776165.53</v>
      </c>
      <c r="J65" s="189">
        <v>7445323.96</v>
      </c>
      <c r="K65" s="189">
        <v>8267829.9000000004</v>
      </c>
      <c r="L65" s="189">
        <v>10404285.810000001</v>
      </c>
      <c r="M65" s="189">
        <v>12847549.470000001</v>
      </c>
      <c r="N65" s="189">
        <v>13786958.220000001</v>
      </c>
      <c r="O65" s="189">
        <v>18581304.84</v>
      </c>
      <c r="P65" s="189">
        <v>16811250.280000001</v>
      </c>
      <c r="Q65" s="189">
        <v>11823960.220000001</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row>
    <row r="66" spans="1:75"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233100000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6202540.5999999996</v>
      </c>
      <c r="AU66" s="189">
        <v>8185617.5300000003</v>
      </c>
      <c r="AV66" s="189">
        <v>8550674.5</v>
      </c>
      <c r="AW66" s="189">
        <v>8550674.5</v>
      </c>
      <c r="AX66" s="189">
        <v>6913874.5</v>
      </c>
      <c r="AY66" s="189">
        <v>6613874.5</v>
      </c>
      <c r="AZ66" s="189">
        <v>6213874.5</v>
      </c>
      <c r="BA66" s="189">
        <v>6213874.5</v>
      </c>
      <c r="BB66" s="189">
        <v>9409853.3200000003</v>
      </c>
      <c r="BC66" s="189">
        <v>9015853.3200000003</v>
      </c>
      <c r="BD66" s="189">
        <v>9355853.3200000003</v>
      </c>
      <c r="BE66" s="189">
        <v>9545414.3800000008</v>
      </c>
      <c r="BF66" s="189">
        <v>8390414.3800000008</v>
      </c>
      <c r="BG66" s="189">
        <v>6580414.3799999999</v>
      </c>
      <c r="BH66" s="189">
        <v>5222414.38</v>
      </c>
      <c r="BI66" s="189">
        <v>4760414.38</v>
      </c>
      <c r="BJ66" s="189">
        <v>0</v>
      </c>
      <c r="BK66" s="189">
        <v>0</v>
      </c>
      <c r="BL66" s="189">
        <v>0</v>
      </c>
      <c r="BM66" s="189">
        <v>0</v>
      </c>
      <c r="BN66" s="189">
        <v>0</v>
      </c>
      <c r="BO66" s="189">
        <v>0</v>
      </c>
      <c r="BP66" s="189">
        <v>0</v>
      </c>
      <c r="BQ66" s="189">
        <v>0</v>
      </c>
      <c r="BR66" s="189">
        <v>0</v>
      </c>
      <c r="BS66" s="189">
        <v>0</v>
      </c>
      <c r="BT66" s="189">
        <v>0</v>
      </c>
      <c r="BU66" s="189">
        <v>0</v>
      </c>
      <c r="BV66" s="189">
        <v>0</v>
      </c>
      <c r="BW66" s="189">
        <v>0</v>
      </c>
    </row>
    <row r="67" spans="1:75" x14ac:dyDescent="0.25">
      <c r="A67" s="189" t="s">
        <v>171</v>
      </c>
      <c r="B67" s="189">
        <v>0</v>
      </c>
      <c r="C67" s="189">
        <v>0</v>
      </c>
      <c r="D67" s="189">
        <v>0</v>
      </c>
      <c r="E67" s="189">
        <v>0</v>
      </c>
      <c r="F67" s="189">
        <v>52121380.729999997</v>
      </c>
      <c r="G67" s="189">
        <v>55452785.140000001</v>
      </c>
      <c r="H67" s="189">
        <v>30494527.09</v>
      </c>
      <c r="I67" s="189">
        <v>35000000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row>
    <row r="68" spans="1:75" x14ac:dyDescent="0.25">
      <c r="A68" s="189" t="s">
        <v>172</v>
      </c>
      <c r="B68" s="189">
        <v>92451918.840000004</v>
      </c>
      <c r="C68" s="189">
        <v>88952739.620000005</v>
      </c>
      <c r="D68" s="189">
        <v>94593807.709999993</v>
      </c>
      <c r="E68" s="189">
        <v>94484129.390000001</v>
      </c>
      <c r="F68" s="189">
        <v>0</v>
      </c>
      <c r="G68" s="189">
        <v>0</v>
      </c>
      <c r="H68" s="189">
        <v>0</v>
      </c>
      <c r="I68" s="189">
        <v>0</v>
      </c>
      <c r="J68" s="189">
        <v>0</v>
      </c>
      <c r="K68" s="189">
        <v>0</v>
      </c>
      <c r="L68" s="189">
        <v>0</v>
      </c>
      <c r="M68" s="189">
        <v>0</v>
      </c>
      <c r="N68" s="189">
        <v>88552460.829999998</v>
      </c>
      <c r="O68" s="189">
        <v>93153447.150000006</v>
      </c>
      <c r="P68" s="189">
        <v>58908514.119999997</v>
      </c>
      <c r="Q68" s="189">
        <v>54605298.759999998</v>
      </c>
      <c r="R68" s="189">
        <v>11413434.73</v>
      </c>
      <c r="S68" s="189">
        <v>10834890.67</v>
      </c>
      <c r="T68" s="189">
        <v>10100477.75</v>
      </c>
      <c r="U68" s="189">
        <v>10153406.699999999</v>
      </c>
      <c r="V68" s="189">
        <v>8073937.5</v>
      </c>
      <c r="W68" s="189">
        <v>8073937.5</v>
      </c>
      <c r="X68" s="189">
        <v>8073937.5</v>
      </c>
      <c r="Y68" s="189">
        <v>8073937.5</v>
      </c>
      <c r="Z68" s="189">
        <v>8073937.5</v>
      </c>
      <c r="AA68" s="189">
        <v>8073937.5</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101419.81</v>
      </c>
      <c r="AS68" s="189">
        <v>121242.36</v>
      </c>
      <c r="AT68" s="189">
        <v>1113515.67</v>
      </c>
      <c r="AU68" s="189">
        <v>1075063.3700000001</v>
      </c>
      <c r="AV68" s="189">
        <v>1047532.43</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row>
    <row r="69" spans="1:75" x14ac:dyDescent="0.25">
      <c r="A69" s="189" t="s">
        <v>173</v>
      </c>
      <c r="B69" s="189">
        <v>410740403.06999999</v>
      </c>
      <c r="C69" s="189">
        <v>351034846.79000002</v>
      </c>
      <c r="D69" s="189">
        <v>463456063.79000002</v>
      </c>
      <c r="E69" s="189">
        <v>483766426.69</v>
      </c>
      <c r="F69" s="189">
        <v>485736585.33999997</v>
      </c>
      <c r="G69" s="189">
        <v>489134796.27999997</v>
      </c>
      <c r="H69" s="189">
        <v>493523128.31999999</v>
      </c>
      <c r="I69" s="189">
        <v>462354543.31999999</v>
      </c>
      <c r="J69" s="189">
        <v>467539865.88</v>
      </c>
      <c r="K69" s="189">
        <v>423425293.74000001</v>
      </c>
      <c r="L69" s="189">
        <v>426027334.07999998</v>
      </c>
      <c r="M69" s="189">
        <v>338923911.06999999</v>
      </c>
      <c r="N69" s="189">
        <v>337132321.97000003</v>
      </c>
      <c r="O69" s="189">
        <v>303364398.77999997</v>
      </c>
      <c r="P69" s="189">
        <v>78321767.019999996</v>
      </c>
      <c r="Q69" s="189">
        <v>75884331.890000001</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row>
    <row r="70" spans="1:75"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26756778.68</v>
      </c>
      <c r="S70" s="189">
        <v>23039767.309999999</v>
      </c>
      <c r="T70" s="189">
        <v>15490755.939999999</v>
      </c>
      <c r="U70" s="189">
        <v>15161744.57</v>
      </c>
      <c r="V70" s="189">
        <v>15799140.92</v>
      </c>
      <c r="W70" s="189">
        <v>2638330</v>
      </c>
      <c r="X70" s="189">
        <v>2638330</v>
      </c>
      <c r="Y70" s="189">
        <v>2638330</v>
      </c>
      <c r="Z70" s="189">
        <v>2682666.2799999998</v>
      </c>
      <c r="AA70" s="189">
        <v>2540166.2799999998</v>
      </c>
      <c r="AB70" s="189">
        <v>2285830</v>
      </c>
      <c r="AC70" s="189">
        <v>2434385</v>
      </c>
      <c r="AD70" s="189">
        <v>2575344.0499999998</v>
      </c>
      <c r="AE70" s="189">
        <v>3910911.75</v>
      </c>
      <c r="AF70" s="189">
        <v>4113235.91</v>
      </c>
      <c r="AG70" s="189">
        <v>4332963.1100000003</v>
      </c>
      <c r="AH70" s="189">
        <v>7486841.4100000001</v>
      </c>
      <c r="AI70" s="189">
        <v>5599925.4100000001</v>
      </c>
      <c r="AJ70" s="189">
        <v>5599925.4100000001</v>
      </c>
      <c r="AK70" s="189">
        <v>5599925.4100000001</v>
      </c>
      <c r="AL70" s="189">
        <v>4939901.91</v>
      </c>
      <c r="AM70" s="189">
        <v>4840901.91</v>
      </c>
      <c r="AN70" s="189">
        <v>4840901.91</v>
      </c>
      <c r="AO70" s="189">
        <v>4840901.91</v>
      </c>
      <c r="AP70" s="189">
        <v>3260901.91</v>
      </c>
      <c r="AQ70" s="189">
        <v>4596521.18</v>
      </c>
      <c r="AR70" s="189">
        <v>3996521.18</v>
      </c>
      <c r="AS70" s="189">
        <v>3996521.18</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c r="BW70" s="189">
        <v>0</v>
      </c>
    </row>
    <row r="71" spans="1:75" x14ac:dyDescent="0.25">
      <c r="A71" s="189" t="s">
        <v>175</v>
      </c>
      <c r="B71" s="189">
        <v>1703829574.02</v>
      </c>
      <c r="C71" s="189">
        <v>1585354399.5</v>
      </c>
      <c r="D71" s="189">
        <v>1714319182.27</v>
      </c>
      <c r="E71" s="189">
        <v>1719335009.28</v>
      </c>
      <c r="F71" s="189">
        <v>548581637.88999999</v>
      </c>
      <c r="G71" s="189">
        <v>554872632.88</v>
      </c>
      <c r="H71" s="189">
        <v>526330244.62</v>
      </c>
      <c r="I71" s="189">
        <v>499130708.85000002</v>
      </c>
      <c r="J71" s="189">
        <v>474985189.83999997</v>
      </c>
      <c r="K71" s="189">
        <v>431693123.63999999</v>
      </c>
      <c r="L71" s="189">
        <v>436431619.88999999</v>
      </c>
      <c r="M71" s="189">
        <v>351771460.54000002</v>
      </c>
      <c r="N71" s="189">
        <v>439471741.01999998</v>
      </c>
      <c r="O71" s="189">
        <v>415099150.76999998</v>
      </c>
      <c r="P71" s="189">
        <v>387141531.42000002</v>
      </c>
      <c r="Q71" s="189">
        <v>142313590.87</v>
      </c>
      <c r="R71" s="189">
        <v>38170213.409999996</v>
      </c>
      <c r="S71" s="189">
        <v>33874657.979999997</v>
      </c>
      <c r="T71" s="189">
        <v>25591233.690000001</v>
      </c>
      <c r="U71" s="189">
        <v>25315151.27</v>
      </c>
      <c r="V71" s="189">
        <v>23873078.420000002</v>
      </c>
      <c r="W71" s="189">
        <v>10712267.5</v>
      </c>
      <c r="X71" s="189">
        <v>10712267.5</v>
      </c>
      <c r="Y71" s="189">
        <v>10712267.5</v>
      </c>
      <c r="Z71" s="189">
        <v>10756603.779999999</v>
      </c>
      <c r="AA71" s="189">
        <v>10614103.779999999</v>
      </c>
      <c r="AB71" s="189">
        <v>2285830</v>
      </c>
      <c r="AC71" s="189">
        <v>2434385</v>
      </c>
      <c r="AD71" s="189">
        <v>2575344.0499999998</v>
      </c>
      <c r="AE71" s="189">
        <v>3910911.75</v>
      </c>
      <c r="AF71" s="189">
        <v>4113235.91</v>
      </c>
      <c r="AG71" s="189">
        <v>4332963.1100000003</v>
      </c>
      <c r="AH71" s="189">
        <v>7486841.4100000001</v>
      </c>
      <c r="AI71" s="189">
        <v>5599925.4100000001</v>
      </c>
      <c r="AJ71" s="189">
        <v>5599925.4100000001</v>
      </c>
      <c r="AK71" s="189">
        <v>5599925.4100000001</v>
      </c>
      <c r="AL71" s="189">
        <v>4939901.91</v>
      </c>
      <c r="AM71" s="189">
        <v>4840901.91</v>
      </c>
      <c r="AN71" s="189">
        <v>4840901.91</v>
      </c>
      <c r="AO71" s="189">
        <v>4840901.91</v>
      </c>
      <c r="AP71" s="189">
        <v>3260901.91</v>
      </c>
      <c r="AQ71" s="189">
        <v>4596521.18</v>
      </c>
      <c r="AR71" s="189">
        <v>4097940.99</v>
      </c>
      <c r="AS71" s="189">
        <v>4117763.54</v>
      </c>
      <c r="AT71" s="189">
        <v>7316056.2699999996</v>
      </c>
      <c r="AU71" s="189">
        <v>9260680.9000000004</v>
      </c>
      <c r="AV71" s="189">
        <v>9598206.9299999997</v>
      </c>
      <c r="AW71" s="189">
        <v>8550674.5</v>
      </c>
      <c r="AX71" s="189">
        <v>6913874.5</v>
      </c>
      <c r="AY71" s="189">
        <v>6613874.5</v>
      </c>
      <c r="AZ71" s="189">
        <v>6213874.5</v>
      </c>
      <c r="BA71" s="189">
        <v>6213874.5</v>
      </c>
      <c r="BB71" s="189">
        <v>19409853.32</v>
      </c>
      <c r="BC71" s="189">
        <v>19015853.32</v>
      </c>
      <c r="BD71" s="189">
        <v>19355853.32</v>
      </c>
      <c r="BE71" s="189">
        <v>19545414.379999999</v>
      </c>
      <c r="BF71" s="189">
        <v>9263678.6799999997</v>
      </c>
      <c r="BG71" s="189">
        <v>7453678.6799999997</v>
      </c>
      <c r="BH71" s="189">
        <v>10095678.68</v>
      </c>
      <c r="BI71" s="189">
        <v>9633678.6799999997</v>
      </c>
      <c r="BJ71" s="189">
        <v>7314805.2400000002</v>
      </c>
      <c r="BK71" s="189">
        <v>9398264.3000000007</v>
      </c>
      <c r="BL71" s="189">
        <v>8873264.3000000007</v>
      </c>
      <c r="BM71" s="189">
        <v>8073264.2999999998</v>
      </c>
      <c r="BN71" s="189">
        <v>15043264.300000001</v>
      </c>
      <c r="BO71" s="189">
        <v>15670000</v>
      </c>
      <c r="BP71" s="189">
        <v>9000000</v>
      </c>
      <c r="BQ71" s="189">
        <v>9000000</v>
      </c>
      <c r="BR71" s="189">
        <v>11250000</v>
      </c>
      <c r="BS71" s="189">
        <v>13629375</v>
      </c>
      <c r="BT71" s="189">
        <v>77136856.480000004</v>
      </c>
      <c r="BU71" s="189">
        <v>117326806.86</v>
      </c>
      <c r="BV71" s="189">
        <v>134447215.97999999</v>
      </c>
      <c r="BW71" s="189">
        <v>0</v>
      </c>
    </row>
    <row r="72" spans="1:75" x14ac:dyDescent="0.25">
      <c r="A72" s="189" t="s">
        <v>176</v>
      </c>
      <c r="B72" s="189">
        <v>4788543478.7700005</v>
      </c>
      <c r="C72" s="189">
        <v>4686850189.2600002</v>
      </c>
      <c r="D72" s="189">
        <v>4434074669.0100002</v>
      </c>
      <c r="E72" s="189">
        <v>4227407256.3899999</v>
      </c>
      <c r="F72" s="189">
        <v>2516494077.8299999</v>
      </c>
      <c r="G72" s="189">
        <v>2647287834.6399999</v>
      </c>
      <c r="H72" s="189">
        <v>2436425840.0300002</v>
      </c>
      <c r="I72" s="189">
        <v>2368321448.2399998</v>
      </c>
      <c r="J72" s="189">
        <v>2443776740.79</v>
      </c>
      <c r="K72" s="189">
        <v>2250742537.6500001</v>
      </c>
      <c r="L72" s="189">
        <v>2561127270.5599999</v>
      </c>
      <c r="M72" s="189">
        <v>2430642479.3600001</v>
      </c>
      <c r="N72" s="189">
        <v>2251791875.02</v>
      </c>
      <c r="O72" s="189">
        <v>2084718417.6199999</v>
      </c>
      <c r="P72" s="189">
        <v>2185612219.8499999</v>
      </c>
      <c r="Q72" s="189">
        <v>1728427196.3499999</v>
      </c>
      <c r="R72" s="189">
        <v>1586972469.3499999</v>
      </c>
      <c r="S72" s="189">
        <v>1433554872.29</v>
      </c>
      <c r="T72" s="189">
        <v>1519571146.77</v>
      </c>
      <c r="U72" s="189">
        <v>1154827750.97</v>
      </c>
      <c r="V72" s="189">
        <v>1168919092.8199999</v>
      </c>
      <c r="W72" s="189">
        <v>1154746361.98</v>
      </c>
      <c r="X72" s="189">
        <v>1164537118.7</v>
      </c>
      <c r="Y72" s="189">
        <v>915386832.58000004</v>
      </c>
      <c r="Z72" s="189">
        <v>1153570427.3299999</v>
      </c>
      <c r="AA72" s="189">
        <v>1016193529.52</v>
      </c>
      <c r="AB72" s="189">
        <v>913473245.92999995</v>
      </c>
      <c r="AC72" s="189">
        <v>765061958.38</v>
      </c>
      <c r="AD72" s="189">
        <v>900484175.51999998</v>
      </c>
      <c r="AE72" s="189">
        <v>919946263.20000005</v>
      </c>
      <c r="AF72" s="189">
        <v>736897825.63999999</v>
      </c>
      <c r="AG72" s="189">
        <v>604423757.57000005</v>
      </c>
      <c r="AH72" s="189">
        <v>730381878.37</v>
      </c>
      <c r="AI72" s="189">
        <v>736656418.71000004</v>
      </c>
      <c r="AJ72" s="189">
        <v>588181520.63999999</v>
      </c>
      <c r="AK72" s="189">
        <v>495062279.85000002</v>
      </c>
      <c r="AL72" s="189">
        <v>629189371.97000003</v>
      </c>
      <c r="AM72" s="189">
        <v>556169259.44000006</v>
      </c>
      <c r="AN72" s="189">
        <v>579571286.63</v>
      </c>
      <c r="AO72" s="189">
        <v>541340608.58000004</v>
      </c>
      <c r="AP72" s="189">
        <v>565376533.00999999</v>
      </c>
      <c r="AQ72" s="189">
        <v>792804477.88999999</v>
      </c>
      <c r="AR72" s="189">
        <v>731114450.90999997</v>
      </c>
      <c r="AS72" s="189">
        <v>577022143.96000004</v>
      </c>
      <c r="AT72" s="189">
        <v>865253453.03999996</v>
      </c>
      <c r="AU72" s="189">
        <v>830180223.76999998</v>
      </c>
      <c r="AV72" s="189">
        <v>755251573.87</v>
      </c>
      <c r="AW72" s="189">
        <v>693790879.03999996</v>
      </c>
      <c r="AX72" s="189">
        <v>787496062.42999995</v>
      </c>
      <c r="AY72" s="189">
        <v>881771337.32000005</v>
      </c>
      <c r="AZ72" s="189">
        <v>689194528.20000005</v>
      </c>
      <c r="BA72" s="189">
        <v>552795424.52999997</v>
      </c>
      <c r="BB72" s="189">
        <v>480768615.13999999</v>
      </c>
      <c r="BC72" s="189">
        <v>570328288.75999999</v>
      </c>
      <c r="BD72" s="189">
        <v>446538184.35000002</v>
      </c>
      <c r="BE72" s="189">
        <v>501782710.76999998</v>
      </c>
      <c r="BF72" s="189">
        <v>447546488.75</v>
      </c>
      <c r="BG72" s="189">
        <v>468253111.54000002</v>
      </c>
      <c r="BH72" s="189">
        <v>297612129.42000002</v>
      </c>
      <c r="BI72" s="189">
        <v>349578323.25999999</v>
      </c>
      <c r="BJ72" s="189">
        <v>389895011.85000002</v>
      </c>
      <c r="BK72" s="189">
        <v>388693205.56</v>
      </c>
      <c r="BL72" s="189">
        <v>267467817.71000001</v>
      </c>
      <c r="BM72" s="189">
        <v>336412842.57999998</v>
      </c>
      <c r="BN72" s="189">
        <v>507762492.74000001</v>
      </c>
      <c r="BO72" s="189">
        <v>583152406.09000003</v>
      </c>
      <c r="BP72" s="189">
        <v>396731003.94</v>
      </c>
      <c r="BQ72" s="189">
        <v>429140706.24000001</v>
      </c>
      <c r="BR72" s="189">
        <v>599758142.5</v>
      </c>
      <c r="BS72" s="189">
        <v>496552692.68000001</v>
      </c>
      <c r="BT72" s="189">
        <v>605437698.44000006</v>
      </c>
      <c r="BU72" s="189">
        <v>654605566.69000006</v>
      </c>
      <c r="BV72" s="189">
        <v>671165298.32000005</v>
      </c>
      <c r="BW72" s="189">
        <v>0</v>
      </c>
    </row>
    <row r="73" spans="1:75" x14ac:dyDescent="0.25">
      <c r="A73" s="189" t="s">
        <v>177</v>
      </c>
    </row>
    <row r="74" spans="1:75" x14ac:dyDescent="0.25">
      <c r="A74" s="189" t="s">
        <v>178</v>
      </c>
      <c r="B74" s="189">
        <v>671713547</v>
      </c>
      <c r="C74" s="189">
        <v>671713547</v>
      </c>
      <c r="D74" s="189">
        <v>671713547</v>
      </c>
      <c r="E74" s="189">
        <v>673416467</v>
      </c>
      <c r="F74" s="189">
        <v>673416467</v>
      </c>
      <c r="G74" s="189">
        <v>673416467</v>
      </c>
      <c r="H74" s="189">
        <v>673416467</v>
      </c>
      <c r="I74" s="189">
        <v>673416467</v>
      </c>
      <c r="J74" s="189">
        <v>674032111</v>
      </c>
      <c r="K74" s="189">
        <v>674032111</v>
      </c>
      <c r="L74" s="189">
        <v>674032111</v>
      </c>
      <c r="M74" s="189">
        <v>674032111</v>
      </c>
      <c r="N74" s="189">
        <v>674032111</v>
      </c>
      <c r="O74" s="189">
        <v>672366711</v>
      </c>
      <c r="P74" s="189">
        <v>672366711</v>
      </c>
      <c r="Q74" s="189">
        <v>672366711</v>
      </c>
      <c r="R74" s="189">
        <v>672366711</v>
      </c>
      <c r="S74" s="189">
        <v>672443211</v>
      </c>
      <c r="T74" s="189">
        <v>672443211</v>
      </c>
      <c r="U74" s="189">
        <v>672443211</v>
      </c>
      <c r="V74" s="189">
        <v>672443211</v>
      </c>
      <c r="W74" s="189">
        <v>672525711</v>
      </c>
      <c r="X74" s="189">
        <v>448350474</v>
      </c>
      <c r="Y74" s="189">
        <v>448350474</v>
      </c>
      <c r="Z74" s="189">
        <v>448350474</v>
      </c>
      <c r="AA74" s="189">
        <v>448361004</v>
      </c>
      <c r="AB74" s="189">
        <v>423011004</v>
      </c>
      <c r="AC74" s="189">
        <v>423011004</v>
      </c>
      <c r="AD74" s="189">
        <v>423011004</v>
      </c>
      <c r="AE74" s="189">
        <v>423011004</v>
      </c>
      <c r="AF74" s="189">
        <v>423032064</v>
      </c>
      <c r="AG74" s="189">
        <v>423032064</v>
      </c>
      <c r="AH74" s="189">
        <v>423032064</v>
      </c>
      <c r="AI74" s="189">
        <v>423032064</v>
      </c>
      <c r="AJ74" s="189">
        <v>325546905</v>
      </c>
      <c r="AK74" s="189">
        <v>325546905</v>
      </c>
      <c r="AL74" s="189">
        <v>325546905</v>
      </c>
      <c r="AM74" s="189">
        <v>325546905</v>
      </c>
      <c r="AN74" s="189">
        <v>217031270</v>
      </c>
      <c r="AO74" s="189">
        <v>217031270</v>
      </c>
      <c r="AP74" s="189">
        <v>216671270</v>
      </c>
      <c r="AQ74" s="189">
        <v>216671270</v>
      </c>
      <c r="AR74" s="189">
        <v>175259392</v>
      </c>
      <c r="AS74" s="189">
        <v>175259392</v>
      </c>
      <c r="AT74" s="189">
        <v>175259392</v>
      </c>
      <c r="AU74" s="189">
        <v>175259392</v>
      </c>
      <c r="AV74" s="189">
        <v>175259392</v>
      </c>
      <c r="AW74" s="189">
        <v>175259392</v>
      </c>
      <c r="AX74" s="189">
        <v>175259392</v>
      </c>
      <c r="AY74" s="189">
        <v>167552000</v>
      </c>
      <c r="AZ74" s="189">
        <v>270000000</v>
      </c>
      <c r="BA74" s="189">
        <v>270000000</v>
      </c>
      <c r="BB74" s="189">
        <v>270000000</v>
      </c>
      <c r="BC74" s="189">
        <v>270000000</v>
      </c>
      <c r="BD74" s="189">
        <v>270000000</v>
      </c>
      <c r="BE74" s="189">
        <v>270000000</v>
      </c>
      <c r="BF74" s="189">
        <v>270000000</v>
      </c>
      <c r="BG74" s="189">
        <v>270000000</v>
      </c>
      <c r="BH74" s="189">
        <v>270000000</v>
      </c>
      <c r="BI74" s="189">
        <v>270000000</v>
      </c>
      <c r="BJ74" s="189">
        <v>270000000</v>
      </c>
      <c r="BK74" s="189">
        <v>270000000</v>
      </c>
      <c r="BL74" s="189">
        <v>270000000</v>
      </c>
      <c r="BM74" s="189">
        <v>270000000</v>
      </c>
      <c r="BN74" s="189">
        <v>270000000</v>
      </c>
      <c r="BO74" s="189">
        <v>270000000</v>
      </c>
      <c r="BP74" s="189">
        <v>270000000</v>
      </c>
      <c r="BQ74" s="189">
        <v>270000000</v>
      </c>
      <c r="BR74" s="189">
        <v>270000000</v>
      </c>
      <c r="BS74" s="189">
        <v>190000000</v>
      </c>
      <c r="BT74" s="189">
        <v>287490000</v>
      </c>
      <c r="BU74" s="189">
        <v>245000000</v>
      </c>
      <c r="BV74" s="189">
        <v>245000000</v>
      </c>
      <c r="BW74" s="189">
        <v>0</v>
      </c>
    </row>
    <row r="75" spans="1:75" x14ac:dyDescent="0.25">
      <c r="A75" s="189" t="s">
        <v>179</v>
      </c>
      <c r="B75" s="189">
        <v>861010884.90999997</v>
      </c>
      <c r="C75" s="189">
        <v>856082426.40999997</v>
      </c>
      <c r="D75" s="189">
        <v>856082426.40999997</v>
      </c>
      <c r="E75" s="189">
        <v>877721891.40999997</v>
      </c>
      <c r="F75" s="189">
        <v>1126715216.1800001</v>
      </c>
      <c r="G75" s="189">
        <v>1126715216.1800001</v>
      </c>
      <c r="H75" s="189">
        <v>1126525272.3900001</v>
      </c>
      <c r="I75" s="189">
        <v>1126525272.3900001</v>
      </c>
      <c r="J75" s="189">
        <v>1153880952.9100001</v>
      </c>
      <c r="K75" s="189">
        <v>1150392203.3499999</v>
      </c>
      <c r="L75" s="189">
        <v>1146941374.98</v>
      </c>
      <c r="M75" s="189">
        <v>1143528467.8</v>
      </c>
      <c r="N75" s="189">
        <v>1190983573.3299999</v>
      </c>
      <c r="O75" s="189">
        <v>1153659572.8499999</v>
      </c>
      <c r="P75" s="189">
        <v>1148521781.1099999</v>
      </c>
      <c r="Q75" s="189">
        <v>1144435560.73</v>
      </c>
      <c r="R75" s="189">
        <v>1159180292.6800001</v>
      </c>
      <c r="S75" s="189">
        <v>1100855692.73</v>
      </c>
      <c r="T75" s="189">
        <v>1073944328.8800001</v>
      </c>
      <c r="U75" s="189">
        <v>1051494569.03</v>
      </c>
      <c r="V75" s="189">
        <v>1013543320.63</v>
      </c>
      <c r="W75" s="189">
        <v>994593036.17999995</v>
      </c>
      <c r="X75" s="189">
        <v>924989463.44000006</v>
      </c>
      <c r="Y75" s="189">
        <v>868455888.69000006</v>
      </c>
      <c r="Z75" s="189">
        <v>805482291.96000004</v>
      </c>
      <c r="AA75" s="189">
        <v>777953373.21000004</v>
      </c>
      <c r="AB75" s="189">
        <v>378152010.13999999</v>
      </c>
      <c r="AC75" s="189">
        <v>377947717.54000002</v>
      </c>
      <c r="AD75" s="189">
        <v>376253017.54000002</v>
      </c>
      <c r="AE75" s="189">
        <v>374558317.54000002</v>
      </c>
      <c r="AF75" s="189">
        <v>372923017.54000002</v>
      </c>
      <c r="AG75" s="189">
        <v>370955927.39999998</v>
      </c>
      <c r="AH75" s="189">
        <v>367001627.39999998</v>
      </c>
      <c r="AI75" s="189">
        <v>363047327.39999998</v>
      </c>
      <c r="AJ75" s="189">
        <v>359596721.89999998</v>
      </c>
      <c r="AK75" s="189">
        <v>355097641.63</v>
      </c>
      <c r="AL75" s="189">
        <v>346624141.63</v>
      </c>
      <c r="AM75" s="189">
        <v>338150641.63</v>
      </c>
      <c r="AN75" s="189">
        <v>438192776.63</v>
      </c>
      <c r="AO75" s="189">
        <v>429719276.63</v>
      </c>
      <c r="AP75" s="189">
        <v>421017738.89999998</v>
      </c>
      <c r="AQ75" s="189">
        <v>411928801.44</v>
      </c>
      <c r="AR75" s="189">
        <v>398275885.06999999</v>
      </c>
      <c r="AS75" s="189">
        <v>390883315.70999998</v>
      </c>
      <c r="AT75" s="189">
        <v>396484486.88</v>
      </c>
      <c r="AU75" s="189">
        <v>396406551.66000003</v>
      </c>
      <c r="AV75" s="189">
        <v>396350751.88999999</v>
      </c>
      <c r="AW75" s="189">
        <v>396119535.92000002</v>
      </c>
      <c r="AX75" s="189">
        <v>395352245.73000002</v>
      </c>
      <c r="AY75" s="189">
        <v>402070997.36000001</v>
      </c>
      <c r="AZ75" s="189">
        <v>753427706.32000005</v>
      </c>
      <c r="BA75" s="189">
        <v>753427706.32000005</v>
      </c>
      <c r="BB75" s="189">
        <v>752567575.58000004</v>
      </c>
      <c r="BC75" s="189">
        <v>752567575.58000004</v>
      </c>
      <c r="BD75" s="189">
        <v>752567575.58000004</v>
      </c>
      <c r="BE75" s="189">
        <v>753176687.30999994</v>
      </c>
      <c r="BF75" s="189">
        <v>752138211.24000001</v>
      </c>
      <c r="BG75" s="189">
        <v>752164344.44000006</v>
      </c>
      <c r="BH75" s="189">
        <v>752053743.82000005</v>
      </c>
      <c r="BI75" s="189">
        <v>752059367.84000003</v>
      </c>
      <c r="BJ75" s="189">
        <v>751326807.57000005</v>
      </c>
      <c r="BK75" s="189">
        <v>751326807.57000005</v>
      </c>
      <c r="BL75" s="189">
        <v>751313007.57000005</v>
      </c>
      <c r="BM75" s="189">
        <v>751313007.57000005</v>
      </c>
      <c r="BN75" s="189">
        <v>751291984.75999999</v>
      </c>
      <c r="BO75" s="189">
        <v>751291984.75999999</v>
      </c>
      <c r="BP75" s="189">
        <v>751291984.75999999</v>
      </c>
      <c r="BQ75" s="189">
        <v>751291984.75999999</v>
      </c>
      <c r="BR75" s="189">
        <v>751231619.21000004</v>
      </c>
      <c r="BS75" s="189">
        <v>97509675.680000007</v>
      </c>
      <c r="BT75" s="189">
        <v>14051.65</v>
      </c>
      <c r="BU75" s="189">
        <v>1721488.51</v>
      </c>
      <c r="BV75" s="189">
        <v>1721488.51</v>
      </c>
      <c r="BW75" s="189">
        <v>0</v>
      </c>
    </row>
    <row r="76" spans="1:75" x14ac:dyDescent="0.25">
      <c r="A76" s="189" t="s">
        <v>180</v>
      </c>
      <c r="B76" s="189">
        <v>14608872.039999999</v>
      </c>
      <c r="C76" s="189">
        <v>14608872.039999999</v>
      </c>
      <c r="D76" s="189">
        <v>14608872.039999999</v>
      </c>
      <c r="E76" s="189">
        <v>37951257.039999999</v>
      </c>
      <c r="F76" s="189">
        <v>37951257.039999999</v>
      </c>
      <c r="G76" s="189">
        <v>37951257.039999999</v>
      </c>
      <c r="H76" s="189">
        <v>38148177.039999999</v>
      </c>
      <c r="I76" s="189">
        <v>39871227.039999999</v>
      </c>
      <c r="J76" s="189">
        <v>51568463.039999999</v>
      </c>
      <c r="K76" s="189">
        <v>51568463.039999999</v>
      </c>
      <c r="L76" s="189">
        <v>51568463.039999999</v>
      </c>
      <c r="M76" s="189">
        <v>51568463.039999999</v>
      </c>
      <c r="N76" s="189">
        <v>45796225</v>
      </c>
      <c r="O76" s="189">
        <v>14153625</v>
      </c>
      <c r="P76" s="189">
        <v>125831880</v>
      </c>
      <c r="Q76" s="189">
        <v>125831880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row>
    <row r="77" spans="1:75" x14ac:dyDescent="0.25">
      <c r="A77" s="189" t="s">
        <v>181</v>
      </c>
      <c r="B77" s="189">
        <v>200516244.77000001</v>
      </c>
      <c r="C77" s="189">
        <v>139527100.08000001</v>
      </c>
      <c r="D77" s="189">
        <v>169753190.27000001</v>
      </c>
      <c r="E77" s="189">
        <v>95228629.069999993</v>
      </c>
      <c r="F77" s="189">
        <v>68811073.170000002</v>
      </c>
      <c r="G77" s="189">
        <v>52760143.560000002</v>
      </c>
      <c r="H77" s="189">
        <v>46515847.939999998</v>
      </c>
      <c r="I77" s="189">
        <v>43343577.32</v>
      </c>
      <c r="J77" s="189">
        <v>37482971.990000002</v>
      </c>
      <c r="K77" s="189">
        <v>34467887.560000002</v>
      </c>
      <c r="L77" s="189">
        <v>44400836.689999998</v>
      </c>
      <c r="M77" s="189">
        <v>50768363.280000001</v>
      </c>
      <c r="N77" s="189">
        <v>34893129.960000001</v>
      </c>
      <c r="O77" s="189">
        <v>92812883.340000004</v>
      </c>
      <c r="P77" s="189">
        <v>884869.37</v>
      </c>
      <c r="Q77" s="189">
        <v>1764554.8</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row>
    <row r="78" spans="1:75"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row>
    <row r="79" spans="1:75" x14ac:dyDescent="0.25">
      <c r="A79" s="189" t="s">
        <v>183</v>
      </c>
      <c r="B79" s="189">
        <v>392410127.07999998</v>
      </c>
      <c r="C79" s="189">
        <v>392410127.07999998</v>
      </c>
      <c r="D79" s="189">
        <v>392410127.07999998</v>
      </c>
      <c r="E79" s="189">
        <v>392410127.07999998</v>
      </c>
      <c r="F79" s="189">
        <v>392410127.07999998</v>
      </c>
      <c r="G79" s="189">
        <v>392410127.07999998</v>
      </c>
      <c r="H79" s="189">
        <v>392410127.07999998</v>
      </c>
      <c r="I79" s="189">
        <v>392410127.07999998</v>
      </c>
      <c r="J79" s="189">
        <v>392410127.07999998</v>
      </c>
      <c r="K79" s="189">
        <v>392410127.07999998</v>
      </c>
      <c r="L79" s="189">
        <v>392410127.07999998</v>
      </c>
      <c r="M79" s="189">
        <v>392410127.07999998</v>
      </c>
      <c r="N79" s="189">
        <v>392410127.07999998</v>
      </c>
      <c r="O79" s="189">
        <v>392410127.07999998</v>
      </c>
      <c r="P79" s="189">
        <v>392410127.07999998</v>
      </c>
      <c r="Q79" s="189">
        <v>392410127.07999998</v>
      </c>
      <c r="R79" s="189">
        <v>298914129.5</v>
      </c>
      <c r="S79" s="189">
        <v>298914129.5</v>
      </c>
      <c r="T79" s="189">
        <v>298914129.5</v>
      </c>
      <c r="U79" s="189">
        <v>298914129.5</v>
      </c>
      <c r="V79" s="189">
        <v>220855306.88999999</v>
      </c>
      <c r="W79" s="189">
        <v>220855306.88999999</v>
      </c>
      <c r="X79" s="189">
        <v>220855306.88999999</v>
      </c>
      <c r="Y79" s="189">
        <v>220855306.88999999</v>
      </c>
      <c r="Z79" s="189">
        <v>161918863.87</v>
      </c>
      <c r="AA79" s="189">
        <v>161918863.87</v>
      </c>
      <c r="AB79" s="189">
        <v>161918863.87</v>
      </c>
      <c r="AC79" s="189">
        <v>161918863.87</v>
      </c>
      <c r="AD79" s="189">
        <v>119042588.03</v>
      </c>
      <c r="AE79" s="189">
        <v>119042588.03</v>
      </c>
      <c r="AF79" s="189">
        <v>119042588.03</v>
      </c>
      <c r="AG79" s="189">
        <v>119042588.03</v>
      </c>
      <c r="AH79" s="189">
        <v>87166718.620000005</v>
      </c>
      <c r="AI79" s="189">
        <v>87166718.620000005</v>
      </c>
      <c r="AJ79" s="189">
        <v>87166718.620000005</v>
      </c>
      <c r="AK79" s="189">
        <v>87166718.620000005</v>
      </c>
      <c r="AL79" s="189">
        <v>72111762.040000007</v>
      </c>
      <c r="AM79" s="189">
        <v>72111762.040000007</v>
      </c>
      <c r="AN79" s="189">
        <v>72111762.040000007</v>
      </c>
      <c r="AO79" s="189">
        <v>72111762.040000007</v>
      </c>
      <c r="AP79" s="189">
        <v>67464176.459999993</v>
      </c>
      <c r="AQ79" s="189">
        <v>67464176.459999993</v>
      </c>
      <c r="AR79" s="189">
        <v>67464176.459999993</v>
      </c>
      <c r="AS79" s="189">
        <v>67464176.459999993</v>
      </c>
      <c r="AT79" s="189">
        <v>86624744.269999996</v>
      </c>
      <c r="AU79" s="189">
        <v>86624744.269999996</v>
      </c>
      <c r="AV79" s="189">
        <v>86624744.269999996</v>
      </c>
      <c r="AW79" s="189">
        <v>86624744.269999996</v>
      </c>
      <c r="AX79" s="189">
        <v>72692122.430000007</v>
      </c>
      <c r="AY79" s="189">
        <v>72692122.430000007</v>
      </c>
      <c r="AZ79" s="189">
        <v>72692122.430000007</v>
      </c>
      <c r="BA79" s="189">
        <v>72692122.430000007</v>
      </c>
      <c r="BB79" s="189">
        <v>59903724.700000003</v>
      </c>
      <c r="BC79" s="189">
        <v>59903724.700000003</v>
      </c>
      <c r="BD79" s="189">
        <v>59903724.700000003</v>
      </c>
      <c r="BE79" s="189">
        <v>60684200.600000001</v>
      </c>
      <c r="BF79" s="189">
        <v>43073367.850000001</v>
      </c>
      <c r="BG79" s="189">
        <v>43073367.850000001</v>
      </c>
      <c r="BH79" s="189">
        <v>43073367.850000001</v>
      </c>
      <c r="BI79" s="189">
        <v>43073367.850000001</v>
      </c>
      <c r="BJ79" s="189">
        <v>25411353.420000002</v>
      </c>
      <c r="BK79" s="189">
        <v>25411353.420000002</v>
      </c>
      <c r="BL79" s="189">
        <v>25411353.420000002</v>
      </c>
      <c r="BM79" s="189">
        <v>25411353.420000002</v>
      </c>
      <c r="BN79" s="189">
        <v>11508031.890000001</v>
      </c>
      <c r="BO79" s="189">
        <v>11508031.890000001</v>
      </c>
      <c r="BP79" s="189">
        <v>11508031.890000001</v>
      </c>
      <c r="BQ79" s="189">
        <v>11508031.890000001</v>
      </c>
      <c r="BR79" s="189">
        <v>0</v>
      </c>
      <c r="BS79" s="189">
        <v>4566507.33</v>
      </c>
      <c r="BT79" s="189">
        <v>6972.85</v>
      </c>
      <c r="BU79" s="189">
        <v>20499704.260000002</v>
      </c>
      <c r="BV79" s="189">
        <v>15374363.880000001</v>
      </c>
      <c r="BW79" s="189">
        <v>0</v>
      </c>
    </row>
    <row r="80" spans="1:75"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row>
    <row r="81" spans="1:75" x14ac:dyDescent="0.25">
      <c r="A81" s="189" t="s">
        <v>185</v>
      </c>
      <c r="B81" s="189">
        <v>3708613993.46</v>
      </c>
      <c r="C81" s="189">
        <v>3571640583.4899998</v>
      </c>
      <c r="D81" s="189">
        <v>3526405428.4099998</v>
      </c>
      <c r="E81" s="189">
        <v>3375725989.0900002</v>
      </c>
      <c r="F81" s="189">
        <v>3303116401.9699998</v>
      </c>
      <c r="G81" s="189">
        <v>3217202415.6100001</v>
      </c>
      <c r="H81" s="189">
        <v>3176581380.8400002</v>
      </c>
      <c r="I81" s="189">
        <v>3068301780.48</v>
      </c>
      <c r="J81" s="189">
        <v>3285712813.4499998</v>
      </c>
      <c r="K81" s="189">
        <v>3891928639.5799999</v>
      </c>
      <c r="L81" s="189">
        <v>3647005836.1900001</v>
      </c>
      <c r="M81" s="189">
        <v>3519576876.4400001</v>
      </c>
      <c r="N81" s="189">
        <v>2100054780.45</v>
      </c>
      <c r="O81" s="189">
        <v>1950415414.1400001</v>
      </c>
      <c r="P81" s="189">
        <v>1909577949.49</v>
      </c>
      <c r="Q81" s="189">
        <v>1719759552.8800001</v>
      </c>
      <c r="R81" s="189">
        <v>1643432475.21</v>
      </c>
      <c r="S81" s="189">
        <v>1535355950.8299999</v>
      </c>
      <c r="T81" s="189">
        <v>1468394915.5599999</v>
      </c>
      <c r="U81" s="189">
        <v>1304770027.8599999</v>
      </c>
      <c r="V81" s="189">
        <v>1259211142.1600001</v>
      </c>
      <c r="W81" s="189">
        <v>1126251742.0599999</v>
      </c>
      <c r="X81" s="189">
        <v>1298471503.3599999</v>
      </c>
      <c r="Y81" s="189">
        <v>1174394874.4200001</v>
      </c>
      <c r="Z81" s="189">
        <v>1095312462.8699999</v>
      </c>
      <c r="AA81" s="189">
        <v>1158443138.1099999</v>
      </c>
      <c r="AB81" s="189">
        <v>887315308.89999998</v>
      </c>
      <c r="AC81" s="189">
        <v>798043494.10000002</v>
      </c>
      <c r="AD81" s="189">
        <v>759685740.11000001</v>
      </c>
      <c r="AE81" s="189">
        <v>686880676.29999995</v>
      </c>
      <c r="AF81" s="189">
        <v>645588115.86000001</v>
      </c>
      <c r="AG81" s="189">
        <v>585423831.89999998</v>
      </c>
      <c r="AH81" s="189">
        <v>550992535.13</v>
      </c>
      <c r="AI81" s="189">
        <v>501121152.82999998</v>
      </c>
      <c r="AJ81" s="189">
        <v>599832770.53999996</v>
      </c>
      <c r="AK81" s="189">
        <v>553274464.87</v>
      </c>
      <c r="AL81" s="189">
        <v>525592817.13999999</v>
      </c>
      <c r="AM81" s="189">
        <v>480200351.81</v>
      </c>
      <c r="AN81" s="189">
        <v>415706770.48000002</v>
      </c>
      <c r="AO81" s="189">
        <v>378727385.56</v>
      </c>
      <c r="AP81" s="189">
        <v>342376758.93000001</v>
      </c>
      <c r="AQ81" s="189">
        <v>300489696.29000002</v>
      </c>
      <c r="AR81" s="189">
        <v>246824050.31</v>
      </c>
      <c r="AS81" s="189">
        <v>220747271.28</v>
      </c>
      <c r="AT81" s="189">
        <v>180281036.25999999</v>
      </c>
      <c r="AU81" s="189">
        <v>150412132.30000001</v>
      </c>
      <c r="AV81" s="189">
        <v>126688710.69</v>
      </c>
      <c r="AW81" s="189">
        <v>141100977.68000001</v>
      </c>
      <c r="AX81" s="189">
        <v>148899349.27000001</v>
      </c>
      <c r="AY81" s="189">
        <v>133081531.41</v>
      </c>
      <c r="AZ81" s="189">
        <v>107715286.73999999</v>
      </c>
      <c r="BA81" s="189">
        <v>94497411.689999998</v>
      </c>
      <c r="BB81" s="189">
        <v>112615845.56</v>
      </c>
      <c r="BC81" s="189">
        <v>100054290.28</v>
      </c>
      <c r="BD81" s="189">
        <v>124046875.29000001</v>
      </c>
      <c r="BE81" s="189">
        <v>111128786.8</v>
      </c>
      <c r="BF81" s="189">
        <v>144128457.84</v>
      </c>
      <c r="BG81" s="189">
        <v>126963072.8</v>
      </c>
      <c r="BH81" s="189">
        <v>136964635.47999999</v>
      </c>
      <c r="BI81" s="189">
        <v>121916341.93000001</v>
      </c>
      <c r="BJ81" s="189">
        <v>136023747.88</v>
      </c>
      <c r="BK81" s="189">
        <v>114302269.51000001</v>
      </c>
      <c r="BL81" s="189">
        <v>71047128.269999996</v>
      </c>
      <c r="BM81" s="189">
        <v>99008994.890000001</v>
      </c>
      <c r="BN81" s="189">
        <v>112722679.62</v>
      </c>
      <c r="BO81" s="189">
        <v>91754361.370000005</v>
      </c>
      <c r="BP81" s="189">
        <v>49933735.899999999</v>
      </c>
      <c r="BQ81" s="189">
        <v>37550354.890000001</v>
      </c>
      <c r="BR81" s="189">
        <v>47191240.579999998</v>
      </c>
      <c r="BS81" s="189">
        <v>-5305033.1500000004</v>
      </c>
      <c r="BT81" s="189">
        <v>-23521049.18</v>
      </c>
      <c r="BU81" s="189">
        <v>-38758600.469999999</v>
      </c>
      <c r="BV81" s="189">
        <v>-56126040.200000003</v>
      </c>
      <c r="BW81" s="189">
        <v>0</v>
      </c>
    </row>
    <row r="82" spans="1:75" x14ac:dyDescent="0.25">
      <c r="A82" s="189" t="s">
        <v>186</v>
      </c>
      <c r="B82" s="189">
        <v>5819655925.1800003</v>
      </c>
      <c r="C82" s="189">
        <v>5616764912.0200005</v>
      </c>
      <c r="D82" s="189">
        <v>5601755847.1300001</v>
      </c>
      <c r="E82" s="189">
        <v>5376551846.6099997</v>
      </c>
      <c r="F82" s="189">
        <v>5526518028.3599997</v>
      </c>
      <c r="G82" s="189">
        <v>5424553112.3900003</v>
      </c>
      <c r="H82" s="189">
        <v>5377300918.21</v>
      </c>
      <c r="I82" s="189">
        <v>5264125997.2299995</v>
      </c>
      <c r="J82" s="189">
        <v>5491950513.3900003</v>
      </c>
      <c r="K82" s="189">
        <v>6091662505.5299997</v>
      </c>
      <c r="L82" s="189">
        <v>5853221822.8999996</v>
      </c>
      <c r="M82" s="189">
        <v>5728747482.5600004</v>
      </c>
      <c r="N82" s="189">
        <v>4346577496.8199997</v>
      </c>
      <c r="O82" s="189">
        <v>4247511083.4099998</v>
      </c>
      <c r="P82" s="189">
        <v>3997929558.0500002</v>
      </c>
      <c r="Q82" s="189">
        <v>3804904626.4899998</v>
      </c>
      <c r="R82" s="189">
        <v>3771979221.8899999</v>
      </c>
      <c r="S82" s="189">
        <v>3605337390.3099999</v>
      </c>
      <c r="T82" s="189">
        <v>3511412183.9299998</v>
      </c>
      <c r="U82" s="189">
        <v>3325319389.3600001</v>
      </c>
      <c r="V82" s="189">
        <v>3163753910.1199999</v>
      </c>
      <c r="W82" s="189">
        <v>3011991372.1500001</v>
      </c>
      <c r="X82" s="189">
        <v>2890608925.1900001</v>
      </c>
      <c r="Y82" s="189">
        <v>2710056138.5300002</v>
      </c>
      <c r="Z82" s="189">
        <v>2509014103.5500002</v>
      </c>
      <c r="AA82" s="189">
        <v>2544541574.6199999</v>
      </c>
      <c r="AB82" s="189">
        <v>1848290173.3399999</v>
      </c>
      <c r="AC82" s="189">
        <v>1758755261.75</v>
      </c>
      <c r="AD82" s="189">
        <v>1675939973.8199999</v>
      </c>
      <c r="AE82" s="189">
        <v>1601650167.97</v>
      </c>
      <c r="AF82" s="189">
        <v>1558807269.8599999</v>
      </c>
      <c r="AG82" s="189">
        <v>1496704216.4300001</v>
      </c>
      <c r="AH82" s="189">
        <v>1426732452.04</v>
      </c>
      <c r="AI82" s="189">
        <v>1372965586.9000001</v>
      </c>
      <c r="AJ82" s="189">
        <v>1370786577.3099999</v>
      </c>
      <c r="AK82" s="189">
        <v>1319737714.21</v>
      </c>
      <c r="AL82" s="189">
        <v>1268531088.5799999</v>
      </c>
      <c r="AM82" s="189">
        <v>1214667293.8599999</v>
      </c>
      <c r="AN82" s="189">
        <v>1141702217.72</v>
      </c>
      <c r="AO82" s="189">
        <v>1096249332.8</v>
      </c>
      <c r="AP82" s="189">
        <v>1046149196.41</v>
      </c>
      <c r="AQ82" s="189">
        <v>995193048.97000003</v>
      </c>
      <c r="AR82" s="189">
        <v>886866388.24000001</v>
      </c>
      <c r="AS82" s="189">
        <v>853397039.85000002</v>
      </c>
      <c r="AT82" s="189">
        <v>837991898.32000005</v>
      </c>
      <c r="AU82" s="189">
        <v>808045059.13999999</v>
      </c>
      <c r="AV82" s="189">
        <v>784504171.82000005</v>
      </c>
      <c r="AW82" s="189">
        <v>798685222.84000003</v>
      </c>
      <c r="AX82" s="189">
        <v>791975536.38999999</v>
      </c>
      <c r="AY82" s="189">
        <v>775169078.15999997</v>
      </c>
      <c r="AZ82" s="189">
        <v>1203667521.9100001</v>
      </c>
      <c r="BA82" s="189">
        <v>1185394106.6800001</v>
      </c>
      <c r="BB82" s="189">
        <v>1195118561.1500001</v>
      </c>
      <c r="BC82" s="189">
        <v>1182557005.8699999</v>
      </c>
      <c r="BD82" s="189">
        <v>1206518294.0699999</v>
      </c>
      <c r="BE82" s="189">
        <v>1195009854.5799999</v>
      </c>
      <c r="BF82" s="189">
        <v>1209340155.4300001</v>
      </c>
      <c r="BG82" s="189">
        <v>1192174770.3900001</v>
      </c>
      <c r="BH82" s="189">
        <v>1202091747.1500001</v>
      </c>
      <c r="BI82" s="189">
        <v>1187049077.6199999</v>
      </c>
      <c r="BJ82" s="189">
        <v>1182761908.8699999</v>
      </c>
      <c r="BK82" s="189">
        <v>1161040430.5</v>
      </c>
      <c r="BL82" s="189">
        <v>1117771489.26</v>
      </c>
      <c r="BM82" s="189">
        <v>1145733355.8800001</v>
      </c>
      <c r="BN82" s="189">
        <v>1145522696.27</v>
      </c>
      <c r="BO82" s="189">
        <v>1124554378.02</v>
      </c>
      <c r="BP82" s="189">
        <v>1082733752.55</v>
      </c>
      <c r="BQ82" s="189">
        <v>1070350371.54</v>
      </c>
      <c r="BR82" s="189">
        <v>1068422859.79</v>
      </c>
      <c r="BS82" s="189">
        <v>286771149.86000001</v>
      </c>
      <c r="BT82" s="189">
        <v>263989975.31999999</v>
      </c>
      <c r="BU82" s="189">
        <v>228462592.30000001</v>
      </c>
      <c r="BV82" s="189">
        <v>205969812.19</v>
      </c>
      <c r="BW82" s="189">
        <v>0</v>
      </c>
    </row>
    <row r="83" spans="1:75" x14ac:dyDescent="0.25">
      <c r="A83" s="189" t="s">
        <v>187</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301834.08</v>
      </c>
      <c r="R83" s="189">
        <v>4238277.1900000004</v>
      </c>
      <c r="S83" s="189">
        <v>30725748.559999999</v>
      </c>
      <c r="T83" s="189">
        <v>40690516.5</v>
      </c>
      <c r="U83" s="189">
        <v>40071776.880000003</v>
      </c>
      <c r="V83" s="189">
        <v>26900765.609999999</v>
      </c>
      <c r="W83" s="189">
        <v>19995516.460000001</v>
      </c>
      <c r="X83" s="189">
        <v>20328799.870000001</v>
      </c>
      <c r="Y83" s="189">
        <v>21427636.280000001</v>
      </c>
      <c r="Z83" s="189">
        <v>18387007.43</v>
      </c>
      <c r="AA83" s="189">
        <v>15324077.050000001</v>
      </c>
      <c r="AB83" s="189">
        <v>20553519.800000001</v>
      </c>
      <c r="AC83" s="189">
        <v>22966172.690000001</v>
      </c>
      <c r="AD83" s="189">
        <v>19312477.359999999</v>
      </c>
      <c r="AE83" s="189">
        <v>17664026.66</v>
      </c>
      <c r="AF83" s="189">
        <v>20654307.469999999</v>
      </c>
      <c r="AG83" s="189">
        <v>21216314.329999998</v>
      </c>
      <c r="AH83" s="189">
        <v>41923907.57</v>
      </c>
      <c r="AI83" s="189">
        <v>38617962.939999998</v>
      </c>
      <c r="AJ83" s="189">
        <v>41019179.880000003</v>
      </c>
      <c r="AK83" s="189">
        <v>48851888.939999998</v>
      </c>
      <c r="AL83" s="189">
        <v>40083852.270000003</v>
      </c>
      <c r="AM83" s="189">
        <v>42121242.560000002</v>
      </c>
      <c r="AN83" s="189">
        <v>43168934.630000003</v>
      </c>
      <c r="AO83" s="189">
        <v>48259053.07</v>
      </c>
      <c r="AP83" s="189">
        <v>53014128.789999999</v>
      </c>
      <c r="AQ83" s="189">
        <v>94487314.719999999</v>
      </c>
      <c r="AR83" s="189">
        <v>42109056.390000001</v>
      </c>
      <c r="AS83" s="189">
        <v>50078628.390000001</v>
      </c>
      <c r="AT83" s="189">
        <v>47110715.869999997</v>
      </c>
      <c r="AU83" s="189">
        <v>41387277.469999999</v>
      </c>
      <c r="AV83" s="189">
        <v>48857368.93</v>
      </c>
      <c r="AW83" s="189">
        <v>57075336.390000001</v>
      </c>
      <c r="AX83" s="189">
        <v>49215246</v>
      </c>
      <c r="AY83" s="189">
        <v>51849717.170000002</v>
      </c>
      <c r="AZ83" s="189">
        <v>49826537.299999997</v>
      </c>
      <c r="BA83" s="189">
        <v>66395735.969999999</v>
      </c>
      <c r="BB83" s="189">
        <v>61276723.359999999</v>
      </c>
      <c r="BC83" s="189">
        <v>59766506.600000001</v>
      </c>
      <c r="BD83" s="189">
        <v>61298628.200000003</v>
      </c>
      <c r="BE83" s="189">
        <v>53872084.219999999</v>
      </c>
      <c r="BF83" s="189">
        <v>76882757.650000006</v>
      </c>
      <c r="BG83" s="189">
        <v>74211727.670000002</v>
      </c>
      <c r="BH83" s="189">
        <v>50743924.539999999</v>
      </c>
      <c r="BI83" s="189">
        <v>51891205.700000003</v>
      </c>
      <c r="BJ83" s="189">
        <v>53757256.450000003</v>
      </c>
      <c r="BK83" s="189">
        <v>49186490.240000002</v>
      </c>
      <c r="BL83" s="189">
        <v>40368315</v>
      </c>
      <c r="BM83" s="189">
        <v>39797006.439999998</v>
      </c>
      <c r="BN83" s="189">
        <v>33381068.760000002</v>
      </c>
      <c r="BO83" s="189">
        <v>20415806.98</v>
      </c>
      <c r="BP83" s="189">
        <v>4111114.37</v>
      </c>
      <c r="BQ83" s="189">
        <v>4173607.68</v>
      </c>
      <c r="BR83" s="189">
        <v>3431184.64</v>
      </c>
      <c r="BS83" s="189">
        <v>3392349.18</v>
      </c>
      <c r="BT83" s="189">
        <v>2678678.7200000002</v>
      </c>
      <c r="BU83" s="189">
        <v>4525995.51</v>
      </c>
      <c r="BV83" s="189">
        <v>8197176.29</v>
      </c>
      <c r="BW83" s="189">
        <v>0</v>
      </c>
    </row>
    <row r="84" spans="1:75" x14ac:dyDescent="0.25">
      <c r="A84" s="189" t="s">
        <v>188</v>
      </c>
      <c r="B84" s="189">
        <v>5819655925.1800003</v>
      </c>
      <c r="C84" s="189">
        <v>5616764912.0200005</v>
      </c>
      <c r="D84" s="189">
        <v>5601755847.1300001</v>
      </c>
      <c r="E84" s="189">
        <v>5376551846.6099997</v>
      </c>
      <c r="F84" s="189">
        <v>5526518028.3599997</v>
      </c>
      <c r="G84" s="189">
        <v>5424553112.3900003</v>
      </c>
      <c r="H84" s="189">
        <v>5377300918.21</v>
      </c>
      <c r="I84" s="189">
        <v>5264125997.2299995</v>
      </c>
      <c r="J84" s="189">
        <v>5491950513.3900003</v>
      </c>
      <c r="K84" s="189">
        <v>6091662505.5299997</v>
      </c>
      <c r="L84" s="189">
        <v>5853221822.8999996</v>
      </c>
      <c r="M84" s="189">
        <v>5728747482.5600004</v>
      </c>
      <c r="N84" s="189">
        <v>4346577496.8199997</v>
      </c>
      <c r="O84" s="189">
        <v>4247511083.4099998</v>
      </c>
      <c r="P84" s="189">
        <v>3997929558.0500002</v>
      </c>
      <c r="Q84" s="189">
        <v>3805206460.5700002</v>
      </c>
      <c r="R84" s="189">
        <v>3776217499.0799999</v>
      </c>
      <c r="S84" s="189">
        <v>3636063138.8699999</v>
      </c>
      <c r="T84" s="189">
        <v>3552102700.4299998</v>
      </c>
      <c r="U84" s="189">
        <v>3365391166.2399998</v>
      </c>
      <c r="V84" s="189">
        <v>3190654675.73</v>
      </c>
      <c r="W84" s="189">
        <v>3031986888.6100001</v>
      </c>
      <c r="X84" s="189">
        <v>2910937725.0599999</v>
      </c>
      <c r="Y84" s="189">
        <v>2731483774.8099999</v>
      </c>
      <c r="Z84" s="189">
        <v>2527401110.98</v>
      </c>
      <c r="AA84" s="189">
        <v>2559865651.6700001</v>
      </c>
      <c r="AB84" s="189">
        <v>1868843693.1400001</v>
      </c>
      <c r="AC84" s="189">
        <v>1781721434.4400001</v>
      </c>
      <c r="AD84" s="189">
        <v>1695252451.1800001</v>
      </c>
      <c r="AE84" s="189">
        <v>1619314194.6300001</v>
      </c>
      <c r="AF84" s="189">
        <v>1579461577.3299999</v>
      </c>
      <c r="AG84" s="189">
        <v>1517920530.76</v>
      </c>
      <c r="AH84" s="189">
        <v>1468656359.6099999</v>
      </c>
      <c r="AI84" s="189">
        <v>1411583549.8399999</v>
      </c>
      <c r="AJ84" s="189">
        <v>1411805757.1900001</v>
      </c>
      <c r="AK84" s="189">
        <v>1368589603.1500001</v>
      </c>
      <c r="AL84" s="189">
        <v>1308614940.8499999</v>
      </c>
      <c r="AM84" s="189">
        <v>1256788536.4200001</v>
      </c>
      <c r="AN84" s="189">
        <v>1184871152.3499999</v>
      </c>
      <c r="AO84" s="189">
        <v>1144508385.8699999</v>
      </c>
      <c r="AP84" s="189">
        <v>1099163325.2</v>
      </c>
      <c r="AQ84" s="189">
        <v>1089680363.6900001</v>
      </c>
      <c r="AR84" s="189">
        <v>928975444.63</v>
      </c>
      <c r="AS84" s="189">
        <v>903475668.24000001</v>
      </c>
      <c r="AT84" s="189">
        <v>885102614.19000006</v>
      </c>
      <c r="AU84" s="189">
        <v>849432336.61000001</v>
      </c>
      <c r="AV84" s="189">
        <v>833361540.75</v>
      </c>
      <c r="AW84" s="189">
        <v>855760559.23000002</v>
      </c>
      <c r="AX84" s="189">
        <v>841190782.38999999</v>
      </c>
      <c r="AY84" s="189">
        <v>827018795.33000004</v>
      </c>
      <c r="AZ84" s="189">
        <v>1253494059.21</v>
      </c>
      <c r="BA84" s="189">
        <v>1251789842.6500001</v>
      </c>
      <c r="BB84" s="189">
        <v>1256395284.51</v>
      </c>
      <c r="BC84" s="189">
        <v>1242323512.47</v>
      </c>
      <c r="BD84" s="189">
        <v>1267816922.27</v>
      </c>
      <c r="BE84" s="189">
        <v>1248881938.8</v>
      </c>
      <c r="BF84" s="189">
        <v>1286222913.0799999</v>
      </c>
      <c r="BG84" s="189">
        <v>1266386498.0599999</v>
      </c>
      <c r="BH84" s="189">
        <v>1252835671.6900001</v>
      </c>
      <c r="BI84" s="189">
        <v>1238940283.3199999</v>
      </c>
      <c r="BJ84" s="189">
        <v>1236519165.3199999</v>
      </c>
      <c r="BK84" s="189">
        <v>1210226920.74</v>
      </c>
      <c r="BL84" s="189">
        <v>1158139804.26</v>
      </c>
      <c r="BM84" s="189">
        <v>1185530362.3199999</v>
      </c>
      <c r="BN84" s="189">
        <v>1178903765.03</v>
      </c>
      <c r="BO84" s="189">
        <v>1144970185</v>
      </c>
      <c r="BP84" s="189">
        <v>1086844866.9200001</v>
      </c>
      <c r="BQ84" s="189">
        <v>1074523979.22</v>
      </c>
      <c r="BR84" s="189">
        <v>1071854044.4299999</v>
      </c>
      <c r="BS84" s="189">
        <v>290163499.04000002</v>
      </c>
      <c r="BT84" s="189">
        <v>266668654.03999999</v>
      </c>
      <c r="BU84" s="189">
        <v>232988587.81</v>
      </c>
      <c r="BV84" s="189">
        <v>214166988.47999999</v>
      </c>
      <c r="BW84" s="189">
        <v>0</v>
      </c>
    </row>
    <row r="85" spans="1:75" x14ac:dyDescent="0.25">
      <c r="A85" s="189" t="s">
        <v>189</v>
      </c>
      <c r="B85" s="189">
        <v>10608199403.950001</v>
      </c>
      <c r="C85" s="189">
        <v>10303615101.280001</v>
      </c>
      <c r="D85" s="189">
        <v>10035830516.139999</v>
      </c>
      <c r="E85" s="189">
        <v>9603959103</v>
      </c>
      <c r="F85" s="189">
        <v>8043012106.1899996</v>
      </c>
      <c r="G85" s="189">
        <v>8071840947.0299997</v>
      </c>
      <c r="H85" s="189">
        <v>7813726758.2399998</v>
      </c>
      <c r="I85" s="189">
        <v>7632447445.4700003</v>
      </c>
      <c r="J85" s="189">
        <v>7935727254.1800003</v>
      </c>
      <c r="K85" s="189">
        <v>8342405043.1800003</v>
      </c>
      <c r="L85" s="189">
        <v>8414349093.46</v>
      </c>
      <c r="M85" s="189">
        <v>8159389961.9200001</v>
      </c>
      <c r="N85" s="189">
        <v>6598369371.8400002</v>
      </c>
      <c r="O85" s="189">
        <v>6332229501.0299997</v>
      </c>
      <c r="P85" s="189">
        <v>6183541777.8999996</v>
      </c>
      <c r="Q85" s="189">
        <v>5533633656.9200001</v>
      </c>
      <c r="R85" s="189">
        <v>5363189968.4300003</v>
      </c>
      <c r="S85" s="189">
        <v>5069618011.1599998</v>
      </c>
      <c r="T85" s="189">
        <v>5071673847.1999998</v>
      </c>
      <c r="U85" s="189">
        <v>4520218917.21</v>
      </c>
      <c r="V85" s="189">
        <v>4359573768.5500002</v>
      </c>
      <c r="W85" s="189">
        <v>4186733250.5900002</v>
      </c>
      <c r="X85" s="189">
        <v>4075474843.7600002</v>
      </c>
      <c r="Y85" s="189">
        <v>3646870607.3899999</v>
      </c>
      <c r="Z85" s="189">
        <v>3680971538.3099999</v>
      </c>
      <c r="AA85" s="189">
        <v>3576059181.1900001</v>
      </c>
      <c r="AB85" s="189">
        <v>2782316939.0700002</v>
      </c>
      <c r="AC85" s="189">
        <v>2546783392.8200002</v>
      </c>
      <c r="AD85" s="189">
        <v>2595736626.6999998</v>
      </c>
      <c r="AE85" s="189">
        <v>2539260457.8299999</v>
      </c>
      <c r="AF85" s="189">
        <v>2316359402.9699998</v>
      </c>
      <c r="AG85" s="189">
        <v>2122344288.3299999</v>
      </c>
      <c r="AH85" s="189">
        <v>2199038237.98</v>
      </c>
      <c r="AI85" s="189">
        <v>2148239968.5500002</v>
      </c>
      <c r="AJ85" s="189">
        <v>1999987277.8299999</v>
      </c>
      <c r="AK85" s="189">
        <v>1863651883</v>
      </c>
      <c r="AL85" s="189">
        <v>1937804312.8199999</v>
      </c>
      <c r="AM85" s="189">
        <v>1812957795.8599999</v>
      </c>
      <c r="AN85" s="189">
        <v>1764442438.98</v>
      </c>
      <c r="AO85" s="189">
        <v>1685848994.45</v>
      </c>
      <c r="AP85" s="189">
        <v>1664539858.21</v>
      </c>
      <c r="AQ85" s="189">
        <v>1882484841.5799999</v>
      </c>
      <c r="AR85" s="189">
        <v>1660089895.54</v>
      </c>
      <c r="AS85" s="189">
        <v>1480497812.2</v>
      </c>
      <c r="AT85" s="189">
        <v>1750356067.23</v>
      </c>
      <c r="AU85" s="189">
        <v>1679612560.3800001</v>
      </c>
      <c r="AV85" s="189">
        <v>1588613114.6199999</v>
      </c>
      <c r="AW85" s="189">
        <v>1549551438.27</v>
      </c>
      <c r="AX85" s="189">
        <v>1628686844.8199999</v>
      </c>
      <c r="AY85" s="189">
        <v>1708790132.6500001</v>
      </c>
      <c r="AZ85" s="189">
        <v>1942688587.4100001</v>
      </c>
      <c r="BA85" s="189">
        <v>1804585267.1800001</v>
      </c>
      <c r="BB85" s="189">
        <v>1737163899.6500001</v>
      </c>
      <c r="BC85" s="189">
        <v>1812651801.23</v>
      </c>
      <c r="BD85" s="189">
        <v>1714355106.6199999</v>
      </c>
      <c r="BE85" s="189">
        <v>1750664649.5699999</v>
      </c>
      <c r="BF85" s="189">
        <v>1733769401.8299999</v>
      </c>
      <c r="BG85" s="189">
        <v>1734639609.5999999</v>
      </c>
      <c r="BH85" s="189">
        <v>1550447801.1099999</v>
      </c>
      <c r="BI85" s="189">
        <v>1588518606.5799999</v>
      </c>
      <c r="BJ85" s="189">
        <v>1626414177.1700001</v>
      </c>
      <c r="BK85" s="189">
        <v>1598920126.3</v>
      </c>
      <c r="BL85" s="189">
        <v>1425607621.97</v>
      </c>
      <c r="BM85" s="189">
        <v>1521943204.9000001</v>
      </c>
      <c r="BN85" s="189">
        <v>1686666257.77</v>
      </c>
      <c r="BO85" s="189">
        <v>1728122591.0899999</v>
      </c>
      <c r="BP85" s="189">
        <v>1483575870.8599999</v>
      </c>
      <c r="BQ85" s="189">
        <v>1503664685.46</v>
      </c>
      <c r="BR85" s="189">
        <v>1671612186.9300001</v>
      </c>
      <c r="BS85" s="189">
        <v>786716191.72000003</v>
      </c>
      <c r="BT85" s="189">
        <v>872106352.48000002</v>
      </c>
      <c r="BU85" s="189">
        <v>887594154.5</v>
      </c>
      <c r="BV85" s="189">
        <v>885332286.79999995</v>
      </c>
      <c r="BW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W31"/>
  <sheetViews>
    <sheetView workbookViewId="0">
      <selection activeCell="A2" sqref="A2"/>
    </sheetView>
  </sheetViews>
  <sheetFormatPr defaultRowHeight="14.4" x14ac:dyDescent="0.25"/>
  <cols>
    <col min="1" max="1" width="39.109375" style="189" bestFit="1" customWidth="1"/>
    <col min="2" max="4" width="12.77734375" style="189" hidden="1" customWidth="1"/>
    <col min="5" max="5" width="12.77734375" style="189" bestFit="1" customWidth="1"/>
    <col min="6" max="8" width="13.88671875" style="189" hidden="1" customWidth="1"/>
    <col min="9" max="9" width="13.88671875" style="189" bestFit="1" customWidth="1"/>
    <col min="10" max="11" width="13.88671875" style="189" hidden="1" customWidth="1"/>
    <col min="12" max="12" width="12.777343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19" width="13.88671875" style="189" hidden="1" customWidth="1"/>
    <col min="20" max="20" width="12.77734375" style="189" hidden="1" customWidth="1"/>
    <col min="21" max="21" width="13.88671875" style="189" bestFit="1" customWidth="1"/>
    <col min="22" max="22" width="13.88671875" style="189" hidden="1" customWidth="1"/>
    <col min="23" max="24" width="12.77734375" style="189" hidden="1" customWidth="1"/>
    <col min="25" max="25" width="13.88671875" style="189" bestFit="1" customWidth="1"/>
    <col min="26" max="26" width="13.88671875" style="189" hidden="1" customWidth="1"/>
    <col min="27" max="28" width="12.77734375" style="189" hidden="1" customWidth="1"/>
    <col min="29" max="29" width="13.88671875" style="189" bestFit="1" customWidth="1"/>
    <col min="30" max="32" width="12.77734375" style="189" hidden="1" customWidth="1"/>
    <col min="33" max="33" width="13.886718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3.886718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4" width="12.77734375" style="189" bestFit="1" customWidth="1"/>
    <col min="75" max="75" width="9.5546875" style="189" hidden="1" customWidth="1"/>
    <col min="76" max="16384" width="8.88671875" style="189"/>
  </cols>
  <sheetData>
    <row r="1" spans="1:75" x14ac:dyDescent="0.25">
      <c r="A1" s="189">
        <v>600315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19991231</v>
      </c>
      <c r="BU1" s="189">
        <v>19981231</v>
      </c>
      <c r="BV1" s="189">
        <v>19971231</v>
      </c>
      <c r="BW1" s="189">
        <v>19700101</v>
      </c>
    </row>
    <row r="2" spans="1:75"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row>
    <row r="3" spans="1:75" x14ac:dyDescent="0.25">
      <c r="A3" s="189" t="s">
        <v>190</v>
      </c>
      <c r="B3" s="189">
        <v>5420192240.8800001</v>
      </c>
      <c r="C3" s="189">
        <v>3665189282.5100002</v>
      </c>
      <c r="D3" s="189">
        <v>1860297290.99</v>
      </c>
      <c r="E3" s="189">
        <v>6488246212.1400003</v>
      </c>
      <c r="F3" s="189">
        <v>3894561232.4000001</v>
      </c>
      <c r="G3" s="189">
        <v>2651881094.0700002</v>
      </c>
      <c r="H3" s="189">
        <v>1340165773.9200001</v>
      </c>
      <c r="I3" s="189">
        <v>5321198258.4899998</v>
      </c>
      <c r="J3" s="189">
        <v>4287852830.3699999</v>
      </c>
      <c r="K3" s="189">
        <v>3065730831.52</v>
      </c>
      <c r="L3" s="189">
        <v>1541097064.8199999</v>
      </c>
      <c r="M3" s="189">
        <v>5845865322.6400003</v>
      </c>
      <c r="N3" s="189">
        <v>4617561352.0799999</v>
      </c>
      <c r="O3" s="189">
        <v>3215056319.77</v>
      </c>
      <c r="P3" s="189">
        <v>1594897366.8599999</v>
      </c>
      <c r="Q3" s="189">
        <v>5334659318.1000004</v>
      </c>
      <c r="R3" s="189">
        <v>4168265729.0900002</v>
      </c>
      <c r="S3" s="189">
        <v>2819379057.3400002</v>
      </c>
      <c r="T3" s="189">
        <v>1345701240.8900001</v>
      </c>
      <c r="U3" s="189">
        <v>4468503687.0100002</v>
      </c>
      <c r="V3" s="189">
        <v>4012363480.3899999</v>
      </c>
      <c r="W3" s="189">
        <v>2746693074.4099998</v>
      </c>
      <c r="X3" s="189">
        <v>1325026458.9300001</v>
      </c>
      <c r="Y3" s="189">
        <v>4504122570.4099998</v>
      </c>
      <c r="Z3" s="189">
        <v>3540725102.4299998</v>
      </c>
      <c r="AA3" s="189">
        <v>2339090706.9299998</v>
      </c>
      <c r="AB3" s="189">
        <v>1054933573.1</v>
      </c>
      <c r="AC3" s="189">
        <v>3576607562.8699999</v>
      </c>
      <c r="AD3" s="189">
        <v>2866766635.29</v>
      </c>
      <c r="AE3" s="189">
        <v>1922161683.6400001</v>
      </c>
      <c r="AF3" s="189">
        <v>843584272.85000002</v>
      </c>
      <c r="AG3" s="189">
        <v>3093956633.8400002</v>
      </c>
      <c r="AH3" s="189">
        <v>2429911851.9899998</v>
      </c>
      <c r="AI3" s="189">
        <v>1577163658.76</v>
      </c>
      <c r="AJ3" s="189">
        <v>667913696.38999999</v>
      </c>
      <c r="AK3" s="189">
        <v>2697115334.0700002</v>
      </c>
      <c r="AL3" s="189">
        <v>2181544628.0999999</v>
      </c>
      <c r="AM3" s="189">
        <v>1424803943.8</v>
      </c>
      <c r="AN3" s="189">
        <v>582376592.78999996</v>
      </c>
      <c r="AO3" s="189">
        <v>2493498067.6100001</v>
      </c>
      <c r="AP3" s="189">
        <v>2097820988.5799999</v>
      </c>
      <c r="AQ3" s="189">
        <v>1384626050.21</v>
      </c>
      <c r="AR3" s="189">
        <v>526135808.88</v>
      </c>
      <c r="AS3" s="189">
        <v>2260798925.3600001</v>
      </c>
      <c r="AT3" s="189">
        <v>1779982978.72</v>
      </c>
      <c r="AU3" s="189">
        <v>1161985620.8</v>
      </c>
      <c r="AV3" s="189">
        <v>475691864.44999999</v>
      </c>
      <c r="AW3" s="189">
        <v>2166833813.2600002</v>
      </c>
      <c r="AX3" s="189">
        <v>1751114424.5899999</v>
      </c>
      <c r="AY3" s="189">
        <v>1100164425.74</v>
      </c>
      <c r="AZ3" s="189">
        <v>448512863.25999999</v>
      </c>
      <c r="BA3" s="189">
        <v>1969302978.1700001</v>
      </c>
      <c r="BB3" s="189">
        <v>1548441810.3099999</v>
      </c>
      <c r="BC3" s="189">
        <v>975553811.16999996</v>
      </c>
      <c r="BD3" s="189">
        <v>385409797.76999998</v>
      </c>
      <c r="BE3" s="189">
        <v>1679071593.25</v>
      </c>
      <c r="BF3" s="189">
        <v>1290561085.1500001</v>
      </c>
      <c r="BG3" s="189">
        <v>777835223.33000004</v>
      </c>
      <c r="BH3" s="189">
        <v>287218267.87</v>
      </c>
      <c r="BI3" s="189">
        <v>1491760305.5899999</v>
      </c>
      <c r="BJ3" s="189">
        <v>1144133766.0699999</v>
      </c>
      <c r="BK3" s="189">
        <v>737830607.05999994</v>
      </c>
      <c r="BL3" s="189">
        <v>228980001.66999999</v>
      </c>
      <c r="BM3" s="189">
        <v>1368173082.5799999</v>
      </c>
      <c r="BN3" s="189">
        <v>1041788806.41</v>
      </c>
      <c r="BO3" s="189">
        <v>686802587.85000002</v>
      </c>
      <c r="BP3" s="189">
        <v>223309122.68000001</v>
      </c>
      <c r="BQ3" s="189">
        <v>1306972383.5</v>
      </c>
      <c r="BR3" s="189">
        <v>639274662.84000003</v>
      </c>
      <c r="BS3" s="189">
        <v>1188059662.22</v>
      </c>
      <c r="BT3" s="189">
        <v>1086210595.8099999</v>
      </c>
      <c r="BU3" s="189">
        <v>985090057.79999995</v>
      </c>
      <c r="BV3" s="189">
        <v>903250455.90999997</v>
      </c>
      <c r="BW3" s="189">
        <v>0</v>
      </c>
    </row>
    <row r="4" spans="1:75" x14ac:dyDescent="0.25">
      <c r="A4" s="189" t="s">
        <v>191</v>
      </c>
      <c r="B4" s="189">
        <v>5420192240.8800001</v>
      </c>
      <c r="C4" s="189">
        <v>3665189282.5100002</v>
      </c>
      <c r="D4" s="189">
        <v>1860297290.99</v>
      </c>
      <c r="E4" s="189">
        <v>6488246212.1400003</v>
      </c>
      <c r="F4" s="189">
        <v>3894561232.4000001</v>
      </c>
      <c r="G4" s="189">
        <v>2651881094.0700002</v>
      </c>
      <c r="H4" s="189">
        <v>1340165773.9200001</v>
      </c>
      <c r="I4" s="189">
        <v>5321198258.4899998</v>
      </c>
      <c r="J4" s="189">
        <v>4287852830.3699999</v>
      </c>
      <c r="K4" s="189">
        <v>3065730831.52</v>
      </c>
      <c r="L4" s="189">
        <v>1541097064.8199999</v>
      </c>
      <c r="M4" s="189">
        <v>5845865322.6400003</v>
      </c>
      <c r="N4" s="189">
        <v>4617561352.0799999</v>
      </c>
      <c r="O4" s="189">
        <v>3215056319.77</v>
      </c>
      <c r="P4" s="189">
        <v>1594897366.8599999</v>
      </c>
      <c r="Q4" s="189">
        <v>5334659318.1000004</v>
      </c>
      <c r="R4" s="189">
        <v>4168265729.0900002</v>
      </c>
      <c r="S4" s="189">
        <v>2819379057.3400002</v>
      </c>
      <c r="T4" s="189">
        <v>1345701240.8900001</v>
      </c>
      <c r="U4" s="189">
        <v>4468503687.0100002</v>
      </c>
      <c r="V4" s="189">
        <v>4012363480.3899999</v>
      </c>
      <c r="W4" s="189">
        <v>2746693074.4099998</v>
      </c>
      <c r="X4" s="189">
        <v>1325026458.9300001</v>
      </c>
      <c r="Y4" s="189">
        <v>4504122570.4099998</v>
      </c>
      <c r="Z4" s="189">
        <v>3540725102.4299998</v>
      </c>
      <c r="AA4" s="189">
        <v>2339090706.9299998</v>
      </c>
      <c r="AB4" s="189">
        <v>1054933573.1</v>
      </c>
      <c r="AC4" s="189">
        <v>3576607562.8699999</v>
      </c>
      <c r="AD4" s="189">
        <v>2866766635.29</v>
      </c>
      <c r="AE4" s="189">
        <v>1922161683.6400001</v>
      </c>
      <c r="AF4" s="189">
        <v>843584272.85000002</v>
      </c>
      <c r="AG4" s="189">
        <v>3093956633.8400002</v>
      </c>
      <c r="AH4" s="189">
        <v>2429911851.9899998</v>
      </c>
      <c r="AI4" s="189">
        <v>1577163658.76</v>
      </c>
      <c r="AJ4" s="189">
        <v>667913696.38999999</v>
      </c>
      <c r="AK4" s="189">
        <v>2697115334.0700002</v>
      </c>
      <c r="AL4" s="189">
        <v>2181544628.0999999</v>
      </c>
      <c r="AM4" s="189">
        <v>1424803943.8</v>
      </c>
      <c r="AN4" s="189">
        <v>582376592.78999996</v>
      </c>
      <c r="AO4" s="189">
        <v>2493498067.6100001</v>
      </c>
      <c r="AP4" s="189">
        <v>2097820988.5799999</v>
      </c>
      <c r="AQ4" s="189">
        <v>1384626050.21</v>
      </c>
      <c r="AR4" s="189">
        <v>526135808.88</v>
      </c>
      <c r="AS4" s="189">
        <v>2260798925.3600001</v>
      </c>
      <c r="AT4" s="189">
        <v>1779982978.72</v>
      </c>
      <c r="AU4" s="189">
        <v>1161985620.8</v>
      </c>
      <c r="AV4" s="189">
        <v>475691864.44999999</v>
      </c>
      <c r="AW4" s="189">
        <v>2159134465.3499999</v>
      </c>
      <c r="AX4" s="189">
        <v>1746067860.55</v>
      </c>
      <c r="AY4" s="189">
        <v>1096306129.48</v>
      </c>
      <c r="AZ4" s="189">
        <v>447802819.93000001</v>
      </c>
      <c r="BA4" s="189">
        <v>1948870048.5599999</v>
      </c>
      <c r="BB4" s="189">
        <v>1541480316.0799999</v>
      </c>
      <c r="BC4" s="189">
        <v>969805968.16999996</v>
      </c>
      <c r="BD4" s="189">
        <v>382578384.36000001</v>
      </c>
      <c r="BE4" s="189">
        <v>1668957522.3699999</v>
      </c>
      <c r="BF4" s="189">
        <v>1285500262.4200001</v>
      </c>
      <c r="BG4" s="189">
        <v>774355804.61000001</v>
      </c>
      <c r="BH4" s="189">
        <v>286183658.49000001</v>
      </c>
      <c r="BI4" s="189">
        <v>1486376396.5599999</v>
      </c>
      <c r="BJ4" s="189">
        <v>1141838235.2</v>
      </c>
      <c r="BK4" s="189">
        <v>736124241.46000004</v>
      </c>
      <c r="BL4" s="189">
        <v>228125275.19999999</v>
      </c>
      <c r="BM4" s="189">
        <v>1363884564.2</v>
      </c>
      <c r="BN4" s="189">
        <v>1040814054.48</v>
      </c>
      <c r="BO4" s="189">
        <v>686272256.01999998</v>
      </c>
      <c r="BP4" s="189">
        <v>223232689.66</v>
      </c>
      <c r="BQ4" s="189">
        <v>1305853059.24</v>
      </c>
      <c r="BR4" s="189">
        <v>638897219.44000006</v>
      </c>
      <c r="BS4" s="189">
        <v>1187217478.3199999</v>
      </c>
      <c r="BT4" s="189">
        <v>1082865772.29</v>
      </c>
      <c r="BU4" s="189">
        <v>982009491.25</v>
      </c>
      <c r="BV4" s="189">
        <v>899768289.63999999</v>
      </c>
      <c r="BW4" s="189">
        <v>0</v>
      </c>
    </row>
    <row r="5" spans="1:75" x14ac:dyDescent="0.25">
      <c r="A5" s="189" t="s">
        <v>192</v>
      </c>
      <c r="B5" s="189">
        <v>5128432440.1499996</v>
      </c>
      <c r="C5" s="189">
        <v>3480646136.0999999</v>
      </c>
      <c r="D5" s="189">
        <v>1740967484.21</v>
      </c>
      <c r="E5" s="189">
        <v>6193765402.3800001</v>
      </c>
      <c r="F5" s="189">
        <v>3593182137.1100001</v>
      </c>
      <c r="G5" s="189">
        <v>2445887436.5599999</v>
      </c>
      <c r="H5" s="189">
        <v>1249307636.6600001</v>
      </c>
      <c r="I5" s="189">
        <v>5069390208.8599997</v>
      </c>
      <c r="J5" s="189">
        <v>3795116350.1399999</v>
      </c>
      <c r="K5" s="189">
        <v>2658486921.6300001</v>
      </c>
      <c r="L5" s="189">
        <v>1404560366.1099999</v>
      </c>
      <c r="M5" s="189">
        <v>5057407461.1400003</v>
      </c>
      <c r="N5" s="189">
        <v>3846113212.1300001</v>
      </c>
      <c r="O5" s="189">
        <v>2568331516.3299999</v>
      </c>
      <c r="P5" s="189">
        <v>1425794375.4300001</v>
      </c>
      <c r="Q5" s="189">
        <v>4437220349.1000004</v>
      </c>
      <c r="R5" s="189">
        <v>3421517903.0999999</v>
      </c>
      <c r="S5" s="189">
        <v>2228701907.0799999</v>
      </c>
      <c r="T5" s="189">
        <v>1202497002.8599999</v>
      </c>
      <c r="U5" s="189">
        <v>3694366447.6500001</v>
      </c>
      <c r="V5" s="189">
        <v>3359993668.1999998</v>
      </c>
      <c r="W5" s="189">
        <v>2219351014.23</v>
      </c>
      <c r="X5" s="189">
        <v>1211510779.8800001</v>
      </c>
      <c r="Y5" s="189">
        <v>3962733494.2399998</v>
      </c>
      <c r="Z5" s="189">
        <v>3073964616.1900001</v>
      </c>
      <c r="AA5" s="189">
        <v>1984780270</v>
      </c>
      <c r="AB5" s="189">
        <v>968688138.00999999</v>
      </c>
      <c r="AC5" s="189">
        <v>3229629050.54</v>
      </c>
      <c r="AD5" s="189">
        <v>2595874414.1599998</v>
      </c>
      <c r="AE5" s="189">
        <v>1700339136.6800001</v>
      </c>
      <c r="AF5" s="189">
        <v>786606286.15999997</v>
      </c>
      <c r="AG5" s="189">
        <v>2890723095.0700002</v>
      </c>
      <c r="AH5" s="189">
        <v>2235694751</v>
      </c>
      <c r="AI5" s="189">
        <v>1429067610.0999999</v>
      </c>
      <c r="AJ5" s="189">
        <v>629957925.25999999</v>
      </c>
      <c r="AK5" s="189">
        <v>2433087537.1599998</v>
      </c>
      <c r="AL5" s="189">
        <v>1992075118.49</v>
      </c>
      <c r="AM5" s="189">
        <v>1273009463.3</v>
      </c>
      <c r="AN5" s="189">
        <v>545798585.29999995</v>
      </c>
      <c r="AO5" s="189">
        <v>2283902696.1300001</v>
      </c>
      <c r="AP5" s="189">
        <v>1916527461.47</v>
      </c>
      <c r="AQ5" s="189">
        <v>1244270267</v>
      </c>
      <c r="AR5" s="189">
        <v>490978112.38999999</v>
      </c>
      <c r="AS5" s="189">
        <v>2096908883.8</v>
      </c>
      <c r="AT5" s="189">
        <v>1659465238.4000001</v>
      </c>
      <c r="AU5" s="189">
        <v>1070156995.76</v>
      </c>
      <c r="AV5" s="189">
        <v>445545732.54000002</v>
      </c>
      <c r="AW5" s="189">
        <v>2024315058.1500001</v>
      </c>
      <c r="AX5" s="189">
        <v>1655673464.9400001</v>
      </c>
      <c r="AY5" s="189">
        <v>1035429137.3200001</v>
      </c>
      <c r="AZ5" s="189">
        <v>424796264.44999999</v>
      </c>
      <c r="BA5" s="189">
        <v>1909484714.1099999</v>
      </c>
      <c r="BB5" s="189">
        <v>1491727901.6500001</v>
      </c>
      <c r="BC5" s="189">
        <v>937499427.84000003</v>
      </c>
      <c r="BD5" s="189">
        <v>372792253.41000003</v>
      </c>
      <c r="BE5" s="189">
        <v>1609253121.1400001</v>
      </c>
      <c r="BF5" s="189">
        <v>1206699490.72</v>
      </c>
      <c r="BG5" s="189">
        <v>721746982.60000002</v>
      </c>
      <c r="BH5" s="189">
        <v>272069280.80000001</v>
      </c>
      <c r="BI5" s="189">
        <v>1403322996.95</v>
      </c>
      <c r="BJ5" s="189">
        <v>1053657693.73</v>
      </c>
      <c r="BK5" s="189">
        <v>676925834.12</v>
      </c>
      <c r="BL5" s="189">
        <v>219114664.06</v>
      </c>
      <c r="BM5" s="189">
        <v>1298519326.0999999</v>
      </c>
      <c r="BN5" s="189">
        <v>968617191.23000002</v>
      </c>
      <c r="BO5" s="189">
        <v>637870057.75999999</v>
      </c>
      <c r="BP5" s="189">
        <v>212188417.59</v>
      </c>
      <c r="BQ5" s="189">
        <v>1224666434.8</v>
      </c>
      <c r="BR5" s="189">
        <v>594615293.13999999</v>
      </c>
      <c r="BS5" s="189">
        <v>1125884150.79</v>
      </c>
      <c r="BT5" s="189">
        <v>1036145494.67</v>
      </c>
      <c r="BU5" s="189">
        <v>951454129.63999999</v>
      </c>
      <c r="BV5" s="189">
        <v>849980634.89999998</v>
      </c>
      <c r="BW5" s="189">
        <v>0</v>
      </c>
    </row>
    <row r="6" spans="1:75" x14ac:dyDescent="0.25">
      <c r="A6" s="189" t="s">
        <v>193</v>
      </c>
      <c r="B6" s="189">
        <v>2016723126.9000001</v>
      </c>
      <c r="C6" s="189">
        <v>1297448542.8299999</v>
      </c>
      <c r="D6" s="189">
        <v>619031984.34000003</v>
      </c>
      <c r="E6" s="189">
        <v>2275570034.3000002</v>
      </c>
      <c r="F6" s="189">
        <v>1189227793.3399999</v>
      </c>
      <c r="G6" s="189">
        <v>797774483.53999996</v>
      </c>
      <c r="H6" s="189">
        <v>370371507.20999998</v>
      </c>
      <c r="I6" s="189">
        <v>2061394524.6800001</v>
      </c>
      <c r="J6" s="189">
        <v>1673475318.98</v>
      </c>
      <c r="K6" s="189">
        <v>1200051250.8900001</v>
      </c>
      <c r="L6" s="189">
        <v>617981098.01999998</v>
      </c>
      <c r="M6" s="189">
        <v>2386308497.6300001</v>
      </c>
      <c r="N6" s="189">
        <v>1844309552.8099999</v>
      </c>
      <c r="O6" s="189">
        <v>1263571654.3</v>
      </c>
      <c r="P6" s="189">
        <v>622849948.12</v>
      </c>
      <c r="Q6" s="189">
        <v>2036991589.78</v>
      </c>
      <c r="R6" s="189">
        <v>1587796996.1099999</v>
      </c>
      <c r="S6" s="189">
        <v>1028397908.3</v>
      </c>
      <c r="T6" s="189">
        <v>491360185.73000002</v>
      </c>
      <c r="U6" s="189">
        <v>1655189245.2</v>
      </c>
      <c r="V6" s="189">
        <v>1746064380.22</v>
      </c>
      <c r="W6" s="189">
        <v>1170805288.22</v>
      </c>
      <c r="X6" s="189">
        <v>575765912.85000002</v>
      </c>
      <c r="Y6" s="189">
        <v>2026284289.9200001</v>
      </c>
      <c r="Z6" s="189">
        <v>1600833142.96</v>
      </c>
      <c r="AA6" s="189">
        <v>1067581427.03</v>
      </c>
      <c r="AB6" s="189">
        <v>528393933.55000001</v>
      </c>
      <c r="AC6" s="189">
        <v>1519290854</v>
      </c>
      <c r="AD6" s="189">
        <v>1295421349.95</v>
      </c>
      <c r="AE6" s="189">
        <v>887275860.91999996</v>
      </c>
      <c r="AF6" s="189">
        <v>426499884.14999998</v>
      </c>
      <c r="AG6" s="189">
        <v>1398717078.0999999</v>
      </c>
      <c r="AH6" s="189">
        <v>1135606768.6400001</v>
      </c>
      <c r="AI6" s="189">
        <v>747682978.33000004</v>
      </c>
      <c r="AJ6" s="189">
        <v>342547696.07999998</v>
      </c>
      <c r="AK6" s="189">
        <v>1214789438.05</v>
      </c>
      <c r="AL6" s="189">
        <v>1018272015.98</v>
      </c>
      <c r="AM6" s="189">
        <v>679582414.24000001</v>
      </c>
      <c r="AN6" s="189">
        <v>311262192.52999997</v>
      </c>
      <c r="AO6" s="189">
        <v>1211140032.72</v>
      </c>
      <c r="AP6" s="189">
        <v>1068324221.09</v>
      </c>
      <c r="AQ6" s="189">
        <v>686070308.13999999</v>
      </c>
      <c r="AR6" s="189">
        <v>281219677.25999999</v>
      </c>
      <c r="AS6" s="189">
        <v>1227440965.48</v>
      </c>
      <c r="AT6" s="189">
        <v>947013822.67999995</v>
      </c>
      <c r="AU6" s="189">
        <v>611840186.25999999</v>
      </c>
      <c r="AV6" s="189">
        <v>269980522.58999997</v>
      </c>
      <c r="AW6" s="189">
        <v>1204725887.3199999</v>
      </c>
      <c r="AX6" s="189">
        <v>962951387.10000002</v>
      </c>
      <c r="AY6" s="189">
        <v>597117167.48000002</v>
      </c>
      <c r="AZ6" s="189">
        <v>256410377.24000001</v>
      </c>
      <c r="BA6" s="189">
        <v>1178868883.04</v>
      </c>
      <c r="BB6" s="189">
        <v>936172938.35000002</v>
      </c>
      <c r="BC6" s="189">
        <v>584316729.75999999</v>
      </c>
      <c r="BD6" s="189">
        <v>231227648.68000001</v>
      </c>
      <c r="BE6" s="189">
        <v>1011576898.9299999</v>
      </c>
      <c r="BF6" s="189">
        <v>770915558.69000006</v>
      </c>
      <c r="BG6" s="189">
        <v>461976639.87</v>
      </c>
      <c r="BH6" s="189">
        <v>162602074.06999999</v>
      </c>
      <c r="BI6" s="189">
        <v>886419074.60000002</v>
      </c>
      <c r="BJ6" s="189">
        <v>678874036.90999997</v>
      </c>
      <c r="BK6" s="189">
        <v>436111523.74000001</v>
      </c>
      <c r="BL6" s="189">
        <v>135293823.31999999</v>
      </c>
      <c r="BM6" s="189">
        <v>813612864.95000005</v>
      </c>
      <c r="BN6" s="189">
        <v>622844547.99000001</v>
      </c>
      <c r="BO6" s="189">
        <v>416238818.20999998</v>
      </c>
      <c r="BP6" s="189">
        <v>127007375.92</v>
      </c>
      <c r="BQ6" s="189">
        <v>806010835.77999997</v>
      </c>
      <c r="BR6" s="189">
        <v>396734690.39999998</v>
      </c>
      <c r="BS6" s="189">
        <v>745112400.61000001</v>
      </c>
      <c r="BT6" s="189">
        <v>684553298.67999995</v>
      </c>
      <c r="BU6" s="189">
        <v>614343901.25999999</v>
      </c>
      <c r="BV6" s="189">
        <v>507100280.88999999</v>
      </c>
      <c r="BW6" s="189">
        <v>0</v>
      </c>
    </row>
    <row r="7" spans="1:75" x14ac:dyDescent="0.25">
      <c r="A7" s="189" t="s">
        <v>194</v>
      </c>
      <c r="B7" s="189">
        <v>37597086.119999997</v>
      </c>
      <c r="C7" s="189">
        <v>28402386.030000001</v>
      </c>
      <c r="D7" s="189">
        <v>16625079.82</v>
      </c>
      <c r="E7" s="189">
        <v>57631247.090000004</v>
      </c>
      <c r="F7" s="189">
        <v>40695499.689999998</v>
      </c>
      <c r="G7" s="189">
        <v>27560181.59</v>
      </c>
      <c r="H7" s="189">
        <v>15002220.710000001</v>
      </c>
      <c r="I7" s="189">
        <v>54876964.950000003</v>
      </c>
      <c r="J7" s="189">
        <v>39067898.759999998</v>
      </c>
      <c r="K7" s="189">
        <v>28660758.109999999</v>
      </c>
      <c r="L7" s="189">
        <v>14162463.960000001</v>
      </c>
      <c r="M7" s="189">
        <v>53271692.960000001</v>
      </c>
      <c r="N7" s="189">
        <v>39032129.200000003</v>
      </c>
      <c r="O7" s="189">
        <v>26720531.32</v>
      </c>
      <c r="P7" s="189">
        <v>12397289.550000001</v>
      </c>
      <c r="Q7" s="189">
        <v>49016624.950000003</v>
      </c>
      <c r="R7" s="189">
        <v>36938026.619999997</v>
      </c>
      <c r="S7" s="189">
        <v>25580343.379999999</v>
      </c>
      <c r="T7" s="189">
        <v>13484998.689999999</v>
      </c>
      <c r="U7" s="189">
        <v>42391244.020000003</v>
      </c>
      <c r="V7" s="189">
        <v>32973704.579999998</v>
      </c>
      <c r="W7" s="189">
        <v>23220510.48</v>
      </c>
      <c r="X7" s="189">
        <v>10855615.199999999</v>
      </c>
      <c r="Y7" s="189">
        <v>42712762.039999999</v>
      </c>
      <c r="Z7" s="189">
        <v>32243777.530000001</v>
      </c>
      <c r="AA7" s="189">
        <v>21627404.109999999</v>
      </c>
      <c r="AB7" s="189">
        <v>9982834.8900000006</v>
      </c>
      <c r="AC7" s="189">
        <v>37305340.57</v>
      </c>
      <c r="AD7" s="189">
        <v>28815053.899999999</v>
      </c>
      <c r="AE7" s="189">
        <v>19917063.800000001</v>
      </c>
      <c r="AF7" s="189">
        <v>8951172.3200000003</v>
      </c>
      <c r="AG7" s="189">
        <v>24898578.940000001</v>
      </c>
      <c r="AH7" s="189">
        <v>19135700.510000002</v>
      </c>
      <c r="AI7" s="189">
        <v>13190818.609999999</v>
      </c>
      <c r="AJ7" s="189">
        <v>5680096.5499999998</v>
      </c>
      <c r="AK7" s="189">
        <v>24131689.260000002</v>
      </c>
      <c r="AL7" s="189">
        <v>19607593.059999999</v>
      </c>
      <c r="AM7" s="189">
        <v>13508124.689999999</v>
      </c>
      <c r="AN7" s="189">
        <v>5270095.57</v>
      </c>
      <c r="AO7" s="189">
        <v>26137711.710000001</v>
      </c>
      <c r="AP7" s="189">
        <v>21600078.949999999</v>
      </c>
      <c r="AQ7" s="189">
        <v>14157745.9</v>
      </c>
      <c r="AR7" s="189">
        <v>6272272.1900000004</v>
      </c>
      <c r="AS7" s="189">
        <v>19311737.25</v>
      </c>
      <c r="AT7" s="189">
        <v>14822084.77</v>
      </c>
      <c r="AU7" s="189">
        <v>8949459.5399999991</v>
      </c>
      <c r="AV7" s="189">
        <v>3697421.15</v>
      </c>
      <c r="AW7" s="189">
        <v>21317311.010000002</v>
      </c>
      <c r="AX7" s="189">
        <v>17881438.190000001</v>
      </c>
      <c r="AY7" s="189">
        <v>13268491</v>
      </c>
      <c r="AZ7" s="189">
        <v>9252617.6999999993</v>
      </c>
      <c r="BA7" s="189">
        <v>38234251.119999997</v>
      </c>
      <c r="BB7" s="189">
        <v>29892040.010000002</v>
      </c>
      <c r="BC7" s="189">
        <v>19869030.59</v>
      </c>
      <c r="BD7" s="189">
        <v>6311405.9299999997</v>
      </c>
      <c r="BE7" s="189">
        <v>34714682.539999999</v>
      </c>
      <c r="BF7" s="189">
        <v>26974898.289999999</v>
      </c>
      <c r="BG7" s="189">
        <v>17093531.870000001</v>
      </c>
      <c r="BH7" s="189">
        <v>7311398.4100000001</v>
      </c>
      <c r="BI7" s="189">
        <v>31680543.07</v>
      </c>
      <c r="BJ7" s="189">
        <v>24007668.27</v>
      </c>
      <c r="BK7" s="189">
        <v>15994048.609999999</v>
      </c>
      <c r="BL7" s="189">
        <v>5594164.9100000001</v>
      </c>
      <c r="BM7" s="189">
        <v>34640288.57</v>
      </c>
      <c r="BN7" s="189">
        <v>25653875.440000001</v>
      </c>
      <c r="BO7" s="189">
        <v>16083630.449999999</v>
      </c>
      <c r="BP7" s="189">
        <v>6834317.6399999997</v>
      </c>
      <c r="BQ7" s="189">
        <v>30470571.870000001</v>
      </c>
      <c r="BR7" s="189">
        <v>13894448.5</v>
      </c>
      <c r="BS7" s="189">
        <v>27050067.059999999</v>
      </c>
      <c r="BT7" s="189">
        <v>19777621.059999999</v>
      </c>
      <c r="BU7" s="189">
        <v>25906031.09</v>
      </c>
      <c r="BV7" s="189">
        <v>29190402.43</v>
      </c>
      <c r="BW7" s="189">
        <v>0</v>
      </c>
    </row>
    <row r="8" spans="1:75" x14ac:dyDescent="0.25">
      <c r="A8" s="189" t="s">
        <v>195</v>
      </c>
      <c r="B8" s="189">
        <v>2268375535.3000002</v>
      </c>
      <c r="C8" s="189">
        <v>1607473370.3299999</v>
      </c>
      <c r="D8" s="189">
        <v>818079509.74000001</v>
      </c>
      <c r="E8" s="189">
        <v>2778065991.1100001</v>
      </c>
      <c r="F8" s="189">
        <v>1875297848.8900001</v>
      </c>
      <c r="G8" s="189">
        <v>1295889672.6900001</v>
      </c>
      <c r="H8" s="189">
        <v>706730088.50999999</v>
      </c>
      <c r="I8" s="189">
        <v>2384214186.8200002</v>
      </c>
      <c r="J8" s="189">
        <v>1661155606.9100001</v>
      </c>
      <c r="K8" s="189">
        <v>1155967860.71</v>
      </c>
      <c r="L8" s="189">
        <v>631962452.01999998</v>
      </c>
      <c r="M8" s="189">
        <v>2034998469.6900001</v>
      </c>
      <c r="N8" s="189">
        <v>1574003241.1600001</v>
      </c>
      <c r="O8" s="189">
        <v>1017477417.76</v>
      </c>
      <c r="P8" s="189">
        <v>667823715.38999999</v>
      </c>
      <c r="Q8" s="189">
        <v>1747278260.3199999</v>
      </c>
      <c r="R8" s="189">
        <v>1395129285.1500001</v>
      </c>
      <c r="S8" s="189">
        <v>894848752.08000004</v>
      </c>
      <c r="T8" s="189">
        <v>547664695.61000001</v>
      </c>
      <c r="U8" s="189">
        <v>1438307206.55</v>
      </c>
      <c r="V8" s="189">
        <v>1182353561.9300001</v>
      </c>
      <c r="W8" s="189">
        <v>727343712.22000003</v>
      </c>
      <c r="X8" s="189">
        <v>459726534.89999998</v>
      </c>
      <c r="Y8" s="189">
        <v>1395073220.5699999</v>
      </c>
      <c r="Z8" s="189">
        <v>1120207259.3800001</v>
      </c>
      <c r="AA8" s="189">
        <v>705415262.29999995</v>
      </c>
      <c r="AB8" s="189">
        <v>337397055.14999998</v>
      </c>
      <c r="AC8" s="189">
        <v>1283194817.6300001</v>
      </c>
      <c r="AD8" s="189">
        <v>1028410742.29</v>
      </c>
      <c r="AE8" s="189">
        <v>649123569.12</v>
      </c>
      <c r="AF8" s="189">
        <v>269648723.47000003</v>
      </c>
      <c r="AG8" s="189">
        <v>1076041149.3299999</v>
      </c>
      <c r="AH8" s="189">
        <v>866458368.76999998</v>
      </c>
      <c r="AI8" s="189">
        <v>522477061.02999997</v>
      </c>
      <c r="AJ8" s="189">
        <v>203903451.74000001</v>
      </c>
      <c r="AK8" s="189">
        <v>818990007.95000005</v>
      </c>
      <c r="AL8" s="189">
        <v>728187846.59000003</v>
      </c>
      <c r="AM8" s="189">
        <v>430395928.45999998</v>
      </c>
      <c r="AN8" s="189">
        <v>158771464.91999999</v>
      </c>
      <c r="AO8" s="189">
        <v>758888567.30999994</v>
      </c>
      <c r="AP8" s="189">
        <v>592271100.03999996</v>
      </c>
      <c r="AQ8" s="189">
        <v>388294205.88</v>
      </c>
      <c r="AR8" s="189">
        <v>133450087.68000001</v>
      </c>
      <c r="AS8" s="189">
        <v>599626161.64999998</v>
      </c>
      <c r="AT8" s="189">
        <v>513167609.55000001</v>
      </c>
      <c r="AU8" s="189">
        <v>319151835.13999999</v>
      </c>
      <c r="AV8" s="189">
        <v>110600964.11</v>
      </c>
      <c r="AW8" s="189">
        <v>559905648.10000002</v>
      </c>
      <c r="AX8" s="189">
        <v>492837895.23000002</v>
      </c>
      <c r="AY8" s="189">
        <v>312647475.35000002</v>
      </c>
      <c r="AZ8" s="189">
        <v>102642756.54000001</v>
      </c>
      <c r="BA8" s="189">
        <v>477646870.35000002</v>
      </c>
      <c r="BB8" s="189">
        <v>354316129.05000001</v>
      </c>
      <c r="BC8" s="189">
        <v>223205696.31</v>
      </c>
      <c r="BD8" s="189">
        <v>83902892.150000006</v>
      </c>
      <c r="BE8" s="189">
        <v>375851298.36000001</v>
      </c>
      <c r="BF8" s="189">
        <v>264241262.43000001</v>
      </c>
      <c r="BG8" s="189">
        <v>154601101.72999999</v>
      </c>
      <c r="BH8" s="189">
        <v>61933351.310000002</v>
      </c>
      <c r="BI8" s="189">
        <v>327390198.94</v>
      </c>
      <c r="BJ8" s="189">
        <v>230515852.44</v>
      </c>
      <c r="BK8" s="189">
        <v>149856564.33000001</v>
      </c>
      <c r="BL8" s="189">
        <v>49797596.770000003</v>
      </c>
      <c r="BM8" s="189">
        <v>281034821.10000002</v>
      </c>
      <c r="BN8" s="189">
        <v>201595738.36000001</v>
      </c>
      <c r="BO8" s="189">
        <v>127626346.87</v>
      </c>
      <c r="BP8" s="189">
        <v>50893780.240000002</v>
      </c>
      <c r="BQ8" s="189">
        <v>243708385.56999999</v>
      </c>
      <c r="BR8" s="189">
        <v>109564117.09999999</v>
      </c>
      <c r="BS8" s="189">
        <v>202884690.81999999</v>
      </c>
      <c r="BT8" s="189">
        <v>193919735.22999999</v>
      </c>
      <c r="BU8" s="189">
        <v>163410738.56999999</v>
      </c>
      <c r="BV8" s="189">
        <v>163881237.71000001</v>
      </c>
      <c r="BW8" s="189">
        <v>0</v>
      </c>
    </row>
    <row r="9" spans="1:75" x14ac:dyDescent="0.25">
      <c r="A9" s="189" t="s">
        <v>196</v>
      </c>
      <c r="B9" s="189">
        <v>640837848.47000003</v>
      </c>
      <c r="C9" s="189">
        <v>491189183.36000001</v>
      </c>
      <c r="D9" s="189">
        <v>256844705.72999999</v>
      </c>
      <c r="E9" s="189">
        <v>1003691077.95</v>
      </c>
      <c r="F9" s="189">
        <v>497681651.75</v>
      </c>
      <c r="G9" s="189">
        <v>324774256.07999998</v>
      </c>
      <c r="H9" s="189">
        <v>152028105.13999999</v>
      </c>
      <c r="I9" s="189">
        <v>647196144.54999995</v>
      </c>
      <c r="J9" s="189">
        <v>450662144.95999998</v>
      </c>
      <c r="K9" s="189">
        <v>296989810.05000001</v>
      </c>
      <c r="L9" s="189">
        <v>141564699.69</v>
      </c>
      <c r="M9" s="189">
        <v>604774459.76999998</v>
      </c>
      <c r="N9" s="189">
        <v>401102970.16000003</v>
      </c>
      <c r="O9" s="189">
        <v>264256600.13999999</v>
      </c>
      <c r="P9" s="189">
        <v>117978193.59999999</v>
      </c>
      <c r="Q9" s="189">
        <v>611824015.36000001</v>
      </c>
      <c r="R9" s="189">
        <v>401885687.93000001</v>
      </c>
      <c r="S9" s="189">
        <v>274193719.16000003</v>
      </c>
      <c r="T9" s="189">
        <v>150386571.44999999</v>
      </c>
      <c r="U9" s="189">
        <v>572366023.16999996</v>
      </c>
      <c r="V9" s="189">
        <v>406171144.13</v>
      </c>
      <c r="W9" s="189">
        <v>290064445.01999998</v>
      </c>
      <c r="X9" s="189">
        <v>161774246.66999999</v>
      </c>
      <c r="Y9" s="189">
        <v>502759913.19999999</v>
      </c>
      <c r="Z9" s="189">
        <v>326590893.66000003</v>
      </c>
      <c r="AA9" s="189">
        <v>187904064.43000001</v>
      </c>
      <c r="AB9" s="189">
        <v>92791249.519999996</v>
      </c>
      <c r="AC9" s="189">
        <v>393324923.93000001</v>
      </c>
      <c r="AD9" s="189">
        <v>240112770.53</v>
      </c>
      <c r="AE9" s="189">
        <v>155539518.38</v>
      </c>
      <c r="AF9" s="189">
        <v>80692131.560000002</v>
      </c>
      <c r="AG9" s="189">
        <v>301433154.27999997</v>
      </c>
      <c r="AH9" s="189">
        <v>212428691.47999999</v>
      </c>
      <c r="AI9" s="189">
        <v>138695131.99000001</v>
      </c>
      <c r="AJ9" s="189">
        <v>73281148.170000002</v>
      </c>
      <c r="AK9" s="189">
        <v>314683115.16000003</v>
      </c>
      <c r="AL9" s="189">
        <v>211774044.63999999</v>
      </c>
      <c r="AM9" s="189">
        <v>141575646.06</v>
      </c>
      <c r="AN9" s="189">
        <v>71988519.480000004</v>
      </c>
      <c r="AO9" s="189">
        <v>268449382.42000002</v>
      </c>
      <c r="AP9" s="189">
        <v>193018421.96000001</v>
      </c>
      <c r="AQ9" s="189">
        <v>129188367.98</v>
      </c>
      <c r="AR9" s="189">
        <v>65217903.090000004</v>
      </c>
      <c r="AS9" s="189">
        <v>222983537.19999999</v>
      </c>
      <c r="AT9" s="189">
        <v>151656388.49000001</v>
      </c>
      <c r="AU9" s="189">
        <v>98693882.849999994</v>
      </c>
      <c r="AV9" s="189">
        <v>50622277.539999999</v>
      </c>
      <c r="AW9" s="189">
        <v>221336976.97</v>
      </c>
      <c r="AX9" s="189">
        <v>169369286.53</v>
      </c>
      <c r="AY9" s="189">
        <v>104977869.40000001</v>
      </c>
      <c r="AZ9" s="189">
        <v>52737577.25</v>
      </c>
      <c r="BA9" s="189">
        <v>206139122.38</v>
      </c>
      <c r="BB9" s="189">
        <v>165694892.28999999</v>
      </c>
      <c r="BC9" s="189">
        <v>106565794.78</v>
      </c>
      <c r="BD9" s="189">
        <v>49481383.380000003</v>
      </c>
      <c r="BE9" s="189">
        <v>182952843.63</v>
      </c>
      <c r="BF9" s="189">
        <v>142699468.62</v>
      </c>
      <c r="BG9" s="189">
        <v>86949708.040000007</v>
      </c>
      <c r="BH9" s="189">
        <v>39159524.25</v>
      </c>
      <c r="BI9" s="189">
        <v>154767759.16999999</v>
      </c>
      <c r="BJ9" s="189">
        <v>120323654.14</v>
      </c>
      <c r="BK9" s="189">
        <v>75323159.329999998</v>
      </c>
      <c r="BL9" s="189">
        <v>29057854.199999999</v>
      </c>
      <c r="BM9" s="189">
        <v>167888786.83000001</v>
      </c>
      <c r="BN9" s="189">
        <v>116453950.64</v>
      </c>
      <c r="BO9" s="189">
        <v>76322327.260000005</v>
      </c>
      <c r="BP9" s="189">
        <v>26146654.390000001</v>
      </c>
      <c r="BQ9" s="189">
        <v>136925890.11000001</v>
      </c>
      <c r="BR9" s="189">
        <v>70250054.329999998</v>
      </c>
      <c r="BS9" s="189">
        <v>134467139.52000001</v>
      </c>
      <c r="BT9" s="189">
        <v>117955874.05</v>
      </c>
      <c r="BU9" s="189">
        <v>128256471.02</v>
      </c>
      <c r="BV9" s="189">
        <v>128461529.56</v>
      </c>
      <c r="BW9" s="189">
        <v>0</v>
      </c>
    </row>
    <row r="10" spans="1:75" x14ac:dyDescent="0.25">
      <c r="A10" s="189" t="s">
        <v>197</v>
      </c>
      <c r="B10" s="189">
        <v>52659580.299999997</v>
      </c>
      <c r="C10" s="189">
        <v>38702966.909999996</v>
      </c>
      <c r="D10" s="189">
        <v>20768098.440000001</v>
      </c>
      <c r="E10" s="189">
        <v>29832088.559999999</v>
      </c>
      <c r="F10" s="189">
        <v>-26790373.030000001</v>
      </c>
      <c r="G10" s="189">
        <v>-19263980.77</v>
      </c>
      <c r="H10" s="189">
        <v>-10053134.720000001</v>
      </c>
      <c r="I10" s="189">
        <v>-68693248.760000005</v>
      </c>
      <c r="J10" s="189">
        <v>-47112705.520000003</v>
      </c>
      <c r="K10" s="189">
        <v>-37828286.710000001</v>
      </c>
      <c r="L10" s="189">
        <v>-9293664.2799999993</v>
      </c>
      <c r="M10" s="189">
        <v>-48868719.880000003</v>
      </c>
      <c r="N10" s="189">
        <v>-37303243.57</v>
      </c>
      <c r="O10" s="189">
        <v>-22875302.559999999</v>
      </c>
      <c r="P10" s="189">
        <v>-6157131.9299999997</v>
      </c>
      <c r="Q10" s="189">
        <v>-24529666.41</v>
      </c>
      <c r="R10" s="189">
        <v>-17433615.379999999</v>
      </c>
      <c r="S10" s="189">
        <v>-10954862.470000001</v>
      </c>
      <c r="T10" s="189">
        <v>-4923192.1500000004</v>
      </c>
      <c r="U10" s="189">
        <v>-22654080.359999999</v>
      </c>
      <c r="V10" s="189">
        <v>-18071415.809999999</v>
      </c>
      <c r="W10" s="189">
        <v>-8077285.25</v>
      </c>
      <c r="X10" s="189">
        <v>-5095724.32</v>
      </c>
      <c r="Y10" s="189">
        <v>-17330477.949999999</v>
      </c>
      <c r="Z10" s="189">
        <v>-12485382.470000001</v>
      </c>
      <c r="AA10" s="189">
        <v>-6802301.1500000004</v>
      </c>
      <c r="AB10" s="189">
        <v>-2148747.29</v>
      </c>
      <c r="AC10" s="189">
        <v>-11123354.24</v>
      </c>
      <c r="AD10" s="189">
        <v>-7332285.9800000004</v>
      </c>
      <c r="AE10" s="189">
        <v>-5188601.41</v>
      </c>
      <c r="AF10" s="189">
        <v>-3068874.66</v>
      </c>
      <c r="AG10" s="189">
        <v>-5137978.3600000003</v>
      </c>
      <c r="AH10" s="189">
        <v>-3311253.56</v>
      </c>
      <c r="AI10" s="189">
        <v>-2164756.4</v>
      </c>
      <c r="AJ10" s="189">
        <v>-300842.32</v>
      </c>
      <c r="AK10" s="189">
        <v>2089948.56</v>
      </c>
      <c r="AL10" s="189">
        <v>2384973.77</v>
      </c>
      <c r="AM10" s="189">
        <v>1836623.55</v>
      </c>
      <c r="AN10" s="189">
        <v>1448975.78</v>
      </c>
      <c r="AO10" s="189">
        <v>10419445.65</v>
      </c>
      <c r="AP10" s="189">
        <v>9537556.6199999992</v>
      </c>
      <c r="AQ10" s="189">
        <v>7559957.2999999998</v>
      </c>
      <c r="AR10" s="189">
        <v>3698691.22</v>
      </c>
      <c r="AS10" s="189">
        <v>15786582.43</v>
      </c>
      <c r="AT10" s="189">
        <v>11313105.310000001</v>
      </c>
      <c r="AU10" s="189">
        <v>7797467.2800000003</v>
      </c>
      <c r="AV10" s="189">
        <v>4669956</v>
      </c>
      <c r="AW10" s="189">
        <v>17029234.75</v>
      </c>
      <c r="AX10" s="189">
        <v>12633457.890000001</v>
      </c>
      <c r="AY10" s="189">
        <v>7418134.0899999999</v>
      </c>
      <c r="AZ10" s="189">
        <v>3752935.72</v>
      </c>
      <c r="BA10" s="189">
        <v>8595587.2200000007</v>
      </c>
      <c r="BB10" s="189">
        <v>5651901.9500000002</v>
      </c>
      <c r="BC10" s="189">
        <v>3542176.4</v>
      </c>
      <c r="BD10" s="189">
        <v>1868923.27</v>
      </c>
      <c r="BE10" s="189">
        <v>4157397.68</v>
      </c>
      <c r="BF10" s="189">
        <v>1868302.69</v>
      </c>
      <c r="BG10" s="189">
        <v>1126001.0900000001</v>
      </c>
      <c r="BH10" s="189">
        <v>1062932.76</v>
      </c>
      <c r="BI10" s="189">
        <v>3065421.17</v>
      </c>
      <c r="BJ10" s="189">
        <v>-63518.03</v>
      </c>
      <c r="BK10" s="189">
        <v>-359461.89</v>
      </c>
      <c r="BL10" s="189">
        <v>-628775.14</v>
      </c>
      <c r="BM10" s="189">
        <v>1342564.65</v>
      </c>
      <c r="BN10" s="189">
        <v>2069078.8</v>
      </c>
      <c r="BO10" s="189">
        <v>1598934.97</v>
      </c>
      <c r="BP10" s="189">
        <v>1306289.3999999999</v>
      </c>
      <c r="BQ10" s="189">
        <v>7550751.4699999997</v>
      </c>
      <c r="BR10" s="189">
        <v>4171982.81</v>
      </c>
      <c r="BS10" s="189">
        <v>16309960.49</v>
      </c>
      <c r="BT10" s="189">
        <v>17264956.09</v>
      </c>
      <c r="BU10" s="189">
        <v>18665807.760000002</v>
      </c>
      <c r="BV10" s="189">
        <v>21123333.699999999</v>
      </c>
      <c r="BW10" s="189">
        <v>0</v>
      </c>
    </row>
    <row r="11" spans="1:75" x14ac:dyDescent="0.25">
      <c r="A11" s="189" t="s">
        <v>198</v>
      </c>
      <c r="B11" s="189">
        <v>17185465.190000001</v>
      </c>
      <c r="C11" s="189">
        <v>17429686.640000001</v>
      </c>
      <c r="D11" s="189">
        <v>9618106.1400000006</v>
      </c>
      <c r="E11" s="189">
        <v>48974963.369999997</v>
      </c>
      <c r="F11" s="189">
        <v>17069716.469999999</v>
      </c>
      <c r="G11" s="189">
        <v>19152823.43</v>
      </c>
      <c r="H11" s="189">
        <v>15228849.810000001</v>
      </c>
      <c r="I11" s="189">
        <v>-9598363.3800000008</v>
      </c>
      <c r="J11" s="189">
        <v>17868086.050000001</v>
      </c>
      <c r="K11" s="189">
        <v>14645528.58</v>
      </c>
      <c r="L11" s="189">
        <v>8183316.7000000002</v>
      </c>
      <c r="M11" s="189">
        <v>26923060.969999999</v>
      </c>
      <c r="N11" s="189">
        <v>24968562.370000001</v>
      </c>
      <c r="O11" s="189">
        <v>19180615.370000001</v>
      </c>
      <c r="P11" s="189">
        <v>10902360.699999999</v>
      </c>
      <c r="Q11" s="189">
        <v>16639525.1</v>
      </c>
      <c r="R11" s="189">
        <v>17201522.670000002</v>
      </c>
      <c r="S11" s="189">
        <v>16636046.630000001</v>
      </c>
      <c r="T11" s="189">
        <v>4523743.53</v>
      </c>
      <c r="U11" s="189">
        <v>8766809.0700000003</v>
      </c>
      <c r="V11" s="189">
        <v>10502293.15</v>
      </c>
      <c r="W11" s="189">
        <v>15994343.539999999</v>
      </c>
      <c r="X11" s="189">
        <v>8484194.5800000001</v>
      </c>
      <c r="Y11" s="189">
        <v>13233786.460000001</v>
      </c>
      <c r="Z11" s="189">
        <v>6574925.1299999999</v>
      </c>
      <c r="AA11" s="189">
        <v>9054413.2799999993</v>
      </c>
      <c r="AB11" s="189">
        <v>2271812.19</v>
      </c>
      <c r="AC11" s="189">
        <v>7636468.6500000004</v>
      </c>
      <c r="AD11" s="189">
        <v>10446783.470000001</v>
      </c>
      <c r="AE11" s="189">
        <v>-6328274.1299999999</v>
      </c>
      <c r="AF11" s="189">
        <v>3883249.32</v>
      </c>
      <c r="AG11" s="189">
        <v>94771112.780000001</v>
      </c>
      <c r="AH11" s="189">
        <v>5376475.1600000001</v>
      </c>
      <c r="AI11" s="189">
        <v>9186376.5399999991</v>
      </c>
      <c r="AJ11" s="189">
        <v>4846375.04</v>
      </c>
      <c r="AK11" s="189">
        <v>58403338.18</v>
      </c>
      <c r="AL11" s="189">
        <v>11848644.449999999</v>
      </c>
      <c r="AM11" s="189">
        <v>6110726.2999999998</v>
      </c>
      <c r="AN11" s="189">
        <v>-2942662.98</v>
      </c>
      <c r="AO11" s="189">
        <v>8867556.3200000003</v>
      </c>
      <c r="AP11" s="189">
        <v>31776082.809999999</v>
      </c>
      <c r="AQ11" s="189">
        <v>18999681.800000001</v>
      </c>
      <c r="AR11" s="189">
        <v>1119480.95</v>
      </c>
      <c r="AS11" s="189">
        <v>11759899.789999999</v>
      </c>
      <c r="AT11" s="189">
        <v>21492227.600000001</v>
      </c>
      <c r="AU11" s="189">
        <v>23724164.690000001</v>
      </c>
      <c r="AV11" s="189">
        <v>5974591.1500000004</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59892.29</v>
      </c>
      <c r="BT11" s="189">
        <v>2674009.56</v>
      </c>
      <c r="BU11" s="189">
        <v>871179.94</v>
      </c>
      <c r="BV11" s="189">
        <v>223850.61</v>
      </c>
      <c r="BW11" s="189">
        <v>0</v>
      </c>
    </row>
    <row r="12" spans="1:75" x14ac:dyDescent="0.25">
      <c r="A12" s="189" t="s">
        <v>199</v>
      </c>
      <c r="B12" s="189">
        <v>-2857566</v>
      </c>
      <c r="C12" s="189">
        <v>-2857566</v>
      </c>
      <c r="D12" s="189">
        <v>-1321595.3</v>
      </c>
      <c r="E12" s="189">
        <v>-2119167.87</v>
      </c>
      <c r="F12" s="189">
        <v>-399266.21</v>
      </c>
      <c r="G12" s="189">
        <v>-666741.01</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row>
    <row r="13" spans="1:75" x14ac:dyDescent="0.25">
      <c r="A13" s="189" t="s">
        <v>200</v>
      </c>
      <c r="B13" s="189">
        <v>94451323.900000006</v>
      </c>
      <c r="C13" s="189">
        <v>63896730.109999999</v>
      </c>
      <c r="D13" s="189">
        <v>43851805.719999999</v>
      </c>
      <c r="E13" s="189">
        <v>145539231.62</v>
      </c>
      <c r="F13" s="189">
        <v>43087114.950000003</v>
      </c>
      <c r="G13" s="189">
        <v>37373264.060000002</v>
      </c>
      <c r="H13" s="189">
        <v>11907521.640000001</v>
      </c>
      <c r="I13" s="189">
        <v>21391507.66</v>
      </c>
      <c r="J13" s="189">
        <v>23786141.010000002</v>
      </c>
      <c r="K13" s="189">
        <v>24453175.190000001</v>
      </c>
      <c r="L13" s="189">
        <v>6712552.8799999999</v>
      </c>
      <c r="M13" s="189">
        <v>1787378248.05</v>
      </c>
      <c r="N13" s="189">
        <v>163078295.47999999</v>
      </c>
      <c r="O13" s="189">
        <v>99072701.230000004</v>
      </c>
      <c r="P13" s="189">
        <v>46837848.479999997</v>
      </c>
      <c r="Q13" s="189">
        <v>225663112.28999999</v>
      </c>
      <c r="R13" s="189">
        <v>134002975.23999999</v>
      </c>
      <c r="S13" s="189">
        <v>87886698.180000007</v>
      </c>
      <c r="T13" s="189">
        <v>46262781.310000002</v>
      </c>
      <c r="U13" s="189">
        <v>161796923.97</v>
      </c>
      <c r="V13" s="189">
        <v>105608623.76000001</v>
      </c>
      <c r="W13" s="189">
        <v>68271588.920000002</v>
      </c>
      <c r="X13" s="189">
        <v>36033744.43</v>
      </c>
      <c r="Y13" s="189">
        <v>167893177.09999999</v>
      </c>
      <c r="Z13" s="189">
        <v>138677820.47</v>
      </c>
      <c r="AA13" s="189">
        <v>108196964.26000001</v>
      </c>
      <c r="AB13" s="189">
        <v>29281254.109999999</v>
      </c>
      <c r="AC13" s="189">
        <v>88737295.319999993</v>
      </c>
      <c r="AD13" s="189">
        <v>70748735.129999995</v>
      </c>
      <c r="AE13" s="189">
        <v>43738245.25</v>
      </c>
      <c r="AF13" s="189">
        <v>23208149.5</v>
      </c>
      <c r="AG13" s="189">
        <v>88829758.5</v>
      </c>
      <c r="AH13" s="189">
        <v>29953389.52</v>
      </c>
      <c r="AI13" s="189">
        <v>23366795.699999999</v>
      </c>
      <c r="AJ13" s="189">
        <v>10880707.460000001</v>
      </c>
      <c r="AK13" s="189">
        <v>21740367.960000001</v>
      </c>
      <c r="AL13" s="189">
        <v>12959844.82</v>
      </c>
      <c r="AM13" s="189">
        <v>9606338.4199999999</v>
      </c>
      <c r="AN13" s="189">
        <v>7002111.2999999998</v>
      </c>
      <c r="AO13" s="189">
        <v>13175493.310000001</v>
      </c>
      <c r="AP13" s="189">
        <v>3702067.75</v>
      </c>
      <c r="AQ13" s="189">
        <v>2765207.58</v>
      </c>
      <c r="AR13" s="189">
        <v>7841990.79</v>
      </c>
      <c r="AS13" s="189">
        <v>16078962.98</v>
      </c>
      <c r="AT13" s="189">
        <v>3236559.9</v>
      </c>
      <c r="AU13" s="189">
        <v>4649050.3899999997</v>
      </c>
      <c r="AV13" s="189">
        <v>1555785.89</v>
      </c>
      <c r="AW13" s="189">
        <v>-16137098.34</v>
      </c>
      <c r="AX13" s="189">
        <v>-4141922.58</v>
      </c>
      <c r="AY13" s="189">
        <v>4005997.32</v>
      </c>
      <c r="AZ13" s="189">
        <v>548355.6</v>
      </c>
      <c r="BA13" s="189">
        <v>-3964347.8</v>
      </c>
      <c r="BB13" s="189">
        <v>2102341.77</v>
      </c>
      <c r="BC13" s="189">
        <v>1646595.15</v>
      </c>
      <c r="BD13" s="189">
        <v>2885327.62</v>
      </c>
      <c r="BE13" s="189">
        <v>-918242.19</v>
      </c>
      <c r="BF13" s="189">
        <v>-2764685.08</v>
      </c>
      <c r="BG13" s="189">
        <v>-1671095.51</v>
      </c>
      <c r="BH13" s="189">
        <v>3191947.73</v>
      </c>
      <c r="BI13" s="189">
        <v>9725621.0500000007</v>
      </c>
      <c r="BJ13" s="189">
        <v>73489.41</v>
      </c>
      <c r="BK13" s="189">
        <v>2562863.19</v>
      </c>
      <c r="BL13" s="189">
        <v>3824593.08</v>
      </c>
      <c r="BM13" s="189">
        <v>17809033.329999998</v>
      </c>
      <c r="BN13" s="189">
        <v>10451253.470000001</v>
      </c>
      <c r="BO13" s="189">
        <v>9260567.6899999995</v>
      </c>
      <c r="BP13" s="189">
        <v>1019848.52</v>
      </c>
      <c r="BQ13" s="189">
        <v>-2039196.13</v>
      </c>
      <c r="BR13" s="189">
        <v>432184.41</v>
      </c>
      <c r="BS13" s="189">
        <v>-33688.050000000003</v>
      </c>
      <c r="BT13" s="189">
        <v>-260326.38</v>
      </c>
      <c r="BU13" s="189">
        <v>7112492.3799999999</v>
      </c>
      <c r="BV13" s="189">
        <v>-4932436.7300000004</v>
      </c>
      <c r="BW13" s="189">
        <v>0</v>
      </c>
    </row>
    <row r="14" spans="1:75" x14ac:dyDescent="0.25">
      <c r="A14" s="189" t="s">
        <v>201</v>
      </c>
      <c r="B14" s="189">
        <v>57280052.119999997</v>
      </c>
      <c r="C14" s="189">
        <v>34067239.159999996</v>
      </c>
      <c r="D14" s="189">
        <v>29133383.170000002</v>
      </c>
      <c r="E14" s="189">
        <v>13640047.91</v>
      </c>
      <c r="F14" s="189">
        <v>-9779217.0399999991</v>
      </c>
      <c r="G14" s="189">
        <v>1888578.09</v>
      </c>
      <c r="H14" s="189">
        <v>3529220.26</v>
      </c>
      <c r="I14" s="189">
        <v>-6260016.5599999996</v>
      </c>
      <c r="J14" s="189">
        <v>1384562.93</v>
      </c>
      <c r="K14" s="189">
        <v>6836638.21</v>
      </c>
      <c r="L14" s="189">
        <v>6712552.8799999999</v>
      </c>
      <c r="M14" s="189">
        <v>1744569118.03</v>
      </c>
      <c r="N14" s="189">
        <v>144572480.52000001</v>
      </c>
      <c r="O14" s="189">
        <v>87983530.760000005</v>
      </c>
      <c r="P14" s="189">
        <v>41125567.539999999</v>
      </c>
      <c r="Q14" s="189">
        <v>180202438.43000001</v>
      </c>
      <c r="R14" s="189">
        <v>114779536.18000001</v>
      </c>
      <c r="S14" s="189">
        <v>73413259.120000005</v>
      </c>
      <c r="T14" s="189">
        <v>41448239.780000001</v>
      </c>
      <c r="U14" s="189">
        <v>141164887.13999999</v>
      </c>
      <c r="V14" s="189">
        <v>105608623.76000001</v>
      </c>
      <c r="W14" s="189">
        <v>68271588.920000002</v>
      </c>
      <c r="X14" s="189">
        <v>36033744.43</v>
      </c>
      <c r="Y14" s="189">
        <v>166077661.78</v>
      </c>
      <c r="Z14" s="189">
        <v>85105430.769999996</v>
      </c>
      <c r="AA14" s="189">
        <v>52546544.939999998</v>
      </c>
      <c r="AB14" s="189">
        <v>29535114.41</v>
      </c>
      <c r="AC14" s="189">
        <v>87553913.620000005</v>
      </c>
      <c r="AD14" s="189">
        <v>70370262.439999998</v>
      </c>
      <c r="AE14" s="189">
        <v>43742157.560000002</v>
      </c>
      <c r="AF14" s="189">
        <v>23212054.02</v>
      </c>
      <c r="AG14" s="189">
        <v>88817271.540000007</v>
      </c>
      <c r="AH14" s="189">
        <v>29440902.550000001</v>
      </c>
      <c r="AI14" s="189">
        <v>23366795.699999999</v>
      </c>
      <c r="AJ14" s="189">
        <v>10880707.460000001</v>
      </c>
      <c r="AK14" s="189">
        <v>21083492.84</v>
      </c>
      <c r="AL14" s="189">
        <v>12959844.82</v>
      </c>
      <c r="AM14" s="189">
        <v>9606338.4199999999</v>
      </c>
      <c r="AN14" s="189">
        <v>7002111.2999999998</v>
      </c>
      <c r="AO14" s="189">
        <v>13298216.779999999</v>
      </c>
      <c r="AP14" s="189">
        <v>4629247.9000000004</v>
      </c>
      <c r="AQ14" s="189">
        <v>3692387.72</v>
      </c>
      <c r="AR14" s="189">
        <v>9109826.0700000003</v>
      </c>
      <c r="AS14" s="189">
        <v>-2102286.02</v>
      </c>
      <c r="AT14" s="189">
        <v>0</v>
      </c>
      <c r="AU14" s="189">
        <v>0</v>
      </c>
      <c r="AV14" s="189">
        <v>60612.02</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row>
    <row r="15" spans="1:75"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row>
    <row r="16" spans="1:75" x14ac:dyDescent="0.25">
      <c r="A16" s="189" t="s">
        <v>203</v>
      </c>
      <c r="B16" s="189">
        <v>524499859.72000003</v>
      </c>
      <c r="C16" s="189">
        <v>365925129.58999997</v>
      </c>
      <c r="D16" s="189">
        <v>182236061.08000001</v>
      </c>
      <c r="E16" s="189">
        <v>482301242.79000002</v>
      </c>
      <c r="F16" s="189">
        <v>383881124.11000001</v>
      </c>
      <c r="G16" s="189">
        <v>279858965.61000001</v>
      </c>
      <c r="H16" s="189">
        <v>102765658.90000001</v>
      </c>
      <c r="I16" s="189">
        <v>273199557.29000002</v>
      </c>
      <c r="J16" s="189">
        <v>516522621.24000001</v>
      </c>
      <c r="K16" s="189">
        <v>431697085.07999998</v>
      </c>
      <c r="L16" s="189">
        <v>143249251.59</v>
      </c>
      <c r="M16" s="189">
        <v>2575836109.5500002</v>
      </c>
      <c r="N16" s="189">
        <v>934526435.42999995</v>
      </c>
      <c r="O16" s="189">
        <v>745797504.66999996</v>
      </c>
      <c r="P16" s="189">
        <v>215940839.91</v>
      </c>
      <c r="Q16" s="189">
        <v>1123102081.29</v>
      </c>
      <c r="R16" s="189">
        <v>880750801.23000002</v>
      </c>
      <c r="S16" s="189">
        <v>678563848.44000006</v>
      </c>
      <c r="T16" s="189">
        <v>189467019.34</v>
      </c>
      <c r="U16" s="189">
        <v>935934163.33000004</v>
      </c>
      <c r="V16" s="189">
        <v>757978435.95000005</v>
      </c>
      <c r="W16" s="189">
        <v>595613649.10000002</v>
      </c>
      <c r="X16" s="189">
        <v>149549423.47999999</v>
      </c>
      <c r="Y16" s="189">
        <v>709282253.26999998</v>
      </c>
      <c r="Z16" s="189">
        <v>605438306.71000004</v>
      </c>
      <c r="AA16" s="189">
        <v>462507401.19</v>
      </c>
      <c r="AB16" s="189">
        <v>115526689.2</v>
      </c>
      <c r="AC16" s="189">
        <v>435715807.64999998</v>
      </c>
      <c r="AD16" s="189">
        <v>341640956.25999999</v>
      </c>
      <c r="AE16" s="189">
        <v>265560792.21000001</v>
      </c>
      <c r="AF16" s="189">
        <v>80186136.189999998</v>
      </c>
      <c r="AG16" s="189">
        <v>292063297.26999998</v>
      </c>
      <c r="AH16" s="189">
        <v>224170490.50999999</v>
      </c>
      <c r="AI16" s="189">
        <v>171462844.36000001</v>
      </c>
      <c r="AJ16" s="189">
        <v>48836478.590000004</v>
      </c>
      <c r="AK16" s="189">
        <v>285768164.87</v>
      </c>
      <c r="AL16" s="189">
        <v>202429354.43000001</v>
      </c>
      <c r="AM16" s="189">
        <v>161400818.91999999</v>
      </c>
      <c r="AN16" s="189">
        <v>43580118.789999999</v>
      </c>
      <c r="AO16" s="189">
        <v>222770864.78999999</v>
      </c>
      <c r="AP16" s="189">
        <v>184995594.86000001</v>
      </c>
      <c r="AQ16" s="189">
        <v>143120990.78999999</v>
      </c>
      <c r="AR16" s="189">
        <v>42999687.280000001</v>
      </c>
      <c r="AS16" s="189">
        <v>179969004.53999999</v>
      </c>
      <c r="AT16" s="189">
        <v>123754300.22</v>
      </c>
      <c r="AU16" s="189">
        <v>96477675.430000007</v>
      </c>
      <c r="AV16" s="189">
        <v>31701917.800000001</v>
      </c>
      <c r="AW16" s="189">
        <v>131803129.02</v>
      </c>
      <c r="AX16" s="189">
        <v>92463716.219999999</v>
      </c>
      <c r="AY16" s="189">
        <v>69719146.390000001</v>
      </c>
      <c r="AZ16" s="189">
        <v>24451090.73</v>
      </c>
      <c r="BA16" s="189">
        <v>62005031.210000001</v>
      </c>
      <c r="BB16" s="189">
        <v>61604400.439999998</v>
      </c>
      <c r="BC16" s="189">
        <v>41244434.380000003</v>
      </c>
      <c r="BD16" s="189">
        <v>15831193.529999999</v>
      </c>
      <c r="BE16" s="189">
        <v>71098715.069999993</v>
      </c>
      <c r="BF16" s="189">
        <v>82597768.450000003</v>
      </c>
      <c r="BG16" s="189">
        <v>54535854.079999998</v>
      </c>
      <c r="BH16" s="189">
        <v>18347443.800000001</v>
      </c>
      <c r="BI16" s="189">
        <v>98320244.689999998</v>
      </c>
      <c r="BJ16" s="189">
        <v>90613468.75</v>
      </c>
      <c r="BK16" s="189">
        <v>63470928.130000003</v>
      </c>
      <c r="BL16" s="189">
        <v>13693222.689999999</v>
      </c>
      <c r="BM16" s="189">
        <v>93429490.739999995</v>
      </c>
      <c r="BN16" s="189">
        <v>88900789.069999993</v>
      </c>
      <c r="BO16" s="189">
        <v>61819857.229999997</v>
      </c>
      <c r="BP16" s="189">
        <v>14213530.74</v>
      </c>
      <c r="BQ16" s="189">
        <v>85200389.109999999</v>
      </c>
      <c r="BR16" s="189">
        <v>48474764.990000002</v>
      </c>
      <c r="BS16" s="189">
        <v>66280376.880000003</v>
      </c>
      <c r="BT16" s="189">
        <v>44430306.280000001</v>
      </c>
      <c r="BU16" s="189">
        <v>32821623.920000002</v>
      </c>
      <c r="BV16" s="189">
        <v>25629417.09</v>
      </c>
      <c r="BW16" s="189">
        <v>0</v>
      </c>
    </row>
    <row r="17" spans="1:75" x14ac:dyDescent="0.25">
      <c r="A17" s="189" t="s">
        <v>204</v>
      </c>
      <c r="B17" s="189">
        <v>1317973.8899999999</v>
      </c>
      <c r="C17" s="189">
        <v>957169.71</v>
      </c>
      <c r="D17" s="189">
        <v>285390.94</v>
      </c>
      <c r="E17" s="189">
        <v>1523203.61</v>
      </c>
      <c r="F17" s="189">
        <v>1304932.71</v>
      </c>
      <c r="G17" s="189">
        <v>1045656.28</v>
      </c>
      <c r="H17" s="189">
        <v>18054323.829999998</v>
      </c>
      <c r="I17" s="189">
        <v>56458565.530000001</v>
      </c>
      <c r="J17" s="189">
        <v>12320461.560000001</v>
      </c>
      <c r="K17" s="189">
        <v>10677714.66</v>
      </c>
      <c r="L17" s="189">
        <v>4591168.49</v>
      </c>
      <c r="M17" s="189">
        <v>37598997.240000002</v>
      </c>
      <c r="N17" s="189">
        <v>30166614.050000001</v>
      </c>
      <c r="O17" s="189">
        <v>18220847.969999999</v>
      </c>
      <c r="P17" s="189">
        <v>4235020.78</v>
      </c>
      <c r="Q17" s="189">
        <v>27656603.039999999</v>
      </c>
      <c r="R17" s="189">
        <v>11990259.92</v>
      </c>
      <c r="S17" s="189">
        <v>9857173.5299999993</v>
      </c>
      <c r="T17" s="189">
        <v>1818532.1</v>
      </c>
      <c r="U17" s="189">
        <v>29059265.059999999</v>
      </c>
      <c r="V17" s="189">
        <v>7345179.4800000004</v>
      </c>
      <c r="W17" s="189">
        <v>4260851.83</v>
      </c>
      <c r="X17" s="189">
        <v>871320.52</v>
      </c>
      <c r="Y17" s="189">
        <v>15044976.67</v>
      </c>
      <c r="Z17" s="189">
        <v>7794563.8600000003</v>
      </c>
      <c r="AA17" s="189">
        <v>6222197.21</v>
      </c>
      <c r="AB17" s="189">
        <v>579749.49</v>
      </c>
      <c r="AC17" s="189">
        <v>18701745.879999999</v>
      </c>
      <c r="AD17" s="189">
        <v>9028290.75</v>
      </c>
      <c r="AE17" s="189">
        <v>3470515.71</v>
      </c>
      <c r="AF17" s="189">
        <v>725825.52</v>
      </c>
      <c r="AG17" s="189">
        <v>10746902.17</v>
      </c>
      <c r="AH17" s="189">
        <v>6784299.6600000001</v>
      </c>
      <c r="AI17" s="189">
        <v>4353826</v>
      </c>
      <c r="AJ17" s="189">
        <v>774902.15</v>
      </c>
      <c r="AK17" s="189">
        <v>10532574.33</v>
      </c>
      <c r="AL17" s="189">
        <v>7482861.1100000003</v>
      </c>
      <c r="AM17" s="189">
        <v>4238488.8</v>
      </c>
      <c r="AN17" s="189">
        <v>3538947.34</v>
      </c>
      <c r="AO17" s="189">
        <v>13053555.1</v>
      </c>
      <c r="AP17" s="189">
        <v>4813807.93</v>
      </c>
      <c r="AQ17" s="189">
        <v>4321530.2</v>
      </c>
      <c r="AR17" s="189">
        <v>726093.23</v>
      </c>
      <c r="AS17" s="189">
        <v>10973422.9</v>
      </c>
      <c r="AT17" s="189">
        <v>16473164.359999999</v>
      </c>
      <c r="AU17" s="189">
        <v>1371041.39</v>
      </c>
      <c r="AV17" s="189">
        <v>95489.33</v>
      </c>
      <c r="AW17" s="189">
        <v>1080101.9099999999</v>
      </c>
      <c r="AX17" s="189">
        <v>529613.9</v>
      </c>
      <c r="AY17" s="189">
        <v>325499.17</v>
      </c>
      <c r="AZ17" s="189">
        <v>79231.27</v>
      </c>
      <c r="BA17" s="189">
        <v>690598.29</v>
      </c>
      <c r="BB17" s="189">
        <v>498674.17</v>
      </c>
      <c r="BC17" s="189">
        <v>386932.45</v>
      </c>
      <c r="BD17" s="189">
        <v>142363.98000000001</v>
      </c>
      <c r="BE17" s="189">
        <v>753830.01</v>
      </c>
      <c r="BF17" s="189">
        <v>616432.22</v>
      </c>
      <c r="BG17" s="189">
        <v>593245.39</v>
      </c>
      <c r="BH17" s="189">
        <v>286566.89</v>
      </c>
      <c r="BI17" s="189">
        <v>409789.3</v>
      </c>
      <c r="BJ17" s="189">
        <v>382097.39</v>
      </c>
      <c r="BK17" s="189">
        <v>361763.64</v>
      </c>
      <c r="BL17" s="189">
        <v>22443.439999999999</v>
      </c>
      <c r="BM17" s="189">
        <v>1517406.54</v>
      </c>
      <c r="BN17" s="189">
        <v>404638.13</v>
      </c>
      <c r="BO17" s="189">
        <v>151331.51999999999</v>
      </c>
      <c r="BP17" s="189">
        <v>71205.84</v>
      </c>
      <c r="BQ17" s="189">
        <v>719529.49</v>
      </c>
      <c r="BR17" s="189">
        <v>289834.74</v>
      </c>
      <c r="BS17" s="189">
        <v>795146.13</v>
      </c>
      <c r="BT17" s="189">
        <v>486752.12</v>
      </c>
      <c r="BU17" s="189">
        <v>637448.64</v>
      </c>
      <c r="BV17" s="189">
        <v>6949311.4400000004</v>
      </c>
      <c r="BW17" s="189">
        <v>0</v>
      </c>
    </row>
    <row r="18" spans="1:75" x14ac:dyDescent="0.25">
      <c r="A18" s="189" t="s">
        <v>205</v>
      </c>
      <c r="B18" s="189">
        <v>2004948.74</v>
      </c>
      <c r="C18" s="189">
        <v>1969853.96</v>
      </c>
      <c r="D18" s="189">
        <v>288690.26</v>
      </c>
      <c r="E18" s="189">
        <v>12579645.470000001</v>
      </c>
      <c r="F18" s="189">
        <v>26602424.100000001</v>
      </c>
      <c r="G18" s="189">
        <v>26526733.420000002</v>
      </c>
      <c r="H18" s="189">
        <v>200864.22</v>
      </c>
      <c r="I18" s="189">
        <v>39087577.140000001</v>
      </c>
      <c r="J18" s="189">
        <v>1610436.25</v>
      </c>
      <c r="K18" s="189">
        <v>295946.3</v>
      </c>
      <c r="L18" s="189">
        <v>177509.32</v>
      </c>
      <c r="M18" s="189">
        <v>1974935.64</v>
      </c>
      <c r="N18" s="189">
        <v>1332111.99</v>
      </c>
      <c r="O18" s="189">
        <v>1198656.07</v>
      </c>
      <c r="P18" s="189">
        <v>452185</v>
      </c>
      <c r="Q18" s="189">
        <v>8656698.6099999994</v>
      </c>
      <c r="R18" s="189">
        <v>1716209.43</v>
      </c>
      <c r="S18" s="189">
        <v>1136026.98</v>
      </c>
      <c r="T18" s="189">
        <v>905478.94</v>
      </c>
      <c r="U18" s="189">
        <v>4351023.33</v>
      </c>
      <c r="V18" s="189">
        <v>2667406.2000000002</v>
      </c>
      <c r="W18" s="189">
        <v>1726687.41</v>
      </c>
      <c r="X18" s="189">
        <v>194843.19</v>
      </c>
      <c r="Y18" s="189">
        <v>958674.17</v>
      </c>
      <c r="Z18" s="189">
        <v>554793.44999999995</v>
      </c>
      <c r="AA18" s="189">
        <v>428047.27</v>
      </c>
      <c r="AB18" s="189">
        <v>330974.49</v>
      </c>
      <c r="AC18" s="189">
        <v>2158750.35</v>
      </c>
      <c r="AD18" s="189">
        <v>1077383.6299999999</v>
      </c>
      <c r="AE18" s="189">
        <v>798910.85</v>
      </c>
      <c r="AF18" s="189">
        <v>355502.13</v>
      </c>
      <c r="AG18" s="189">
        <v>485355.83</v>
      </c>
      <c r="AH18" s="189">
        <v>333868.67</v>
      </c>
      <c r="AI18" s="189">
        <v>198440.95</v>
      </c>
      <c r="AJ18" s="189">
        <v>28964.1</v>
      </c>
      <c r="AK18" s="189">
        <v>1769670.82</v>
      </c>
      <c r="AL18" s="189">
        <v>593428.62</v>
      </c>
      <c r="AM18" s="189">
        <v>337615.03</v>
      </c>
      <c r="AN18" s="189">
        <v>117850.83</v>
      </c>
      <c r="AO18" s="189">
        <v>4896219.6500000004</v>
      </c>
      <c r="AP18" s="189">
        <v>4129873.77</v>
      </c>
      <c r="AQ18" s="189">
        <v>3940779.07</v>
      </c>
      <c r="AR18" s="189">
        <v>75741.88</v>
      </c>
      <c r="AS18" s="189">
        <v>1039680.57</v>
      </c>
      <c r="AT18" s="189">
        <v>427923.3</v>
      </c>
      <c r="AU18" s="189">
        <v>224989.4</v>
      </c>
      <c r="AV18" s="189">
        <v>39079.67</v>
      </c>
      <c r="AW18" s="189">
        <v>16776329.67</v>
      </c>
      <c r="AX18" s="189">
        <v>615209.1</v>
      </c>
      <c r="AY18" s="189">
        <v>221319.21</v>
      </c>
      <c r="AZ18" s="189">
        <v>59603.12</v>
      </c>
      <c r="BA18" s="189">
        <v>832166.25</v>
      </c>
      <c r="BB18" s="189">
        <v>423443.26</v>
      </c>
      <c r="BC18" s="189">
        <v>203748.81</v>
      </c>
      <c r="BD18" s="189">
        <v>49210.64</v>
      </c>
      <c r="BE18" s="189">
        <v>4258407.33</v>
      </c>
      <c r="BF18" s="189">
        <v>4062173.46</v>
      </c>
      <c r="BG18" s="189">
        <v>126088.68</v>
      </c>
      <c r="BH18" s="189">
        <v>72796.14</v>
      </c>
      <c r="BI18" s="189">
        <v>1764745.72</v>
      </c>
      <c r="BJ18" s="189">
        <v>1398903.32</v>
      </c>
      <c r="BK18" s="189">
        <v>92333.13</v>
      </c>
      <c r="BL18" s="189">
        <v>58468.800000000003</v>
      </c>
      <c r="BM18" s="189">
        <v>743063.44</v>
      </c>
      <c r="BN18" s="189">
        <v>538649.81999999995</v>
      </c>
      <c r="BO18" s="189">
        <v>493192.83</v>
      </c>
      <c r="BP18" s="189">
        <v>246608.54</v>
      </c>
      <c r="BQ18" s="189">
        <v>589618.49</v>
      </c>
      <c r="BR18" s="189">
        <v>141161.51</v>
      </c>
      <c r="BS18" s="189">
        <v>10238389.039999999</v>
      </c>
      <c r="BT18" s="189">
        <v>3654853.57</v>
      </c>
      <c r="BU18" s="189">
        <v>1245661.03</v>
      </c>
      <c r="BV18" s="189">
        <v>911306.78</v>
      </c>
      <c r="BW18" s="189">
        <v>0</v>
      </c>
    </row>
    <row r="19" spans="1:75" x14ac:dyDescent="0.25">
      <c r="A19" s="189" t="s">
        <v>206</v>
      </c>
      <c r="B19" s="189">
        <v>0</v>
      </c>
      <c r="C19" s="189">
        <v>0</v>
      </c>
      <c r="D19" s="189">
        <v>0</v>
      </c>
      <c r="E19" s="189">
        <v>0</v>
      </c>
      <c r="F19" s="189">
        <v>227511.74</v>
      </c>
      <c r="G19" s="189">
        <v>227734.61</v>
      </c>
      <c r="H19" s="189">
        <v>54491.19</v>
      </c>
      <c r="I19" s="189">
        <v>-1286909.95</v>
      </c>
      <c r="J19" s="189">
        <v>26044.51</v>
      </c>
      <c r="K19" s="189">
        <v>9345.85</v>
      </c>
      <c r="L19" s="189">
        <v>6855.69</v>
      </c>
      <c r="M19" s="189">
        <v>960221.11</v>
      </c>
      <c r="N19" s="189">
        <v>800876.83</v>
      </c>
      <c r="O19" s="189">
        <v>728716.87</v>
      </c>
      <c r="P19" s="189">
        <v>7490.11</v>
      </c>
      <c r="Q19" s="189">
        <v>1010643.43</v>
      </c>
      <c r="R19" s="189">
        <v>619155.43999999994</v>
      </c>
      <c r="S19" s="189">
        <v>130168.36</v>
      </c>
      <c r="T19" s="189">
        <v>49783.14</v>
      </c>
      <c r="U19" s="189">
        <v>1212163.32</v>
      </c>
      <c r="V19" s="189">
        <v>509516.94</v>
      </c>
      <c r="W19" s="189">
        <v>18611.05</v>
      </c>
      <c r="X19" s="189">
        <v>15410.87</v>
      </c>
      <c r="Y19" s="189">
        <v>347406.95</v>
      </c>
      <c r="Z19" s="189">
        <v>176783.78</v>
      </c>
      <c r="AA19" s="189">
        <v>128911.73</v>
      </c>
      <c r="AB19" s="189">
        <v>151934.19</v>
      </c>
      <c r="AC19" s="189">
        <v>1427134.84</v>
      </c>
      <c r="AD19" s="189">
        <v>438211.61</v>
      </c>
      <c r="AE19" s="189">
        <v>512643.44</v>
      </c>
      <c r="AF19" s="189">
        <v>313861.92</v>
      </c>
      <c r="AG19" s="189">
        <v>-1752676.28</v>
      </c>
      <c r="AH19" s="189">
        <v>-1829244.42</v>
      </c>
      <c r="AI19" s="189">
        <v>-1763987.19</v>
      </c>
      <c r="AJ19" s="189">
        <v>-48766.12</v>
      </c>
      <c r="AK19" s="189">
        <v>1493612.37</v>
      </c>
      <c r="AL19" s="189">
        <v>296876.12</v>
      </c>
      <c r="AM19" s="189">
        <v>180447</v>
      </c>
      <c r="AN19" s="189">
        <v>73134.509999999995</v>
      </c>
      <c r="AO19" s="189">
        <v>541658.21</v>
      </c>
      <c r="AP19" s="189">
        <v>-337320.6</v>
      </c>
      <c r="AQ19" s="189">
        <v>-341678.8</v>
      </c>
      <c r="AR19" s="189">
        <v>-2869.41</v>
      </c>
      <c r="AS19" s="189">
        <v>721259.92</v>
      </c>
      <c r="AT19" s="189">
        <v>-1610387.68</v>
      </c>
      <c r="AU19" s="189">
        <v>56029.62</v>
      </c>
      <c r="AV19" s="189">
        <v>-57882.400000000001</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row>
    <row r="20" spans="1:75" x14ac:dyDescent="0.25">
      <c r="A20" s="189" t="s">
        <v>207</v>
      </c>
      <c r="B20" s="189">
        <v>523812884.87</v>
      </c>
      <c r="C20" s="189">
        <v>364912445.33999997</v>
      </c>
      <c r="D20" s="189">
        <v>182232761.75999999</v>
      </c>
      <c r="E20" s="189">
        <v>471244800.93000001</v>
      </c>
      <c r="F20" s="189">
        <v>358583632.72000003</v>
      </c>
      <c r="G20" s="189">
        <v>254377888.47</v>
      </c>
      <c r="H20" s="189">
        <v>120619118.51000001</v>
      </c>
      <c r="I20" s="189">
        <v>290570545.68000001</v>
      </c>
      <c r="J20" s="189">
        <v>527232646.55000001</v>
      </c>
      <c r="K20" s="189">
        <v>442078853.44</v>
      </c>
      <c r="L20" s="189">
        <v>147662910.75999999</v>
      </c>
      <c r="M20" s="189">
        <v>2611460171.1500001</v>
      </c>
      <c r="N20" s="189">
        <v>963360937.49000001</v>
      </c>
      <c r="O20" s="189">
        <v>762819696.57000005</v>
      </c>
      <c r="P20" s="189">
        <v>219723675.69</v>
      </c>
      <c r="Q20" s="189">
        <v>1142101985.72</v>
      </c>
      <c r="R20" s="189">
        <v>891024851.72000003</v>
      </c>
      <c r="S20" s="189">
        <v>687284994.99000001</v>
      </c>
      <c r="T20" s="189">
        <v>190380072.5</v>
      </c>
      <c r="U20" s="189">
        <v>960642405.05999994</v>
      </c>
      <c r="V20" s="189">
        <v>762656209.23000002</v>
      </c>
      <c r="W20" s="189">
        <v>598147813.51999998</v>
      </c>
      <c r="X20" s="189">
        <v>150225900.81</v>
      </c>
      <c r="Y20" s="189">
        <v>723368555.76999998</v>
      </c>
      <c r="Z20" s="189">
        <v>612678077.12</v>
      </c>
      <c r="AA20" s="189">
        <v>468301551.13</v>
      </c>
      <c r="AB20" s="189">
        <v>115775464.2</v>
      </c>
      <c r="AC20" s="189">
        <v>452258803.18000001</v>
      </c>
      <c r="AD20" s="189">
        <v>349591863.38</v>
      </c>
      <c r="AE20" s="189">
        <v>268232397.06999999</v>
      </c>
      <c r="AF20" s="189">
        <v>80556459.579999998</v>
      </c>
      <c r="AG20" s="189">
        <v>302324843.61000001</v>
      </c>
      <c r="AH20" s="189">
        <v>230620921.5</v>
      </c>
      <c r="AI20" s="189">
        <v>175618229.41</v>
      </c>
      <c r="AJ20" s="189">
        <v>49582416.640000001</v>
      </c>
      <c r="AK20" s="189">
        <v>294531068.38</v>
      </c>
      <c r="AL20" s="189">
        <v>209318786.91999999</v>
      </c>
      <c r="AM20" s="189">
        <v>165301692.69</v>
      </c>
      <c r="AN20" s="189">
        <v>47001215.299999997</v>
      </c>
      <c r="AO20" s="189">
        <v>230928200.24000001</v>
      </c>
      <c r="AP20" s="189">
        <v>185679529.02000001</v>
      </c>
      <c r="AQ20" s="189">
        <v>143501741.91999999</v>
      </c>
      <c r="AR20" s="189">
        <v>43650038.630000003</v>
      </c>
      <c r="AS20" s="189">
        <v>189902746.87</v>
      </c>
      <c r="AT20" s="189">
        <v>139799541.28</v>
      </c>
      <c r="AU20" s="189">
        <v>97623727.420000002</v>
      </c>
      <c r="AV20" s="189">
        <v>31758327.460000001</v>
      </c>
      <c r="AW20" s="189">
        <v>116106901.26000001</v>
      </c>
      <c r="AX20" s="189">
        <v>92378121.019999996</v>
      </c>
      <c r="AY20" s="189">
        <v>69823326.349999994</v>
      </c>
      <c r="AZ20" s="189">
        <v>24470718.879999999</v>
      </c>
      <c r="BA20" s="189">
        <v>61863463.25</v>
      </c>
      <c r="BB20" s="189">
        <v>61679631.350000001</v>
      </c>
      <c r="BC20" s="189">
        <v>41427618.020000003</v>
      </c>
      <c r="BD20" s="189">
        <v>15924346.869999999</v>
      </c>
      <c r="BE20" s="189">
        <v>67594137.75</v>
      </c>
      <c r="BF20" s="189">
        <v>79152027.209999993</v>
      </c>
      <c r="BG20" s="189">
        <v>55003010.789999999</v>
      </c>
      <c r="BH20" s="189">
        <v>18561214.550000001</v>
      </c>
      <c r="BI20" s="189">
        <v>96965288.269999996</v>
      </c>
      <c r="BJ20" s="189">
        <v>89596662.819999993</v>
      </c>
      <c r="BK20" s="189">
        <v>63740358.640000001</v>
      </c>
      <c r="BL20" s="189">
        <v>13657197.33</v>
      </c>
      <c r="BM20" s="189">
        <v>94203833.840000004</v>
      </c>
      <c r="BN20" s="189">
        <v>88766777.379999995</v>
      </c>
      <c r="BO20" s="189">
        <v>61477995.920000002</v>
      </c>
      <c r="BP20" s="189">
        <v>14038128.039999999</v>
      </c>
      <c r="BQ20" s="189">
        <v>85330300.109999999</v>
      </c>
      <c r="BR20" s="189">
        <v>48623438.219999999</v>
      </c>
      <c r="BS20" s="189">
        <v>56837133.969999999</v>
      </c>
      <c r="BT20" s="189">
        <v>41262204.829999998</v>
      </c>
      <c r="BU20" s="189">
        <v>32213411.530000001</v>
      </c>
      <c r="BV20" s="189">
        <v>31667421.75</v>
      </c>
      <c r="BW20" s="189">
        <v>0</v>
      </c>
    </row>
    <row r="21" spans="1:75" x14ac:dyDescent="0.25">
      <c r="A21" s="189" t="s">
        <v>208</v>
      </c>
      <c r="B21" s="189">
        <v>70016442.040000007</v>
      </c>
      <c r="C21" s="189">
        <v>48089412.479999997</v>
      </c>
      <c r="D21" s="189">
        <v>31553322.440000001</v>
      </c>
      <c r="E21" s="189">
        <v>81442910.549999997</v>
      </c>
      <c r="F21" s="189">
        <v>56427364.530000001</v>
      </c>
      <c r="G21" s="189">
        <v>38135606.640000001</v>
      </c>
      <c r="H21" s="189">
        <v>12339518.15</v>
      </c>
      <c r="I21" s="189">
        <v>74553851.75</v>
      </c>
      <c r="J21" s="189">
        <v>93804919.650000006</v>
      </c>
      <c r="K21" s="189">
        <v>69727090.299999997</v>
      </c>
      <c r="L21" s="189">
        <v>20233951.010000002</v>
      </c>
      <c r="M21" s="189">
        <v>401498095.38999999</v>
      </c>
      <c r="N21" s="189">
        <v>172920957.72</v>
      </c>
      <c r="O21" s="189">
        <v>122019083.11</v>
      </c>
      <c r="P21" s="189">
        <v>29904220.59</v>
      </c>
      <c r="Q21" s="189">
        <v>234569186.66</v>
      </c>
      <c r="R21" s="189">
        <v>153187277.11000001</v>
      </c>
      <c r="S21" s="189">
        <v>109815236.93000001</v>
      </c>
      <c r="T21" s="189">
        <v>26136445.199999999</v>
      </c>
      <c r="U21" s="189">
        <v>140942726.15000001</v>
      </c>
      <c r="V21" s="189">
        <v>134614793.56999999</v>
      </c>
      <c r="W21" s="189">
        <v>108459411.43000001</v>
      </c>
      <c r="X21" s="189">
        <v>26092684.98</v>
      </c>
      <c r="Y21" s="189">
        <v>95430972.340000004</v>
      </c>
      <c r="Z21" s="189">
        <v>131747645.23999999</v>
      </c>
      <c r="AA21" s="189">
        <v>106647775.98999999</v>
      </c>
      <c r="AB21" s="189">
        <v>26118865.23</v>
      </c>
      <c r="AC21" s="189">
        <v>87253938.930000007</v>
      </c>
      <c r="AD21" s="189">
        <v>69294242.370000005</v>
      </c>
      <c r="AE21" s="189">
        <v>62388290.57</v>
      </c>
      <c r="AF21" s="189">
        <v>19215370.359999999</v>
      </c>
      <c r="AG21" s="189">
        <v>52643850.810000002</v>
      </c>
      <c r="AH21" s="189">
        <v>26539501.600000001</v>
      </c>
      <c r="AI21" s="189">
        <v>22918575.460000001</v>
      </c>
      <c r="AJ21" s="189">
        <v>7891810.5499999998</v>
      </c>
      <c r="AK21" s="189">
        <v>55696419.630000003</v>
      </c>
      <c r="AL21" s="189">
        <v>23476580.079999998</v>
      </c>
      <c r="AM21" s="189">
        <v>22814560.890000001</v>
      </c>
      <c r="AN21" s="189">
        <v>12638499.34</v>
      </c>
      <c r="AO21" s="189">
        <v>44304249.700000003</v>
      </c>
      <c r="AP21" s="189">
        <v>26792623.969999999</v>
      </c>
      <c r="AQ21" s="189">
        <v>29021923.559999999</v>
      </c>
      <c r="AR21" s="189">
        <v>14432924.960000001</v>
      </c>
      <c r="AS21" s="189">
        <v>40855837.359999999</v>
      </c>
      <c r="AT21" s="189">
        <v>29745906.109999999</v>
      </c>
      <c r="AU21" s="189">
        <v>23162300</v>
      </c>
      <c r="AV21" s="189">
        <v>9593569.0099999998</v>
      </c>
      <c r="AW21" s="189">
        <v>26285328.550000001</v>
      </c>
      <c r="AX21" s="189">
        <v>14014025.789999999</v>
      </c>
      <c r="AY21" s="189">
        <v>10386218.09</v>
      </c>
      <c r="AZ21" s="189">
        <v>5525966.2000000002</v>
      </c>
      <c r="BA21" s="189">
        <v>5357671.91</v>
      </c>
      <c r="BB21" s="189">
        <v>9662730.5500000007</v>
      </c>
      <c r="BC21" s="189">
        <v>3809409.25</v>
      </c>
      <c r="BD21" s="189">
        <v>1068381.3</v>
      </c>
      <c r="BE21" s="189">
        <v>10367876.529999999</v>
      </c>
      <c r="BF21" s="189">
        <v>7498504.7199999997</v>
      </c>
      <c r="BG21" s="189">
        <v>5250528.1100000003</v>
      </c>
      <c r="BH21" s="189">
        <v>1856647.86</v>
      </c>
      <c r="BI21" s="189">
        <v>6452754.5700000003</v>
      </c>
      <c r="BJ21" s="189">
        <v>6963395.5</v>
      </c>
      <c r="BK21" s="189">
        <v>4399335.91</v>
      </c>
      <c r="BL21" s="189">
        <v>525286.79</v>
      </c>
      <c r="BM21" s="189">
        <v>16630314.34</v>
      </c>
      <c r="BN21" s="189">
        <v>12594264.93</v>
      </c>
      <c r="BO21" s="189">
        <v>7364450.54</v>
      </c>
      <c r="BP21" s="189">
        <v>1717240.34</v>
      </c>
      <c r="BQ21" s="189">
        <v>12649224.67</v>
      </c>
      <c r="BR21" s="189">
        <v>4839496.26</v>
      </c>
      <c r="BS21" s="189">
        <v>9569451.6300000008</v>
      </c>
      <c r="BT21" s="189">
        <v>5828829.8600000003</v>
      </c>
      <c r="BU21" s="189">
        <v>6026507.2400000002</v>
      </c>
      <c r="BV21" s="189">
        <v>28910.95</v>
      </c>
      <c r="BW21" s="189">
        <v>0</v>
      </c>
    </row>
    <row r="22" spans="1:75" x14ac:dyDescent="0.25">
      <c r="A22" s="189" t="s">
        <v>209</v>
      </c>
      <c r="B22" s="189">
        <v>453796442.82999998</v>
      </c>
      <c r="C22" s="189">
        <v>316823032.86000001</v>
      </c>
      <c r="D22" s="189">
        <v>150679439.31999999</v>
      </c>
      <c r="E22" s="189">
        <v>389801890.38</v>
      </c>
      <c r="F22" s="189">
        <v>302156268.19</v>
      </c>
      <c r="G22" s="189">
        <v>216242281.83000001</v>
      </c>
      <c r="H22" s="189">
        <v>108279600.36</v>
      </c>
      <c r="I22" s="189">
        <v>216016693.93000001</v>
      </c>
      <c r="J22" s="189">
        <v>433427726.89999998</v>
      </c>
      <c r="K22" s="189">
        <v>372351763.13999999</v>
      </c>
      <c r="L22" s="189">
        <v>127428959.75</v>
      </c>
      <c r="M22" s="189">
        <v>2209962075.7600002</v>
      </c>
      <c r="N22" s="189">
        <v>790439979.76999998</v>
      </c>
      <c r="O22" s="189">
        <v>640800613.46000004</v>
      </c>
      <c r="P22" s="189">
        <v>189819455.09999999</v>
      </c>
      <c r="Q22" s="189">
        <v>907532799.05999994</v>
      </c>
      <c r="R22" s="189">
        <v>737837574.61000001</v>
      </c>
      <c r="S22" s="189">
        <v>577469758.05999994</v>
      </c>
      <c r="T22" s="189">
        <v>164243627.30000001</v>
      </c>
      <c r="U22" s="189">
        <v>819699678.90999997</v>
      </c>
      <c r="V22" s="189">
        <v>628041415.65999997</v>
      </c>
      <c r="W22" s="189">
        <v>489688402.08999997</v>
      </c>
      <c r="X22" s="189">
        <v>124133215.83</v>
      </c>
      <c r="Y22" s="189">
        <v>627937583.42999995</v>
      </c>
      <c r="Z22" s="189">
        <v>480930431.88</v>
      </c>
      <c r="AA22" s="189">
        <v>361653775.13999999</v>
      </c>
      <c r="AB22" s="189">
        <v>89656598.969999999</v>
      </c>
      <c r="AC22" s="189">
        <v>365004864.25</v>
      </c>
      <c r="AD22" s="189">
        <v>280297621.00999999</v>
      </c>
      <c r="AE22" s="189">
        <v>205844106.5</v>
      </c>
      <c r="AF22" s="189">
        <v>61341089.219999999</v>
      </c>
      <c r="AG22" s="189">
        <v>249680992.80000001</v>
      </c>
      <c r="AH22" s="189">
        <v>204081419.90000001</v>
      </c>
      <c r="AI22" s="189">
        <v>152699653.94999999</v>
      </c>
      <c r="AJ22" s="189">
        <v>41690606.090000004</v>
      </c>
      <c r="AK22" s="189">
        <v>238834648.75</v>
      </c>
      <c r="AL22" s="189">
        <v>185842206.84</v>
      </c>
      <c r="AM22" s="189">
        <v>142487131.80000001</v>
      </c>
      <c r="AN22" s="189">
        <v>34362715.960000001</v>
      </c>
      <c r="AO22" s="189">
        <v>186623950.53999999</v>
      </c>
      <c r="AP22" s="189">
        <v>158886905.05000001</v>
      </c>
      <c r="AQ22" s="189">
        <v>114479818.36</v>
      </c>
      <c r="AR22" s="189">
        <v>29217113.670000002</v>
      </c>
      <c r="AS22" s="189">
        <v>149046909.50999999</v>
      </c>
      <c r="AT22" s="189">
        <v>110053635.17</v>
      </c>
      <c r="AU22" s="189">
        <v>74461427.420000002</v>
      </c>
      <c r="AV22" s="189">
        <v>22164758.449999999</v>
      </c>
      <c r="AW22" s="189">
        <v>84766032.530000001</v>
      </c>
      <c r="AX22" s="189">
        <v>73308555.049999997</v>
      </c>
      <c r="AY22" s="189">
        <v>54381568.079999998</v>
      </c>
      <c r="AZ22" s="189">
        <v>13889212.5</v>
      </c>
      <c r="BA22" s="189">
        <v>50790553.359999999</v>
      </c>
      <c r="BB22" s="189">
        <v>52016900.799999997</v>
      </c>
      <c r="BC22" s="189">
        <v>37618208.770000003</v>
      </c>
      <c r="BD22" s="189">
        <v>14855965.57</v>
      </c>
      <c r="BE22" s="189">
        <v>57226261.219999999</v>
      </c>
      <c r="BF22" s="189">
        <v>71653522.489999995</v>
      </c>
      <c r="BG22" s="189">
        <v>49752482.68</v>
      </c>
      <c r="BH22" s="189">
        <v>16704566.689999999</v>
      </c>
      <c r="BI22" s="189">
        <v>90512533.700000003</v>
      </c>
      <c r="BJ22" s="189">
        <v>82633267.319999993</v>
      </c>
      <c r="BK22" s="189">
        <v>59341022.729999997</v>
      </c>
      <c r="BL22" s="189">
        <v>13131910.539999999</v>
      </c>
      <c r="BM22" s="189">
        <v>77573519.5</v>
      </c>
      <c r="BN22" s="189">
        <v>76172512.450000003</v>
      </c>
      <c r="BO22" s="189">
        <v>54113545.380000003</v>
      </c>
      <c r="BP22" s="189">
        <v>12320887.699999999</v>
      </c>
      <c r="BQ22" s="189">
        <v>72681075.439999998</v>
      </c>
      <c r="BR22" s="189">
        <v>43783941.960000001</v>
      </c>
      <c r="BS22" s="189">
        <v>47267682.340000004</v>
      </c>
      <c r="BT22" s="189">
        <v>35433374.969999999</v>
      </c>
      <c r="BU22" s="189">
        <v>26186904.289999999</v>
      </c>
      <c r="BV22" s="189">
        <v>31638510.800000001</v>
      </c>
      <c r="BW22" s="189">
        <v>0</v>
      </c>
    </row>
    <row r="23" spans="1:75" x14ac:dyDescent="0.25">
      <c r="A23" s="189" t="s">
        <v>210</v>
      </c>
      <c r="B23" s="189">
        <v>453796442.82999998</v>
      </c>
      <c r="C23" s="189">
        <v>316823032.86000001</v>
      </c>
      <c r="D23" s="189">
        <v>150679439.31999999</v>
      </c>
      <c r="E23" s="189">
        <v>389801890.38</v>
      </c>
      <c r="F23" s="189">
        <v>302156268.19</v>
      </c>
      <c r="G23" s="189">
        <v>216242281.83000001</v>
      </c>
      <c r="H23" s="189">
        <v>108279600.36</v>
      </c>
      <c r="I23" s="189">
        <v>216016693.93000001</v>
      </c>
      <c r="J23" s="189">
        <v>433427726.89999998</v>
      </c>
      <c r="K23" s="189">
        <v>372351763.13999999</v>
      </c>
      <c r="L23" s="189">
        <v>127428959.75</v>
      </c>
      <c r="M23" s="189">
        <v>2209961017.27</v>
      </c>
      <c r="N23" s="189">
        <v>790438921.27999997</v>
      </c>
      <c r="O23" s="189">
        <v>640799554.97000003</v>
      </c>
      <c r="P23" s="189">
        <v>189818396.61000001</v>
      </c>
      <c r="Q23" s="189">
        <v>897920847.30999994</v>
      </c>
      <c r="R23" s="189">
        <v>728097772.05999994</v>
      </c>
      <c r="S23" s="189">
        <v>573531960.58000004</v>
      </c>
      <c r="T23" s="189">
        <v>163624887.69999999</v>
      </c>
      <c r="U23" s="189">
        <v>800154088.51999998</v>
      </c>
      <c r="V23" s="189">
        <v>622836836.53999996</v>
      </c>
      <c r="W23" s="189">
        <v>489877436.44</v>
      </c>
      <c r="X23" s="189">
        <v>124076628.94</v>
      </c>
      <c r="Y23" s="189">
        <v>614632224.94000006</v>
      </c>
      <c r="Z23" s="189">
        <v>478004280.44999999</v>
      </c>
      <c r="AA23" s="189">
        <v>360399644.00999999</v>
      </c>
      <c r="AB23" s="189">
        <v>89271814.799999997</v>
      </c>
      <c r="AC23" s="189">
        <v>361253954.04000002</v>
      </c>
      <c r="AD23" s="189">
        <v>280019924.20999998</v>
      </c>
      <c r="AE23" s="189">
        <v>207214860.40000001</v>
      </c>
      <c r="AF23" s="189">
        <v>60164283.960000001</v>
      </c>
      <c r="AG23" s="189">
        <v>275630725.19</v>
      </c>
      <c r="AH23" s="189">
        <v>209323559.00999999</v>
      </c>
      <c r="AI23" s="189">
        <v>159452176.71000001</v>
      </c>
      <c r="AJ23" s="189">
        <v>46558305.670000002</v>
      </c>
      <c r="AK23" s="189">
        <v>233285655.74000001</v>
      </c>
      <c r="AL23" s="189">
        <v>190271685.58000001</v>
      </c>
      <c r="AM23" s="189">
        <v>144879220.25</v>
      </c>
      <c r="AN23" s="189">
        <v>36879384.920000002</v>
      </c>
      <c r="AO23" s="189">
        <v>185039023.02000001</v>
      </c>
      <c r="AP23" s="189">
        <v>148713396.44999999</v>
      </c>
      <c r="AQ23" s="189">
        <v>106826333.81</v>
      </c>
      <c r="AR23" s="189">
        <v>26076779.030000001</v>
      </c>
      <c r="AS23" s="189">
        <v>132572102.25</v>
      </c>
      <c r="AT23" s="189">
        <v>100019248.09999999</v>
      </c>
      <c r="AU23" s="189">
        <v>70150344.140000001</v>
      </c>
      <c r="AV23" s="189">
        <v>20138013.73</v>
      </c>
      <c r="AW23" s="189">
        <v>73766187.829999998</v>
      </c>
      <c r="AX23" s="189">
        <v>67631937.579999998</v>
      </c>
      <c r="AY23" s="189">
        <v>51814119.719999999</v>
      </c>
      <c r="AZ23" s="189">
        <v>13217875.050000001</v>
      </c>
      <c r="BA23" s="189">
        <v>38576546.719999999</v>
      </c>
      <c r="BB23" s="189">
        <v>44687058.759999998</v>
      </c>
      <c r="BC23" s="189">
        <v>32125503.48</v>
      </c>
      <c r="BD23" s="189">
        <v>12918088.49</v>
      </c>
      <c r="BE23" s="189">
        <v>47323277.619999997</v>
      </c>
      <c r="BF23" s="189">
        <v>62712115.909999996</v>
      </c>
      <c r="BG23" s="189">
        <v>45546730.869999997</v>
      </c>
      <c r="BH23" s="189">
        <v>15048293.550000001</v>
      </c>
      <c r="BI23" s="189">
        <v>81069361.469999999</v>
      </c>
      <c r="BJ23" s="189">
        <v>77514752.989999995</v>
      </c>
      <c r="BK23" s="189">
        <v>55793274.619999997</v>
      </c>
      <c r="BL23" s="189">
        <v>12538133.380000001</v>
      </c>
      <c r="BM23" s="189">
        <v>75361961.530000001</v>
      </c>
      <c r="BN23" s="189">
        <v>75172324.730000004</v>
      </c>
      <c r="BO23" s="189">
        <v>54204006.490000002</v>
      </c>
      <c r="BP23" s="189">
        <v>12383381.01</v>
      </c>
      <c r="BQ23" s="189">
        <v>72975839.939999998</v>
      </c>
      <c r="BR23" s="189">
        <v>44108693.740000002</v>
      </c>
      <c r="BS23" s="189">
        <v>47498905</v>
      </c>
      <c r="BT23" s="189">
        <v>35510667.549999997</v>
      </c>
      <c r="BU23" s="189">
        <v>26392780.109999999</v>
      </c>
      <c r="BV23" s="189">
        <v>35086199.840000004</v>
      </c>
      <c r="BW23" s="189">
        <v>0</v>
      </c>
    </row>
    <row r="24" spans="1:75" x14ac:dyDescent="0.25">
      <c r="A24" s="189" t="s">
        <v>211</v>
      </c>
      <c r="B24" s="189">
        <v>0</v>
      </c>
      <c r="C24" s="189">
        <v>0</v>
      </c>
      <c r="D24" s="189">
        <v>0</v>
      </c>
      <c r="E24" s="189">
        <v>0</v>
      </c>
      <c r="F24" s="189">
        <v>0</v>
      </c>
      <c r="G24" s="189">
        <v>0</v>
      </c>
      <c r="H24" s="189">
        <v>0</v>
      </c>
      <c r="I24" s="189">
        <v>0</v>
      </c>
      <c r="J24" s="189">
        <v>0</v>
      </c>
      <c r="K24" s="189">
        <v>0</v>
      </c>
      <c r="L24" s="189">
        <v>0</v>
      </c>
      <c r="M24" s="189">
        <v>1058.49</v>
      </c>
      <c r="N24" s="189">
        <v>1058.49</v>
      </c>
      <c r="O24" s="189">
        <v>1058.49</v>
      </c>
      <c r="P24" s="189">
        <v>1058.49</v>
      </c>
      <c r="Q24" s="189">
        <v>9611951.75</v>
      </c>
      <c r="R24" s="189">
        <v>9739802.5500000007</v>
      </c>
      <c r="S24" s="189">
        <v>3937797.48</v>
      </c>
      <c r="T24" s="189">
        <v>618739.6</v>
      </c>
      <c r="U24" s="189">
        <v>19545590.390000001</v>
      </c>
      <c r="V24" s="189">
        <v>5204579.12</v>
      </c>
      <c r="W24" s="189">
        <v>-189034.35</v>
      </c>
      <c r="X24" s="189">
        <v>56586.89</v>
      </c>
      <c r="Y24" s="189">
        <v>13305358.49</v>
      </c>
      <c r="Z24" s="189">
        <v>2926151.43</v>
      </c>
      <c r="AA24" s="189">
        <v>1254131.1299999999</v>
      </c>
      <c r="AB24" s="189">
        <v>384784.17</v>
      </c>
      <c r="AC24" s="189">
        <v>3750910.21</v>
      </c>
      <c r="AD24" s="189">
        <v>277696.8</v>
      </c>
      <c r="AE24" s="189">
        <v>-1370753.9</v>
      </c>
      <c r="AF24" s="189">
        <v>1176805.26</v>
      </c>
      <c r="AG24" s="189">
        <v>-25949732.390000001</v>
      </c>
      <c r="AH24" s="189">
        <v>-5242139.1100000003</v>
      </c>
      <c r="AI24" s="189">
        <v>-6752522.7599999998</v>
      </c>
      <c r="AJ24" s="189">
        <v>-4867699.58</v>
      </c>
      <c r="AK24" s="189">
        <v>5548993.0099999998</v>
      </c>
      <c r="AL24" s="189">
        <v>-4429478.74</v>
      </c>
      <c r="AM24" s="189">
        <v>-2392088.4500000002</v>
      </c>
      <c r="AN24" s="189">
        <v>-2516668.96</v>
      </c>
      <c r="AO24" s="189">
        <v>1584927.52</v>
      </c>
      <c r="AP24" s="189">
        <v>10173508.6</v>
      </c>
      <c r="AQ24" s="189">
        <v>7653484.5499999998</v>
      </c>
      <c r="AR24" s="189">
        <v>3140334.64</v>
      </c>
      <c r="AS24" s="189">
        <v>16474807.26</v>
      </c>
      <c r="AT24" s="189">
        <v>10034387.07</v>
      </c>
      <c r="AU24" s="189">
        <v>4311083.28</v>
      </c>
      <c r="AV24" s="189">
        <v>2026744.72</v>
      </c>
      <c r="AW24" s="189">
        <v>10999844.699999999</v>
      </c>
      <c r="AX24" s="189">
        <v>5676617.4699999997</v>
      </c>
      <c r="AY24" s="189">
        <v>2567448.36</v>
      </c>
      <c r="AZ24" s="189">
        <v>671337.45</v>
      </c>
      <c r="BA24" s="189">
        <v>12214006.640000001</v>
      </c>
      <c r="BB24" s="189">
        <v>7329842.04</v>
      </c>
      <c r="BC24" s="189">
        <v>5492705.29</v>
      </c>
      <c r="BD24" s="189">
        <v>1937877.08</v>
      </c>
      <c r="BE24" s="189">
        <v>9902983.5999999996</v>
      </c>
      <c r="BF24" s="189">
        <v>8941406.5800000001</v>
      </c>
      <c r="BG24" s="189">
        <v>4205751.8099999996</v>
      </c>
      <c r="BH24" s="189">
        <v>1656273.14</v>
      </c>
      <c r="BI24" s="189">
        <v>9443172.2300000004</v>
      </c>
      <c r="BJ24" s="189">
        <v>5118514.33</v>
      </c>
      <c r="BK24" s="189">
        <v>3547748.11</v>
      </c>
      <c r="BL24" s="189">
        <v>593777.16</v>
      </c>
      <c r="BM24" s="189">
        <v>2211557.9700000002</v>
      </c>
      <c r="BN24" s="189">
        <v>1000187.72</v>
      </c>
      <c r="BO24" s="189">
        <v>-90461.11</v>
      </c>
      <c r="BP24" s="189">
        <v>-62493.31</v>
      </c>
      <c r="BQ24" s="189">
        <v>-294764.5</v>
      </c>
      <c r="BR24" s="189">
        <v>-324751.78000000003</v>
      </c>
      <c r="BS24" s="189">
        <v>-231222.66</v>
      </c>
      <c r="BT24" s="189">
        <v>-77292.58</v>
      </c>
      <c r="BU24" s="189">
        <v>-205875.82</v>
      </c>
      <c r="BV24" s="189">
        <v>-3447689.04</v>
      </c>
      <c r="BW24" s="189">
        <v>0</v>
      </c>
    </row>
    <row r="25" spans="1:75" x14ac:dyDescent="0.25">
      <c r="A25" s="189" t="s">
        <v>212</v>
      </c>
    </row>
    <row r="26" spans="1:75" x14ac:dyDescent="0.25">
      <c r="A26" s="189" t="s">
        <v>213</v>
      </c>
      <c r="B26" s="189">
        <v>0.68</v>
      </c>
      <c r="C26" s="189">
        <v>0.47</v>
      </c>
      <c r="D26" s="189">
        <v>0.22</v>
      </c>
      <c r="E26" s="189">
        <v>0.57999999999999996</v>
      </c>
      <c r="F26" s="189">
        <v>0.45</v>
      </c>
      <c r="G26" s="189">
        <v>0.32</v>
      </c>
      <c r="H26" s="189">
        <v>0.16</v>
      </c>
      <c r="I26" s="189">
        <v>0.32</v>
      </c>
      <c r="J26" s="189">
        <v>0.64</v>
      </c>
      <c r="K26" s="189">
        <v>0.55000000000000004</v>
      </c>
      <c r="L26" s="189">
        <v>0.19</v>
      </c>
      <c r="M26" s="189">
        <v>3.31</v>
      </c>
      <c r="N26" s="189">
        <v>1.18</v>
      </c>
      <c r="O26" s="189">
        <v>0.95</v>
      </c>
      <c r="P26" s="189">
        <v>0.28000000000000003</v>
      </c>
      <c r="Q26" s="189">
        <v>1.34</v>
      </c>
      <c r="R26" s="189">
        <v>1.08</v>
      </c>
      <c r="S26" s="189">
        <v>0.85</v>
      </c>
      <c r="T26" s="189">
        <v>0.24</v>
      </c>
      <c r="U26" s="189">
        <v>1.19</v>
      </c>
      <c r="V26" s="189">
        <v>1.1399999999999999</v>
      </c>
      <c r="W26" s="189">
        <v>1.01</v>
      </c>
      <c r="X26" s="189">
        <v>0.28000000000000003</v>
      </c>
      <c r="Y26" s="189">
        <v>1.41</v>
      </c>
      <c r="Z26" s="189">
        <v>1.07</v>
      </c>
      <c r="AA26" s="189">
        <v>0.8</v>
      </c>
      <c r="AB26" s="189">
        <v>0.21</v>
      </c>
      <c r="AC26" s="189">
        <v>0.85</v>
      </c>
      <c r="AD26" s="189">
        <v>0.66</v>
      </c>
      <c r="AE26" s="189">
        <v>0.49</v>
      </c>
      <c r="AF26" s="189">
        <v>0.14000000000000001</v>
      </c>
      <c r="AG26" s="189">
        <v>0.65</v>
      </c>
      <c r="AH26" s="189">
        <v>0.49</v>
      </c>
      <c r="AI26" s="189">
        <v>0.38</v>
      </c>
      <c r="AJ26" s="189">
        <v>0.14000000000000001</v>
      </c>
      <c r="AK26" s="189">
        <v>0.72</v>
      </c>
      <c r="AL26" s="189">
        <v>0.57999999999999996</v>
      </c>
      <c r="AM26" s="189">
        <v>0.45</v>
      </c>
      <c r="AN26" s="189">
        <v>0.17</v>
      </c>
      <c r="AO26" s="189">
        <v>0.86</v>
      </c>
      <c r="AP26" s="189">
        <v>0.69</v>
      </c>
      <c r="AQ26" s="189">
        <v>0.49</v>
      </c>
      <c r="AR26" s="189">
        <v>0.15</v>
      </c>
      <c r="AS26" s="189">
        <v>0.76</v>
      </c>
      <c r="AT26" s="189">
        <v>0.56999999999999995</v>
      </c>
      <c r="AU26" s="189">
        <v>0.4</v>
      </c>
      <c r="AV26" s="189">
        <v>0.11</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row>
    <row r="27" spans="1:75" x14ac:dyDescent="0.25">
      <c r="A27" s="189" t="s">
        <v>214</v>
      </c>
      <c r="B27" s="189">
        <v>0.68</v>
      </c>
      <c r="C27" s="189">
        <v>0.47</v>
      </c>
      <c r="D27" s="189">
        <v>0.22</v>
      </c>
      <c r="E27" s="189">
        <v>0.57999999999999996</v>
      </c>
      <c r="F27" s="189">
        <v>0.45</v>
      </c>
      <c r="G27" s="189">
        <v>0.32</v>
      </c>
      <c r="H27" s="189">
        <v>0.16</v>
      </c>
      <c r="I27" s="189">
        <v>0.32</v>
      </c>
      <c r="J27" s="189">
        <v>0.64</v>
      </c>
      <c r="K27" s="189">
        <v>0.55000000000000004</v>
      </c>
      <c r="L27" s="189">
        <v>0.19</v>
      </c>
      <c r="M27" s="189">
        <v>3.3</v>
      </c>
      <c r="N27" s="189">
        <v>1.18</v>
      </c>
      <c r="O27" s="189">
        <v>0.95</v>
      </c>
      <c r="P27" s="189">
        <v>0.28000000000000003</v>
      </c>
      <c r="Q27" s="189">
        <v>1.34</v>
      </c>
      <c r="R27" s="189">
        <v>1.08</v>
      </c>
      <c r="S27" s="189">
        <v>0.85</v>
      </c>
      <c r="T27" s="189">
        <v>0.24</v>
      </c>
      <c r="U27" s="189">
        <v>1.19</v>
      </c>
      <c r="V27" s="189">
        <v>1.1399999999999999</v>
      </c>
      <c r="W27" s="189">
        <v>1.01</v>
      </c>
      <c r="X27" s="189">
        <v>0.28000000000000003</v>
      </c>
      <c r="Y27" s="189">
        <v>1.41</v>
      </c>
      <c r="Z27" s="189">
        <v>1.07</v>
      </c>
      <c r="AA27" s="189">
        <v>0.8</v>
      </c>
      <c r="AB27" s="189">
        <v>0.21</v>
      </c>
      <c r="AC27" s="189">
        <v>0.85</v>
      </c>
      <c r="AD27" s="189">
        <v>0.66</v>
      </c>
      <c r="AE27" s="189">
        <v>0.49</v>
      </c>
      <c r="AF27" s="189">
        <v>0.14000000000000001</v>
      </c>
      <c r="AG27" s="189">
        <v>0.65</v>
      </c>
      <c r="AH27" s="189">
        <v>0.49</v>
      </c>
      <c r="AI27" s="189">
        <v>0.38</v>
      </c>
      <c r="AJ27" s="189">
        <v>0.14000000000000001</v>
      </c>
      <c r="AK27" s="189">
        <v>0.72</v>
      </c>
      <c r="AL27" s="189">
        <v>0.57999999999999996</v>
      </c>
      <c r="AM27" s="189">
        <v>0.45</v>
      </c>
      <c r="AN27" s="189">
        <v>0.17</v>
      </c>
      <c r="AO27" s="189">
        <v>0.86</v>
      </c>
      <c r="AP27" s="189">
        <v>0.69</v>
      </c>
      <c r="AQ27" s="189">
        <v>0.49</v>
      </c>
      <c r="AR27" s="189">
        <v>0.15</v>
      </c>
      <c r="AS27" s="189">
        <v>0.76</v>
      </c>
      <c r="AT27" s="189">
        <v>0.56999999999999995</v>
      </c>
      <c r="AU27" s="189">
        <v>0.4</v>
      </c>
      <c r="AV27" s="189">
        <v>0.11</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row>
    <row r="28" spans="1:75" x14ac:dyDescent="0.25">
      <c r="A28" s="189" t="s">
        <v>215</v>
      </c>
      <c r="B28" s="189">
        <v>105287615.7</v>
      </c>
      <c r="C28" s="189">
        <v>44298471.009999998</v>
      </c>
      <c r="D28" s="189">
        <v>74524561.200000003</v>
      </c>
      <c r="E28" s="189">
        <v>39471772.520000003</v>
      </c>
      <c r="F28" s="189">
        <v>25467495.850000001</v>
      </c>
      <c r="G28" s="189">
        <v>9416566.2400000002</v>
      </c>
      <c r="H28" s="189">
        <v>3172270.62</v>
      </c>
      <c r="I28" s="189">
        <v>-7424785.96</v>
      </c>
      <c r="J28" s="189">
        <v>-13285391.289999999</v>
      </c>
      <c r="K28" s="189">
        <v>-16300475.720000001</v>
      </c>
      <c r="L28" s="189">
        <v>-6367526.5899999999</v>
      </c>
      <c r="M28" s="189">
        <v>49003808.479999997</v>
      </c>
      <c r="N28" s="189">
        <v>33128575.16</v>
      </c>
      <c r="O28" s="189">
        <v>91048328.540000007</v>
      </c>
      <c r="P28" s="189">
        <v>-879685.43</v>
      </c>
      <c r="Q28" s="189">
        <v>-7971639.21</v>
      </c>
      <c r="R28" s="189">
        <v>7528320.3499999996</v>
      </c>
      <c r="S28" s="189">
        <v>3932696.72</v>
      </c>
      <c r="T28" s="189">
        <v>-281783.76</v>
      </c>
      <c r="U28" s="189">
        <v>3897058.6</v>
      </c>
      <c r="V28" s="189">
        <v>18063153.420000002</v>
      </c>
      <c r="W28" s="189">
        <v>15236224.15</v>
      </c>
      <c r="X28" s="189">
        <v>8555919.7799999993</v>
      </c>
      <c r="Y28" s="189">
        <v>7749869.9500000002</v>
      </c>
      <c r="Z28" s="189">
        <v>115828.61</v>
      </c>
      <c r="AA28" s="189">
        <v>31013.19</v>
      </c>
      <c r="AB28" s="189">
        <v>58804.19</v>
      </c>
      <c r="AC28" s="189">
        <v>-415622.86</v>
      </c>
      <c r="AD28" s="189">
        <v>-302180.96000000002</v>
      </c>
      <c r="AE28" s="189">
        <v>-92223</v>
      </c>
      <c r="AF28" s="189">
        <v>-28320.67</v>
      </c>
      <c r="AG28" s="189">
        <v>-402178.99</v>
      </c>
      <c r="AH28" s="189">
        <v>-112477.2</v>
      </c>
      <c r="AI28" s="189">
        <v>-53660.04</v>
      </c>
      <c r="AJ28" s="189">
        <v>0</v>
      </c>
      <c r="AK28" s="189">
        <v>-7654.48</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row>
    <row r="29" spans="1:75" x14ac:dyDescent="0.25">
      <c r="A29" s="189" t="s">
        <v>216</v>
      </c>
      <c r="B29" s="189">
        <v>559084058.52999997</v>
      </c>
      <c r="C29" s="189">
        <v>361121503.87</v>
      </c>
      <c r="D29" s="189">
        <v>225204000.52000001</v>
      </c>
      <c r="E29" s="189">
        <v>429273662.89999998</v>
      </c>
      <c r="F29" s="189">
        <v>327623764.04000002</v>
      </c>
      <c r="G29" s="189">
        <v>225658848.06999999</v>
      </c>
      <c r="H29" s="189">
        <v>111451870.98</v>
      </c>
      <c r="I29" s="189">
        <v>208591907.97</v>
      </c>
      <c r="J29" s="189">
        <v>420142335.61000001</v>
      </c>
      <c r="K29" s="189">
        <v>356051287.42000002</v>
      </c>
      <c r="L29" s="189">
        <v>121061433.16</v>
      </c>
      <c r="M29" s="189">
        <v>2258965884.2399998</v>
      </c>
      <c r="N29" s="189">
        <v>823568554.92999995</v>
      </c>
      <c r="O29" s="189">
        <v>731848942</v>
      </c>
      <c r="P29" s="189">
        <v>188939769.66999999</v>
      </c>
      <c r="Q29" s="189">
        <v>899561159.85000002</v>
      </c>
      <c r="R29" s="189">
        <v>745365894.96000004</v>
      </c>
      <c r="S29" s="189">
        <v>581402454.77999997</v>
      </c>
      <c r="T29" s="189">
        <v>163961843.53999999</v>
      </c>
      <c r="U29" s="189">
        <v>823596737.50999999</v>
      </c>
      <c r="V29" s="189">
        <v>646104569.08000004</v>
      </c>
      <c r="W29" s="189">
        <v>504924626.24000001</v>
      </c>
      <c r="X29" s="189">
        <v>132689135.61</v>
      </c>
      <c r="Y29" s="189">
        <v>635687453.38</v>
      </c>
      <c r="Z29" s="189">
        <v>481046260.49000001</v>
      </c>
      <c r="AA29" s="189">
        <v>361684788.32999998</v>
      </c>
      <c r="AB29" s="189">
        <v>89715403.159999996</v>
      </c>
      <c r="AC29" s="189">
        <v>364589241.38999999</v>
      </c>
      <c r="AD29" s="189">
        <v>279995440.05000001</v>
      </c>
      <c r="AE29" s="189">
        <v>205751883.5</v>
      </c>
      <c r="AF29" s="189">
        <v>61312768.549999997</v>
      </c>
      <c r="AG29" s="189">
        <v>249278813.81</v>
      </c>
      <c r="AH29" s="189">
        <v>203968942.69999999</v>
      </c>
      <c r="AI29" s="189">
        <v>152645993.91</v>
      </c>
      <c r="AJ29" s="189">
        <v>41690606.090000004</v>
      </c>
      <c r="AK29" s="189">
        <v>238826994.27000001</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row>
    <row r="30" spans="1:75" x14ac:dyDescent="0.25">
      <c r="A30" s="189" t="s">
        <v>217</v>
      </c>
      <c r="B30" s="189">
        <v>559084058.52999997</v>
      </c>
      <c r="C30" s="189">
        <v>361121503.87</v>
      </c>
      <c r="D30" s="189">
        <v>225204000.52000001</v>
      </c>
      <c r="E30" s="189">
        <v>429273662.89999998</v>
      </c>
      <c r="F30" s="189">
        <v>327623764.04000002</v>
      </c>
      <c r="G30" s="189">
        <v>225658848.06999999</v>
      </c>
      <c r="H30" s="189">
        <v>111451870.98</v>
      </c>
      <c r="I30" s="189">
        <v>208591907.97</v>
      </c>
      <c r="J30" s="189">
        <v>420142335.61000001</v>
      </c>
      <c r="K30" s="189">
        <v>356051287.42000002</v>
      </c>
      <c r="L30" s="189">
        <v>121061433.16</v>
      </c>
      <c r="M30" s="189">
        <v>2258964825.75</v>
      </c>
      <c r="N30" s="189">
        <v>823567496.44000006</v>
      </c>
      <c r="O30" s="189">
        <v>731847883.50999999</v>
      </c>
      <c r="P30" s="189">
        <v>188938711.18000001</v>
      </c>
      <c r="Q30" s="189">
        <v>889949208.10000002</v>
      </c>
      <c r="R30" s="189">
        <v>735626092.40999997</v>
      </c>
      <c r="S30" s="189">
        <v>577464657.29999995</v>
      </c>
      <c r="T30" s="189">
        <v>163343103.94</v>
      </c>
      <c r="U30" s="189">
        <v>804051147.12</v>
      </c>
      <c r="V30" s="189">
        <v>640899989.96000004</v>
      </c>
      <c r="W30" s="189">
        <v>505113660.58999997</v>
      </c>
      <c r="X30" s="189">
        <v>132632548.72</v>
      </c>
      <c r="Y30" s="189">
        <v>622382094.88999999</v>
      </c>
      <c r="Z30" s="189">
        <v>478120109.06</v>
      </c>
      <c r="AA30" s="189">
        <v>360430657.19999999</v>
      </c>
      <c r="AB30" s="189">
        <v>89330618.989999995</v>
      </c>
      <c r="AC30" s="189">
        <v>360838331.18000001</v>
      </c>
      <c r="AD30" s="189">
        <v>279717743.25</v>
      </c>
      <c r="AE30" s="189">
        <v>207122637.40000001</v>
      </c>
      <c r="AF30" s="189">
        <v>60135963.289999999</v>
      </c>
      <c r="AG30" s="189">
        <v>275228546.19999999</v>
      </c>
      <c r="AH30" s="189">
        <v>209211081.81</v>
      </c>
      <c r="AI30" s="189">
        <v>159398516.66999999</v>
      </c>
      <c r="AJ30" s="189">
        <v>46558305.670000002</v>
      </c>
      <c r="AK30" s="189">
        <v>233278001.25999999</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row>
    <row r="31" spans="1:75" x14ac:dyDescent="0.25">
      <c r="A31" s="189" t="s">
        <v>218</v>
      </c>
      <c r="B31" s="189">
        <v>0</v>
      </c>
      <c r="C31" s="189">
        <v>0</v>
      </c>
      <c r="D31" s="189">
        <v>0</v>
      </c>
      <c r="E31" s="189">
        <v>0</v>
      </c>
      <c r="F31" s="189">
        <v>0</v>
      </c>
      <c r="G31" s="189">
        <v>0</v>
      </c>
      <c r="H31" s="189">
        <v>0</v>
      </c>
      <c r="I31" s="189">
        <v>0</v>
      </c>
      <c r="J31" s="189">
        <v>0</v>
      </c>
      <c r="K31" s="189">
        <v>0</v>
      </c>
      <c r="L31" s="189">
        <v>0</v>
      </c>
      <c r="M31" s="189">
        <v>1058.49</v>
      </c>
      <c r="N31" s="189">
        <v>1058.49</v>
      </c>
      <c r="O31" s="189">
        <v>1058.49</v>
      </c>
      <c r="P31" s="189">
        <v>1058.49</v>
      </c>
      <c r="Q31" s="189">
        <v>9611951.75</v>
      </c>
      <c r="R31" s="189">
        <v>9739802.5500000007</v>
      </c>
      <c r="S31" s="189">
        <v>3937797.48</v>
      </c>
      <c r="T31" s="189">
        <v>618739.6</v>
      </c>
      <c r="U31" s="189">
        <v>19545590.390000001</v>
      </c>
      <c r="V31" s="189">
        <v>5204579.12</v>
      </c>
      <c r="W31" s="189">
        <v>-189034.35</v>
      </c>
      <c r="X31" s="189">
        <v>56586.89</v>
      </c>
      <c r="Y31" s="189">
        <v>13305358.49</v>
      </c>
      <c r="Z31" s="189">
        <v>2926151.43</v>
      </c>
      <c r="AA31" s="189">
        <v>1254131.1299999999</v>
      </c>
      <c r="AB31" s="189">
        <v>384784.17</v>
      </c>
      <c r="AC31" s="189">
        <v>3750910.21</v>
      </c>
      <c r="AD31" s="189">
        <v>277696.8</v>
      </c>
      <c r="AE31" s="189">
        <v>-1370753.9</v>
      </c>
      <c r="AF31" s="189">
        <v>1176805.26</v>
      </c>
      <c r="AG31" s="189">
        <v>-25949732.390000001</v>
      </c>
      <c r="AH31" s="189">
        <v>-5242139.1100000003</v>
      </c>
      <c r="AI31" s="189">
        <v>-6752522.7599999998</v>
      </c>
      <c r="AJ31" s="189">
        <v>-4867699.58</v>
      </c>
      <c r="AK31" s="189">
        <v>5548993.0099999998</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S77"/>
  <sheetViews>
    <sheetView workbookViewId="0">
      <selection activeCell="A31" sqref="A31"/>
    </sheetView>
  </sheetViews>
  <sheetFormatPr defaultRowHeight="14.4" x14ac:dyDescent="0.25"/>
  <cols>
    <col min="1" max="1" width="57.77734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19" width="13.88671875" style="189" hidden="1" customWidth="1"/>
    <col min="20" max="20" width="12.77734375" style="189" hidden="1" customWidth="1"/>
    <col min="21" max="21" width="13.88671875" style="189" bestFit="1" customWidth="1"/>
    <col min="22" max="23" width="13.88671875" style="189" hidden="1" customWidth="1"/>
    <col min="24" max="24" width="12.777343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6" width="13.886718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3.88671875" style="189" bestFit="1" customWidth="1"/>
    <col min="66" max="66" width="13.88671875" style="189" hidden="1" customWidth="1"/>
    <col min="67" max="67" width="13.88671875" style="189" bestFit="1" customWidth="1"/>
    <col min="68" max="68" width="13.88671875" style="189" hidden="1" customWidth="1"/>
    <col min="69" max="70" width="13.88671875" style="189" bestFit="1" customWidth="1"/>
    <col min="71" max="71" width="9.5546875" style="189" hidden="1" customWidth="1"/>
    <col min="72" max="16384" width="8.88671875" style="189"/>
  </cols>
  <sheetData>
    <row r="1" spans="1:71" x14ac:dyDescent="0.25">
      <c r="A1" s="189">
        <v>600315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19991231</v>
      </c>
      <c r="BS1" s="189">
        <v>19700101</v>
      </c>
    </row>
    <row r="2" spans="1:71"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row>
    <row r="3" spans="1:71" x14ac:dyDescent="0.25">
      <c r="A3" s="189" t="s">
        <v>219</v>
      </c>
    </row>
    <row r="4" spans="1:71" x14ac:dyDescent="0.25">
      <c r="A4" s="189" t="s">
        <v>220</v>
      </c>
      <c r="B4" s="189">
        <v>5780836512.29</v>
      </c>
      <c r="C4" s="189">
        <v>3856123949</v>
      </c>
      <c r="D4" s="189">
        <v>1947891536.1199999</v>
      </c>
      <c r="E4" s="189">
        <v>7018722481.6899996</v>
      </c>
      <c r="F4" s="189">
        <v>4098400751.23</v>
      </c>
      <c r="G4" s="189">
        <v>2778132605.6700001</v>
      </c>
      <c r="H4" s="189">
        <v>1366147791.29</v>
      </c>
      <c r="I4" s="189">
        <v>6346404043.75</v>
      </c>
      <c r="J4" s="189">
        <v>4646135298.5900002</v>
      </c>
      <c r="K4" s="189">
        <v>3261364255.0599999</v>
      </c>
      <c r="L4" s="189">
        <v>1674876882.6099999</v>
      </c>
      <c r="M4" s="189">
        <v>6571065639.7299995</v>
      </c>
      <c r="N4" s="189">
        <v>4604899096.2399998</v>
      </c>
      <c r="O4" s="189">
        <v>3202059176.5900002</v>
      </c>
      <c r="P4" s="189">
        <v>1528576881.6099999</v>
      </c>
      <c r="Q4" s="189">
        <v>6122649185.1499996</v>
      </c>
      <c r="R4" s="189">
        <v>4416663082.2399998</v>
      </c>
      <c r="S4" s="189">
        <v>2865450760.21</v>
      </c>
      <c r="T4" s="189">
        <v>1455319029.47</v>
      </c>
      <c r="U4" s="189">
        <v>6059629166.0799999</v>
      </c>
      <c r="V4" s="189">
        <v>4203350085.46</v>
      </c>
      <c r="W4" s="189">
        <v>2611229548.8499999</v>
      </c>
      <c r="X4" s="189">
        <v>1254155023.02</v>
      </c>
      <c r="Y4" s="189">
        <v>5279066759.3599997</v>
      </c>
      <c r="Z4" s="189">
        <v>3665000107.9000001</v>
      </c>
      <c r="AA4" s="189">
        <v>2269817868.8299999</v>
      </c>
      <c r="AB4" s="189">
        <v>935313951.22000003</v>
      </c>
      <c r="AC4" s="189">
        <v>4058120003.4699998</v>
      </c>
      <c r="AD4" s="189">
        <v>2821659728.9499998</v>
      </c>
      <c r="AE4" s="189">
        <v>1693201328.27</v>
      </c>
      <c r="AF4" s="189">
        <v>793158466.24000001</v>
      </c>
      <c r="AG4" s="189">
        <v>3320852867.0500002</v>
      </c>
      <c r="AH4" s="189">
        <v>2532309747.8000002</v>
      </c>
      <c r="AI4" s="189">
        <v>1586313598.46</v>
      </c>
      <c r="AJ4" s="189">
        <v>750871826.34000003</v>
      </c>
      <c r="AK4" s="189">
        <v>3108571230.3400002</v>
      </c>
      <c r="AL4" s="189">
        <v>2380319020.8000002</v>
      </c>
      <c r="AM4" s="189">
        <v>1559874557.3099999</v>
      </c>
      <c r="AN4" s="189">
        <v>671069812.02999997</v>
      </c>
      <c r="AO4" s="189">
        <v>2869623711.21</v>
      </c>
      <c r="AP4" s="189">
        <v>2293747081.5300002</v>
      </c>
      <c r="AQ4" s="189">
        <v>1452262314.29</v>
      </c>
      <c r="AR4" s="189">
        <v>518875568.29000002</v>
      </c>
      <c r="AS4" s="189">
        <v>2608532151.4299998</v>
      </c>
      <c r="AT4" s="189">
        <v>1969809545.1700001</v>
      </c>
      <c r="AU4" s="189">
        <v>1179855276.3699999</v>
      </c>
      <c r="AV4" s="189">
        <v>485829336.91000003</v>
      </c>
      <c r="AW4" s="189">
        <v>2748538742.3099999</v>
      </c>
      <c r="AX4" s="189">
        <v>2062101041.8199999</v>
      </c>
      <c r="AY4" s="189">
        <v>1324770298.96</v>
      </c>
      <c r="AZ4" s="189">
        <v>562022838.51999998</v>
      </c>
      <c r="BA4" s="189">
        <v>2069647581.03</v>
      </c>
      <c r="BB4" s="189">
        <v>1729633999.3399999</v>
      </c>
      <c r="BC4" s="189">
        <v>1035991378.33</v>
      </c>
      <c r="BD4" s="189">
        <v>412853004.63</v>
      </c>
      <c r="BE4" s="189">
        <v>1994626249.9200001</v>
      </c>
      <c r="BF4" s="189">
        <v>1415181194.6300001</v>
      </c>
      <c r="BG4" s="189">
        <v>805277710.60000002</v>
      </c>
      <c r="BH4" s="189">
        <v>374661670.63999999</v>
      </c>
      <c r="BI4" s="189">
        <v>1823829220.3900001</v>
      </c>
      <c r="BJ4" s="189">
        <v>1348097135.49</v>
      </c>
      <c r="BK4" s="189">
        <v>822040299.67999995</v>
      </c>
      <c r="BL4" s="189">
        <v>299316504.37</v>
      </c>
      <c r="BM4" s="189">
        <v>1651443024.6800001</v>
      </c>
      <c r="BN4" s="189">
        <v>696493184.23000002</v>
      </c>
      <c r="BO4" s="189">
        <v>1483791295.24</v>
      </c>
      <c r="BP4" s="189">
        <v>684757594.89999998</v>
      </c>
      <c r="BQ4" s="189">
        <v>1448723668.6600001</v>
      </c>
      <c r="BR4" s="189">
        <v>1528352245.3399999</v>
      </c>
      <c r="BS4" s="189">
        <v>0</v>
      </c>
    </row>
    <row r="5" spans="1:71" x14ac:dyDescent="0.25">
      <c r="A5" s="189" t="s">
        <v>221</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231103.33</v>
      </c>
      <c r="AC5" s="189">
        <v>0</v>
      </c>
      <c r="AD5" s="189">
        <v>5659670.1600000001</v>
      </c>
      <c r="AE5" s="189">
        <v>1131164.6100000001</v>
      </c>
      <c r="AF5" s="189">
        <v>419734.94</v>
      </c>
      <c r="AG5" s="189">
        <v>0</v>
      </c>
      <c r="AH5" s="189">
        <v>3027041.76</v>
      </c>
      <c r="AI5" s="189">
        <v>2385433.65</v>
      </c>
      <c r="AJ5" s="189">
        <v>608786.06999999995</v>
      </c>
      <c r="AK5" s="189">
        <v>0</v>
      </c>
      <c r="AL5" s="189">
        <v>2309845.6800000002</v>
      </c>
      <c r="AM5" s="189">
        <v>1760575.95</v>
      </c>
      <c r="AN5" s="189">
        <v>1750791.42</v>
      </c>
      <c r="AO5" s="189">
        <v>3445589.43</v>
      </c>
      <c r="AP5" s="189">
        <v>3305874.55</v>
      </c>
      <c r="AQ5" s="189">
        <v>4864573.4400000004</v>
      </c>
      <c r="AR5" s="189">
        <v>709670.21</v>
      </c>
      <c r="AS5" s="189">
        <v>5403689.1600000001</v>
      </c>
      <c r="AT5" s="189">
        <v>3442325.55</v>
      </c>
      <c r="AU5" s="189">
        <v>1072222.95</v>
      </c>
      <c r="AV5" s="189">
        <v>100161.32</v>
      </c>
      <c r="AW5" s="189">
        <v>27922517.969999999</v>
      </c>
      <c r="AX5" s="189">
        <v>19765338.48</v>
      </c>
      <c r="AY5" s="189">
        <v>10864149.65</v>
      </c>
      <c r="AZ5" s="189">
        <v>3990110.7</v>
      </c>
      <c r="BA5" s="189">
        <v>26453869.800000001</v>
      </c>
      <c r="BB5" s="189">
        <v>21163610.170000002</v>
      </c>
      <c r="BC5" s="189">
        <v>12113189.75</v>
      </c>
      <c r="BD5" s="189">
        <v>3950673.68</v>
      </c>
      <c r="BE5" s="189">
        <v>6177607.9400000004</v>
      </c>
      <c r="BF5" s="189">
        <v>17760987.52</v>
      </c>
      <c r="BG5" s="189">
        <v>24687.84</v>
      </c>
      <c r="BH5" s="189">
        <v>14426.19</v>
      </c>
      <c r="BI5" s="189">
        <v>174998.36</v>
      </c>
      <c r="BJ5" s="189">
        <v>430024.16</v>
      </c>
      <c r="BK5" s="189">
        <v>240552.69</v>
      </c>
      <c r="BL5" s="189">
        <v>80000</v>
      </c>
      <c r="BM5" s="189">
        <v>33000</v>
      </c>
      <c r="BN5" s="189">
        <v>63601.63</v>
      </c>
      <c r="BO5" s="189">
        <v>0</v>
      </c>
      <c r="BP5" s="189">
        <v>384382.9</v>
      </c>
      <c r="BQ5" s="189">
        <v>4523796.2699999996</v>
      </c>
      <c r="BR5" s="189">
        <v>73361.210000000006</v>
      </c>
      <c r="BS5" s="189">
        <v>0</v>
      </c>
    </row>
    <row r="6" spans="1:71" x14ac:dyDescent="0.25">
      <c r="A6" s="189" t="s">
        <v>222</v>
      </c>
      <c r="B6" s="189">
        <v>119270785.15000001</v>
      </c>
      <c r="C6" s="189">
        <v>35029639.5</v>
      </c>
      <c r="D6" s="189">
        <v>3315218.46</v>
      </c>
      <c r="E6" s="189">
        <v>64730532.619999997</v>
      </c>
      <c r="F6" s="189">
        <v>58371822.149999999</v>
      </c>
      <c r="G6" s="189">
        <v>50241213.079999998</v>
      </c>
      <c r="H6" s="189">
        <v>23026850.82</v>
      </c>
      <c r="I6" s="189">
        <v>80407203.519999996</v>
      </c>
      <c r="J6" s="189">
        <v>90490331.769999996</v>
      </c>
      <c r="K6" s="189">
        <v>67302987.290000007</v>
      </c>
      <c r="L6" s="189">
        <v>26409554.399999999</v>
      </c>
      <c r="M6" s="189">
        <v>64550389.719999999</v>
      </c>
      <c r="N6" s="189">
        <v>61390456.899999999</v>
      </c>
      <c r="O6" s="189">
        <v>94703702.200000003</v>
      </c>
      <c r="P6" s="189">
        <v>13983919.77</v>
      </c>
      <c r="Q6" s="189">
        <v>67995122.269999996</v>
      </c>
      <c r="R6" s="189">
        <v>56791040.719999999</v>
      </c>
      <c r="S6" s="189">
        <v>43810420.780000001</v>
      </c>
      <c r="T6" s="189">
        <v>10551201.300000001</v>
      </c>
      <c r="U6" s="189">
        <v>85899421.049999997</v>
      </c>
      <c r="V6" s="189">
        <v>58047910.960000001</v>
      </c>
      <c r="W6" s="189">
        <v>40382217.119999997</v>
      </c>
      <c r="X6" s="189">
        <v>17702825.190000001</v>
      </c>
      <c r="Y6" s="189">
        <v>35847772.450000003</v>
      </c>
      <c r="Z6" s="189">
        <v>31642910.079999998</v>
      </c>
      <c r="AA6" s="189">
        <v>16648595.460000001</v>
      </c>
      <c r="AB6" s="189">
        <v>6540039.2000000002</v>
      </c>
      <c r="AC6" s="189">
        <v>30283686.109999999</v>
      </c>
      <c r="AD6" s="189">
        <v>23887277.039999999</v>
      </c>
      <c r="AE6" s="189">
        <v>11769227.289999999</v>
      </c>
      <c r="AF6" s="189">
        <v>8243401.04</v>
      </c>
      <c r="AG6" s="189">
        <v>10176342.439999999</v>
      </c>
      <c r="AH6" s="189">
        <v>109069595.09</v>
      </c>
      <c r="AI6" s="189">
        <v>63910146.5</v>
      </c>
      <c r="AJ6" s="189">
        <v>17364917.289999999</v>
      </c>
      <c r="AK6" s="189">
        <v>39459599.140000001</v>
      </c>
      <c r="AL6" s="189">
        <v>81605760.200000003</v>
      </c>
      <c r="AM6" s="189">
        <v>59053150.460000001</v>
      </c>
      <c r="AN6" s="189">
        <v>17439954.43</v>
      </c>
      <c r="AO6" s="189">
        <v>90962198.659999996</v>
      </c>
      <c r="AP6" s="189">
        <v>62793883.799999997</v>
      </c>
      <c r="AQ6" s="189">
        <v>52826170.5</v>
      </c>
      <c r="AR6" s="189">
        <v>35600022.890000001</v>
      </c>
      <c r="AS6" s="189">
        <v>52091834.780000001</v>
      </c>
      <c r="AT6" s="189">
        <v>128881968.90000001</v>
      </c>
      <c r="AU6" s="189">
        <v>50927761.259999998</v>
      </c>
      <c r="AV6" s="189">
        <v>105940610.70999999</v>
      </c>
      <c r="AW6" s="189">
        <v>69139008.599999994</v>
      </c>
      <c r="AX6" s="189">
        <v>169260714.30000001</v>
      </c>
      <c r="AY6" s="189">
        <v>16946152.960000001</v>
      </c>
      <c r="AZ6" s="189">
        <v>-8509603.8100000005</v>
      </c>
      <c r="BA6" s="189">
        <v>60571750.740000002</v>
      </c>
      <c r="BB6" s="189">
        <v>142442380.59</v>
      </c>
      <c r="BC6" s="189">
        <v>49273062.869999997</v>
      </c>
      <c r="BD6" s="189">
        <v>44323385.020000003</v>
      </c>
      <c r="BE6" s="189">
        <v>100999945.06</v>
      </c>
      <c r="BF6" s="189">
        <v>85090812.859999999</v>
      </c>
      <c r="BG6" s="189">
        <v>85399090.540000007</v>
      </c>
      <c r="BH6" s="189">
        <v>41218843.119999997</v>
      </c>
      <c r="BI6" s="189">
        <v>15167669.73</v>
      </c>
      <c r="BJ6" s="189">
        <v>56302755.950000003</v>
      </c>
      <c r="BK6" s="189">
        <v>37800224.25</v>
      </c>
      <c r="BL6" s="189">
        <v>15772108.470000001</v>
      </c>
      <c r="BM6" s="189">
        <v>21269555.73</v>
      </c>
      <c r="BN6" s="189">
        <v>33743666.200000003</v>
      </c>
      <c r="BO6" s="189">
        <v>61632792.43</v>
      </c>
      <c r="BP6" s="189">
        <v>33802901.619999997</v>
      </c>
      <c r="BQ6" s="189">
        <v>13082321.01</v>
      </c>
      <c r="BR6" s="189">
        <v>86923883.109999999</v>
      </c>
      <c r="BS6" s="189">
        <v>0</v>
      </c>
    </row>
    <row r="7" spans="1:71" x14ac:dyDescent="0.25">
      <c r="A7" s="189" t="s">
        <v>223</v>
      </c>
      <c r="B7" s="189">
        <v>5900107297.4399996</v>
      </c>
      <c r="C7" s="189">
        <v>3891153588.5</v>
      </c>
      <c r="D7" s="189">
        <v>1951206754.5799999</v>
      </c>
      <c r="E7" s="189">
        <v>7083453014.3100004</v>
      </c>
      <c r="F7" s="189">
        <v>4156772573.3800001</v>
      </c>
      <c r="G7" s="189">
        <v>2828373818.75</v>
      </c>
      <c r="H7" s="189">
        <v>1389174642.1099999</v>
      </c>
      <c r="I7" s="189">
        <v>6426811247.2700005</v>
      </c>
      <c r="J7" s="189">
        <v>4736625630.3599997</v>
      </c>
      <c r="K7" s="189">
        <v>3328667242.3499999</v>
      </c>
      <c r="L7" s="189">
        <v>1701286437.01</v>
      </c>
      <c r="M7" s="189">
        <v>6635616029.4499998</v>
      </c>
      <c r="N7" s="189">
        <v>4666289553.1400003</v>
      </c>
      <c r="O7" s="189">
        <v>3296762878.79</v>
      </c>
      <c r="P7" s="189">
        <v>1542560801.3800001</v>
      </c>
      <c r="Q7" s="189">
        <v>6190644307.4200001</v>
      </c>
      <c r="R7" s="189">
        <v>4473454122.96</v>
      </c>
      <c r="S7" s="189">
        <v>2909261180.9899998</v>
      </c>
      <c r="T7" s="189">
        <v>1465870230.77</v>
      </c>
      <c r="U7" s="189">
        <v>6145528587.1300001</v>
      </c>
      <c r="V7" s="189">
        <v>4261397996.4200001</v>
      </c>
      <c r="W7" s="189">
        <v>2651611765.9699998</v>
      </c>
      <c r="X7" s="189">
        <v>1271857848.21</v>
      </c>
      <c r="Y7" s="189">
        <v>5314914531.8100004</v>
      </c>
      <c r="Z7" s="189">
        <v>3696643017.98</v>
      </c>
      <c r="AA7" s="189">
        <v>2286466464.29</v>
      </c>
      <c r="AB7" s="189">
        <v>942085093.75</v>
      </c>
      <c r="AC7" s="189">
        <v>4088403689.5799999</v>
      </c>
      <c r="AD7" s="189">
        <v>2851206676.1500001</v>
      </c>
      <c r="AE7" s="189">
        <v>1706101720.1700001</v>
      </c>
      <c r="AF7" s="189">
        <v>801821602.22000003</v>
      </c>
      <c r="AG7" s="189">
        <v>3331029209.4899998</v>
      </c>
      <c r="AH7" s="189">
        <v>2644406384.6500001</v>
      </c>
      <c r="AI7" s="189">
        <v>1652609178.6099999</v>
      </c>
      <c r="AJ7" s="189">
        <v>768845529.70000005</v>
      </c>
      <c r="AK7" s="189">
        <v>3148030829.48</v>
      </c>
      <c r="AL7" s="189">
        <v>2464234626.6799998</v>
      </c>
      <c r="AM7" s="189">
        <v>1620688283.72</v>
      </c>
      <c r="AN7" s="189">
        <v>690260557.88</v>
      </c>
      <c r="AO7" s="189">
        <v>2964031499.3000002</v>
      </c>
      <c r="AP7" s="189">
        <v>2359846839.8800001</v>
      </c>
      <c r="AQ7" s="189">
        <v>1509953058.23</v>
      </c>
      <c r="AR7" s="189">
        <v>555185261.38999999</v>
      </c>
      <c r="AS7" s="189">
        <v>2666027675.3699999</v>
      </c>
      <c r="AT7" s="189">
        <v>2102133839.6199999</v>
      </c>
      <c r="AU7" s="189">
        <v>1231855260.5799999</v>
      </c>
      <c r="AV7" s="189">
        <v>591870108.94000006</v>
      </c>
      <c r="AW7" s="189">
        <v>2845600268.8800001</v>
      </c>
      <c r="AX7" s="189">
        <v>2251127094.5999999</v>
      </c>
      <c r="AY7" s="189">
        <v>1352580601.5699999</v>
      </c>
      <c r="AZ7" s="189">
        <v>557503345.40999997</v>
      </c>
      <c r="BA7" s="189">
        <v>2156673201.5700002</v>
      </c>
      <c r="BB7" s="189">
        <v>1893239990.0999999</v>
      </c>
      <c r="BC7" s="189">
        <v>1097377630.95</v>
      </c>
      <c r="BD7" s="189">
        <v>461127063.32999998</v>
      </c>
      <c r="BE7" s="189">
        <v>2121361961.9200001</v>
      </c>
      <c r="BF7" s="189">
        <v>1518032995.01</v>
      </c>
      <c r="BG7" s="189">
        <v>890701488.98000002</v>
      </c>
      <c r="BH7" s="189">
        <v>415894939.94999999</v>
      </c>
      <c r="BI7" s="189">
        <v>1839171888.48</v>
      </c>
      <c r="BJ7" s="189">
        <v>1404829915.5999999</v>
      </c>
      <c r="BK7" s="189">
        <v>860081076.62</v>
      </c>
      <c r="BL7" s="189">
        <v>315168612.83999997</v>
      </c>
      <c r="BM7" s="189">
        <v>1672745580.4100001</v>
      </c>
      <c r="BN7" s="189">
        <v>730300452.05999994</v>
      </c>
      <c r="BO7" s="189">
        <v>1545424087.6700001</v>
      </c>
      <c r="BP7" s="189">
        <v>718944879.41999996</v>
      </c>
      <c r="BQ7" s="189">
        <v>1466329785.9400001</v>
      </c>
      <c r="BR7" s="189">
        <v>1615349489.6600001</v>
      </c>
      <c r="BS7" s="189">
        <v>0</v>
      </c>
    </row>
    <row r="8" spans="1:71" x14ac:dyDescent="0.25">
      <c r="A8" s="189" t="s">
        <v>224</v>
      </c>
      <c r="B8" s="189">
        <v>2234498202.8699999</v>
      </c>
      <c r="C8" s="189">
        <v>1329785113.0599999</v>
      </c>
      <c r="D8" s="189">
        <v>701629464.41999996</v>
      </c>
      <c r="E8" s="189">
        <v>2432191219.5900002</v>
      </c>
      <c r="F8" s="189">
        <v>1153155174.6400001</v>
      </c>
      <c r="G8" s="189">
        <v>718945386.10000002</v>
      </c>
      <c r="H8" s="189">
        <v>427180306.58999997</v>
      </c>
      <c r="I8" s="189">
        <v>2743735024.4200001</v>
      </c>
      <c r="J8" s="189">
        <v>1953375382.6300001</v>
      </c>
      <c r="K8" s="189">
        <v>1451454185.0799999</v>
      </c>
      <c r="L8" s="189">
        <v>851995864.76999998</v>
      </c>
      <c r="M8" s="189">
        <v>3076934656.77</v>
      </c>
      <c r="N8" s="189">
        <v>2014618477.95</v>
      </c>
      <c r="O8" s="189">
        <v>1427279403.29</v>
      </c>
      <c r="P8" s="189">
        <v>681540330.37</v>
      </c>
      <c r="Q8" s="189">
        <v>2374345099.6199999</v>
      </c>
      <c r="R8" s="189">
        <v>1661077553.71</v>
      </c>
      <c r="S8" s="189">
        <v>1095156923.97</v>
      </c>
      <c r="T8" s="189">
        <v>558713563.63</v>
      </c>
      <c r="U8" s="189">
        <v>2760917220.73</v>
      </c>
      <c r="V8" s="189">
        <v>1737520616.3900001</v>
      </c>
      <c r="W8" s="189">
        <v>970418209.10000002</v>
      </c>
      <c r="X8" s="189">
        <v>494358139.88</v>
      </c>
      <c r="Y8" s="189">
        <v>2183814043.3899999</v>
      </c>
      <c r="Z8" s="189">
        <v>1392528978.6300001</v>
      </c>
      <c r="AA8" s="189">
        <v>876712948.88999999</v>
      </c>
      <c r="AB8" s="189">
        <v>270620593.06</v>
      </c>
      <c r="AC8" s="189">
        <v>1785792865.54</v>
      </c>
      <c r="AD8" s="189">
        <v>1164299231.5699999</v>
      </c>
      <c r="AE8" s="189">
        <v>647701597.44000006</v>
      </c>
      <c r="AF8" s="189">
        <v>344537334.05000001</v>
      </c>
      <c r="AG8" s="189">
        <v>1462998255.9300001</v>
      </c>
      <c r="AH8" s="189">
        <v>1169155155.6500001</v>
      </c>
      <c r="AI8" s="189">
        <v>815964297.51999998</v>
      </c>
      <c r="AJ8" s="189">
        <v>393227753.30000001</v>
      </c>
      <c r="AK8" s="189">
        <v>1301220630.8</v>
      </c>
      <c r="AL8" s="189">
        <v>947665094.62</v>
      </c>
      <c r="AM8" s="189">
        <v>810436084.55999994</v>
      </c>
      <c r="AN8" s="189">
        <v>377900967.47000003</v>
      </c>
      <c r="AO8" s="189">
        <v>1376963087.7</v>
      </c>
      <c r="AP8" s="189">
        <v>1185885807.6400001</v>
      </c>
      <c r="AQ8" s="189">
        <v>666564820.63999999</v>
      </c>
      <c r="AR8" s="189">
        <v>248274587.65000001</v>
      </c>
      <c r="AS8" s="189">
        <v>1365979241.5599999</v>
      </c>
      <c r="AT8" s="189">
        <v>1103881023.1500001</v>
      </c>
      <c r="AU8" s="189">
        <v>578725187.89999998</v>
      </c>
      <c r="AV8" s="189">
        <v>308755017.89999998</v>
      </c>
      <c r="AW8" s="189">
        <v>1453682203.6600001</v>
      </c>
      <c r="AX8" s="189">
        <v>1191944753.1900001</v>
      </c>
      <c r="AY8" s="189">
        <v>676039519.76999998</v>
      </c>
      <c r="AZ8" s="189">
        <v>266316351.61000001</v>
      </c>
      <c r="BA8" s="189">
        <v>1289620409.9300001</v>
      </c>
      <c r="BB8" s="189">
        <v>1394087043.4100001</v>
      </c>
      <c r="BC8" s="189">
        <v>764866419.95000005</v>
      </c>
      <c r="BD8" s="189">
        <v>369770603.58999997</v>
      </c>
      <c r="BE8" s="189">
        <v>1259589408.24</v>
      </c>
      <c r="BF8" s="189">
        <v>927227367.69000006</v>
      </c>
      <c r="BG8" s="189">
        <v>528166247.27999997</v>
      </c>
      <c r="BH8" s="189">
        <v>245901984.38</v>
      </c>
      <c r="BI8" s="189">
        <v>1086008339.21</v>
      </c>
      <c r="BJ8" s="189">
        <v>734476531.92999995</v>
      </c>
      <c r="BK8" s="189">
        <v>473517713.73000002</v>
      </c>
      <c r="BL8" s="189">
        <v>245370252.97999999</v>
      </c>
      <c r="BM8" s="189">
        <v>1020420015.61</v>
      </c>
      <c r="BN8" s="189">
        <v>415613273.56</v>
      </c>
      <c r="BO8" s="189">
        <v>1098172194.6800001</v>
      </c>
      <c r="BP8" s="189">
        <v>400439999.63999999</v>
      </c>
      <c r="BQ8" s="189">
        <v>914708774.78999996</v>
      </c>
      <c r="BR8" s="189">
        <v>1084226133.0999999</v>
      </c>
      <c r="BS8" s="189">
        <v>0</v>
      </c>
    </row>
    <row r="9" spans="1:71" x14ac:dyDescent="0.25">
      <c r="A9" s="189" t="s">
        <v>225</v>
      </c>
      <c r="B9" s="189">
        <v>811472292.15999997</v>
      </c>
      <c r="C9" s="189">
        <v>569998890.08000004</v>
      </c>
      <c r="D9" s="189">
        <v>287985840.72000003</v>
      </c>
      <c r="E9" s="189">
        <v>966363919.98000002</v>
      </c>
      <c r="F9" s="189">
        <v>537974844.13</v>
      </c>
      <c r="G9" s="189">
        <v>375470825.25999999</v>
      </c>
      <c r="H9" s="189">
        <v>224154094.83000001</v>
      </c>
      <c r="I9" s="189">
        <v>645915041.17999995</v>
      </c>
      <c r="J9" s="189">
        <v>528656059.31999999</v>
      </c>
      <c r="K9" s="189">
        <v>365968968.19</v>
      </c>
      <c r="L9" s="189">
        <v>215694692.30000001</v>
      </c>
      <c r="M9" s="189">
        <v>617989009.96000004</v>
      </c>
      <c r="N9" s="189">
        <v>473911479.45999998</v>
      </c>
      <c r="O9" s="189">
        <v>288796461.35000002</v>
      </c>
      <c r="P9" s="189">
        <v>143722274.03</v>
      </c>
      <c r="Q9" s="189">
        <v>458681872.69999999</v>
      </c>
      <c r="R9" s="189">
        <v>299475926.80000001</v>
      </c>
      <c r="S9" s="189">
        <v>195814365.03</v>
      </c>
      <c r="T9" s="189">
        <v>112535202.31</v>
      </c>
      <c r="U9" s="189">
        <v>341008579.76999998</v>
      </c>
      <c r="V9" s="189">
        <v>255451946.65000001</v>
      </c>
      <c r="W9" s="189">
        <v>172022214.61000001</v>
      </c>
      <c r="X9" s="189">
        <v>92513199.930000007</v>
      </c>
      <c r="Y9" s="189">
        <v>296884582.74000001</v>
      </c>
      <c r="Z9" s="189">
        <v>238229447.75</v>
      </c>
      <c r="AA9" s="189">
        <v>165433084.72</v>
      </c>
      <c r="AB9" s="189">
        <v>94120192.329999998</v>
      </c>
      <c r="AC9" s="189">
        <v>259695062.47</v>
      </c>
      <c r="AD9" s="189">
        <v>232649967.86000001</v>
      </c>
      <c r="AE9" s="189">
        <v>156962053.28999999</v>
      </c>
      <c r="AF9" s="189">
        <v>81420828.079999998</v>
      </c>
      <c r="AG9" s="189">
        <v>220590897.18000001</v>
      </c>
      <c r="AH9" s="189">
        <v>203826058.69</v>
      </c>
      <c r="AI9" s="189">
        <v>135070868.69</v>
      </c>
      <c r="AJ9" s="189">
        <v>70811521.349999994</v>
      </c>
      <c r="AK9" s="189">
        <v>229041680.74000001</v>
      </c>
      <c r="AL9" s="189">
        <v>177677169.22999999</v>
      </c>
      <c r="AM9" s="189">
        <v>118788875.81999999</v>
      </c>
      <c r="AN9" s="189">
        <v>59073577.369999997</v>
      </c>
      <c r="AO9" s="189">
        <v>187683006.88999999</v>
      </c>
      <c r="AP9" s="189">
        <v>166169126.59999999</v>
      </c>
      <c r="AQ9" s="189">
        <v>118015223.86</v>
      </c>
      <c r="AR9" s="189">
        <v>58410185.840000004</v>
      </c>
      <c r="AS9" s="189">
        <v>160126128.16999999</v>
      </c>
      <c r="AT9" s="189">
        <v>128931177.3</v>
      </c>
      <c r="AU9" s="189">
        <v>89563245.269999996</v>
      </c>
      <c r="AV9" s="189">
        <v>53191508.640000001</v>
      </c>
      <c r="AW9" s="189">
        <v>126445060.81999999</v>
      </c>
      <c r="AX9" s="189">
        <v>129797874.03</v>
      </c>
      <c r="AY9" s="189">
        <v>84159994.909999996</v>
      </c>
      <c r="AZ9" s="189">
        <v>45146636.450000003</v>
      </c>
      <c r="BA9" s="189">
        <v>121101778.20999999</v>
      </c>
      <c r="BB9" s="189">
        <v>78215070.150000006</v>
      </c>
      <c r="BC9" s="189">
        <v>56616770.82</v>
      </c>
      <c r="BD9" s="189">
        <v>30517989.469999999</v>
      </c>
      <c r="BE9" s="189">
        <v>123757677.13</v>
      </c>
      <c r="BF9" s="189">
        <v>78878393.420000002</v>
      </c>
      <c r="BG9" s="189">
        <v>56486734.049999997</v>
      </c>
      <c r="BH9" s="189">
        <v>31942488.18</v>
      </c>
      <c r="BI9" s="189">
        <v>101765696.14</v>
      </c>
      <c r="BJ9" s="189">
        <v>81580234.129999995</v>
      </c>
      <c r="BK9" s="189">
        <v>54771708.270000003</v>
      </c>
      <c r="BL9" s="189">
        <v>27831622.920000002</v>
      </c>
      <c r="BM9" s="189">
        <v>87226143.200000003</v>
      </c>
      <c r="BN9" s="189">
        <v>39998238.810000002</v>
      </c>
      <c r="BO9" s="189">
        <v>84254290.920000002</v>
      </c>
      <c r="BP9" s="189">
        <v>42005285.18</v>
      </c>
      <c r="BQ9" s="189">
        <v>71299822.700000003</v>
      </c>
      <c r="BR9" s="189">
        <v>79376316.450000003</v>
      </c>
      <c r="BS9" s="189">
        <v>0</v>
      </c>
    </row>
    <row r="10" spans="1:71" x14ac:dyDescent="0.25">
      <c r="A10" s="189" t="s">
        <v>226</v>
      </c>
      <c r="B10" s="189">
        <v>442380540.94</v>
      </c>
      <c r="C10" s="189">
        <v>319483166.07999998</v>
      </c>
      <c r="D10" s="189">
        <v>83451713.640000001</v>
      </c>
      <c r="E10" s="189">
        <v>581129992.64999998</v>
      </c>
      <c r="F10" s="189">
        <v>357938748.82999998</v>
      </c>
      <c r="G10" s="189">
        <v>242056780.09999999</v>
      </c>
      <c r="H10" s="189">
        <v>86366342.620000005</v>
      </c>
      <c r="I10" s="189">
        <v>1020823312.78</v>
      </c>
      <c r="J10" s="189">
        <v>834735408.54999995</v>
      </c>
      <c r="K10" s="189">
        <v>711745307.98000002</v>
      </c>
      <c r="L10" s="189">
        <v>110147922.17</v>
      </c>
      <c r="M10" s="189">
        <v>761277703.09000003</v>
      </c>
      <c r="N10" s="189">
        <v>609392819.08000004</v>
      </c>
      <c r="O10" s="189">
        <v>448497384</v>
      </c>
      <c r="P10" s="189">
        <v>222626923.25999999</v>
      </c>
      <c r="Q10" s="189">
        <v>637390966.55999994</v>
      </c>
      <c r="R10" s="189">
        <v>565808513.14999998</v>
      </c>
      <c r="S10" s="189">
        <v>421266444.47000003</v>
      </c>
      <c r="T10" s="189">
        <v>130442016.47</v>
      </c>
      <c r="U10" s="189">
        <v>728890941.76999998</v>
      </c>
      <c r="V10" s="189">
        <v>530385043.22000003</v>
      </c>
      <c r="W10" s="189">
        <v>364529973.36000001</v>
      </c>
      <c r="X10" s="189">
        <v>144023064.56</v>
      </c>
      <c r="Y10" s="189">
        <v>539913060.36000001</v>
      </c>
      <c r="Z10" s="189">
        <v>415609225.31</v>
      </c>
      <c r="AA10" s="189">
        <v>291526325.43000001</v>
      </c>
      <c r="AB10" s="189">
        <v>128713339.33</v>
      </c>
      <c r="AC10" s="189">
        <v>454841017.97000003</v>
      </c>
      <c r="AD10" s="189">
        <v>375909005.00999999</v>
      </c>
      <c r="AE10" s="189">
        <v>257045247.05000001</v>
      </c>
      <c r="AF10" s="189">
        <v>72868540.75</v>
      </c>
      <c r="AG10" s="189">
        <v>302825076.38</v>
      </c>
      <c r="AH10" s="189">
        <v>295930273.69</v>
      </c>
      <c r="AI10" s="189">
        <v>178823875.06</v>
      </c>
      <c r="AJ10" s="189">
        <v>54304238.380000003</v>
      </c>
      <c r="AK10" s="189">
        <v>340845743.13999999</v>
      </c>
      <c r="AL10" s="189">
        <v>269854537.38999999</v>
      </c>
      <c r="AM10" s="189">
        <v>162013716.46000001</v>
      </c>
      <c r="AN10" s="189">
        <v>45080273.770000003</v>
      </c>
      <c r="AO10" s="189">
        <v>290471869.25</v>
      </c>
      <c r="AP10" s="189">
        <v>206855147.36000001</v>
      </c>
      <c r="AQ10" s="189">
        <v>140993372.25999999</v>
      </c>
      <c r="AR10" s="189">
        <v>49917041.700000003</v>
      </c>
      <c r="AS10" s="189">
        <v>232471664.31</v>
      </c>
      <c r="AT10" s="189">
        <v>179230380.11000001</v>
      </c>
      <c r="AU10" s="189">
        <v>110866960.98</v>
      </c>
      <c r="AV10" s="189">
        <v>31970985.59</v>
      </c>
      <c r="AW10" s="189">
        <v>200652920.78</v>
      </c>
      <c r="AX10" s="189">
        <v>174186341.87</v>
      </c>
      <c r="AY10" s="189">
        <v>85329364.969999999</v>
      </c>
      <c r="AZ10" s="189">
        <v>42045082.170000002</v>
      </c>
      <c r="BA10" s="189">
        <v>156280246.63</v>
      </c>
      <c r="BB10" s="189">
        <v>123473122.27</v>
      </c>
      <c r="BC10" s="189">
        <v>68522118.829999998</v>
      </c>
      <c r="BD10" s="189">
        <v>26996782.050000001</v>
      </c>
      <c r="BE10" s="189">
        <v>123158551.81</v>
      </c>
      <c r="BF10" s="189">
        <v>108549994.14</v>
      </c>
      <c r="BG10" s="189">
        <v>66290099.890000001</v>
      </c>
      <c r="BH10" s="189">
        <v>28292685.359999999</v>
      </c>
      <c r="BI10" s="189">
        <v>123516495.61</v>
      </c>
      <c r="BJ10" s="189">
        <v>103415932.95999999</v>
      </c>
      <c r="BK10" s="189">
        <v>64841849.039999999</v>
      </c>
      <c r="BL10" s="189">
        <v>22172950.050000001</v>
      </c>
      <c r="BM10" s="189">
        <v>125344393.39</v>
      </c>
      <c r="BN10" s="189">
        <v>30019913.399999999</v>
      </c>
      <c r="BO10" s="189">
        <v>87958238.140000001</v>
      </c>
      <c r="BP10" s="189">
        <v>53009249.880000003</v>
      </c>
      <c r="BQ10" s="189">
        <v>90496869.290000007</v>
      </c>
      <c r="BR10" s="189">
        <v>76201138.810000002</v>
      </c>
      <c r="BS10" s="189">
        <v>0</v>
      </c>
    </row>
    <row r="11" spans="1:71" x14ac:dyDescent="0.25">
      <c r="A11" s="189" t="s">
        <v>227</v>
      </c>
      <c r="B11" s="189">
        <v>1694318777.1800001</v>
      </c>
      <c r="C11" s="189">
        <v>1167257626.74</v>
      </c>
      <c r="D11" s="189">
        <v>606393818.53999996</v>
      </c>
      <c r="E11" s="189">
        <v>2242001463.1300001</v>
      </c>
      <c r="F11" s="189">
        <v>1519570144.0799999</v>
      </c>
      <c r="G11" s="189">
        <v>994018552.46000004</v>
      </c>
      <c r="H11" s="189">
        <v>474891368.83999997</v>
      </c>
      <c r="I11" s="189">
        <v>1962340309.75</v>
      </c>
      <c r="J11" s="189">
        <v>1333654976.1199999</v>
      </c>
      <c r="K11" s="189">
        <v>833418384.25999999</v>
      </c>
      <c r="L11" s="189">
        <v>425529716.94</v>
      </c>
      <c r="M11" s="189">
        <v>1676830051.7</v>
      </c>
      <c r="N11" s="189">
        <v>1173429019.5699999</v>
      </c>
      <c r="O11" s="189">
        <v>822286220.72000003</v>
      </c>
      <c r="P11" s="189">
        <v>386385380.57999998</v>
      </c>
      <c r="Q11" s="189">
        <v>1590657256.6800001</v>
      </c>
      <c r="R11" s="189">
        <v>1047144081.52</v>
      </c>
      <c r="S11" s="189">
        <v>656512751.92999995</v>
      </c>
      <c r="T11" s="189">
        <v>290256288.60000002</v>
      </c>
      <c r="U11" s="189">
        <v>1285937507.3800001</v>
      </c>
      <c r="V11" s="189">
        <v>889658910.04999995</v>
      </c>
      <c r="W11" s="189">
        <v>560393906.73000002</v>
      </c>
      <c r="X11" s="189">
        <v>272055158.64999998</v>
      </c>
      <c r="Y11" s="189">
        <v>1461389047.47</v>
      </c>
      <c r="Z11" s="189">
        <v>867381940.75</v>
      </c>
      <c r="AA11" s="189">
        <v>575645542.01999998</v>
      </c>
      <c r="AB11" s="189">
        <v>243708960.81999999</v>
      </c>
      <c r="AC11" s="189">
        <v>1240977395.5999999</v>
      </c>
      <c r="AD11" s="189">
        <v>677773641.60000002</v>
      </c>
      <c r="AE11" s="189">
        <v>408205619.88999999</v>
      </c>
      <c r="AF11" s="189">
        <v>231686020.58000001</v>
      </c>
      <c r="AG11" s="189">
        <v>1015973625.8200001</v>
      </c>
      <c r="AH11" s="189">
        <v>644629925.76999998</v>
      </c>
      <c r="AI11" s="189">
        <v>328552762.12</v>
      </c>
      <c r="AJ11" s="189">
        <v>172978870.19</v>
      </c>
      <c r="AK11" s="189">
        <v>825072811.51999998</v>
      </c>
      <c r="AL11" s="189">
        <v>647057549.77999997</v>
      </c>
      <c r="AM11" s="189">
        <v>351309243.98000002</v>
      </c>
      <c r="AN11" s="189">
        <v>138112107.02000001</v>
      </c>
      <c r="AO11" s="189">
        <v>779331848.01999998</v>
      </c>
      <c r="AP11" s="189">
        <v>478570573.06999999</v>
      </c>
      <c r="AQ11" s="189">
        <v>329758915.62</v>
      </c>
      <c r="AR11" s="189">
        <v>102955753.56</v>
      </c>
      <c r="AS11" s="189">
        <v>685551096.88</v>
      </c>
      <c r="AT11" s="189">
        <v>365724193.81999999</v>
      </c>
      <c r="AU11" s="189">
        <v>312038100.39999998</v>
      </c>
      <c r="AV11" s="189">
        <v>198945820.5</v>
      </c>
      <c r="AW11" s="189">
        <v>653126697.76999998</v>
      </c>
      <c r="AX11" s="189">
        <v>366212576.25999999</v>
      </c>
      <c r="AY11" s="189">
        <v>276516977.25</v>
      </c>
      <c r="AZ11" s="189">
        <v>143157037.16999999</v>
      </c>
      <c r="BA11" s="189">
        <v>586975299.51999998</v>
      </c>
      <c r="BB11" s="189">
        <v>329522189.04000002</v>
      </c>
      <c r="BC11" s="189">
        <v>242212392.84999999</v>
      </c>
      <c r="BD11" s="189">
        <v>75523573.090000004</v>
      </c>
      <c r="BE11" s="189">
        <v>523605913.57999998</v>
      </c>
      <c r="BF11" s="189">
        <v>385285402.82999998</v>
      </c>
      <c r="BG11" s="189">
        <v>232694321.47</v>
      </c>
      <c r="BH11" s="189">
        <v>118713270.27</v>
      </c>
      <c r="BI11" s="189">
        <v>418599753.57999998</v>
      </c>
      <c r="BJ11" s="189">
        <v>354917559.50999999</v>
      </c>
      <c r="BK11" s="189">
        <v>219113500.94999999</v>
      </c>
      <c r="BL11" s="189">
        <v>116089744.29000001</v>
      </c>
      <c r="BM11" s="189">
        <v>419947684.88</v>
      </c>
      <c r="BN11" s="189">
        <v>136084113.34</v>
      </c>
      <c r="BO11" s="189">
        <v>208316465.06999999</v>
      </c>
      <c r="BP11" s="189">
        <v>111142108.15000001</v>
      </c>
      <c r="BQ11" s="189">
        <v>239788515.68000001</v>
      </c>
      <c r="BR11" s="189">
        <v>276101457.82999998</v>
      </c>
      <c r="BS11" s="189">
        <v>0</v>
      </c>
    </row>
    <row r="12" spans="1:71" x14ac:dyDescent="0.25">
      <c r="A12" s="189" t="s">
        <v>228</v>
      </c>
      <c r="B12" s="189">
        <v>5182669813.1499996</v>
      </c>
      <c r="C12" s="189">
        <v>3386524795.96</v>
      </c>
      <c r="D12" s="189">
        <v>1679460837.3199999</v>
      </c>
      <c r="E12" s="189">
        <v>6221686595.3500004</v>
      </c>
      <c r="F12" s="189">
        <v>3568638911.6799998</v>
      </c>
      <c r="G12" s="189">
        <v>2330491543.9200001</v>
      </c>
      <c r="H12" s="189">
        <v>1212592112.8800001</v>
      </c>
      <c r="I12" s="189">
        <v>6372813688.1300001</v>
      </c>
      <c r="J12" s="189">
        <v>4650421826.6199999</v>
      </c>
      <c r="K12" s="189">
        <v>3362586845.5100002</v>
      </c>
      <c r="L12" s="189">
        <v>1603368196.1800001</v>
      </c>
      <c r="M12" s="189">
        <v>6133031421.5200005</v>
      </c>
      <c r="N12" s="189">
        <v>4271351796.0599999</v>
      </c>
      <c r="O12" s="189">
        <v>2986859469.3600001</v>
      </c>
      <c r="P12" s="189">
        <v>1434274908.24</v>
      </c>
      <c r="Q12" s="189">
        <v>5061075195.5600004</v>
      </c>
      <c r="R12" s="189">
        <v>3573506075.1799998</v>
      </c>
      <c r="S12" s="189">
        <v>2368750485.4000001</v>
      </c>
      <c r="T12" s="189">
        <v>1091947071.01</v>
      </c>
      <c r="U12" s="189">
        <v>5116754249.6499996</v>
      </c>
      <c r="V12" s="189">
        <v>3413016516.3099999</v>
      </c>
      <c r="W12" s="189">
        <v>2067364303.8</v>
      </c>
      <c r="X12" s="189">
        <v>1002949563.02</v>
      </c>
      <c r="Y12" s="189">
        <v>4482000733.96</v>
      </c>
      <c r="Z12" s="189">
        <v>2913749592.4400001</v>
      </c>
      <c r="AA12" s="189">
        <v>1909317901.0599999</v>
      </c>
      <c r="AB12" s="189">
        <v>737163085.53999996</v>
      </c>
      <c r="AC12" s="189">
        <v>3741306341.5799999</v>
      </c>
      <c r="AD12" s="189">
        <v>2450631846.04</v>
      </c>
      <c r="AE12" s="189">
        <v>1469914517.6700001</v>
      </c>
      <c r="AF12" s="189">
        <v>730512723.46000004</v>
      </c>
      <c r="AG12" s="189">
        <v>3002387855.3099999</v>
      </c>
      <c r="AH12" s="189">
        <v>2313541413.8000002</v>
      </c>
      <c r="AI12" s="189">
        <v>1458411803.3900001</v>
      </c>
      <c r="AJ12" s="189">
        <v>691322383.22000003</v>
      </c>
      <c r="AK12" s="189">
        <v>2696180866.1999998</v>
      </c>
      <c r="AL12" s="189">
        <v>2042254351.02</v>
      </c>
      <c r="AM12" s="189">
        <v>1442547920.8199999</v>
      </c>
      <c r="AN12" s="189">
        <v>620166925.63</v>
      </c>
      <c r="AO12" s="189">
        <v>2634449811.8600001</v>
      </c>
      <c r="AP12" s="189">
        <v>2037480654.6700001</v>
      </c>
      <c r="AQ12" s="189">
        <v>1255332332.3800001</v>
      </c>
      <c r="AR12" s="189">
        <v>459557568.75</v>
      </c>
      <c r="AS12" s="189">
        <v>2444128130.9200001</v>
      </c>
      <c r="AT12" s="189">
        <v>1777766774.3800001</v>
      </c>
      <c r="AU12" s="189">
        <v>1091193494.55</v>
      </c>
      <c r="AV12" s="189">
        <v>592863332.63</v>
      </c>
      <c r="AW12" s="189">
        <v>2433906883.0300002</v>
      </c>
      <c r="AX12" s="189">
        <v>1862141545.3499999</v>
      </c>
      <c r="AY12" s="189">
        <v>1122045856.9000001</v>
      </c>
      <c r="AZ12" s="189">
        <v>496665107.39999998</v>
      </c>
      <c r="BA12" s="189">
        <v>2153977734.29</v>
      </c>
      <c r="BB12" s="189">
        <v>1925297424.8699999</v>
      </c>
      <c r="BC12" s="189">
        <v>1132217702.45</v>
      </c>
      <c r="BD12" s="189">
        <v>502808948.19999999</v>
      </c>
      <c r="BE12" s="189">
        <v>2101803802.9200001</v>
      </c>
      <c r="BF12" s="189">
        <v>1499941158.0799999</v>
      </c>
      <c r="BG12" s="189">
        <v>883637402.69000006</v>
      </c>
      <c r="BH12" s="189">
        <v>424850428.19</v>
      </c>
      <c r="BI12" s="189">
        <v>1729890284.54</v>
      </c>
      <c r="BJ12" s="189">
        <v>1274390258.53</v>
      </c>
      <c r="BK12" s="189">
        <v>812244771.99000001</v>
      </c>
      <c r="BL12" s="189">
        <v>411464570.24000001</v>
      </c>
      <c r="BM12" s="189">
        <v>1652938237.0799999</v>
      </c>
      <c r="BN12" s="189">
        <v>621715539.10000002</v>
      </c>
      <c r="BO12" s="189">
        <v>1478701188.8099999</v>
      </c>
      <c r="BP12" s="189">
        <v>606596642.85000002</v>
      </c>
      <c r="BQ12" s="189">
        <v>1316293982.46</v>
      </c>
      <c r="BR12" s="189">
        <v>1515905046.1900001</v>
      </c>
      <c r="BS12" s="189">
        <v>0</v>
      </c>
    </row>
    <row r="13" spans="1:71" x14ac:dyDescent="0.25">
      <c r="A13" s="189" t="s">
        <v>229</v>
      </c>
      <c r="B13" s="189">
        <v>717437484.28999996</v>
      </c>
      <c r="C13" s="189">
        <v>504628792.54000002</v>
      </c>
      <c r="D13" s="189">
        <v>271745917.25999999</v>
      </c>
      <c r="E13" s="189">
        <v>861766418.96000004</v>
      </c>
      <c r="F13" s="189">
        <v>588133661.70000005</v>
      </c>
      <c r="G13" s="189">
        <v>497882274.82999998</v>
      </c>
      <c r="H13" s="189">
        <v>176582529.22999999</v>
      </c>
      <c r="I13" s="189">
        <v>53997559.140000001</v>
      </c>
      <c r="J13" s="189">
        <v>86203803.739999995</v>
      </c>
      <c r="K13" s="189">
        <v>-33919603.159999996</v>
      </c>
      <c r="L13" s="189">
        <v>97918240.829999998</v>
      </c>
      <c r="M13" s="189">
        <v>502584607.93000001</v>
      </c>
      <c r="N13" s="189">
        <v>394937757.07999998</v>
      </c>
      <c r="O13" s="189">
        <v>309903409.43000001</v>
      </c>
      <c r="P13" s="189">
        <v>108285893.14</v>
      </c>
      <c r="Q13" s="189">
        <v>1129569111.8599999</v>
      </c>
      <c r="R13" s="189">
        <v>899948047.77999997</v>
      </c>
      <c r="S13" s="189">
        <v>540510695.59000003</v>
      </c>
      <c r="T13" s="189">
        <v>373923159.75999999</v>
      </c>
      <c r="U13" s="189">
        <v>1028774337.48</v>
      </c>
      <c r="V13" s="189">
        <v>848381480.11000001</v>
      </c>
      <c r="W13" s="189">
        <v>584247462.16999996</v>
      </c>
      <c r="X13" s="189">
        <v>268908285.19</v>
      </c>
      <c r="Y13" s="189">
        <v>832913797.85000002</v>
      </c>
      <c r="Z13" s="189">
        <v>782893425.53999996</v>
      </c>
      <c r="AA13" s="189">
        <v>377148563.23000002</v>
      </c>
      <c r="AB13" s="189">
        <v>204922008.21000001</v>
      </c>
      <c r="AC13" s="189">
        <v>347097348</v>
      </c>
      <c r="AD13" s="189">
        <v>400574830.11000001</v>
      </c>
      <c r="AE13" s="189">
        <v>236187202.5</v>
      </c>
      <c r="AF13" s="189">
        <v>71308878.760000005</v>
      </c>
      <c r="AG13" s="189">
        <v>328641354.18000001</v>
      </c>
      <c r="AH13" s="189">
        <v>330864970.85000002</v>
      </c>
      <c r="AI13" s="189">
        <v>194197375.22</v>
      </c>
      <c r="AJ13" s="189">
        <v>77523146.480000004</v>
      </c>
      <c r="AK13" s="189">
        <v>451849963.27999997</v>
      </c>
      <c r="AL13" s="189">
        <v>421980275.66000003</v>
      </c>
      <c r="AM13" s="189">
        <v>178140362.90000001</v>
      </c>
      <c r="AN13" s="189">
        <v>70093632.25</v>
      </c>
      <c r="AO13" s="189">
        <v>329581687.44</v>
      </c>
      <c r="AP13" s="189">
        <v>322366185.20999998</v>
      </c>
      <c r="AQ13" s="189">
        <v>254620725.84999999</v>
      </c>
      <c r="AR13" s="189">
        <v>95627692.640000001</v>
      </c>
      <c r="AS13" s="189">
        <v>221899544.44999999</v>
      </c>
      <c r="AT13" s="189">
        <v>324367065.24000001</v>
      </c>
      <c r="AU13" s="189">
        <v>140661766.03</v>
      </c>
      <c r="AV13" s="189">
        <v>-993223.69</v>
      </c>
      <c r="AW13" s="189">
        <v>411693385.85000002</v>
      </c>
      <c r="AX13" s="189">
        <v>388985549.25</v>
      </c>
      <c r="AY13" s="189">
        <v>230534744.66999999</v>
      </c>
      <c r="AZ13" s="189">
        <v>60838238.009999998</v>
      </c>
      <c r="BA13" s="189">
        <v>2695467.28</v>
      </c>
      <c r="BB13" s="189">
        <v>-32057434.77</v>
      </c>
      <c r="BC13" s="189">
        <v>-34840071.5</v>
      </c>
      <c r="BD13" s="189">
        <v>-41681884.869999997</v>
      </c>
      <c r="BE13" s="189">
        <v>71692252.159999996</v>
      </c>
      <c r="BF13" s="189">
        <v>18091836.93</v>
      </c>
      <c r="BG13" s="189">
        <v>7064086.29</v>
      </c>
      <c r="BH13" s="189">
        <v>-8955488.2400000002</v>
      </c>
      <c r="BI13" s="189">
        <v>109281603.94</v>
      </c>
      <c r="BJ13" s="189">
        <v>130439657.06999999</v>
      </c>
      <c r="BK13" s="189">
        <v>47836304.630000003</v>
      </c>
      <c r="BL13" s="189">
        <v>-96295957.400000006</v>
      </c>
      <c r="BM13" s="189">
        <v>19807343.329999998</v>
      </c>
      <c r="BN13" s="189">
        <v>108584912.95999999</v>
      </c>
      <c r="BO13" s="189">
        <v>66722898.859999999</v>
      </c>
      <c r="BP13" s="189">
        <v>112348236.56999999</v>
      </c>
      <c r="BQ13" s="189">
        <v>150035803.47999999</v>
      </c>
      <c r="BR13" s="189">
        <v>99444443.469999999</v>
      </c>
      <c r="BS13" s="189">
        <v>0</v>
      </c>
    </row>
    <row r="14" spans="1:71" x14ac:dyDescent="0.25">
      <c r="A14" s="189" t="s">
        <v>230</v>
      </c>
    </row>
    <row r="15" spans="1:71" x14ac:dyDescent="0.25">
      <c r="A15" s="189" t="s">
        <v>231</v>
      </c>
      <c r="B15" s="189">
        <v>1850000000</v>
      </c>
      <c r="C15" s="189">
        <v>1500000000</v>
      </c>
      <c r="D15" s="189">
        <v>830000000</v>
      </c>
      <c r="E15" s="189">
        <v>6947820000</v>
      </c>
      <c r="F15" s="189">
        <v>2997220000</v>
      </c>
      <c r="G15" s="189">
        <v>1939920000</v>
      </c>
      <c r="H15" s="189">
        <v>601000000</v>
      </c>
      <c r="I15" s="189">
        <v>2752000000</v>
      </c>
      <c r="J15" s="189">
        <v>1570000000</v>
      </c>
      <c r="K15" s="189">
        <v>1290000000</v>
      </c>
      <c r="L15" s="189">
        <v>479842967</v>
      </c>
      <c r="M15" s="189">
        <v>2482046660.3000002</v>
      </c>
      <c r="N15" s="189">
        <v>1312046660.3</v>
      </c>
      <c r="O15" s="189">
        <v>631966560.29999995</v>
      </c>
      <c r="P15" s="189">
        <v>351966560.30000001</v>
      </c>
      <c r="Q15" s="189">
        <v>799533439.70000005</v>
      </c>
      <c r="R15" s="189">
        <v>423500000</v>
      </c>
      <c r="S15" s="189">
        <v>323500000</v>
      </c>
      <c r="T15" s="189">
        <v>173500000</v>
      </c>
      <c r="U15" s="189">
        <v>282000000</v>
      </c>
      <c r="V15" s="189">
        <v>0</v>
      </c>
      <c r="W15" s="189">
        <v>0</v>
      </c>
      <c r="X15" s="189">
        <v>0</v>
      </c>
      <c r="Y15" s="189">
        <v>246139.7</v>
      </c>
      <c r="Z15" s="189">
        <v>246139.7</v>
      </c>
      <c r="AA15" s="189">
        <v>246139.7</v>
      </c>
      <c r="AB15" s="189">
        <v>246139.7</v>
      </c>
      <c r="AC15" s="189">
        <v>100000000</v>
      </c>
      <c r="AD15" s="189">
        <v>100000000</v>
      </c>
      <c r="AE15" s="189">
        <v>0</v>
      </c>
      <c r="AF15" s="189">
        <v>0</v>
      </c>
      <c r="AG15" s="189">
        <v>0</v>
      </c>
      <c r="AH15" s="189">
        <v>0</v>
      </c>
      <c r="AI15" s="189">
        <v>0</v>
      </c>
      <c r="AJ15" s="189">
        <v>0</v>
      </c>
      <c r="AK15" s="189">
        <v>0</v>
      </c>
      <c r="AL15" s="189">
        <v>700000</v>
      </c>
      <c r="AM15" s="189">
        <v>700000</v>
      </c>
      <c r="AN15" s="189">
        <v>700000</v>
      </c>
      <c r="AO15" s="189">
        <v>427283.62</v>
      </c>
      <c r="AP15" s="189">
        <v>85920</v>
      </c>
      <c r="AQ15" s="189">
        <v>85920</v>
      </c>
      <c r="AR15" s="189">
        <v>0</v>
      </c>
      <c r="AS15" s="189">
        <v>28025148.039999999</v>
      </c>
      <c r="AT15" s="189">
        <v>14444991.15</v>
      </c>
      <c r="AU15" s="189">
        <v>14444991.15</v>
      </c>
      <c r="AV15" s="189">
        <v>3510413.87</v>
      </c>
      <c r="AW15" s="189">
        <v>31569662.600000001</v>
      </c>
      <c r="AX15" s="189">
        <v>13203357.699999999</v>
      </c>
      <c r="AY15" s="189">
        <v>11316062.92</v>
      </c>
      <c r="AZ15" s="189">
        <v>3710937.83</v>
      </c>
      <c r="BA15" s="189">
        <v>19307759.82</v>
      </c>
      <c r="BB15" s="189">
        <v>73186851.290000007</v>
      </c>
      <c r="BC15" s="189">
        <v>71928695.010000005</v>
      </c>
      <c r="BD15" s="189">
        <v>16916853</v>
      </c>
      <c r="BE15" s="189">
        <v>147914536.78</v>
      </c>
      <c r="BF15" s="189">
        <v>7780399.0199999996</v>
      </c>
      <c r="BG15" s="189">
        <v>5788491.6900000004</v>
      </c>
      <c r="BH15" s="189">
        <v>223781805.06999999</v>
      </c>
      <c r="BI15" s="189">
        <v>211852191.78</v>
      </c>
      <c r="BJ15" s="189">
        <v>263479437.08000001</v>
      </c>
      <c r="BK15" s="189">
        <v>175283512.36000001</v>
      </c>
      <c r="BL15" s="189">
        <v>15954034.359999999</v>
      </c>
      <c r="BM15" s="189">
        <v>220215762.38999999</v>
      </c>
      <c r="BN15" s="189">
        <v>32837785.48</v>
      </c>
      <c r="BO15" s="189">
        <v>14283377.640000001</v>
      </c>
      <c r="BP15" s="189">
        <v>502667.97</v>
      </c>
      <c r="BQ15" s="189">
        <v>958426.44</v>
      </c>
      <c r="BR15" s="189">
        <v>100000</v>
      </c>
      <c r="BS15" s="189">
        <v>0</v>
      </c>
    </row>
    <row r="16" spans="1:71" x14ac:dyDescent="0.25">
      <c r="A16" s="189" t="s">
        <v>232</v>
      </c>
      <c r="B16" s="189">
        <v>37258390.009999998</v>
      </c>
      <c r="C16" s="189">
        <v>29916609.18</v>
      </c>
      <c r="D16" s="189">
        <v>14805540.779999999</v>
      </c>
      <c r="E16" s="189">
        <v>120739898.27</v>
      </c>
      <c r="F16" s="189">
        <v>58820469.350000001</v>
      </c>
      <c r="G16" s="189">
        <v>41182430.039999999</v>
      </c>
      <c r="H16" s="189">
        <v>11949329.609999999</v>
      </c>
      <c r="I16" s="189">
        <v>54915941.439999998</v>
      </c>
      <c r="J16" s="189">
        <v>22401578.079999998</v>
      </c>
      <c r="K16" s="189">
        <v>17616536.989999998</v>
      </c>
      <c r="L16" s="189">
        <v>1293041.1000000001</v>
      </c>
      <c r="M16" s="189">
        <v>41429048.539999999</v>
      </c>
      <c r="N16" s="189">
        <v>17125733.48</v>
      </c>
      <c r="O16" s="189">
        <v>9709088.9900000002</v>
      </c>
      <c r="P16" s="189">
        <v>5712280.9400000004</v>
      </c>
      <c r="Q16" s="189">
        <v>74855379.859999999</v>
      </c>
      <c r="R16" s="189">
        <v>29223439.059999999</v>
      </c>
      <c r="S16" s="189">
        <v>19473439.059999999</v>
      </c>
      <c r="T16" s="189">
        <v>4814541.53</v>
      </c>
      <c r="U16" s="189">
        <v>35284739.469999999</v>
      </c>
      <c r="V16" s="189">
        <v>14652702.640000001</v>
      </c>
      <c r="W16" s="189">
        <v>0</v>
      </c>
      <c r="X16" s="189">
        <v>0</v>
      </c>
      <c r="Y16" s="189">
        <v>18216594.5</v>
      </c>
      <c r="Z16" s="189">
        <v>1615108.11</v>
      </c>
      <c r="AA16" s="189">
        <v>1615108.11</v>
      </c>
      <c r="AB16" s="189">
        <v>1615108.11</v>
      </c>
      <c r="AC16" s="189">
        <v>26179048.59</v>
      </c>
      <c r="AD16" s="189">
        <v>13867531.76</v>
      </c>
      <c r="AE16" s="189">
        <v>13017531.76</v>
      </c>
      <c r="AF16" s="189">
        <v>5517531.7599999998</v>
      </c>
      <c r="AG16" s="189">
        <v>14800441.210000001</v>
      </c>
      <c r="AH16" s="189">
        <v>11494729.73</v>
      </c>
      <c r="AI16" s="189">
        <v>6329729.7300000004</v>
      </c>
      <c r="AJ16" s="189">
        <v>3169729.73</v>
      </c>
      <c r="AK16" s="189">
        <v>14117742.49</v>
      </c>
      <c r="AL16" s="189">
        <v>8917742.4900000002</v>
      </c>
      <c r="AM16" s="189">
        <v>5007742.49</v>
      </c>
      <c r="AN16" s="189">
        <v>0</v>
      </c>
      <c r="AO16" s="189">
        <v>5225000</v>
      </c>
      <c r="AP16" s="189">
        <v>5551363.6200000001</v>
      </c>
      <c r="AQ16" s="189">
        <v>566363.62</v>
      </c>
      <c r="AR16" s="189">
        <v>15000</v>
      </c>
      <c r="AS16" s="189">
        <v>12000</v>
      </c>
      <c r="AT16" s="189">
        <v>401002.11</v>
      </c>
      <c r="AU16" s="189">
        <v>401002.11</v>
      </c>
      <c r="AV16" s="189">
        <v>247550</v>
      </c>
      <c r="AW16" s="189">
        <v>1606571.39</v>
      </c>
      <c r="AX16" s="189">
        <v>6816061.3700000001</v>
      </c>
      <c r="AY16" s="189">
        <v>7616076.25</v>
      </c>
      <c r="AZ16" s="189">
        <v>382608.9</v>
      </c>
      <c r="BA16" s="189">
        <v>1176690.25</v>
      </c>
      <c r="BB16" s="189">
        <v>5235922.34</v>
      </c>
      <c r="BC16" s="189">
        <v>5695864.5999999996</v>
      </c>
      <c r="BD16" s="189">
        <v>320750</v>
      </c>
      <c r="BE16" s="189">
        <v>1878479.68</v>
      </c>
      <c r="BF16" s="189">
        <v>6951924.8499999996</v>
      </c>
      <c r="BG16" s="189">
        <v>729483.34</v>
      </c>
      <c r="BH16" s="189">
        <v>402639.34</v>
      </c>
      <c r="BI16" s="189">
        <v>10536633.470000001</v>
      </c>
      <c r="BJ16" s="189">
        <v>11985762.710000001</v>
      </c>
      <c r="BK16" s="189">
        <v>10852956.76</v>
      </c>
      <c r="BL16" s="189">
        <v>3181813.63</v>
      </c>
      <c r="BM16" s="189">
        <v>2518376.02</v>
      </c>
      <c r="BN16" s="189">
        <v>2036029.82</v>
      </c>
      <c r="BO16" s="189">
        <v>911842.62</v>
      </c>
      <c r="BP16" s="189">
        <v>204340</v>
      </c>
      <c r="BQ16" s="189">
        <v>412196.5</v>
      </c>
      <c r="BR16" s="189">
        <v>389473.07</v>
      </c>
      <c r="BS16" s="189">
        <v>0</v>
      </c>
    </row>
    <row r="17" spans="1:71" x14ac:dyDescent="0.25">
      <c r="A17" s="189" t="s">
        <v>233</v>
      </c>
      <c r="B17" s="189">
        <v>601886</v>
      </c>
      <c r="C17" s="189">
        <v>141886</v>
      </c>
      <c r="D17" s="189">
        <v>107736</v>
      </c>
      <c r="E17" s="189">
        <v>1150677.77</v>
      </c>
      <c r="F17" s="189">
        <v>225278</v>
      </c>
      <c r="G17" s="189">
        <v>167278</v>
      </c>
      <c r="H17" s="189">
        <v>0</v>
      </c>
      <c r="I17" s="189">
        <v>290659</v>
      </c>
      <c r="J17" s="189">
        <v>33100</v>
      </c>
      <c r="K17" s="189">
        <v>0</v>
      </c>
      <c r="L17" s="189">
        <v>0</v>
      </c>
      <c r="M17" s="189">
        <v>14210090.85</v>
      </c>
      <c r="N17" s="189">
        <v>14177440.85</v>
      </c>
      <c r="O17" s="189">
        <v>6120265.8499999996</v>
      </c>
      <c r="P17" s="189">
        <v>56900</v>
      </c>
      <c r="Q17" s="189">
        <v>2087548.19</v>
      </c>
      <c r="R17" s="189">
        <v>1527157.81</v>
      </c>
      <c r="S17" s="189">
        <v>722752.47</v>
      </c>
      <c r="T17" s="189">
        <v>85500</v>
      </c>
      <c r="U17" s="189">
        <v>786350.02</v>
      </c>
      <c r="V17" s="189">
        <v>415171.85</v>
      </c>
      <c r="W17" s="189">
        <v>138200</v>
      </c>
      <c r="X17" s="189">
        <v>5300</v>
      </c>
      <c r="Y17" s="189">
        <v>2273125.1800000002</v>
      </c>
      <c r="Z17" s="189">
        <v>128143.07</v>
      </c>
      <c r="AA17" s="189">
        <v>109093.07</v>
      </c>
      <c r="AB17" s="189">
        <v>30200</v>
      </c>
      <c r="AC17" s="189">
        <v>846257.11</v>
      </c>
      <c r="AD17" s="189">
        <v>262240.32</v>
      </c>
      <c r="AE17" s="189">
        <v>65908</v>
      </c>
      <c r="AF17" s="189">
        <v>14760</v>
      </c>
      <c r="AG17" s="189">
        <v>2279270.9500000002</v>
      </c>
      <c r="AH17" s="189">
        <v>2356267.5099999998</v>
      </c>
      <c r="AI17" s="189">
        <v>570154.01</v>
      </c>
      <c r="AJ17" s="189">
        <v>555324.01</v>
      </c>
      <c r="AK17" s="189">
        <v>159034.37</v>
      </c>
      <c r="AL17" s="189">
        <v>108226</v>
      </c>
      <c r="AM17" s="189">
        <v>68726</v>
      </c>
      <c r="AN17" s="189">
        <v>63426</v>
      </c>
      <c r="AO17" s="189">
        <v>1173191.1299999999</v>
      </c>
      <c r="AP17" s="189">
        <v>397564</v>
      </c>
      <c r="AQ17" s="189">
        <v>442564</v>
      </c>
      <c r="AR17" s="189">
        <v>200</v>
      </c>
      <c r="AS17" s="189">
        <v>2611018.96</v>
      </c>
      <c r="AT17" s="189">
        <v>1786849.28</v>
      </c>
      <c r="AU17" s="189">
        <v>134213.03</v>
      </c>
      <c r="AV17" s="189">
        <v>73244.03</v>
      </c>
      <c r="AW17" s="189">
        <v>924973.97</v>
      </c>
      <c r="AX17" s="189">
        <v>239268.83</v>
      </c>
      <c r="AY17" s="189">
        <v>234389.73</v>
      </c>
      <c r="AZ17" s="189">
        <v>61900</v>
      </c>
      <c r="BA17" s="189">
        <v>3357612.56</v>
      </c>
      <c r="BB17" s="189">
        <v>37000</v>
      </c>
      <c r="BC17" s="189">
        <v>37000</v>
      </c>
      <c r="BD17" s="189">
        <v>13400</v>
      </c>
      <c r="BE17" s="189">
        <v>2447151.0299999998</v>
      </c>
      <c r="BF17" s="189">
        <v>1375153.77</v>
      </c>
      <c r="BG17" s="189">
        <v>1352093.77</v>
      </c>
      <c r="BH17" s="189">
        <v>680953.59</v>
      </c>
      <c r="BI17" s="189">
        <v>2716713.25</v>
      </c>
      <c r="BJ17" s="189">
        <v>701314.21</v>
      </c>
      <c r="BK17" s="189">
        <v>404353.4</v>
      </c>
      <c r="BL17" s="189">
        <v>9245</v>
      </c>
      <c r="BM17" s="189">
        <v>1778319.24</v>
      </c>
      <c r="BN17" s="189">
        <v>200000</v>
      </c>
      <c r="BO17" s="189">
        <v>2930366.51</v>
      </c>
      <c r="BP17" s="189">
        <v>349128.13</v>
      </c>
      <c r="BQ17" s="189">
        <v>10781797.130000001</v>
      </c>
      <c r="BR17" s="189">
        <v>9970545.6799999997</v>
      </c>
      <c r="BS17" s="189">
        <v>0</v>
      </c>
    </row>
    <row r="18" spans="1:71" x14ac:dyDescent="0.25">
      <c r="A18" s="189" t="s">
        <v>234</v>
      </c>
      <c r="B18" s="189">
        <v>0</v>
      </c>
      <c r="C18" s="189">
        <v>0</v>
      </c>
      <c r="D18" s="189">
        <v>0</v>
      </c>
      <c r="E18" s="189">
        <v>50300000</v>
      </c>
      <c r="F18" s="189">
        <v>0</v>
      </c>
      <c r="G18" s="189">
        <v>0</v>
      </c>
      <c r="H18" s="189">
        <v>0</v>
      </c>
      <c r="I18" s="189">
        <v>344842967</v>
      </c>
      <c r="J18" s="189">
        <v>344842967</v>
      </c>
      <c r="K18" s="189">
        <v>344842967</v>
      </c>
      <c r="L18" s="189">
        <v>0</v>
      </c>
      <c r="M18" s="189">
        <v>1916888138.51</v>
      </c>
      <c r="N18" s="189">
        <v>11395453.51</v>
      </c>
      <c r="O18" s="189">
        <v>11395453.51</v>
      </c>
      <c r="P18" s="189">
        <v>0</v>
      </c>
      <c r="Q18" s="189">
        <v>7204267.3899999997</v>
      </c>
      <c r="R18" s="189">
        <v>4369223.17</v>
      </c>
      <c r="S18" s="189">
        <v>0</v>
      </c>
      <c r="T18" s="189">
        <v>0</v>
      </c>
      <c r="U18" s="189">
        <v>0</v>
      </c>
      <c r="V18" s="189">
        <v>0</v>
      </c>
      <c r="W18" s="189">
        <v>0</v>
      </c>
      <c r="X18" s="189">
        <v>0</v>
      </c>
      <c r="Y18" s="189">
        <v>-6121010.6600000001</v>
      </c>
      <c r="Z18" s="189">
        <v>0</v>
      </c>
      <c r="AA18" s="189">
        <v>0</v>
      </c>
      <c r="AB18" s="189">
        <v>0</v>
      </c>
      <c r="AC18" s="189">
        <v>0</v>
      </c>
      <c r="AD18" s="189">
        <v>0</v>
      </c>
      <c r="AE18" s="189">
        <v>0</v>
      </c>
      <c r="AF18" s="189">
        <v>0</v>
      </c>
      <c r="AG18" s="189">
        <v>12486.96</v>
      </c>
      <c r="AH18" s="189">
        <v>200311.06</v>
      </c>
      <c r="AI18" s="189">
        <v>0</v>
      </c>
      <c r="AJ18" s="189">
        <v>0</v>
      </c>
      <c r="AK18" s="189">
        <v>698938.6</v>
      </c>
      <c r="AL18" s="189">
        <v>0</v>
      </c>
      <c r="AM18" s="189">
        <v>0</v>
      </c>
      <c r="AN18" s="189">
        <v>0</v>
      </c>
      <c r="AO18" s="189">
        <v>0</v>
      </c>
      <c r="AP18" s="189">
        <v>0</v>
      </c>
      <c r="AQ18" s="189">
        <v>0</v>
      </c>
      <c r="AR18" s="189">
        <v>0</v>
      </c>
      <c r="AS18" s="189">
        <v>7975152.0700000003</v>
      </c>
      <c r="AT18" s="189">
        <v>417239.42</v>
      </c>
      <c r="AU18" s="189">
        <v>0</v>
      </c>
      <c r="AV18" s="189">
        <v>5000000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row>
    <row r="19" spans="1:71" x14ac:dyDescent="0.25">
      <c r="A19" s="189" t="s">
        <v>235</v>
      </c>
      <c r="B19" s="189">
        <v>0</v>
      </c>
      <c r="C19" s="189">
        <v>0</v>
      </c>
      <c r="D19" s="189">
        <v>0</v>
      </c>
      <c r="E19" s="189">
        <v>31310000</v>
      </c>
      <c r="F19" s="189">
        <v>31310000</v>
      </c>
      <c r="G19" s="189">
        <v>31310000</v>
      </c>
      <c r="H19" s="189">
        <v>31310000</v>
      </c>
      <c r="I19" s="189">
        <v>133200000</v>
      </c>
      <c r="J19" s="189">
        <v>133200000</v>
      </c>
      <c r="K19" s="189">
        <v>90000000</v>
      </c>
      <c r="L19" s="189">
        <v>90000000</v>
      </c>
      <c r="M19" s="189">
        <v>367809450</v>
      </c>
      <c r="N19" s="189">
        <v>367809450</v>
      </c>
      <c r="O19" s="189">
        <v>254040000</v>
      </c>
      <c r="P19" s="189">
        <v>233100000</v>
      </c>
      <c r="Q19" s="189">
        <v>0</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10040489.16</v>
      </c>
      <c r="AP19" s="189">
        <v>10040184.33</v>
      </c>
      <c r="AQ19" s="189">
        <v>10040184.33</v>
      </c>
      <c r="AR19" s="189">
        <v>0</v>
      </c>
      <c r="AS19" s="189">
        <v>0</v>
      </c>
      <c r="AT19" s="189">
        <v>0</v>
      </c>
      <c r="AU19" s="189">
        <v>0</v>
      </c>
      <c r="AV19" s="189">
        <v>0</v>
      </c>
      <c r="AW19" s="189">
        <v>1102401.8400000001</v>
      </c>
      <c r="AX19" s="189">
        <v>0</v>
      </c>
      <c r="AY19" s="189">
        <v>0</v>
      </c>
      <c r="AZ19" s="189">
        <v>0</v>
      </c>
      <c r="BA19" s="189">
        <v>8006275.4000000004</v>
      </c>
      <c r="BB19" s="189">
        <v>1000000</v>
      </c>
      <c r="BC19" s="189">
        <v>1000000</v>
      </c>
      <c r="BD19" s="189">
        <v>1000000</v>
      </c>
      <c r="BE19" s="189">
        <v>3609298.92</v>
      </c>
      <c r="BF19" s="189">
        <v>24584374.239999998</v>
      </c>
      <c r="BG19" s="189">
        <v>21524295.579999998</v>
      </c>
      <c r="BH19" s="189">
        <v>0</v>
      </c>
      <c r="BI19" s="189">
        <v>17055748.800000001</v>
      </c>
      <c r="BJ19" s="189">
        <v>17455748.800000001</v>
      </c>
      <c r="BK19" s="189">
        <v>17455748.800000001</v>
      </c>
      <c r="BL19" s="189">
        <v>0</v>
      </c>
      <c r="BM19" s="189">
        <v>1682801.71</v>
      </c>
      <c r="BN19" s="189">
        <v>0</v>
      </c>
      <c r="BO19" s="189">
        <v>0</v>
      </c>
      <c r="BP19" s="189">
        <v>0</v>
      </c>
      <c r="BQ19" s="189">
        <v>25465.32</v>
      </c>
      <c r="BR19" s="189">
        <v>0</v>
      </c>
      <c r="BS19" s="189">
        <v>0</v>
      </c>
    </row>
    <row r="20" spans="1:71" x14ac:dyDescent="0.25">
      <c r="A20" s="189" t="s">
        <v>236</v>
      </c>
      <c r="B20" s="189">
        <v>1887860276.01</v>
      </c>
      <c r="C20" s="189">
        <v>1530058495.1800001</v>
      </c>
      <c r="D20" s="189">
        <v>844913276.77999997</v>
      </c>
      <c r="E20" s="189">
        <v>7151320576.04</v>
      </c>
      <c r="F20" s="189">
        <v>3087575747.3499999</v>
      </c>
      <c r="G20" s="189">
        <v>2012579708.04</v>
      </c>
      <c r="H20" s="189">
        <v>644259329.61000001</v>
      </c>
      <c r="I20" s="189">
        <v>3285249567.4400001</v>
      </c>
      <c r="J20" s="189">
        <v>2070477645.0799999</v>
      </c>
      <c r="K20" s="189">
        <v>1742459503.99</v>
      </c>
      <c r="L20" s="189">
        <v>571136008.10000002</v>
      </c>
      <c r="M20" s="189">
        <v>4822383388.1999998</v>
      </c>
      <c r="N20" s="189">
        <v>1722554738.1400001</v>
      </c>
      <c r="O20" s="189">
        <v>913231368.64999998</v>
      </c>
      <c r="P20" s="189">
        <v>590835741.24000001</v>
      </c>
      <c r="Q20" s="189">
        <v>883680635.13999999</v>
      </c>
      <c r="R20" s="189">
        <v>458619820.04000002</v>
      </c>
      <c r="S20" s="189">
        <v>343696191.52999997</v>
      </c>
      <c r="T20" s="189">
        <v>178400041.53</v>
      </c>
      <c r="U20" s="189">
        <v>318071089.49000001</v>
      </c>
      <c r="V20" s="189">
        <v>15067874.49</v>
      </c>
      <c r="W20" s="189">
        <v>138200</v>
      </c>
      <c r="X20" s="189">
        <v>5300</v>
      </c>
      <c r="Y20" s="189">
        <v>14614848.720000001</v>
      </c>
      <c r="Z20" s="189">
        <v>1989390.88</v>
      </c>
      <c r="AA20" s="189">
        <v>1970340.88</v>
      </c>
      <c r="AB20" s="189">
        <v>1891447.81</v>
      </c>
      <c r="AC20" s="189">
        <v>127025305.7</v>
      </c>
      <c r="AD20" s="189">
        <v>114129772.08</v>
      </c>
      <c r="AE20" s="189">
        <v>13083439.76</v>
      </c>
      <c r="AF20" s="189">
        <v>5532291.7599999998</v>
      </c>
      <c r="AG20" s="189">
        <v>17092199.120000001</v>
      </c>
      <c r="AH20" s="189">
        <v>14051308.300000001</v>
      </c>
      <c r="AI20" s="189">
        <v>6899883.7400000002</v>
      </c>
      <c r="AJ20" s="189">
        <v>3725053.74</v>
      </c>
      <c r="AK20" s="189">
        <v>14975715.460000001</v>
      </c>
      <c r="AL20" s="189">
        <v>9725968.4900000002</v>
      </c>
      <c r="AM20" s="189">
        <v>5776468.4900000002</v>
      </c>
      <c r="AN20" s="189">
        <v>763426</v>
      </c>
      <c r="AO20" s="189">
        <v>16865963.91</v>
      </c>
      <c r="AP20" s="189">
        <v>16075031.949999999</v>
      </c>
      <c r="AQ20" s="189">
        <v>11135031.949999999</v>
      </c>
      <c r="AR20" s="189">
        <v>15200</v>
      </c>
      <c r="AS20" s="189">
        <v>38623319.07</v>
      </c>
      <c r="AT20" s="189">
        <v>17050081.960000001</v>
      </c>
      <c r="AU20" s="189">
        <v>14980206.289999999</v>
      </c>
      <c r="AV20" s="189">
        <v>8831207.9000000004</v>
      </c>
      <c r="AW20" s="189">
        <v>35203609.799999997</v>
      </c>
      <c r="AX20" s="189">
        <v>20258687.899999999</v>
      </c>
      <c r="AY20" s="189">
        <v>19166528.899999999</v>
      </c>
      <c r="AZ20" s="189">
        <v>4155446.73</v>
      </c>
      <c r="BA20" s="189">
        <v>31848338.030000001</v>
      </c>
      <c r="BB20" s="189">
        <v>79459773.629999995</v>
      </c>
      <c r="BC20" s="189">
        <v>78661559.609999999</v>
      </c>
      <c r="BD20" s="189">
        <v>18251003</v>
      </c>
      <c r="BE20" s="189">
        <v>155849466.41</v>
      </c>
      <c r="BF20" s="189">
        <v>40691851.880000003</v>
      </c>
      <c r="BG20" s="189">
        <v>29394364.379999999</v>
      </c>
      <c r="BH20" s="189">
        <v>224865398</v>
      </c>
      <c r="BI20" s="189">
        <v>242161287.30000001</v>
      </c>
      <c r="BJ20" s="189">
        <v>293622262.80000001</v>
      </c>
      <c r="BK20" s="189">
        <v>203996571.31999999</v>
      </c>
      <c r="BL20" s="189">
        <v>19145092.989999998</v>
      </c>
      <c r="BM20" s="189">
        <v>226195259.36000001</v>
      </c>
      <c r="BN20" s="189">
        <v>35073815.299999997</v>
      </c>
      <c r="BO20" s="189">
        <v>18125586.77</v>
      </c>
      <c r="BP20" s="189">
        <v>1056136.1000000001</v>
      </c>
      <c r="BQ20" s="189">
        <v>12177885.390000001</v>
      </c>
      <c r="BR20" s="189">
        <v>10460018.75</v>
      </c>
      <c r="BS20" s="189">
        <v>0</v>
      </c>
    </row>
    <row r="21" spans="1:71" x14ac:dyDescent="0.25">
      <c r="A21" s="189" t="s">
        <v>237</v>
      </c>
      <c r="B21" s="189">
        <v>282293549.41000003</v>
      </c>
      <c r="C21" s="189">
        <v>217426647.15000001</v>
      </c>
      <c r="D21" s="189">
        <v>170439540.78999999</v>
      </c>
      <c r="E21" s="189">
        <v>524797394.36000001</v>
      </c>
      <c r="F21" s="189">
        <v>401163312.25</v>
      </c>
      <c r="G21" s="189">
        <v>281448670.99000001</v>
      </c>
      <c r="H21" s="189">
        <v>194674454.36000001</v>
      </c>
      <c r="I21" s="189">
        <v>480667614.06</v>
      </c>
      <c r="J21" s="189">
        <v>321938337.98000002</v>
      </c>
      <c r="K21" s="189">
        <v>185889881.84</v>
      </c>
      <c r="L21" s="189">
        <v>82560334.659999996</v>
      </c>
      <c r="M21" s="189">
        <v>494463877.69</v>
      </c>
      <c r="N21" s="189">
        <v>443441363.87</v>
      </c>
      <c r="O21" s="189">
        <v>276538733.18000001</v>
      </c>
      <c r="P21" s="189">
        <v>30977903.559999999</v>
      </c>
      <c r="Q21" s="189">
        <v>99288797.579999998</v>
      </c>
      <c r="R21" s="189">
        <v>74120334.989999995</v>
      </c>
      <c r="S21" s="189">
        <v>51933010.200000003</v>
      </c>
      <c r="T21" s="189">
        <v>32127741.23</v>
      </c>
      <c r="U21" s="189">
        <v>157657564.66999999</v>
      </c>
      <c r="V21" s="189">
        <v>121623492.04000001</v>
      </c>
      <c r="W21" s="189">
        <v>85169721.879999995</v>
      </c>
      <c r="X21" s="189">
        <v>43599116.700000003</v>
      </c>
      <c r="Y21" s="189">
        <v>134516689.16</v>
      </c>
      <c r="Z21" s="189">
        <v>104928405.65000001</v>
      </c>
      <c r="AA21" s="189">
        <v>82013390.629999995</v>
      </c>
      <c r="AB21" s="189">
        <v>23684997.629999999</v>
      </c>
      <c r="AC21" s="189">
        <v>90799253.5</v>
      </c>
      <c r="AD21" s="189">
        <v>65084122.93</v>
      </c>
      <c r="AE21" s="189">
        <v>45001875.609999999</v>
      </c>
      <c r="AF21" s="189">
        <v>20074965.550000001</v>
      </c>
      <c r="AG21" s="189">
        <v>96403953.810000002</v>
      </c>
      <c r="AH21" s="189">
        <v>66402909.18</v>
      </c>
      <c r="AI21" s="189">
        <v>42625970.229999997</v>
      </c>
      <c r="AJ21" s="189">
        <v>24941803.09</v>
      </c>
      <c r="AK21" s="189">
        <v>79396680.799999997</v>
      </c>
      <c r="AL21" s="189">
        <v>53725882.060000002</v>
      </c>
      <c r="AM21" s="189">
        <v>33756609.759999998</v>
      </c>
      <c r="AN21" s="189">
        <v>21009794.149999999</v>
      </c>
      <c r="AO21" s="189">
        <v>70003781.579999998</v>
      </c>
      <c r="AP21" s="189">
        <v>45380817.950000003</v>
      </c>
      <c r="AQ21" s="189">
        <v>29424522.059999999</v>
      </c>
      <c r="AR21" s="189">
        <v>14901541.609999999</v>
      </c>
      <c r="AS21" s="189">
        <v>44201441.200000003</v>
      </c>
      <c r="AT21" s="189">
        <v>36518188.729999997</v>
      </c>
      <c r="AU21" s="189">
        <v>22939723.23</v>
      </c>
      <c r="AV21" s="189">
        <v>13756848.9</v>
      </c>
      <c r="AW21" s="189">
        <v>67659926.129999995</v>
      </c>
      <c r="AX21" s="189">
        <v>42525992.450000003</v>
      </c>
      <c r="AY21" s="189">
        <v>30530586.379999999</v>
      </c>
      <c r="AZ21" s="189">
        <v>14558240.689999999</v>
      </c>
      <c r="BA21" s="189">
        <v>63305711.369999997</v>
      </c>
      <c r="BB21" s="189">
        <v>39870503.640000001</v>
      </c>
      <c r="BC21" s="189">
        <v>14853986.949999999</v>
      </c>
      <c r="BD21" s="189">
        <v>8125468.46</v>
      </c>
      <c r="BE21" s="189">
        <v>55592872.140000001</v>
      </c>
      <c r="BF21" s="189">
        <v>24402988.920000002</v>
      </c>
      <c r="BG21" s="189">
        <v>12973780.710000001</v>
      </c>
      <c r="BH21" s="189">
        <v>4133906.39</v>
      </c>
      <c r="BI21" s="189">
        <v>78873660.319999993</v>
      </c>
      <c r="BJ21" s="189">
        <v>38354112.329999998</v>
      </c>
      <c r="BK21" s="189">
        <v>17848790.640000001</v>
      </c>
      <c r="BL21" s="189">
        <v>10238033.470000001</v>
      </c>
      <c r="BM21" s="189">
        <v>72906599.329999998</v>
      </c>
      <c r="BN21" s="189">
        <v>30447250.079999998</v>
      </c>
      <c r="BO21" s="189">
        <v>45696974.840000004</v>
      </c>
      <c r="BP21" s="189">
        <v>13924488.34</v>
      </c>
      <c r="BQ21" s="189">
        <v>11848352.380000001</v>
      </c>
      <c r="BR21" s="189">
        <v>37591638.359999999</v>
      </c>
      <c r="BS21" s="189">
        <v>0</v>
      </c>
    </row>
    <row r="22" spans="1:71" x14ac:dyDescent="0.25">
      <c r="A22" s="189" t="s">
        <v>238</v>
      </c>
      <c r="B22" s="189">
        <v>2170000000</v>
      </c>
      <c r="C22" s="189">
        <v>1870000000</v>
      </c>
      <c r="D22" s="189">
        <v>1020000000</v>
      </c>
      <c r="E22" s="189">
        <v>6008000000</v>
      </c>
      <c r="F22" s="189">
        <v>3498000000</v>
      </c>
      <c r="G22" s="189">
        <v>1998000000</v>
      </c>
      <c r="H22" s="189">
        <v>596300000</v>
      </c>
      <c r="I22" s="189">
        <v>3330920000</v>
      </c>
      <c r="J22" s="189">
        <v>2090000000</v>
      </c>
      <c r="K22" s="189">
        <v>1751000000</v>
      </c>
      <c r="L22" s="189">
        <v>569608732.27999997</v>
      </c>
      <c r="M22" s="189">
        <v>4109912802</v>
      </c>
      <c r="N22" s="189">
        <v>2869080100</v>
      </c>
      <c r="O22" s="189">
        <v>1540000000</v>
      </c>
      <c r="P22" s="189">
        <v>300000000</v>
      </c>
      <c r="Q22" s="189">
        <v>640000000</v>
      </c>
      <c r="R22" s="189">
        <v>264734805.74000001</v>
      </c>
      <c r="S22" s="189">
        <v>3383088.13</v>
      </c>
      <c r="T22" s="189">
        <v>0</v>
      </c>
      <c r="U22" s="189">
        <v>473690793.13999999</v>
      </c>
      <c r="V22" s="189">
        <v>173690793.13999999</v>
      </c>
      <c r="W22" s="189">
        <v>171040793.13999999</v>
      </c>
      <c r="X22" s="189">
        <v>22428200</v>
      </c>
      <c r="Y22" s="189">
        <v>494333507.69999999</v>
      </c>
      <c r="Z22" s="189">
        <v>104000000</v>
      </c>
      <c r="AA22" s="189">
        <v>0</v>
      </c>
      <c r="AB22" s="189">
        <v>0</v>
      </c>
      <c r="AC22" s="189">
        <v>100000000</v>
      </c>
      <c r="AD22" s="189">
        <v>100000000</v>
      </c>
      <c r="AE22" s="189">
        <v>0</v>
      </c>
      <c r="AF22" s="189">
        <v>0</v>
      </c>
      <c r="AG22" s="189">
        <v>65000000</v>
      </c>
      <c r="AH22" s="189">
        <v>65000000</v>
      </c>
      <c r="AI22" s="189">
        <v>65000000</v>
      </c>
      <c r="AJ22" s="189">
        <v>65000000</v>
      </c>
      <c r="AK22" s="189">
        <v>24667130</v>
      </c>
      <c r="AL22" s="189">
        <v>24667130</v>
      </c>
      <c r="AM22" s="189">
        <v>0</v>
      </c>
      <c r="AN22" s="189">
        <v>0</v>
      </c>
      <c r="AO22" s="189">
        <v>7932894</v>
      </c>
      <c r="AP22" s="189">
        <v>27624144</v>
      </c>
      <c r="AQ22" s="189">
        <v>19841250</v>
      </c>
      <c r="AR22" s="189">
        <v>0</v>
      </c>
      <c r="AS22" s="189">
        <v>1196520</v>
      </c>
      <c r="AT22" s="189">
        <v>13709192</v>
      </c>
      <c r="AU22" s="189">
        <v>5085320</v>
      </c>
      <c r="AV22" s="189">
        <v>5085320</v>
      </c>
      <c r="AW22" s="189">
        <v>25131524</v>
      </c>
      <c r="AX22" s="189">
        <v>31622434</v>
      </c>
      <c r="AY22" s="189">
        <v>27143834</v>
      </c>
      <c r="AZ22" s="189">
        <v>10000000</v>
      </c>
      <c r="BA22" s="189">
        <v>23733780</v>
      </c>
      <c r="BB22" s="189">
        <v>81437730</v>
      </c>
      <c r="BC22" s="189">
        <v>81437730</v>
      </c>
      <c r="BD22" s="189">
        <v>51435210</v>
      </c>
      <c r="BE22" s="189">
        <v>187906890</v>
      </c>
      <c r="BF22" s="189">
        <v>36442677.119999997</v>
      </c>
      <c r="BG22" s="189">
        <v>9886511.6400000006</v>
      </c>
      <c r="BH22" s="189">
        <v>242614839.44999999</v>
      </c>
      <c r="BI22" s="189">
        <v>284216143.33999997</v>
      </c>
      <c r="BJ22" s="189">
        <v>332624619.86000001</v>
      </c>
      <c r="BK22" s="189">
        <v>257326812.36000001</v>
      </c>
      <c r="BL22" s="189">
        <v>16947334.359999999</v>
      </c>
      <c r="BM22" s="189">
        <v>201072995.69</v>
      </c>
      <c r="BN22" s="189">
        <v>101623166.33</v>
      </c>
      <c r="BO22" s="189">
        <v>127107978.09</v>
      </c>
      <c r="BP22" s="189">
        <v>8000000</v>
      </c>
      <c r="BQ22" s="189">
        <v>1001000</v>
      </c>
      <c r="BR22" s="189">
        <v>11402000</v>
      </c>
      <c r="BS22" s="189">
        <v>0</v>
      </c>
    </row>
    <row r="23" spans="1:71" x14ac:dyDescent="0.25">
      <c r="A23" s="189" t="s">
        <v>239</v>
      </c>
      <c r="B23" s="189">
        <v>0</v>
      </c>
      <c r="C23" s="189">
        <v>0</v>
      </c>
      <c r="D23" s="189">
        <v>0</v>
      </c>
      <c r="E23" s="189">
        <v>86383631.280000001</v>
      </c>
      <c r="F23" s="189">
        <v>0</v>
      </c>
      <c r="G23" s="189">
        <v>0</v>
      </c>
      <c r="H23" s="189">
        <v>0</v>
      </c>
      <c r="I23" s="189">
        <v>0</v>
      </c>
      <c r="J23" s="189">
        <v>93100000</v>
      </c>
      <c r="K23" s="189">
        <v>46550000</v>
      </c>
      <c r="L23" s="189">
        <v>0</v>
      </c>
      <c r="M23" s="189">
        <v>0</v>
      </c>
      <c r="N23" s="189">
        <v>0</v>
      </c>
      <c r="O23" s="189">
        <v>0</v>
      </c>
      <c r="P23" s="189">
        <v>0</v>
      </c>
      <c r="Q23" s="189">
        <v>0</v>
      </c>
      <c r="R23" s="189">
        <v>0</v>
      </c>
      <c r="S23" s="189">
        <v>0</v>
      </c>
      <c r="T23" s="189">
        <v>0</v>
      </c>
      <c r="U23" s="189">
        <v>0</v>
      </c>
      <c r="V23" s="189">
        <v>0</v>
      </c>
      <c r="W23" s="189">
        <v>0</v>
      </c>
      <c r="X23" s="189">
        <v>0</v>
      </c>
      <c r="Y23" s="189">
        <v>0</v>
      </c>
      <c r="Z23" s="189">
        <v>0</v>
      </c>
      <c r="AA23" s="189">
        <v>4000000</v>
      </c>
      <c r="AB23" s="189">
        <v>0</v>
      </c>
      <c r="AC23" s="189">
        <v>67008269.829999998</v>
      </c>
      <c r="AD23" s="189">
        <v>67008269.829999998</v>
      </c>
      <c r="AE23" s="189">
        <v>67008269.829999998</v>
      </c>
      <c r="AF23" s="189">
        <v>0</v>
      </c>
      <c r="AG23" s="189">
        <v>0</v>
      </c>
      <c r="AH23" s="189">
        <v>0</v>
      </c>
      <c r="AI23" s="189">
        <v>0</v>
      </c>
      <c r="AJ23" s="189">
        <v>0</v>
      </c>
      <c r="AK23" s="189">
        <v>0</v>
      </c>
      <c r="AL23" s="189">
        <v>0</v>
      </c>
      <c r="AM23" s="189">
        <v>0</v>
      </c>
      <c r="AN23" s="189">
        <v>0</v>
      </c>
      <c r="AO23" s="189">
        <v>19841250</v>
      </c>
      <c r="AP23" s="189">
        <v>0</v>
      </c>
      <c r="AQ23" s="189">
        <v>0</v>
      </c>
      <c r="AR23" s="189">
        <v>0</v>
      </c>
      <c r="AS23" s="189">
        <v>17212672</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row>
    <row r="24" spans="1:71" x14ac:dyDescent="0.25">
      <c r="A24" s="189" t="s">
        <v>240</v>
      </c>
      <c r="B24" s="189">
        <v>0</v>
      </c>
      <c r="C24" s="189">
        <v>0</v>
      </c>
      <c r="D24" s="189">
        <v>0</v>
      </c>
      <c r="E24" s="189">
        <v>0</v>
      </c>
      <c r="F24" s="189">
        <v>0</v>
      </c>
      <c r="G24" s="189">
        <v>0</v>
      </c>
      <c r="H24" s="189">
        <v>0</v>
      </c>
      <c r="I24" s="189">
        <v>47169450</v>
      </c>
      <c r="J24" s="189">
        <v>47169450</v>
      </c>
      <c r="K24" s="189">
        <v>47169450</v>
      </c>
      <c r="L24" s="189">
        <v>47169450</v>
      </c>
      <c r="M24" s="189">
        <v>20940000</v>
      </c>
      <c r="N24" s="189">
        <v>20940000</v>
      </c>
      <c r="O24" s="189">
        <v>20940000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159399.26</v>
      </c>
      <c r="AG24" s="189">
        <v>0</v>
      </c>
      <c r="AH24" s="189">
        <v>0</v>
      </c>
      <c r="AI24" s="189">
        <v>0</v>
      </c>
      <c r="AJ24" s="189">
        <v>0</v>
      </c>
      <c r="AK24" s="189">
        <v>0</v>
      </c>
      <c r="AL24" s="189">
        <v>1002461.58</v>
      </c>
      <c r="AM24" s="189">
        <v>1002461.58</v>
      </c>
      <c r="AN24" s="189">
        <v>1002461.58</v>
      </c>
      <c r="AO24" s="189">
        <v>25088323.390000001</v>
      </c>
      <c r="AP24" s="189">
        <v>24108654.66</v>
      </c>
      <c r="AQ24" s="189">
        <v>900389.33</v>
      </c>
      <c r="AR24" s="189">
        <v>0</v>
      </c>
      <c r="AS24" s="189">
        <v>9899619.5099999998</v>
      </c>
      <c r="AT24" s="189">
        <v>13904127.92</v>
      </c>
      <c r="AU24" s="189">
        <v>13843020.050000001</v>
      </c>
      <c r="AV24" s="189">
        <v>9899619.5099999998</v>
      </c>
      <c r="AW24" s="189">
        <v>1249408.21</v>
      </c>
      <c r="AX24" s="189">
        <v>0</v>
      </c>
      <c r="AY24" s="189">
        <v>0</v>
      </c>
      <c r="AZ24" s="189">
        <v>24000</v>
      </c>
      <c r="BA24" s="189">
        <v>0</v>
      </c>
      <c r="BB24" s="189">
        <v>0</v>
      </c>
      <c r="BC24" s="189">
        <v>0</v>
      </c>
      <c r="BD24" s="189">
        <v>0</v>
      </c>
      <c r="BE24" s="189">
        <v>9205.06</v>
      </c>
      <c r="BF24" s="189">
        <v>1367354</v>
      </c>
      <c r="BG24" s="189">
        <v>0</v>
      </c>
      <c r="BH24" s="189">
        <v>0</v>
      </c>
      <c r="BI24" s="189">
        <v>182553.37</v>
      </c>
      <c r="BJ24" s="189">
        <v>0</v>
      </c>
      <c r="BK24" s="189">
        <v>0</v>
      </c>
      <c r="BL24" s="189">
        <v>0</v>
      </c>
      <c r="BM24" s="189">
        <v>0</v>
      </c>
      <c r="BN24" s="189">
        <v>0</v>
      </c>
      <c r="BO24" s="189">
        <v>2855747.49</v>
      </c>
      <c r="BP24" s="189">
        <v>663257.97</v>
      </c>
      <c r="BQ24" s="189">
        <v>1099611.94</v>
      </c>
      <c r="BR24" s="189">
        <v>0</v>
      </c>
      <c r="BS24" s="189">
        <v>0</v>
      </c>
    </row>
    <row r="25" spans="1:71" x14ac:dyDescent="0.25">
      <c r="A25" s="189" t="s">
        <v>241</v>
      </c>
      <c r="B25" s="189">
        <v>2452293549.4099998</v>
      </c>
      <c r="C25" s="189">
        <v>2087426647.1500001</v>
      </c>
      <c r="D25" s="189">
        <v>1190439540.79</v>
      </c>
      <c r="E25" s="189">
        <v>6619181025.6400003</v>
      </c>
      <c r="F25" s="189">
        <v>3899163312.25</v>
      </c>
      <c r="G25" s="189">
        <v>2279448670.9899998</v>
      </c>
      <c r="H25" s="189">
        <v>790974454.36000001</v>
      </c>
      <c r="I25" s="189">
        <v>3858757064.0599999</v>
      </c>
      <c r="J25" s="189">
        <v>2552207787.98</v>
      </c>
      <c r="K25" s="189">
        <v>2030609331.8399999</v>
      </c>
      <c r="L25" s="189">
        <v>699338516.94000006</v>
      </c>
      <c r="M25" s="189">
        <v>4625316679.6899996</v>
      </c>
      <c r="N25" s="189">
        <v>3333461463.8699999</v>
      </c>
      <c r="O25" s="189">
        <v>1837478733.1800001</v>
      </c>
      <c r="P25" s="189">
        <v>330977903.56</v>
      </c>
      <c r="Q25" s="189">
        <v>739288797.58000004</v>
      </c>
      <c r="R25" s="189">
        <v>338855140.73000002</v>
      </c>
      <c r="S25" s="189">
        <v>55316098.329999998</v>
      </c>
      <c r="T25" s="189">
        <v>32127741.23</v>
      </c>
      <c r="U25" s="189">
        <v>631348357.80999994</v>
      </c>
      <c r="V25" s="189">
        <v>295314285.18000001</v>
      </c>
      <c r="W25" s="189">
        <v>256210515.02000001</v>
      </c>
      <c r="X25" s="189">
        <v>66027316.700000003</v>
      </c>
      <c r="Y25" s="189">
        <v>628850196.86000001</v>
      </c>
      <c r="Z25" s="189">
        <v>208928405.65000001</v>
      </c>
      <c r="AA25" s="189">
        <v>86013390.629999995</v>
      </c>
      <c r="AB25" s="189">
        <v>23684997.629999999</v>
      </c>
      <c r="AC25" s="189">
        <v>257807523.33000001</v>
      </c>
      <c r="AD25" s="189">
        <v>232092392.75999999</v>
      </c>
      <c r="AE25" s="189">
        <v>112010145.44</v>
      </c>
      <c r="AF25" s="189">
        <v>20234364.809999999</v>
      </c>
      <c r="AG25" s="189">
        <v>161403953.81</v>
      </c>
      <c r="AH25" s="189">
        <v>131402909.18000001</v>
      </c>
      <c r="AI25" s="189">
        <v>107625970.23</v>
      </c>
      <c r="AJ25" s="189">
        <v>89941803.090000004</v>
      </c>
      <c r="AK25" s="189">
        <v>104063810.8</v>
      </c>
      <c r="AL25" s="189">
        <v>79395473.640000001</v>
      </c>
      <c r="AM25" s="189">
        <v>34759071.340000004</v>
      </c>
      <c r="AN25" s="189">
        <v>22012255.73</v>
      </c>
      <c r="AO25" s="189">
        <v>122866248.97</v>
      </c>
      <c r="AP25" s="189">
        <v>97113616.609999999</v>
      </c>
      <c r="AQ25" s="189">
        <v>50166161.390000001</v>
      </c>
      <c r="AR25" s="189">
        <v>14901541.609999999</v>
      </c>
      <c r="AS25" s="189">
        <v>72510252.709999993</v>
      </c>
      <c r="AT25" s="189">
        <v>64131508.649999999</v>
      </c>
      <c r="AU25" s="189">
        <v>41868063.280000001</v>
      </c>
      <c r="AV25" s="189">
        <v>28741788.41</v>
      </c>
      <c r="AW25" s="189">
        <v>94040858.340000004</v>
      </c>
      <c r="AX25" s="189">
        <v>74148426.450000003</v>
      </c>
      <c r="AY25" s="189">
        <v>57674420.380000003</v>
      </c>
      <c r="AZ25" s="189">
        <v>24582240.690000001</v>
      </c>
      <c r="BA25" s="189">
        <v>87039491.370000005</v>
      </c>
      <c r="BB25" s="189">
        <v>121308233.64</v>
      </c>
      <c r="BC25" s="189">
        <v>96291716.950000003</v>
      </c>
      <c r="BD25" s="189">
        <v>59560678.460000001</v>
      </c>
      <c r="BE25" s="189">
        <v>243508967.19999999</v>
      </c>
      <c r="BF25" s="189">
        <v>62213020.039999999</v>
      </c>
      <c r="BG25" s="189">
        <v>22860292.350000001</v>
      </c>
      <c r="BH25" s="189">
        <v>246748745.84</v>
      </c>
      <c r="BI25" s="189">
        <v>363272357.02999997</v>
      </c>
      <c r="BJ25" s="189">
        <v>370978732.19</v>
      </c>
      <c r="BK25" s="189">
        <v>275175603</v>
      </c>
      <c r="BL25" s="189">
        <v>27185367.829999998</v>
      </c>
      <c r="BM25" s="189">
        <v>273979595.01999998</v>
      </c>
      <c r="BN25" s="189">
        <v>132070416.41</v>
      </c>
      <c r="BO25" s="189">
        <v>175660700.41999999</v>
      </c>
      <c r="BP25" s="189">
        <v>22587746.309999999</v>
      </c>
      <c r="BQ25" s="189">
        <v>13948964.32</v>
      </c>
      <c r="BR25" s="189">
        <v>43292638.359999999</v>
      </c>
      <c r="BS25" s="189">
        <v>0</v>
      </c>
    </row>
    <row r="26" spans="1:71" x14ac:dyDescent="0.25">
      <c r="A26" s="189" t="s">
        <v>242</v>
      </c>
      <c r="B26" s="189">
        <v>-564433273.39999998</v>
      </c>
      <c r="C26" s="189">
        <v>-557368151.97000003</v>
      </c>
      <c r="D26" s="189">
        <v>-345526264.00999999</v>
      </c>
      <c r="E26" s="189">
        <v>532139550.39999998</v>
      </c>
      <c r="F26" s="189">
        <v>-811587564.89999998</v>
      </c>
      <c r="G26" s="189">
        <v>-266868962.94999999</v>
      </c>
      <c r="H26" s="189">
        <v>-146715124.75</v>
      </c>
      <c r="I26" s="189">
        <v>-573507496.62</v>
      </c>
      <c r="J26" s="189">
        <v>-481730142.89999998</v>
      </c>
      <c r="K26" s="189">
        <v>-288149827.85000002</v>
      </c>
      <c r="L26" s="189">
        <v>-128202508.84</v>
      </c>
      <c r="M26" s="189">
        <v>197066708.50999999</v>
      </c>
      <c r="N26" s="189">
        <v>-1610906725.73</v>
      </c>
      <c r="O26" s="189">
        <v>-924247364.52999997</v>
      </c>
      <c r="P26" s="189">
        <v>259857837.68000001</v>
      </c>
      <c r="Q26" s="189">
        <v>144391837.56</v>
      </c>
      <c r="R26" s="189">
        <v>119764679.31</v>
      </c>
      <c r="S26" s="189">
        <v>288380093.19999999</v>
      </c>
      <c r="T26" s="189">
        <v>146272300.30000001</v>
      </c>
      <c r="U26" s="189">
        <v>-313277268.31999999</v>
      </c>
      <c r="V26" s="189">
        <v>-280246410.69</v>
      </c>
      <c r="W26" s="189">
        <v>-256072315.02000001</v>
      </c>
      <c r="X26" s="189">
        <v>-66022016.700000003</v>
      </c>
      <c r="Y26" s="189">
        <v>-614235348.13999999</v>
      </c>
      <c r="Z26" s="189">
        <v>-206939014.77000001</v>
      </c>
      <c r="AA26" s="189">
        <v>-84043049.75</v>
      </c>
      <c r="AB26" s="189">
        <v>-21793549.82</v>
      </c>
      <c r="AC26" s="189">
        <v>-130782217.63</v>
      </c>
      <c r="AD26" s="189">
        <v>-117962620.68000001</v>
      </c>
      <c r="AE26" s="189">
        <v>-98926705.680000007</v>
      </c>
      <c r="AF26" s="189">
        <v>-14702073.050000001</v>
      </c>
      <c r="AG26" s="189">
        <v>-144311754.69</v>
      </c>
      <c r="AH26" s="189">
        <v>-117351600.88</v>
      </c>
      <c r="AI26" s="189">
        <v>-100726086.48999999</v>
      </c>
      <c r="AJ26" s="189">
        <v>-86216749.349999994</v>
      </c>
      <c r="AK26" s="189">
        <v>-89088095.340000004</v>
      </c>
      <c r="AL26" s="189">
        <v>-69669505.150000006</v>
      </c>
      <c r="AM26" s="189">
        <v>-28982602.850000001</v>
      </c>
      <c r="AN26" s="189">
        <v>-21248829.73</v>
      </c>
      <c r="AO26" s="189">
        <v>-106000285.06</v>
      </c>
      <c r="AP26" s="189">
        <v>-81038584.659999996</v>
      </c>
      <c r="AQ26" s="189">
        <v>-39031129.439999998</v>
      </c>
      <c r="AR26" s="189">
        <v>-14886341.609999999</v>
      </c>
      <c r="AS26" s="189">
        <v>-33886933.640000001</v>
      </c>
      <c r="AT26" s="189">
        <v>-47081426.689999998</v>
      </c>
      <c r="AU26" s="189">
        <v>-26887856.989999998</v>
      </c>
      <c r="AV26" s="189">
        <v>-19910580.510000002</v>
      </c>
      <c r="AW26" s="189">
        <v>-58837248.539999999</v>
      </c>
      <c r="AX26" s="189">
        <v>-53889738.549999997</v>
      </c>
      <c r="AY26" s="189">
        <v>-38507891.479999997</v>
      </c>
      <c r="AZ26" s="189">
        <v>-20426793.960000001</v>
      </c>
      <c r="BA26" s="189">
        <v>-55191153.340000004</v>
      </c>
      <c r="BB26" s="189">
        <v>-41848460.009999998</v>
      </c>
      <c r="BC26" s="189">
        <v>-17630157.34</v>
      </c>
      <c r="BD26" s="189">
        <v>-41309675.460000001</v>
      </c>
      <c r="BE26" s="189">
        <v>-87659500.790000007</v>
      </c>
      <c r="BF26" s="189">
        <v>-21521168.16</v>
      </c>
      <c r="BG26" s="189">
        <v>6534072.0300000003</v>
      </c>
      <c r="BH26" s="189">
        <v>-21883347.84</v>
      </c>
      <c r="BI26" s="189">
        <v>-121111069.73</v>
      </c>
      <c r="BJ26" s="189">
        <v>-77356469.390000001</v>
      </c>
      <c r="BK26" s="189">
        <v>-71179031.680000007</v>
      </c>
      <c r="BL26" s="189">
        <v>-8040274.8399999999</v>
      </c>
      <c r="BM26" s="189">
        <v>-47784335.659999996</v>
      </c>
      <c r="BN26" s="189">
        <v>-96996601.109999999</v>
      </c>
      <c r="BO26" s="189">
        <v>-157535113.65000001</v>
      </c>
      <c r="BP26" s="189">
        <v>-21531610.210000001</v>
      </c>
      <c r="BQ26" s="189">
        <v>-1771078.93</v>
      </c>
      <c r="BR26" s="189">
        <v>-32832619.609999999</v>
      </c>
      <c r="BS26" s="189">
        <v>0</v>
      </c>
    </row>
    <row r="27" spans="1:71" x14ac:dyDescent="0.25">
      <c r="A27" s="189" t="s">
        <v>243</v>
      </c>
    </row>
    <row r="28" spans="1:71" x14ac:dyDescent="0.25">
      <c r="A28" s="189" t="s">
        <v>244</v>
      </c>
      <c r="B28" s="189">
        <v>0</v>
      </c>
      <c r="C28" s="189">
        <v>0</v>
      </c>
      <c r="D28" s="189">
        <v>0</v>
      </c>
      <c r="E28" s="189">
        <v>0</v>
      </c>
      <c r="F28" s="189">
        <v>0</v>
      </c>
      <c r="G28" s="189">
        <v>0</v>
      </c>
      <c r="H28" s="189">
        <v>0</v>
      </c>
      <c r="I28" s="189">
        <v>0</v>
      </c>
      <c r="J28" s="189">
        <v>0</v>
      </c>
      <c r="K28" s="189">
        <v>0</v>
      </c>
      <c r="L28" s="189">
        <v>0</v>
      </c>
      <c r="M28" s="189">
        <v>31642600</v>
      </c>
      <c r="N28" s="189">
        <v>31642600</v>
      </c>
      <c r="O28" s="189">
        <v>0</v>
      </c>
      <c r="P28" s="189">
        <v>0</v>
      </c>
      <c r="Q28" s="189">
        <v>0</v>
      </c>
      <c r="R28" s="189">
        <v>0</v>
      </c>
      <c r="S28" s="189">
        <v>0</v>
      </c>
      <c r="T28" s="189">
        <v>0</v>
      </c>
      <c r="U28" s="189">
        <v>0</v>
      </c>
      <c r="V28" s="189">
        <v>0</v>
      </c>
      <c r="W28" s="189">
        <v>0</v>
      </c>
      <c r="X28" s="189">
        <v>0</v>
      </c>
      <c r="Y28" s="189">
        <v>415993500</v>
      </c>
      <c r="Z28" s="189">
        <v>415993500</v>
      </c>
      <c r="AA28" s="189">
        <v>415993500</v>
      </c>
      <c r="AB28" s="189">
        <v>0</v>
      </c>
      <c r="AC28" s="189">
        <v>3000000</v>
      </c>
      <c r="AD28" s="189">
        <v>3000000</v>
      </c>
      <c r="AE28" s="189">
        <v>3000000</v>
      </c>
      <c r="AF28" s="189">
        <v>3000000</v>
      </c>
      <c r="AG28" s="189">
        <v>2500000</v>
      </c>
      <c r="AH28" s="189">
        <v>2500000</v>
      </c>
      <c r="AI28" s="189">
        <v>0</v>
      </c>
      <c r="AJ28" s="189">
        <v>0</v>
      </c>
      <c r="AK28" s="189">
        <v>0</v>
      </c>
      <c r="AL28" s="189">
        <v>0</v>
      </c>
      <c r="AM28" s="189">
        <v>0</v>
      </c>
      <c r="AN28" s="189">
        <v>0</v>
      </c>
      <c r="AO28" s="189">
        <v>54520800.200000003</v>
      </c>
      <c r="AP28" s="189">
        <v>51882001</v>
      </c>
      <c r="AQ28" s="189">
        <v>51582000</v>
      </c>
      <c r="AR28" s="189">
        <v>0</v>
      </c>
      <c r="AS28" s="189">
        <v>0</v>
      </c>
      <c r="AT28" s="189">
        <v>0</v>
      </c>
      <c r="AU28" s="189">
        <v>0</v>
      </c>
      <c r="AV28" s="189">
        <v>0</v>
      </c>
      <c r="AW28" s="189">
        <v>0</v>
      </c>
      <c r="AX28" s="189">
        <v>0</v>
      </c>
      <c r="AY28" s="189">
        <v>0</v>
      </c>
      <c r="AZ28" s="189">
        <v>0</v>
      </c>
      <c r="BA28" s="189">
        <v>0</v>
      </c>
      <c r="BB28" s="189">
        <v>0</v>
      </c>
      <c r="BC28" s="189">
        <v>15000000</v>
      </c>
      <c r="BD28" s="189">
        <v>0</v>
      </c>
      <c r="BE28" s="189">
        <v>5338450</v>
      </c>
      <c r="BF28" s="189">
        <v>5338450</v>
      </c>
      <c r="BG28" s="189">
        <v>5338450</v>
      </c>
      <c r="BH28" s="189">
        <v>900000</v>
      </c>
      <c r="BI28" s="189">
        <v>3650000</v>
      </c>
      <c r="BJ28" s="189">
        <v>3250000</v>
      </c>
      <c r="BK28" s="189">
        <v>0</v>
      </c>
      <c r="BL28" s="189">
        <v>0</v>
      </c>
      <c r="BM28" s="189">
        <v>7000000</v>
      </c>
      <c r="BN28" s="189">
        <v>0</v>
      </c>
      <c r="BO28" s="189">
        <v>719686423</v>
      </c>
      <c r="BP28" s="189">
        <v>737543016.19000006</v>
      </c>
      <c r="BQ28" s="189">
        <v>1076075</v>
      </c>
      <c r="BR28" s="189">
        <v>0</v>
      </c>
      <c r="BS28" s="189">
        <v>0</v>
      </c>
    </row>
    <row r="29" spans="1:71" x14ac:dyDescent="0.25">
      <c r="A29" s="189" t="s">
        <v>245</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3000000</v>
      </c>
      <c r="AD29" s="189">
        <v>3000000</v>
      </c>
      <c r="AE29" s="189">
        <v>3000000</v>
      </c>
      <c r="AF29" s="189">
        <v>0</v>
      </c>
      <c r="AG29" s="189">
        <v>2500000</v>
      </c>
      <c r="AH29" s="189">
        <v>2500000</v>
      </c>
      <c r="AI29" s="189">
        <v>0</v>
      </c>
      <c r="AJ29" s="189">
        <v>0</v>
      </c>
      <c r="AK29" s="189">
        <v>0</v>
      </c>
      <c r="AL29" s="189">
        <v>0</v>
      </c>
      <c r="AM29" s="189">
        <v>0</v>
      </c>
      <c r="AN29" s="189">
        <v>0</v>
      </c>
      <c r="AO29" s="189">
        <v>0</v>
      </c>
      <c r="AP29" s="189">
        <v>0</v>
      </c>
      <c r="AQ29" s="189">
        <v>4200000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row>
    <row r="30" spans="1:71" x14ac:dyDescent="0.25">
      <c r="A30" s="189" t="s">
        <v>246</v>
      </c>
      <c r="B30" s="189">
        <v>0</v>
      </c>
      <c r="C30" s="189">
        <v>0</v>
      </c>
      <c r="D30" s="189">
        <v>0</v>
      </c>
      <c r="E30" s="189">
        <v>73812809.920000002</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10000000</v>
      </c>
      <c r="AA30" s="189">
        <v>10000000</v>
      </c>
      <c r="AB30" s="189">
        <v>1000000</v>
      </c>
      <c r="AC30" s="189">
        <v>10000000</v>
      </c>
      <c r="AD30" s="189">
        <v>7000000</v>
      </c>
      <c r="AE30" s="189">
        <v>7000000</v>
      </c>
      <c r="AF30" s="189">
        <v>1000000</v>
      </c>
      <c r="AG30" s="189">
        <v>12000000</v>
      </c>
      <c r="AH30" s="189">
        <v>9000000</v>
      </c>
      <c r="AI30" s="189">
        <v>9000000</v>
      </c>
      <c r="AJ30" s="189">
        <v>3000000</v>
      </c>
      <c r="AK30" s="189">
        <v>17000000</v>
      </c>
      <c r="AL30" s="189">
        <v>15000000</v>
      </c>
      <c r="AM30" s="189">
        <v>12000000</v>
      </c>
      <c r="AN30" s="189">
        <v>0</v>
      </c>
      <c r="AO30" s="189">
        <v>268000000</v>
      </c>
      <c r="AP30" s="189">
        <v>131100000</v>
      </c>
      <c r="AQ30" s="189">
        <v>152500000</v>
      </c>
      <c r="AR30" s="189">
        <v>82500000</v>
      </c>
      <c r="AS30" s="189">
        <v>447509636.58999997</v>
      </c>
      <c r="AT30" s="189">
        <v>334668584.58999997</v>
      </c>
      <c r="AU30" s="189">
        <v>271295000</v>
      </c>
      <c r="AV30" s="189">
        <v>137483274.00999999</v>
      </c>
      <c r="AW30" s="189">
        <v>558500000</v>
      </c>
      <c r="AX30" s="189">
        <v>396500000</v>
      </c>
      <c r="AY30" s="189">
        <v>381500000</v>
      </c>
      <c r="AZ30" s="189">
        <v>155000000</v>
      </c>
      <c r="BA30" s="189">
        <v>203531825.30000001</v>
      </c>
      <c r="BB30" s="189">
        <v>35000000</v>
      </c>
      <c r="BC30" s="189">
        <v>20000000</v>
      </c>
      <c r="BD30" s="189">
        <v>0</v>
      </c>
      <c r="BE30" s="189">
        <v>147098159</v>
      </c>
      <c r="BF30" s="189">
        <v>90210000</v>
      </c>
      <c r="BG30" s="189">
        <v>88040000</v>
      </c>
      <c r="BH30" s="189">
        <v>2740000</v>
      </c>
      <c r="BI30" s="189">
        <v>334470000</v>
      </c>
      <c r="BJ30" s="189">
        <v>192465000</v>
      </c>
      <c r="BK30" s="189">
        <v>126000000</v>
      </c>
      <c r="BL30" s="189">
        <v>60000000</v>
      </c>
      <c r="BM30" s="189">
        <v>201610000</v>
      </c>
      <c r="BN30" s="189">
        <v>70180000</v>
      </c>
      <c r="BO30" s="189">
        <v>365080000</v>
      </c>
      <c r="BP30" s="189">
        <v>231080000</v>
      </c>
      <c r="BQ30" s="189">
        <v>450945000</v>
      </c>
      <c r="BR30" s="189">
        <v>397779000</v>
      </c>
      <c r="BS30" s="189">
        <v>0</v>
      </c>
    </row>
    <row r="31" spans="1:71" x14ac:dyDescent="0.25">
      <c r="A31" s="189" t="s">
        <v>247</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row>
    <row r="32" spans="1:71" x14ac:dyDescent="0.25">
      <c r="A32" s="189" t="s">
        <v>248</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1560000</v>
      </c>
      <c r="AX32" s="189">
        <v>0</v>
      </c>
      <c r="AY32" s="189">
        <v>0</v>
      </c>
      <c r="AZ32" s="189">
        <v>0</v>
      </c>
      <c r="BA32" s="189">
        <v>0</v>
      </c>
      <c r="BB32" s="189">
        <v>0</v>
      </c>
      <c r="BC32" s="189">
        <v>0</v>
      </c>
      <c r="BD32" s="189">
        <v>0</v>
      </c>
      <c r="BE32" s="189">
        <v>4785000</v>
      </c>
      <c r="BF32" s="189">
        <v>2798000</v>
      </c>
      <c r="BG32" s="189">
        <v>887</v>
      </c>
      <c r="BH32" s="189">
        <v>3269.55</v>
      </c>
      <c r="BI32" s="189">
        <v>2186504.38</v>
      </c>
      <c r="BJ32" s="189">
        <v>0</v>
      </c>
      <c r="BK32" s="189">
        <v>0</v>
      </c>
      <c r="BL32" s="189">
        <v>1039.52</v>
      </c>
      <c r="BM32" s="189">
        <v>130000</v>
      </c>
      <c r="BN32" s="189">
        <v>0</v>
      </c>
      <c r="BO32" s="189">
        <v>24923016.190000001</v>
      </c>
      <c r="BP32" s="189">
        <v>3550692.29</v>
      </c>
      <c r="BQ32" s="189">
        <v>0</v>
      </c>
      <c r="BR32" s="189">
        <v>0</v>
      </c>
      <c r="BS32" s="189">
        <v>0</v>
      </c>
    </row>
    <row r="33" spans="1:71" x14ac:dyDescent="0.25">
      <c r="A33" s="189" t="s">
        <v>249</v>
      </c>
      <c r="B33" s="189">
        <v>0</v>
      </c>
      <c r="C33" s="189">
        <v>0</v>
      </c>
      <c r="D33" s="189">
        <v>0</v>
      </c>
      <c r="E33" s="189">
        <v>73812809.920000002</v>
      </c>
      <c r="F33" s="189">
        <v>0</v>
      </c>
      <c r="G33" s="189">
        <v>0</v>
      </c>
      <c r="H33" s="189">
        <v>0</v>
      </c>
      <c r="I33" s="189">
        <v>0</v>
      </c>
      <c r="J33" s="189">
        <v>0</v>
      </c>
      <c r="K33" s="189">
        <v>0</v>
      </c>
      <c r="L33" s="189">
        <v>0</v>
      </c>
      <c r="M33" s="189">
        <v>31642600</v>
      </c>
      <c r="N33" s="189">
        <v>31642600</v>
      </c>
      <c r="O33" s="189">
        <v>0</v>
      </c>
      <c r="P33" s="189">
        <v>0</v>
      </c>
      <c r="Q33" s="189">
        <v>0</v>
      </c>
      <c r="R33" s="189">
        <v>0</v>
      </c>
      <c r="S33" s="189">
        <v>0</v>
      </c>
      <c r="T33" s="189">
        <v>0</v>
      </c>
      <c r="U33" s="189">
        <v>0</v>
      </c>
      <c r="V33" s="189">
        <v>0</v>
      </c>
      <c r="W33" s="189">
        <v>0</v>
      </c>
      <c r="X33" s="189">
        <v>0</v>
      </c>
      <c r="Y33" s="189">
        <v>415993500</v>
      </c>
      <c r="Z33" s="189">
        <v>425993500</v>
      </c>
      <c r="AA33" s="189">
        <v>425993500</v>
      </c>
      <c r="AB33" s="189">
        <v>1000000</v>
      </c>
      <c r="AC33" s="189">
        <v>13000000</v>
      </c>
      <c r="AD33" s="189">
        <v>10000000</v>
      </c>
      <c r="AE33" s="189">
        <v>10000000</v>
      </c>
      <c r="AF33" s="189">
        <v>4000000</v>
      </c>
      <c r="AG33" s="189">
        <v>14500000</v>
      </c>
      <c r="AH33" s="189">
        <v>11500000</v>
      </c>
      <c r="AI33" s="189">
        <v>9000000</v>
      </c>
      <c r="AJ33" s="189">
        <v>3000000</v>
      </c>
      <c r="AK33" s="189">
        <v>17000000</v>
      </c>
      <c r="AL33" s="189">
        <v>15000000</v>
      </c>
      <c r="AM33" s="189">
        <v>12000000</v>
      </c>
      <c r="AN33" s="189">
        <v>0</v>
      </c>
      <c r="AO33" s="189">
        <v>322520800.19999999</v>
      </c>
      <c r="AP33" s="189">
        <v>182982001</v>
      </c>
      <c r="AQ33" s="189">
        <v>204082000</v>
      </c>
      <c r="AR33" s="189">
        <v>82500000</v>
      </c>
      <c r="AS33" s="189">
        <v>447509636.58999997</v>
      </c>
      <c r="AT33" s="189">
        <v>334668584.58999997</v>
      </c>
      <c r="AU33" s="189">
        <v>271295000</v>
      </c>
      <c r="AV33" s="189">
        <v>137483274.00999999</v>
      </c>
      <c r="AW33" s="189">
        <v>560060000</v>
      </c>
      <c r="AX33" s="189">
        <v>396500000</v>
      </c>
      <c r="AY33" s="189">
        <v>381500000</v>
      </c>
      <c r="AZ33" s="189">
        <v>155000000</v>
      </c>
      <c r="BA33" s="189">
        <v>203531825.30000001</v>
      </c>
      <c r="BB33" s="189">
        <v>35000000</v>
      </c>
      <c r="BC33" s="189">
        <v>35000000</v>
      </c>
      <c r="BD33" s="189">
        <v>0</v>
      </c>
      <c r="BE33" s="189">
        <v>157221609</v>
      </c>
      <c r="BF33" s="189">
        <v>98346450</v>
      </c>
      <c r="BG33" s="189">
        <v>93379337</v>
      </c>
      <c r="BH33" s="189">
        <v>3643269.55</v>
      </c>
      <c r="BI33" s="189">
        <v>340306504.38</v>
      </c>
      <c r="BJ33" s="189">
        <v>195715000</v>
      </c>
      <c r="BK33" s="189">
        <v>126000000</v>
      </c>
      <c r="BL33" s="189">
        <v>60001039.520000003</v>
      </c>
      <c r="BM33" s="189">
        <v>208740000</v>
      </c>
      <c r="BN33" s="189">
        <v>70180000</v>
      </c>
      <c r="BO33" s="189">
        <v>1109689439.1900001</v>
      </c>
      <c r="BP33" s="189">
        <v>972173708.48000002</v>
      </c>
      <c r="BQ33" s="189">
        <v>452021075</v>
      </c>
      <c r="BR33" s="189">
        <v>397779000</v>
      </c>
      <c r="BS33" s="189">
        <v>0</v>
      </c>
    </row>
    <row r="34" spans="1:71" x14ac:dyDescent="0.25">
      <c r="A34" s="189" t="s">
        <v>250</v>
      </c>
      <c r="B34" s="189">
        <v>18605969</v>
      </c>
      <c r="C34" s="189">
        <v>18490002.969999999</v>
      </c>
      <c r="D34" s="189">
        <v>18646899.960000001</v>
      </c>
      <c r="E34" s="189">
        <v>85800174.319999993</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10000000</v>
      </c>
      <c r="AA34" s="189">
        <v>10000000</v>
      </c>
      <c r="AB34" s="189">
        <v>1000000</v>
      </c>
      <c r="AC34" s="189">
        <v>14000000</v>
      </c>
      <c r="AD34" s="189">
        <v>9000000</v>
      </c>
      <c r="AE34" s="189">
        <v>9000000</v>
      </c>
      <c r="AF34" s="189">
        <v>3000000</v>
      </c>
      <c r="AG34" s="189">
        <v>10000000</v>
      </c>
      <c r="AH34" s="189">
        <v>7000000</v>
      </c>
      <c r="AI34" s="189">
        <v>7000000</v>
      </c>
      <c r="AJ34" s="189">
        <v>0</v>
      </c>
      <c r="AK34" s="189">
        <v>108000000</v>
      </c>
      <c r="AL34" s="189">
        <v>108000000</v>
      </c>
      <c r="AM34" s="189">
        <v>106057960</v>
      </c>
      <c r="AN34" s="189">
        <v>1000000</v>
      </c>
      <c r="AO34" s="189">
        <v>364214636.58999997</v>
      </c>
      <c r="AP34" s="189">
        <v>258214636.59</v>
      </c>
      <c r="AQ34" s="189">
        <v>214714636.59</v>
      </c>
      <c r="AR34" s="189">
        <v>85714636.590000004</v>
      </c>
      <c r="AS34" s="189">
        <v>480795000</v>
      </c>
      <c r="AT34" s="189">
        <v>329500000</v>
      </c>
      <c r="AU34" s="189">
        <v>230500000</v>
      </c>
      <c r="AV34" s="189">
        <v>79000000</v>
      </c>
      <c r="AW34" s="189">
        <v>542531825.29999995</v>
      </c>
      <c r="AX34" s="189">
        <v>372531825.30000001</v>
      </c>
      <c r="AY34" s="189">
        <v>211531825.30000001</v>
      </c>
      <c r="AZ34" s="189">
        <v>68531825.299999997</v>
      </c>
      <c r="BA34" s="189">
        <v>115358159</v>
      </c>
      <c r="BB34" s="189">
        <v>55358159</v>
      </c>
      <c r="BC34" s="189">
        <v>42358159</v>
      </c>
      <c r="BD34" s="189">
        <v>24558159</v>
      </c>
      <c r="BE34" s="189">
        <v>126710000</v>
      </c>
      <c r="BF34" s="189">
        <v>73732862.5</v>
      </c>
      <c r="BG34" s="189">
        <v>72210000</v>
      </c>
      <c r="BH34" s="189">
        <v>0</v>
      </c>
      <c r="BI34" s="189">
        <v>337350000</v>
      </c>
      <c r="BJ34" s="189">
        <v>198100000</v>
      </c>
      <c r="BK34" s="189">
        <v>116650000</v>
      </c>
      <c r="BL34" s="189">
        <v>60000000</v>
      </c>
      <c r="BM34" s="189">
        <v>276340000</v>
      </c>
      <c r="BN34" s="189">
        <v>71077040.219999999</v>
      </c>
      <c r="BO34" s="189">
        <v>441459375</v>
      </c>
      <c r="BP34" s="189">
        <v>236180000</v>
      </c>
      <c r="BQ34" s="189">
        <v>547314625</v>
      </c>
      <c r="BR34" s="189">
        <v>373999000</v>
      </c>
      <c r="BS34" s="189">
        <v>0</v>
      </c>
    </row>
    <row r="35" spans="1:71" x14ac:dyDescent="0.25">
      <c r="A35" s="189" t="s">
        <v>550</v>
      </c>
      <c r="B35" s="189">
        <v>163051524.22</v>
      </c>
      <c r="C35" s="189">
        <v>28304942.260000002</v>
      </c>
      <c r="D35" s="189">
        <v>14654222.48</v>
      </c>
      <c r="E35" s="189">
        <v>127887001.06999999</v>
      </c>
      <c r="F35" s="189">
        <v>67624389.959999993</v>
      </c>
      <c r="G35" s="189">
        <v>67328101.810000002</v>
      </c>
      <c r="H35" s="189">
        <v>397792.5</v>
      </c>
      <c r="I35" s="189">
        <v>664362231.37</v>
      </c>
      <c r="J35" s="189">
        <v>664362231.38999999</v>
      </c>
      <c r="K35" s="189">
        <v>0</v>
      </c>
      <c r="L35" s="189">
        <v>0</v>
      </c>
      <c r="M35" s="189">
        <v>423413126.27999997</v>
      </c>
      <c r="N35" s="189">
        <v>422199656.27999997</v>
      </c>
      <c r="O35" s="189">
        <v>419967452.27999997</v>
      </c>
      <c r="P35" s="189">
        <v>152892.57</v>
      </c>
      <c r="Q35" s="189">
        <v>365754134.31999999</v>
      </c>
      <c r="R35" s="189">
        <v>365724134.31999999</v>
      </c>
      <c r="S35" s="189">
        <v>353131824.94999999</v>
      </c>
      <c r="T35" s="189">
        <v>0</v>
      </c>
      <c r="U35" s="189">
        <v>309891393.76999998</v>
      </c>
      <c r="V35" s="189">
        <v>306830947.76999998</v>
      </c>
      <c r="W35" s="189">
        <v>306590947.76999998</v>
      </c>
      <c r="X35" s="189">
        <v>440000</v>
      </c>
      <c r="Y35" s="189">
        <v>177638496.56999999</v>
      </c>
      <c r="Z35" s="189">
        <v>174203990.03999999</v>
      </c>
      <c r="AA35" s="189">
        <v>3913909.54</v>
      </c>
      <c r="AB35" s="189">
        <v>702623.85</v>
      </c>
      <c r="AC35" s="189">
        <v>111715162.52</v>
      </c>
      <c r="AD35" s="189">
        <v>110380212.22</v>
      </c>
      <c r="AE35" s="189">
        <v>110172977.09999999</v>
      </c>
      <c r="AF35" s="189">
        <v>3829305.64</v>
      </c>
      <c r="AG35" s="189">
        <v>119906785.05</v>
      </c>
      <c r="AH35" s="189">
        <v>117147044.06</v>
      </c>
      <c r="AI35" s="189">
        <v>116484848.53</v>
      </c>
      <c r="AJ35" s="189">
        <v>2635286.9300000002</v>
      </c>
      <c r="AK35" s="189">
        <v>49121875.280000001</v>
      </c>
      <c r="AL35" s="189">
        <v>48693147.579999998</v>
      </c>
      <c r="AM35" s="189">
        <v>47506125.649999999</v>
      </c>
      <c r="AN35" s="189">
        <v>4645840.9400000004</v>
      </c>
      <c r="AO35" s="189">
        <v>39899496.82</v>
      </c>
      <c r="AP35" s="189">
        <v>36441412.259999998</v>
      </c>
      <c r="AQ35" s="189">
        <v>37285023.909999996</v>
      </c>
      <c r="AR35" s="189">
        <v>5475812.2000000002</v>
      </c>
      <c r="AS35" s="189">
        <v>46238399.189999998</v>
      </c>
      <c r="AT35" s="189">
        <v>39277572.289999999</v>
      </c>
      <c r="AU35" s="189">
        <v>35620062.100000001</v>
      </c>
      <c r="AV35" s="189">
        <v>6687585.1799999997</v>
      </c>
      <c r="AW35" s="189">
        <v>35575715.829999998</v>
      </c>
      <c r="AX35" s="189">
        <v>30435840.399999999</v>
      </c>
      <c r="AY35" s="189">
        <v>27951607.57</v>
      </c>
      <c r="AZ35" s="189">
        <v>9344437.4700000007</v>
      </c>
      <c r="BA35" s="189">
        <v>61226510.039999999</v>
      </c>
      <c r="BB35" s="189">
        <v>55714525.990000002</v>
      </c>
      <c r="BC35" s="189">
        <v>11718424.789999999</v>
      </c>
      <c r="BD35" s="189">
        <v>7039217.6399999997</v>
      </c>
      <c r="BE35" s="189">
        <v>56589202.079999998</v>
      </c>
      <c r="BF35" s="189">
        <v>50814034.390000001</v>
      </c>
      <c r="BG35" s="189">
        <v>8345400</v>
      </c>
      <c r="BH35" s="189">
        <v>5727826.4800000004</v>
      </c>
      <c r="BI35" s="189">
        <v>46554365.119999997</v>
      </c>
      <c r="BJ35" s="189">
        <v>44264505.020000003</v>
      </c>
      <c r="BK35" s="189">
        <v>47976303.270000003</v>
      </c>
      <c r="BL35" s="189">
        <v>1961354.36</v>
      </c>
      <c r="BM35" s="189">
        <v>36962667.780000001</v>
      </c>
      <c r="BN35" s="189">
        <v>4187323.61</v>
      </c>
      <c r="BO35" s="189">
        <v>28142666.800000001</v>
      </c>
      <c r="BP35" s="189">
        <v>23544934.739999998</v>
      </c>
      <c r="BQ35" s="189">
        <v>16225581.58</v>
      </c>
      <c r="BR35" s="189">
        <v>36661965.57</v>
      </c>
      <c r="BS35" s="189">
        <v>0</v>
      </c>
    </row>
    <row r="36" spans="1:71" x14ac:dyDescent="0.25">
      <c r="A36" s="189" t="s">
        <v>251</v>
      </c>
      <c r="B36" s="189">
        <v>0</v>
      </c>
      <c r="C36" s="189">
        <v>0</v>
      </c>
      <c r="D36" s="189">
        <v>0</v>
      </c>
      <c r="E36" s="189">
        <v>0</v>
      </c>
      <c r="F36" s="189">
        <v>0</v>
      </c>
      <c r="G36" s="189">
        <v>0</v>
      </c>
      <c r="H36" s="189">
        <v>0</v>
      </c>
      <c r="I36" s="189">
        <v>0</v>
      </c>
      <c r="J36" s="189">
        <v>0</v>
      </c>
      <c r="K36" s="189">
        <v>0</v>
      </c>
      <c r="L36" s="189">
        <v>0</v>
      </c>
      <c r="M36" s="189">
        <v>152892.57</v>
      </c>
      <c r="N36" s="189">
        <v>152892.57</v>
      </c>
      <c r="O36" s="189">
        <v>152892.57</v>
      </c>
      <c r="P36" s="189">
        <v>152892.57</v>
      </c>
      <c r="Q36" s="189">
        <v>20509331.710000001</v>
      </c>
      <c r="R36" s="189">
        <v>20479331.710000001</v>
      </c>
      <c r="S36" s="189">
        <v>9650839.3399999999</v>
      </c>
      <c r="T36" s="189">
        <v>0</v>
      </c>
      <c r="U36" s="189">
        <v>1491261.97</v>
      </c>
      <c r="V36" s="189">
        <v>1040000</v>
      </c>
      <c r="W36" s="189">
        <v>800000</v>
      </c>
      <c r="X36" s="189">
        <v>440000</v>
      </c>
      <c r="Y36" s="189">
        <v>9552914.8200000003</v>
      </c>
      <c r="Z36" s="189">
        <v>4842913.2</v>
      </c>
      <c r="AA36" s="189">
        <v>0</v>
      </c>
      <c r="AB36" s="189">
        <v>0</v>
      </c>
      <c r="AC36" s="189">
        <v>5001051.8499999996</v>
      </c>
      <c r="AD36" s="189">
        <v>4230133.7699999996</v>
      </c>
      <c r="AE36" s="189">
        <v>0</v>
      </c>
      <c r="AF36" s="189">
        <v>0</v>
      </c>
      <c r="AG36" s="189">
        <v>3502063.91</v>
      </c>
      <c r="AH36" s="189">
        <v>3030532.6</v>
      </c>
      <c r="AI36" s="189">
        <v>0</v>
      </c>
      <c r="AJ36" s="189">
        <v>0</v>
      </c>
      <c r="AK36" s="189">
        <v>3990227.39</v>
      </c>
      <c r="AL36" s="189">
        <v>0</v>
      </c>
      <c r="AM36" s="189">
        <v>0</v>
      </c>
      <c r="AN36" s="189">
        <v>0</v>
      </c>
      <c r="AO36" s="189">
        <v>0</v>
      </c>
      <c r="AP36" s="189">
        <v>0</v>
      </c>
      <c r="AQ36" s="189">
        <v>0</v>
      </c>
      <c r="AR36" s="189">
        <v>0</v>
      </c>
      <c r="AS36" s="189">
        <v>7171211.4699999997</v>
      </c>
      <c r="AT36" s="189">
        <v>0</v>
      </c>
      <c r="AU36" s="189">
        <v>0</v>
      </c>
      <c r="AV36" s="189">
        <v>0</v>
      </c>
      <c r="AW36" s="189">
        <v>8720382.0999999996</v>
      </c>
      <c r="AX36" s="189">
        <v>0</v>
      </c>
      <c r="AY36" s="189">
        <v>0</v>
      </c>
      <c r="AZ36" s="189">
        <v>6109975.75</v>
      </c>
      <c r="BA36" s="189">
        <v>0</v>
      </c>
      <c r="BB36" s="189">
        <v>0</v>
      </c>
      <c r="BC36" s="189">
        <v>0</v>
      </c>
      <c r="BD36" s="189">
        <v>0</v>
      </c>
      <c r="BE36" s="189">
        <v>9481243.3499999996</v>
      </c>
      <c r="BF36" s="189">
        <v>0</v>
      </c>
      <c r="BG36" s="189">
        <v>0</v>
      </c>
      <c r="BH36" s="189">
        <v>0</v>
      </c>
      <c r="BI36" s="189">
        <v>1285084.06</v>
      </c>
      <c r="BJ36" s="189">
        <v>0</v>
      </c>
      <c r="BK36" s="189">
        <v>0</v>
      </c>
      <c r="BL36" s="189">
        <v>0</v>
      </c>
      <c r="BM36" s="189">
        <v>0</v>
      </c>
      <c r="BN36" s="189">
        <v>0</v>
      </c>
      <c r="BO36" s="189">
        <v>0</v>
      </c>
      <c r="BP36" s="189">
        <v>0</v>
      </c>
      <c r="BQ36" s="189">
        <v>0</v>
      </c>
      <c r="BR36" s="189">
        <v>0</v>
      </c>
      <c r="BS36" s="189">
        <v>0</v>
      </c>
    </row>
    <row r="37" spans="1:71" x14ac:dyDescent="0.25">
      <c r="A37" s="189" t="s">
        <v>252</v>
      </c>
      <c r="B37" s="189">
        <v>16179420</v>
      </c>
      <c r="C37" s="189">
        <v>16179420</v>
      </c>
      <c r="D37" s="189">
        <v>16179420</v>
      </c>
      <c r="E37" s="189">
        <v>1962763147.73</v>
      </c>
      <c r="F37" s="189">
        <v>0</v>
      </c>
      <c r="G37" s="189">
        <v>0</v>
      </c>
      <c r="H37" s="189">
        <v>0</v>
      </c>
      <c r="I37" s="189">
        <v>11697236</v>
      </c>
      <c r="J37" s="189">
        <v>0</v>
      </c>
      <c r="K37" s="189">
        <v>0</v>
      </c>
      <c r="L37" s="189">
        <v>0</v>
      </c>
      <c r="M37" s="189">
        <v>7312965</v>
      </c>
      <c r="N37" s="189">
        <v>6229905</v>
      </c>
      <c r="O37" s="189">
        <v>150000</v>
      </c>
      <c r="P37" s="189">
        <v>150000</v>
      </c>
      <c r="Q37" s="189">
        <v>7608692.2000000002</v>
      </c>
      <c r="R37" s="189">
        <v>16279869.869999999</v>
      </c>
      <c r="S37" s="189">
        <v>0</v>
      </c>
      <c r="T37" s="189">
        <v>0</v>
      </c>
      <c r="U37" s="189">
        <v>902550</v>
      </c>
      <c r="V37" s="189">
        <v>902550</v>
      </c>
      <c r="W37" s="189">
        <v>0</v>
      </c>
      <c r="X37" s="189">
        <v>0</v>
      </c>
      <c r="Y37" s="189">
        <v>40230</v>
      </c>
      <c r="Z37" s="189">
        <v>42241.5</v>
      </c>
      <c r="AA37" s="189">
        <v>0</v>
      </c>
      <c r="AB37" s="189">
        <v>0</v>
      </c>
      <c r="AC37" s="189">
        <v>80460</v>
      </c>
      <c r="AD37" s="189">
        <v>84483</v>
      </c>
      <c r="AE37" s="189">
        <v>84483</v>
      </c>
      <c r="AF37" s="189">
        <v>0</v>
      </c>
      <c r="AG37" s="189">
        <v>1012607.5</v>
      </c>
      <c r="AH37" s="189">
        <v>1081550.8600000001</v>
      </c>
      <c r="AI37" s="189">
        <v>751550.86</v>
      </c>
      <c r="AJ37" s="189">
        <v>0</v>
      </c>
      <c r="AK37" s="189">
        <v>1019268.41</v>
      </c>
      <c r="AL37" s="189">
        <v>0</v>
      </c>
      <c r="AM37" s="189">
        <v>0</v>
      </c>
      <c r="AN37" s="189">
        <v>0</v>
      </c>
      <c r="AO37" s="189">
        <v>0</v>
      </c>
      <c r="AP37" s="189">
        <v>0</v>
      </c>
      <c r="AQ37" s="189">
        <v>0</v>
      </c>
      <c r="AR37" s="189">
        <v>0</v>
      </c>
      <c r="AS37" s="189">
        <v>1651079.02</v>
      </c>
      <c r="AT37" s="189">
        <v>8184235.3799999999</v>
      </c>
      <c r="AU37" s="189">
        <v>0</v>
      </c>
      <c r="AV37" s="189">
        <v>0</v>
      </c>
      <c r="AW37" s="189">
        <v>453844640</v>
      </c>
      <c r="AX37" s="189">
        <v>454503856</v>
      </c>
      <c r="AY37" s="189">
        <v>454503856</v>
      </c>
      <c r="AZ37" s="189">
        <v>0</v>
      </c>
      <c r="BA37" s="189">
        <v>0</v>
      </c>
      <c r="BB37" s="189">
        <v>0</v>
      </c>
      <c r="BC37" s="189">
        <v>0</v>
      </c>
      <c r="BD37" s="189">
        <v>0</v>
      </c>
      <c r="BE37" s="189">
        <v>3507574.14</v>
      </c>
      <c r="BF37" s="189">
        <v>4000000</v>
      </c>
      <c r="BG37" s="189">
        <v>0</v>
      </c>
      <c r="BH37" s="189">
        <v>0</v>
      </c>
      <c r="BI37" s="189">
        <v>0</v>
      </c>
      <c r="BJ37" s="189">
        <v>0</v>
      </c>
      <c r="BK37" s="189">
        <v>0</v>
      </c>
      <c r="BL37" s="189">
        <v>0</v>
      </c>
      <c r="BM37" s="189">
        <v>127000</v>
      </c>
      <c r="BN37" s="189">
        <v>0</v>
      </c>
      <c r="BO37" s="189">
        <v>5992400</v>
      </c>
      <c r="BP37" s="189">
        <v>0</v>
      </c>
      <c r="BQ37" s="189">
        <v>43799820.32</v>
      </c>
      <c r="BR37" s="189">
        <v>23652000</v>
      </c>
      <c r="BS37" s="189">
        <v>0</v>
      </c>
    </row>
    <row r="38" spans="1:71" x14ac:dyDescent="0.25">
      <c r="A38" s="189" t="s">
        <v>253</v>
      </c>
      <c r="B38" s="189">
        <v>197836913.22</v>
      </c>
      <c r="C38" s="189">
        <v>62974365.229999997</v>
      </c>
      <c r="D38" s="189">
        <v>49480542.439999998</v>
      </c>
      <c r="E38" s="189">
        <v>2176450323.1199999</v>
      </c>
      <c r="F38" s="189">
        <v>67624389.959999993</v>
      </c>
      <c r="G38" s="189">
        <v>67328101.810000002</v>
      </c>
      <c r="H38" s="189">
        <v>397792.5</v>
      </c>
      <c r="I38" s="189">
        <v>676059467.37</v>
      </c>
      <c r="J38" s="189">
        <v>664362231.38999999</v>
      </c>
      <c r="K38" s="189">
        <v>0</v>
      </c>
      <c r="L38" s="189">
        <v>0</v>
      </c>
      <c r="M38" s="189">
        <v>430726091.27999997</v>
      </c>
      <c r="N38" s="189">
        <v>428429561.27999997</v>
      </c>
      <c r="O38" s="189">
        <v>420117452.27999997</v>
      </c>
      <c r="P38" s="189">
        <v>302892.57</v>
      </c>
      <c r="Q38" s="189">
        <v>373362826.51999998</v>
      </c>
      <c r="R38" s="189">
        <v>382004004.19</v>
      </c>
      <c r="S38" s="189">
        <v>353131824.94999999</v>
      </c>
      <c r="T38" s="189">
        <v>0</v>
      </c>
      <c r="U38" s="189">
        <v>310793943.76999998</v>
      </c>
      <c r="V38" s="189">
        <v>307733497.76999998</v>
      </c>
      <c r="W38" s="189">
        <v>306590947.76999998</v>
      </c>
      <c r="X38" s="189">
        <v>440000</v>
      </c>
      <c r="Y38" s="189">
        <v>177678726.56999999</v>
      </c>
      <c r="Z38" s="189">
        <v>184246231.53999999</v>
      </c>
      <c r="AA38" s="189">
        <v>13913909.539999999</v>
      </c>
      <c r="AB38" s="189">
        <v>1702623.85</v>
      </c>
      <c r="AC38" s="189">
        <v>125795622.52</v>
      </c>
      <c r="AD38" s="189">
        <v>119464695.22</v>
      </c>
      <c r="AE38" s="189">
        <v>119257460.09999999</v>
      </c>
      <c r="AF38" s="189">
        <v>6829305.6399999997</v>
      </c>
      <c r="AG38" s="189">
        <v>130919392.55</v>
      </c>
      <c r="AH38" s="189">
        <v>125228594.92</v>
      </c>
      <c r="AI38" s="189">
        <v>124236399.39</v>
      </c>
      <c r="AJ38" s="189">
        <v>2635286.9300000002</v>
      </c>
      <c r="AK38" s="189">
        <v>158141143.69</v>
      </c>
      <c r="AL38" s="189">
        <v>156693147.58000001</v>
      </c>
      <c r="AM38" s="189">
        <v>153564085.65000001</v>
      </c>
      <c r="AN38" s="189">
        <v>5645840.9400000004</v>
      </c>
      <c r="AO38" s="189">
        <v>404114133.41000003</v>
      </c>
      <c r="AP38" s="189">
        <v>294656048.85000002</v>
      </c>
      <c r="AQ38" s="189">
        <v>251999660.5</v>
      </c>
      <c r="AR38" s="189">
        <v>91190448.790000007</v>
      </c>
      <c r="AS38" s="189">
        <v>528684478.20999998</v>
      </c>
      <c r="AT38" s="189">
        <v>376961807.67000002</v>
      </c>
      <c r="AU38" s="189">
        <v>266120062.09999999</v>
      </c>
      <c r="AV38" s="189">
        <v>85687585.180000007</v>
      </c>
      <c r="AW38" s="189">
        <v>1031952181.13</v>
      </c>
      <c r="AX38" s="189">
        <v>857471521.70000005</v>
      </c>
      <c r="AY38" s="189">
        <v>693987288.87</v>
      </c>
      <c r="AZ38" s="189">
        <v>77876262.769999996</v>
      </c>
      <c r="BA38" s="189">
        <v>176584669.03999999</v>
      </c>
      <c r="BB38" s="189">
        <v>111072684.98999999</v>
      </c>
      <c r="BC38" s="189">
        <v>54076583.789999999</v>
      </c>
      <c r="BD38" s="189">
        <v>31597376.640000001</v>
      </c>
      <c r="BE38" s="189">
        <v>186806776.22</v>
      </c>
      <c r="BF38" s="189">
        <v>128546896.89</v>
      </c>
      <c r="BG38" s="189">
        <v>80555400</v>
      </c>
      <c r="BH38" s="189">
        <v>5727826.4800000004</v>
      </c>
      <c r="BI38" s="189">
        <v>383904365.12</v>
      </c>
      <c r="BJ38" s="189">
        <v>242364505.02000001</v>
      </c>
      <c r="BK38" s="189">
        <v>164626303.27000001</v>
      </c>
      <c r="BL38" s="189">
        <v>61961354.359999999</v>
      </c>
      <c r="BM38" s="189">
        <v>313429667.77999997</v>
      </c>
      <c r="BN38" s="189">
        <v>75264363.829999998</v>
      </c>
      <c r="BO38" s="189">
        <v>475594441.80000001</v>
      </c>
      <c r="BP38" s="189">
        <v>259724934.74000001</v>
      </c>
      <c r="BQ38" s="189">
        <v>607340026.89999998</v>
      </c>
      <c r="BR38" s="189">
        <v>434312965.56999999</v>
      </c>
      <c r="BS38" s="189">
        <v>0</v>
      </c>
    </row>
    <row r="39" spans="1:71" x14ac:dyDescent="0.25">
      <c r="A39" s="189" t="s">
        <v>254</v>
      </c>
      <c r="B39" s="189">
        <v>-197836913.22</v>
      </c>
      <c r="C39" s="189">
        <v>-62974365.229999997</v>
      </c>
      <c r="D39" s="189">
        <v>-49480542.439999998</v>
      </c>
      <c r="E39" s="189">
        <v>-2102637513.2</v>
      </c>
      <c r="F39" s="189">
        <v>-67624389.959999993</v>
      </c>
      <c r="G39" s="189">
        <v>-67328101.810000002</v>
      </c>
      <c r="H39" s="189">
        <v>-397792.5</v>
      </c>
      <c r="I39" s="189">
        <v>-676059467.37</v>
      </c>
      <c r="J39" s="189">
        <v>-664362231.38999999</v>
      </c>
      <c r="K39" s="189">
        <v>0</v>
      </c>
      <c r="L39" s="189">
        <v>0</v>
      </c>
      <c r="M39" s="189">
        <v>-399083491.27999997</v>
      </c>
      <c r="N39" s="189">
        <v>-396786961.27999997</v>
      </c>
      <c r="O39" s="189">
        <v>-420117452.27999997</v>
      </c>
      <c r="P39" s="189">
        <v>-302892.57</v>
      </c>
      <c r="Q39" s="189">
        <v>-373362826.51999998</v>
      </c>
      <c r="R39" s="189">
        <v>-382004004.19</v>
      </c>
      <c r="S39" s="189">
        <v>-353131824.94999999</v>
      </c>
      <c r="T39" s="189">
        <v>0</v>
      </c>
      <c r="U39" s="189">
        <v>-310793943.76999998</v>
      </c>
      <c r="V39" s="189">
        <v>-307733497.76999998</v>
      </c>
      <c r="W39" s="189">
        <v>-306590947.76999998</v>
      </c>
      <c r="X39" s="189">
        <v>-440000</v>
      </c>
      <c r="Y39" s="189">
        <v>238314773.43000001</v>
      </c>
      <c r="Z39" s="189">
        <v>241747268.46000001</v>
      </c>
      <c r="AA39" s="189">
        <v>412079590.45999998</v>
      </c>
      <c r="AB39" s="189">
        <v>-702623.85</v>
      </c>
      <c r="AC39" s="189">
        <v>-112795622.52</v>
      </c>
      <c r="AD39" s="189">
        <v>-109464695.22</v>
      </c>
      <c r="AE39" s="189">
        <v>-109257460.09999999</v>
      </c>
      <c r="AF39" s="189">
        <v>-2829305.64</v>
      </c>
      <c r="AG39" s="189">
        <v>-116419392.55</v>
      </c>
      <c r="AH39" s="189">
        <v>-113728594.92</v>
      </c>
      <c r="AI39" s="189">
        <v>-115236399.39</v>
      </c>
      <c r="AJ39" s="189">
        <v>364713.07</v>
      </c>
      <c r="AK39" s="189">
        <v>-141141143.69</v>
      </c>
      <c r="AL39" s="189">
        <v>-141693147.58000001</v>
      </c>
      <c r="AM39" s="189">
        <v>-141564085.65000001</v>
      </c>
      <c r="AN39" s="189">
        <v>-5645840.9400000004</v>
      </c>
      <c r="AO39" s="189">
        <v>-81593333.209999993</v>
      </c>
      <c r="AP39" s="189">
        <v>-111674047.84999999</v>
      </c>
      <c r="AQ39" s="189">
        <v>-47917660.5</v>
      </c>
      <c r="AR39" s="189">
        <v>-8690448.7899999991</v>
      </c>
      <c r="AS39" s="189">
        <v>-81174841.620000005</v>
      </c>
      <c r="AT39" s="189">
        <v>-42293223.079999998</v>
      </c>
      <c r="AU39" s="189">
        <v>5174937.9000000004</v>
      </c>
      <c r="AV39" s="189">
        <v>51795688.829999998</v>
      </c>
      <c r="AW39" s="189">
        <v>-471892181.13</v>
      </c>
      <c r="AX39" s="189">
        <v>-460971521.69999999</v>
      </c>
      <c r="AY39" s="189">
        <v>-312487288.87</v>
      </c>
      <c r="AZ39" s="189">
        <v>77123737.230000004</v>
      </c>
      <c r="BA39" s="189">
        <v>26947156.260000002</v>
      </c>
      <c r="BB39" s="189">
        <v>-76072684.989999995</v>
      </c>
      <c r="BC39" s="189">
        <v>-19076583.789999999</v>
      </c>
      <c r="BD39" s="189">
        <v>-31597376.640000001</v>
      </c>
      <c r="BE39" s="189">
        <v>-29585167.219999999</v>
      </c>
      <c r="BF39" s="189">
        <v>-30200446.890000001</v>
      </c>
      <c r="BG39" s="189">
        <v>12823937</v>
      </c>
      <c r="BH39" s="189">
        <v>-2084556.93</v>
      </c>
      <c r="BI39" s="189">
        <v>-43597860.740000002</v>
      </c>
      <c r="BJ39" s="189">
        <v>-46649505.020000003</v>
      </c>
      <c r="BK39" s="189">
        <v>-38626303.270000003</v>
      </c>
      <c r="BL39" s="189">
        <v>-1960314.84</v>
      </c>
      <c r="BM39" s="189">
        <v>-104689667.78</v>
      </c>
      <c r="BN39" s="189">
        <v>-5084363.83</v>
      </c>
      <c r="BO39" s="189">
        <v>634094997.38999999</v>
      </c>
      <c r="BP39" s="189">
        <v>712448773.74000001</v>
      </c>
      <c r="BQ39" s="189">
        <v>-155318951.90000001</v>
      </c>
      <c r="BR39" s="189">
        <v>-36533965.57</v>
      </c>
      <c r="BS39" s="189">
        <v>0</v>
      </c>
    </row>
    <row r="40" spans="1:71" x14ac:dyDescent="0.25">
      <c r="A40" s="189" t="s">
        <v>255</v>
      </c>
      <c r="B40" s="189">
        <v>7435115.3399999999</v>
      </c>
      <c r="C40" s="189">
        <v>-1672347.16</v>
      </c>
      <c r="D40" s="189">
        <v>-4778584.9400000004</v>
      </c>
      <c r="E40" s="189">
        <v>-8589209.3499999996</v>
      </c>
      <c r="F40" s="189">
        <v>-421585.38</v>
      </c>
      <c r="G40" s="189">
        <v>-1116654.56</v>
      </c>
      <c r="H40" s="189">
        <v>-39237.58</v>
      </c>
      <c r="I40" s="189">
        <v>558470.51</v>
      </c>
      <c r="J40" s="189">
        <v>281882.34000000003</v>
      </c>
      <c r="K40" s="189">
        <v>116671.38</v>
      </c>
      <c r="L40" s="189">
        <v>37778.379999999997</v>
      </c>
      <c r="M40" s="189">
        <v>275702.62</v>
      </c>
      <c r="N40" s="189">
        <v>178867.06</v>
      </c>
      <c r="O40" s="189">
        <v>-9441.92</v>
      </c>
      <c r="P40" s="189">
        <v>7360.63</v>
      </c>
      <c r="Q40" s="189">
        <v>-64364.51</v>
      </c>
      <c r="R40" s="189">
        <v>-8576.65</v>
      </c>
      <c r="S40" s="189">
        <v>22066.58</v>
      </c>
      <c r="T40" s="189">
        <v>3117.49</v>
      </c>
      <c r="U40" s="189">
        <v>-176352.51</v>
      </c>
      <c r="V40" s="189">
        <v>-156194</v>
      </c>
      <c r="W40" s="189">
        <v>-127138.32</v>
      </c>
      <c r="X40" s="189">
        <v>-7831.83</v>
      </c>
      <c r="Y40" s="189">
        <v>-72847.53</v>
      </c>
      <c r="Z40" s="189">
        <v>30386.59</v>
      </c>
      <c r="AA40" s="189">
        <v>19492.43</v>
      </c>
      <c r="AB40" s="189">
        <v>12948.53</v>
      </c>
      <c r="AC40" s="189">
        <v>-299576.53999999998</v>
      </c>
      <c r="AD40" s="189">
        <v>-70294.990000000005</v>
      </c>
      <c r="AE40" s="189">
        <v>-61146.720000000001</v>
      </c>
      <c r="AF40" s="189">
        <v>-22321.54</v>
      </c>
      <c r="AG40" s="189">
        <v>-155489.38</v>
      </c>
      <c r="AH40" s="189">
        <v>-69482.48</v>
      </c>
      <c r="AI40" s="189">
        <v>-34765.51</v>
      </c>
      <c r="AJ40" s="189">
        <v>-6280.31</v>
      </c>
      <c r="AK40" s="189">
        <v>-6274.78</v>
      </c>
      <c r="AL40" s="189">
        <v>-3131.37</v>
      </c>
      <c r="AM40" s="189">
        <v>-1503.15</v>
      </c>
      <c r="AN40" s="189">
        <v>9.17</v>
      </c>
      <c r="AO40" s="189">
        <v>-386536.84</v>
      </c>
      <c r="AP40" s="189">
        <v>-380384.88</v>
      </c>
      <c r="AQ40" s="189">
        <v>-363781.68</v>
      </c>
      <c r="AR40" s="189">
        <v>1728.54</v>
      </c>
      <c r="AS40" s="189">
        <v>-534419.03</v>
      </c>
      <c r="AT40" s="189">
        <v>-233739.54</v>
      </c>
      <c r="AU40" s="189">
        <v>-230267.66</v>
      </c>
      <c r="AV40" s="189">
        <v>-306.11</v>
      </c>
      <c r="AW40" s="189">
        <v>-128605.64</v>
      </c>
      <c r="AX40" s="189">
        <v>171498.01</v>
      </c>
      <c r="AY40" s="189">
        <v>112549.1</v>
      </c>
      <c r="AZ40" s="189">
        <v>-21443.73</v>
      </c>
      <c r="BA40" s="189">
        <v>-1055049.31</v>
      </c>
      <c r="BB40" s="189">
        <v>-270127.84999999998</v>
      </c>
      <c r="BC40" s="189">
        <v>-6392.35</v>
      </c>
      <c r="BD40" s="189">
        <v>-4842.08</v>
      </c>
      <c r="BE40" s="189">
        <v>-64206.14</v>
      </c>
      <c r="BF40" s="189">
        <v>-45141.61</v>
      </c>
      <c r="BG40" s="189">
        <v>-25870.99</v>
      </c>
      <c r="BH40" s="189">
        <v>-90052.63</v>
      </c>
      <c r="BI40" s="189">
        <v>168721.13</v>
      </c>
      <c r="BJ40" s="189">
        <v>481132.9</v>
      </c>
      <c r="BK40" s="189">
        <v>264023.27</v>
      </c>
      <c r="BL40" s="189">
        <v>-32718.14</v>
      </c>
      <c r="BM40" s="189">
        <v>340171.35</v>
      </c>
      <c r="BN40" s="189">
        <v>239676.9</v>
      </c>
      <c r="BO40" s="189">
        <v>-352676.7</v>
      </c>
      <c r="BP40" s="189">
        <v>-47830.9</v>
      </c>
      <c r="BQ40" s="189">
        <v>-117341.72</v>
      </c>
      <c r="BR40" s="189">
        <v>66747.77</v>
      </c>
      <c r="BS40" s="189">
        <v>0</v>
      </c>
    </row>
    <row r="41" spans="1:71" x14ac:dyDescent="0.25">
      <c r="A41" s="189" t="s">
        <v>256</v>
      </c>
      <c r="B41" s="189">
        <v>-37397586.990000002</v>
      </c>
      <c r="C41" s="189">
        <v>-117386071.81999999</v>
      </c>
      <c r="D41" s="189">
        <v>-128039474.13</v>
      </c>
      <c r="E41" s="189">
        <v>-717320753.19000006</v>
      </c>
      <c r="F41" s="189">
        <v>-291499878.54000002</v>
      </c>
      <c r="G41" s="189">
        <v>162568555.50999999</v>
      </c>
      <c r="H41" s="189">
        <v>29430374.399999999</v>
      </c>
      <c r="I41" s="189">
        <v>-1195010934.3399999</v>
      </c>
      <c r="J41" s="189">
        <v>-1059606688.21</v>
      </c>
      <c r="K41" s="189">
        <v>-321952759.63</v>
      </c>
      <c r="L41" s="189">
        <v>-30246489.629999999</v>
      </c>
      <c r="M41" s="189">
        <v>300843527.77999997</v>
      </c>
      <c r="N41" s="189">
        <v>-1612577062.8699999</v>
      </c>
      <c r="O41" s="189">
        <v>-1034470849.3</v>
      </c>
      <c r="P41" s="189">
        <v>367848198.88</v>
      </c>
      <c r="Q41" s="189">
        <v>900533758.38999999</v>
      </c>
      <c r="R41" s="189">
        <v>637700146.25</v>
      </c>
      <c r="S41" s="189">
        <v>475781030.42000002</v>
      </c>
      <c r="T41" s="189">
        <v>520198577.55000001</v>
      </c>
      <c r="U41" s="189">
        <v>404526772.88</v>
      </c>
      <c r="V41" s="189">
        <v>260245377.65000001</v>
      </c>
      <c r="W41" s="189">
        <v>21457061.059999999</v>
      </c>
      <c r="X41" s="189">
        <v>202438436.66</v>
      </c>
      <c r="Y41" s="189">
        <v>456920375.61000001</v>
      </c>
      <c r="Z41" s="189">
        <v>817732065.82000005</v>
      </c>
      <c r="AA41" s="189">
        <v>705204596.37</v>
      </c>
      <c r="AB41" s="189">
        <v>182438783.06999999</v>
      </c>
      <c r="AC41" s="189">
        <v>103219931.31</v>
      </c>
      <c r="AD41" s="189">
        <v>173077219.22</v>
      </c>
      <c r="AE41" s="189">
        <v>27941890</v>
      </c>
      <c r="AF41" s="189">
        <v>53755178.530000001</v>
      </c>
      <c r="AG41" s="189">
        <v>67754717.560000002</v>
      </c>
      <c r="AH41" s="189">
        <v>99715292.569999993</v>
      </c>
      <c r="AI41" s="189">
        <v>-21799876.170000002</v>
      </c>
      <c r="AJ41" s="189">
        <v>-8335170.1100000003</v>
      </c>
      <c r="AK41" s="189">
        <v>221614449.47</v>
      </c>
      <c r="AL41" s="189">
        <v>210614491.56</v>
      </c>
      <c r="AM41" s="189">
        <v>7592171.25</v>
      </c>
      <c r="AN41" s="189">
        <v>43198970.75</v>
      </c>
      <c r="AO41" s="189">
        <v>141601532.33000001</v>
      </c>
      <c r="AP41" s="189">
        <v>129273167.81999999</v>
      </c>
      <c r="AQ41" s="189">
        <v>167308154.22999999</v>
      </c>
      <c r="AR41" s="189">
        <v>72052630.780000001</v>
      </c>
      <c r="AS41" s="189">
        <v>106303350.16</v>
      </c>
      <c r="AT41" s="189">
        <v>234758675.93000001</v>
      </c>
      <c r="AU41" s="189">
        <v>118718579.28</v>
      </c>
      <c r="AV41" s="189">
        <v>30891578.52</v>
      </c>
      <c r="AW41" s="189">
        <v>-119164649.45999999</v>
      </c>
      <c r="AX41" s="189">
        <v>-125704212.98999999</v>
      </c>
      <c r="AY41" s="189">
        <v>-120347886.58</v>
      </c>
      <c r="AZ41" s="189">
        <v>117513737.55</v>
      </c>
      <c r="BA41" s="189">
        <v>-26603579.109999999</v>
      </c>
      <c r="BB41" s="189">
        <v>-150248707.62</v>
      </c>
      <c r="BC41" s="189">
        <v>-71553204.980000004</v>
      </c>
      <c r="BD41" s="189">
        <v>-114593779.05</v>
      </c>
      <c r="BE41" s="189">
        <v>-45616621.990000002</v>
      </c>
      <c r="BF41" s="189">
        <v>-33674919.729999997</v>
      </c>
      <c r="BG41" s="189">
        <v>26396224.329999998</v>
      </c>
      <c r="BH41" s="189">
        <v>-33013445.640000001</v>
      </c>
      <c r="BI41" s="189">
        <v>-55258605.399999999</v>
      </c>
      <c r="BJ41" s="189">
        <v>6914815.5599999996</v>
      </c>
      <c r="BK41" s="189">
        <v>-61705007.049999997</v>
      </c>
      <c r="BL41" s="189">
        <v>-106329265.22</v>
      </c>
      <c r="BM41" s="189">
        <v>-132326488.76000001</v>
      </c>
      <c r="BN41" s="189">
        <v>6743624.9199999999</v>
      </c>
      <c r="BO41" s="189">
        <v>542930105.89999998</v>
      </c>
      <c r="BP41" s="189">
        <v>803217569.20000005</v>
      </c>
      <c r="BQ41" s="189">
        <v>-7171569.0700000003</v>
      </c>
      <c r="BR41" s="189">
        <v>30144606.059999999</v>
      </c>
      <c r="BS41" s="189">
        <v>0</v>
      </c>
    </row>
    <row r="42" spans="1:71" x14ac:dyDescent="0.25">
      <c r="A42" s="189" t="s">
        <v>257</v>
      </c>
      <c r="B42" s="189">
        <v>1230414598</v>
      </c>
      <c r="C42" s="189">
        <v>1230414598</v>
      </c>
      <c r="D42" s="189">
        <v>1230335014.4200001</v>
      </c>
      <c r="E42" s="189">
        <v>1947735351.1900001</v>
      </c>
      <c r="F42" s="189">
        <v>1739393154.9200001</v>
      </c>
      <c r="G42" s="189">
        <v>1739393154.9200001</v>
      </c>
      <c r="H42" s="189">
        <v>1739393154.9200001</v>
      </c>
      <c r="I42" s="189">
        <v>2934404089.2600002</v>
      </c>
      <c r="J42" s="189">
        <v>2934404089.2600002</v>
      </c>
      <c r="K42" s="189">
        <v>2934404089.2600002</v>
      </c>
      <c r="L42" s="189">
        <v>3477140930.6700001</v>
      </c>
      <c r="M42" s="189">
        <v>2633560561.48</v>
      </c>
      <c r="N42" s="189">
        <v>2633560561.48</v>
      </c>
      <c r="O42" s="189">
        <v>2633560561.48</v>
      </c>
      <c r="P42" s="189">
        <v>2633560561.48</v>
      </c>
      <c r="Q42" s="189">
        <v>1733026803.0899999</v>
      </c>
      <c r="R42" s="189">
        <v>1733026803.0899999</v>
      </c>
      <c r="S42" s="189">
        <v>1733026803.0899999</v>
      </c>
      <c r="T42" s="189">
        <v>1733026803.0899999</v>
      </c>
      <c r="U42" s="189">
        <v>1328500030.21</v>
      </c>
      <c r="V42" s="189">
        <v>1328500030.21</v>
      </c>
      <c r="W42" s="189">
        <v>1328500030.21</v>
      </c>
      <c r="X42" s="189">
        <v>1328500030.21</v>
      </c>
      <c r="Y42" s="189">
        <v>871579654.60000002</v>
      </c>
      <c r="Z42" s="189">
        <v>871579654.60000002</v>
      </c>
      <c r="AA42" s="189">
        <v>871579654.60000002</v>
      </c>
      <c r="AB42" s="189">
        <v>871579654.60000002</v>
      </c>
      <c r="AC42" s="189">
        <v>768359723.28999996</v>
      </c>
      <c r="AD42" s="189">
        <v>768359723.28999996</v>
      </c>
      <c r="AE42" s="189">
        <v>768359723.28999996</v>
      </c>
      <c r="AF42" s="189">
        <v>768359723.28999996</v>
      </c>
      <c r="AG42" s="189">
        <v>700605005.73000002</v>
      </c>
      <c r="AH42" s="189">
        <v>700605005.73000002</v>
      </c>
      <c r="AI42" s="189">
        <v>700605005.73000002</v>
      </c>
      <c r="AJ42" s="189">
        <v>700605005.73000002</v>
      </c>
      <c r="AK42" s="189">
        <v>478990556.25999999</v>
      </c>
      <c r="AL42" s="189">
        <v>478990556.25999999</v>
      </c>
      <c r="AM42" s="189">
        <v>478990556.25999999</v>
      </c>
      <c r="AN42" s="189">
        <v>478990556.25999999</v>
      </c>
      <c r="AO42" s="189">
        <v>337389023.93000001</v>
      </c>
      <c r="AP42" s="189">
        <v>337658094.49000001</v>
      </c>
      <c r="AQ42" s="189">
        <v>337658094.49000001</v>
      </c>
      <c r="AR42" s="189">
        <v>342491228.29000002</v>
      </c>
      <c r="AS42" s="189">
        <v>231085673.77000001</v>
      </c>
      <c r="AT42" s="189">
        <v>231085673.77000001</v>
      </c>
      <c r="AU42" s="189">
        <v>231085673.77000001</v>
      </c>
      <c r="AV42" s="189">
        <v>231085673.77000001</v>
      </c>
      <c r="AW42" s="189">
        <v>350250323.23000002</v>
      </c>
      <c r="AX42" s="189">
        <v>350250323.23000002</v>
      </c>
      <c r="AY42" s="189">
        <v>350250323.23000002</v>
      </c>
      <c r="AZ42" s="189">
        <v>350250323.23000002</v>
      </c>
      <c r="BA42" s="189">
        <v>376853902.33999997</v>
      </c>
      <c r="BB42" s="189">
        <v>376853902.33999997</v>
      </c>
      <c r="BC42" s="189">
        <v>376853902.33999997</v>
      </c>
      <c r="BD42" s="189">
        <v>376853902.33999997</v>
      </c>
      <c r="BE42" s="189">
        <v>422470524.32999998</v>
      </c>
      <c r="BF42" s="189">
        <v>422470524.32999998</v>
      </c>
      <c r="BG42" s="189">
        <v>422470524.32999998</v>
      </c>
      <c r="BH42" s="189">
        <v>422470524.32999998</v>
      </c>
      <c r="BI42" s="189">
        <v>477729129.73000002</v>
      </c>
      <c r="BJ42" s="189">
        <v>477729129.73000002</v>
      </c>
      <c r="BK42" s="189">
        <v>477729129.73000002</v>
      </c>
      <c r="BL42" s="189">
        <v>477729129.73000002</v>
      </c>
      <c r="BM42" s="189">
        <v>610055618.49000001</v>
      </c>
      <c r="BN42" s="189">
        <v>610055618.49000001</v>
      </c>
      <c r="BO42" s="189">
        <v>67125512.590000004</v>
      </c>
      <c r="BP42" s="189">
        <v>67125512.590000004</v>
      </c>
      <c r="BQ42" s="189">
        <v>74297081.659999996</v>
      </c>
      <c r="BR42" s="189">
        <v>44152475.600000001</v>
      </c>
      <c r="BS42" s="189">
        <v>0</v>
      </c>
    </row>
    <row r="43" spans="1:71" x14ac:dyDescent="0.25">
      <c r="A43" s="189" t="s">
        <v>258</v>
      </c>
      <c r="B43" s="189">
        <v>1193017011.01</v>
      </c>
      <c r="C43" s="189">
        <v>1113028526.1800001</v>
      </c>
      <c r="D43" s="189">
        <v>1102295540.29</v>
      </c>
      <c r="E43" s="189">
        <v>1230414598</v>
      </c>
      <c r="F43" s="189">
        <v>1447893276.3800001</v>
      </c>
      <c r="G43" s="189">
        <v>1901961710.4300001</v>
      </c>
      <c r="H43" s="189">
        <v>1768823529.3199999</v>
      </c>
      <c r="I43" s="189">
        <v>1739393154.9200001</v>
      </c>
      <c r="J43" s="189">
        <v>1874797401.05</v>
      </c>
      <c r="K43" s="189">
        <v>2612451329.6300001</v>
      </c>
      <c r="L43" s="189">
        <v>3446894441.04</v>
      </c>
      <c r="M43" s="189">
        <v>2934404089.2600002</v>
      </c>
      <c r="N43" s="189">
        <v>1020983498.61</v>
      </c>
      <c r="O43" s="189">
        <v>1599089712.1800001</v>
      </c>
      <c r="P43" s="189">
        <v>3001408760.3600001</v>
      </c>
      <c r="Q43" s="189">
        <v>2633560561.48</v>
      </c>
      <c r="R43" s="189">
        <v>2370726949.3400002</v>
      </c>
      <c r="S43" s="189">
        <v>2208807833.5100002</v>
      </c>
      <c r="T43" s="189">
        <v>2253225380.6399999</v>
      </c>
      <c r="U43" s="189">
        <v>1733026803.0899999</v>
      </c>
      <c r="V43" s="189">
        <v>1588745407.8599999</v>
      </c>
      <c r="W43" s="189">
        <v>1349957091.27</v>
      </c>
      <c r="X43" s="189">
        <v>1530938466.8699999</v>
      </c>
      <c r="Y43" s="189">
        <v>1328500030.21</v>
      </c>
      <c r="Z43" s="189">
        <v>1689311720.4200001</v>
      </c>
      <c r="AA43" s="189">
        <v>1576784250.97</v>
      </c>
      <c r="AB43" s="189">
        <v>1054018437.67</v>
      </c>
      <c r="AC43" s="189">
        <v>871579654.60000002</v>
      </c>
      <c r="AD43" s="189">
        <v>941436942.50999999</v>
      </c>
      <c r="AE43" s="189">
        <v>796301613.28999996</v>
      </c>
      <c r="AF43" s="189">
        <v>822114901.82000005</v>
      </c>
      <c r="AG43" s="189">
        <v>768359723.28999996</v>
      </c>
      <c r="AH43" s="189">
        <v>800320298.29999995</v>
      </c>
      <c r="AI43" s="189">
        <v>678805129.55999994</v>
      </c>
      <c r="AJ43" s="189">
        <v>692269835.62</v>
      </c>
      <c r="AK43" s="189">
        <v>700605005.73000002</v>
      </c>
      <c r="AL43" s="189">
        <v>689605047.82000005</v>
      </c>
      <c r="AM43" s="189">
        <v>486582727.50999999</v>
      </c>
      <c r="AN43" s="189">
        <v>522189527.00999999</v>
      </c>
      <c r="AO43" s="189">
        <v>478990556.25999999</v>
      </c>
      <c r="AP43" s="189">
        <v>466931262.31</v>
      </c>
      <c r="AQ43" s="189">
        <v>504966248.72000003</v>
      </c>
      <c r="AR43" s="189">
        <v>414543859.06999999</v>
      </c>
      <c r="AS43" s="189">
        <v>337389023.93000001</v>
      </c>
      <c r="AT43" s="189">
        <v>465844349.69999999</v>
      </c>
      <c r="AU43" s="189">
        <v>349804253.05000001</v>
      </c>
      <c r="AV43" s="189">
        <v>261977252.28999999</v>
      </c>
      <c r="AW43" s="189">
        <v>231085673.77000001</v>
      </c>
      <c r="AX43" s="189">
        <v>224546110.24000001</v>
      </c>
      <c r="AY43" s="189">
        <v>229902436.65000001</v>
      </c>
      <c r="AZ43" s="189">
        <v>467764060.77999997</v>
      </c>
      <c r="BA43" s="189">
        <v>350250323.23000002</v>
      </c>
      <c r="BB43" s="189">
        <v>226605194.72</v>
      </c>
      <c r="BC43" s="189">
        <v>305300697.36000001</v>
      </c>
      <c r="BD43" s="189">
        <v>262260123.28999999</v>
      </c>
      <c r="BE43" s="189">
        <v>376853902.33999997</v>
      </c>
      <c r="BF43" s="189">
        <v>388795604.60000002</v>
      </c>
      <c r="BG43" s="189">
        <v>448866748.66000003</v>
      </c>
      <c r="BH43" s="189">
        <v>389457078.69</v>
      </c>
      <c r="BI43" s="189">
        <v>422470524.32999998</v>
      </c>
      <c r="BJ43" s="189">
        <v>484643945.29000002</v>
      </c>
      <c r="BK43" s="189">
        <v>416024122.68000001</v>
      </c>
      <c r="BL43" s="189">
        <v>371399864.50999999</v>
      </c>
      <c r="BM43" s="189">
        <v>477729129.73000002</v>
      </c>
      <c r="BN43" s="189">
        <v>616799243.40999997</v>
      </c>
      <c r="BO43" s="189">
        <v>610055618.49000001</v>
      </c>
      <c r="BP43" s="189">
        <v>870343081.78999996</v>
      </c>
      <c r="BQ43" s="189">
        <v>67125512.590000004</v>
      </c>
      <c r="BR43" s="189">
        <v>74297081.659999996</v>
      </c>
      <c r="BS43" s="189">
        <v>0</v>
      </c>
    </row>
    <row r="44" spans="1:71" x14ac:dyDescent="0.25">
      <c r="A44" s="189" t="s">
        <v>259</v>
      </c>
    </row>
    <row r="45" spans="1:71" x14ac:dyDescent="0.25">
      <c r="A45" s="189" t="s">
        <v>260</v>
      </c>
      <c r="B45" s="189">
        <v>0</v>
      </c>
      <c r="C45" s="189">
        <v>316823032.86000001</v>
      </c>
      <c r="D45" s="189">
        <v>0</v>
      </c>
      <c r="E45" s="189">
        <v>389801890.38</v>
      </c>
      <c r="F45" s="189">
        <v>0</v>
      </c>
      <c r="G45" s="189">
        <v>216242281.83000001</v>
      </c>
      <c r="H45" s="189">
        <v>0</v>
      </c>
      <c r="I45" s="189">
        <v>216016693.93000001</v>
      </c>
      <c r="J45" s="189">
        <v>0</v>
      </c>
      <c r="K45" s="189">
        <v>372351763.13999999</v>
      </c>
      <c r="L45" s="189">
        <v>0</v>
      </c>
      <c r="M45" s="189">
        <v>2209962075.7600002</v>
      </c>
      <c r="N45" s="189">
        <v>0</v>
      </c>
      <c r="O45" s="189">
        <v>640800613.46000004</v>
      </c>
      <c r="P45" s="189">
        <v>0</v>
      </c>
      <c r="Q45" s="189">
        <v>907532799.05999994</v>
      </c>
      <c r="R45" s="189">
        <v>0</v>
      </c>
      <c r="S45" s="189">
        <v>577469758.05999994</v>
      </c>
      <c r="T45" s="189">
        <v>0</v>
      </c>
      <c r="U45" s="189">
        <v>819699678.90999997</v>
      </c>
      <c r="V45" s="189">
        <v>0</v>
      </c>
      <c r="W45" s="189">
        <v>489688402.08999997</v>
      </c>
      <c r="X45" s="189">
        <v>0</v>
      </c>
      <c r="Y45" s="189">
        <v>627937583.42999995</v>
      </c>
      <c r="Z45" s="189">
        <v>0</v>
      </c>
      <c r="AA45" s="189">
        <v>361653775.13999999</v>
      </c>
      <c r="AB45" s="189">
        <v>0</v>
      </c>
      <c r="AC45" s="189">
        <v>365004864.25</v>
      </c>
      <c r="AD45" s="189">
        <v>0</v>
      </c>
      <c r="AE45" s="189">
        <v>205844106.5</v>
      </c>
      <c r="AF45" s="189">
        <v>0</v>
      </c>
      <c r="AG45" s="189">
        <v>249680992.80000001</v>
      </c>
      <c r="AH45" s="189">
        <v>0</v>
      </c>
      <c r="AI45" s="189">
        <v>152699653.94999999</v>
      </c>
      <c r="AJ45" s="189">
        <v>0</v>
      </c>
      <c r="AK45" s="189">
        <v>238834648.75</v>
      </c>
      <c r="AL45" s="189">
        <v>0</v>
      </c>
      <c r="AM45" s="189">
        <v>142487131.80000001</v>
      </c>
      <c r="AN45" s="189">
        <v>0</v>
      </c>
      <c r="AO45" s="189">
        <v>186623950.53999999</v>
      </c>
      <c r="AP45" s="189">
        <v>0</v>
      </c>
      <c r="AQ45" s="189">
        <v>114479818.36</v>
      </c>
      <c r="AR45" s="189">
        <v>0</v>
      </c>
      <c r="AS45" s="189">
        <v>132572102.25</v>
      </c>
      <c r="AT45" s="189">
        <v>0</v>
      </c>
      <c r="AU45" s="189">
        <v>74461427.420000002</v>
      </c>
      <c r="AV45" s="189">
        <v>0</v>
      </c>
      <c r="AW45" s="189">
        <v>73766187.829999998</v>
      </c>
      <c r="AX45" s="189">
        <v>67631937.579999998</v>
      </c>
      <c r="AY45" s="189">
        <v>51814119.719999999</v>
      </c>
      <c r="AZ45" s="189">
        <v>13217875.050000001</v>
      </c>
      <c r="BA45" s="189">
        <v>38576546.719999999</v>
      </c>
      <c r="BB45" s="189">
        <v>44687058.759999998</v>
      </c>
      <c r="BC45" s="189">
        <v>32125503.48</v>
      </c>
      <c r="BD45" s="189">
        <v>12918088.49</v>
      </c>
      <c r="BE45" s="189">
        <v>47323277.619999997</v>
      </c>
      <c r="BF45" s="189">
        <v>62712115.909999996</v>
      </c>
      <c r="BG45" s="189">
        <v>45546730.869999997</v>
      </c>
      <c r="BH45" s="189">
        <v>15048293.550000001</v>
      </c>
      <c r="BI45" s="189">
        <v>81069361.469999999</v>
      </c>
      <c r="BJ45" s="189">
        <v>77514752.989999995</v>
      </c>
      <c r="BK45" s="189">
        <v>55793274.619999997</v>
      </c>
      <c r="BL45" s="189">
        <v>12538133.380000001</v>
      </c>
      <c r="BM45" s="189">
        <v>75361961.530000001</v>
      </c>
      <c r="BN45" s="189">
        <v>54204006.479999997</v>
      </c>
      <c r="BO45" s="189">
        <v>72975839.939999998</v>
      </c>
      <c r="BP45" s="189">
        <v>44108693.740000002</v>
      </c>
      <c r="BQ45" s="189">
        <v>57264018.509999998</v>
      </c>
      <c r="BR45" s="189">
        <v>35510667.549999997</v>
      </c>
      <c r="BS45" s="189">
        <v>0</v>
      </c>
    </row>
    <row r="46" spans="1:71"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16474807.26</v>
      </c>
      <c r="AT46" s="189">
        <v>0</v>
      </c>
      <c r="AU46" s="189">
        <v>0</v>
      </c>
      <c r="AV46" s="189">
        <v>0</v>
      </c>
      <c r="AW46" s="189">
        <v>10999844.699999999</v>
      </c>
      <c r="AX46" s="189">
        <v>5676617.4800000004</v>
      </c>
      <c r="AY46" s="189">
        <v>2567448.37</v>
      </c>
      <c r="AZ46" s="189">
        <v>671337.46</v>
      </c>
      <c r="BA46" s="189">
        <v>12214006.640000001</v>
      </c>
      <c r="BB46" s="189">
        <v>7329842.0599999996</v>
      </c>
      <c r="BC46" s="189">
        <v>5492705.3099999996</v>
      </c>
      <c r="BD46" s="189">
        <v>1937877.1</v>
      </c>
      <c r="BE46" s="189">
        <v>9902983.5999999996</v>
      </c>
      <c r="BF46" s="189">
        <v>8941406.5899999999</v>
      </c>
      <c r="BG46" s="189">
        <v>4205751.82</v>
      </c>
      <c r="BH46" s="189">
        <v>1656273.15</v>
      </c>
      <c r="BI46" s="189">
        <v>9443172.2300000004</v>
      </c>
      <c r="BJ46" s="189">
        <v>5118514.33</v>
      </c>
      <c r="BK46" s="189">
        <v>3547748.11</v>
      </c>
      <c r="BL46" s="189">
        <v>593777.16</v>
      </c>
      <c r="BM46" s="189">
        <v>2211557.9700000002</v>
      </c>
      <c r="BN46" s="189">
        <v>-90461.11</v>
      </c>
      <c r="BO46" s="189">
        <v>-294764.5</v>
      </c>
      <c r="BP46" s="189">
        <v>0</v>
      </c>
      <c r="BQ46" s="189">
        <v>-231222.66</v>
      </c>
      <c r="BR46" s="189">
        <v>-77292.58</v>
      </c>
      <c r="BS46" s="189">
        <v>0</v>
      </c>
    </row>
    <row r="47" spans="1:71"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-5055540.18</v>
      </c>
      <c r="AX47" s="189">
        <v>-5055540.18</v>
      </c>
      <c r="AY47" s="189">
        <v>-5055540.18</v>
      </c>
      <c r="AZ47" s="189">
        <v>-5055540.18</v>
      </c>
      <c r="BA47" s="189">
        <v>-5715237.9800000004</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0</v>
      </c>
      <c r="BS47" s="189">
        <v>0</v>
      </c>
    </row>
    <row r="48" spans="1:71" x14ac:dyDescent="0.25">
      <c r="A48" s="189" t="s">
        <v>262</v>
      </c>
      <c r="B48" s="189">
        <v>0</v>
      </c>
      <c r="C48" s="189">
        <v>17429686.640000001</v>
      </c>
      <c r="D48" s="189">
        <v>0</v>
      </c>
      <c r="E48" s="189">
        <v>48974963.369999997</v>
      </c>
      <c r="F48" s="189">
        <v>0</v>
      </c>
      <c r="G48" s="189">
        <v>19152823.43</v>
      </c>
      <c r="H48" s="189">
        <v>0</v>
      </c>
      <c r="I48" s="189">
        <v>-9598363.3800000008</v>
      </c>
      <c r="J48" s="189">
        <v>0</v>
      </c>
      <c r="K48" s="189">
        <v>14645528.58</v>
      </c>
      <c r="L48" s="189">
        <v>0</v>
      </c>
      <c r="M48" s="189">
        <v>26923060.969999999</v>
      </c>
      <c r="N48" s="189">
        <v>0</v>
      </c>
      <c r="O48" s="189">
        <v>19180615.370000001</v>
      </c>
      <c r="P48" s="189">
        <v>0</v>
      </c>
      <c r="Q48" s="189">
        <v>16639525.1</v>
      </c>
      <c r="R48" s="189">
        <v>0</v>
      </c>
      <c r="S48" s="189">
        <v>16636046.630000001</v>
      </c>
      <c r="T48" s="189">
        <v>0</v>
      </c>
      <c r="U48" s="189">
        <v>8766809.0700000003</v>
      </c>
      <c r="V48" s="189">
        <v>0</v>
      </c>
      <c r="W48" s="189">
        <v>15994343.539999999</v>
      </c>
      <c r="X48" s="189">
        <v>0</v>
      </c>
      <c r="Y48" s="189">
        <v>13233786.460000001</v>
      </c>
      <c r="Z48" s="189">
        <v>0</v>
      </c>
      <c r="AA48" s="189">
        <v>9054413.2799999993</v>
      </c>
      <c r="AB48" s="189">
        <v>0</v>
      </c>
      <c r="AC48" s="189">
        <v>7636468.6500000004</v>
      </c>
      <c r="AD48" s="189">
        <v>0</v>
      </c>
      <c r="AE48" s="189">
        <v>-6328274.1299999999</v>
      </c>
      <c r="AF48" s="189">
        <v>0</v>
      </c>
      <c r="AG48" s="189">
        <v>94771112.780000001</v>
      </c>
      <c r="AH48" s="189">
        <v>0</v>
      </c>
      <c r="AI48" s="189">
        <v>9186376.5399999991</v>
      </c>
      <c r="AJ48" s="189">
        <v>0</v>
      </c>
      <c r="AK48" s="189">
        <v>58403338.18</v>
      </c>
      <c r="AL48" s="189">
        <v>0</v>
      </c>
      <c r="AM48" s="189">
        <v>6110726.2999999998</v>
      </c>
      <c r="AN48" s="189">
        <v>0</v>
      </c>
      <c r="AO48" s="189">
        <v>8867556.3200000003</v>
      </c>
      <c r="AP48" s="189">
        <v>0</v>
      </c>
      <c r="AQ48" s="189">
        <v>18999681.800000001</v>
      </c>
      <c r="AR48" s="189">
        <v>0</v>
      </c>
      <c r="AS48" s="189">
        <v>11759899.789999999</v>
      </c>
      <c r="AT48" s="189">
        <v>0</v>
      </c>
      <c r="AU48" s="189">
        <v>23717602.579999998</v>
      </c>
      <c r="AV48" s="189">
        <v>0</v>
      </c>
      <c r="AW48" s="189">
        <v>7570692.4500000002</v>
      </c>
      <c r="AX48" s="189">
        <v>-6503579.4500000002</v>
      </c>
      <c r="AY48" s="189">
        <v>-5299112.59</v>
      </c>
      <c r="AZ48" s="189">
        <v>3004229.07</v>
      </c>
      <c r="BA48" s="189">
        <v>19834671.23</v>
      </c>
      <c r="BB48" s="189">
        <v>23615351.57</v>
      </c>
      <c r="BC48" s="189">
        <v>13812702.619999999</v>
      </c>
      <c r="BD48" s="189">
        <v>2511263.19</v>
      </c>
      <c r="BE48" s="189">
        <v>16180567.17</v>
      </c>
      <c r="BF48" s="189">
        <v>19745753.059999999</v>
      </c>
      <c r="BG48" s="189">
        <v>6853900.2300000004</v>
      </c>
      <c r="BH48" s="189">
        <v>-476539.71</v>
      </c>
      <c r="BI48" s="189">
        <v>-12789399.359999999</v>
      </c>
      <c r="BJ48" s="189">
        <v>-2812433.52</v>
      </c>
      <c r="BK48" s="189">
        <v>3673348.15</v>
      </c>
      <c r="BL48" s="189">
        <v>1675322.63</v>
      </c>
      <c r="BM48" s="189">
        <v>21877442.93</v>
      </c>
      <c r="BN48" s="189">
        <v>12241418.49</v>
      </c>
      <c r="BO48" s="189">
        <v>18621476</v>
      </c>
      <c r="BP48" s="189">
        <v>2318200.81</v>
      </c>
      <c r="BQ48" s="189">
        <v>2722843.23</v>
      </c>
      <c r="BR48" s="189">
        <v>-2414113.71</v>
      </c>
      <c r="BS48" s="189">
        <v>0</v>
      </c>
    </row>
    <row r="49" spans="1:71" x14ac:dyDescent="0.25">
      <c r="A49" s="189" t="s">
        <v>263</v>
      </c>
      <c r="B49" s="189">
        <v>0</v>
      </c>
      <c r="C49" s="189">
        <v>36340583.32</v>
      </c>
      <c r="D49" s="189">
        <v>0</v>
      </c>
      <c r="E49" s="189">
        <v>63445526.740000002</v>
      </c>
      <c r="F49" s="189">
        <v>0</v>
      </c>
      <c r="G49" s="189">
        <v>19573915.52</v>
      </c>
      <c r="H49" s="189">
        <v>0</v>
      </c>
      <c r="I49" s="189">
        <v>38368034.710000001</v>
      </c>
      <c r="J49" s="189">
        <v>0</v>
      </c>
      <c r="K49" s="189">
        <v>18851755.969999999</v>
      </c>
      <c r="L49" s="189">
        <v>0</v>
      </c>
      <c r="M49" s="189">
        <v>36687256.049999997</v>
      </c>
      <c r="N49" s="189">
        <v>0</v>
      </c>
      <c r="O49" s="189">
        <v>18403525.16</v>
      </c>
      <c r="P49" s="189">
        <v>0</v>
      </c>
      <c r="Q49" s="189">
        <v>37676318.829999998</v>
      </c>
      <c r="R49" s="189">
        <v>0</v>
      </c>
      <c r="S49" s="189">
        <v>18680834.73</v>
      </c>
      <c r="T49" s="189">
        <v>0</v>
      </c>
      <c r="U49" s="189">
        <v>37348026.710000001</v>
      </c>
      <c r="V49" s="189">
        <v>0</v>
      </c>
      <c r="W49" s="189">
        <v>18635146.640000001</v>
      </c>
      <c r="X49" s="189">
        <v>0</v>
      </c>
      <c r="Y49" s="189">
        <v>44099272.939999998</v>
      </c>
      <c r="Z49" s="189">
        <v>0</v>
      </c>
      <c r="AA49" s="189">
        <v>17678550.73</v>
      </c>
      <c r="AB49" s="189">
        <v>0</v>
      </c>
      <c r="AC49" s="189">
        <v>71000454.730000004</v>
      </c>
      <c r="AD49" s="189">
        <v>0</v>
      </c>
      <c r="AE49" s="189">
        <v>21175702.280000001</v>
      </c>
      <c r="AF49" s="189">
        <v>0</v>
      </c>
      <c r="AG49" s="189">
        <v>35746512.460000001</v>
      </c>
      <c r="AH49" s="189">
        <v>0</v>
      </c>
      <c r="AI49" s="189">
        <v>17746794.859999999</v>
      </c>
      <c r="AJ49" s="189">
        <v>0</v>
      </c>
      <c r="AK49" s="189">
        <v>55003879.380000003</v>
      </c>
      <c r="AL49" s="189">
        <v>0</v>
      </c>
      <c r="AM49" s="189">
        <v>20257357.57</v>
      </c>
      <c r="AN49" s="189">
        <v>0</v>
      </c>
      <c r="AO49" s="189">
        <v>44785642.090000004</v>
      </c>
      <c r="AP49" s="189">
        <v>0</v>
      </c>
      <c r="AQ49" s="189">
        <v>24059188.289999999</v>
      </c>
      <c r="AR49" s="189">
        <v>0</v>
      </c>
      <c r="AS49" s="189">
        <v>49478011.689999998</v>
      </c>
      <c r="AT49" s="189">
        <v>0</v>
      </c>
      <c r="AU49" s="189">
        <v>22481940.02</v>
      </c>
      <c r="AV49" s="189">
        <v>0</v>
      </c>
      <c r="AW49" s="189">
        <v>59137922.950000003</v>
      </c>
      <c r="AX49" s="189">
        <v>42055570.990000002</v>
      </c>
      <c r="AY49" s="189">
        <v>27654060.57</v>
      </c>
      <c r="AZ49" s="189">
        <v>13597851.85</v>
      </c>
      <c r="BA49" s="189">
        <v>49554790.149999999</v>
      </c>
      <c r="BB49" s="189">
        <v>36249998.560000002</v>
      </c>
      <c r="BC49" s="189">
        <v>25258350.219999999</v>
      </c>
      <c r="BD49" s="189">
        <v>12283909.029999999</v>
      </c>
      <c r="BE49" s="189">
        <v>39616028.149999999</v>
      </c>
      <c r="BF49" s="189">
        <v>28614543.460000001</v>
      </c>
      <c r="BG49" s="189">
        <v>18517722.449999999</v>
      </c>
      <c r="BH49" s="189">
        <v>9443132.5700000003</v>
      </c>
      <c r="BI49" s="189">
        <v>33132293.68</v>
      </c>
      <c r="BJ49" s="189">
        <v>23801385.77</v>
      </c>
      <c r="BK49" s="189">
        <v>16066867.939999999</v>
      </c>
      <c r="BL49" s="189">
        <v>7793791.5499999998</v>
      </c>
      <c r="BM49" s="189">
        <v>26899051.850000001</v>
      </c>
      <c r="BN49" s="189">
        <v>14847660.699999999</v>
      </c>
      <c r="BO49" s="189">
        <v>26392332.390000001</v>
      </c>
      <c r="BP49" s="189">
        <v>14011794.43</v>
      </c>
      <c r="BQ49" s="189">
        <v>23309330.66</v>
      </c>
      <c r="BR49" s="189">
        <v>23056113.260000002</v>
      </c>
      <c r="BS49" s="189">
        <v>0</v>
      </c>
    </row>
    <row r="50" spans="1:71" x14ac:dyDescent="0.25">
      <c r="A50" s="189" t="s">
        <v>264</v>
      </c>
      <c r="B50" s="189">
        <v>0</v>
      </c>
      <c r="C50" s="189">
        <v>16408760.859999999</v>
      </c>
      <c r="D50" s="189">
        <v>0</v>
      </c>
      <c r="E50" s="189">
        <v>29645645.899999999</v>
      </c>
      <c r="F50" s="189">
        <v>0</v>
      </c>
      <c r="G50" s="189">
        <v>6336416.46</v>
      </c>
      <c r="H50" s="189">
        <v>0</v>
      </c>
      <c r="I50" s="189">
        <v>17042165.010000002</v>
      </c>
      <c r="J50" s="189">
        <v>0</v>
      </c>
      <c r="K50" s="189">
        <v>9929193.3399999999</v>
      </c>
      <c r="L50" s="189">
        <v>0</v>
      </c>
      <c r="M50" s="189">
        <v>10617522.83</v>
      </c>
      <c r="N50" s="189">
        <v>0</v>
      </c>
      <c r="O50" s="189">
        <v>5161559.54</v>
      </c>
      <c r="P50" s="189">
        <v>0</v>
      </c>
      <c r="Q50" s="189">
        <v>8285085.2599999998</v>
      </c>
      <c r="R50" s="189">
        <v>0</v>
      </c>
      <c r="S50" s="189">
        <v>3994482.03</v>
      </c>
      <c r="T50" s="189">
        <v>0</v>
      </c>
      <c r="U50" s="189">
        <v>6058648.0199999996</v>
      </c>
      <c r="V50" s="189">
        <v>0</v>
      </c>
      <c r="W50" s="189">
        <v>2824432.47</v>
      </c>
      <c r="X50" s="189">
        <v>0</v>
      </c>
      <c r="Y50" s="189">
        <v>5448556.3399999999</v>
      </c>
      <c r="Z50" s="189">
        <v>0</v>
      </c>
      <c r="AA50" s="189">
        <v>2454609.7400000002</v>
      </c>
      <c r="AB50" s="189">
        <v>0</v>
      </c>
      <c r="AC50" s="189">
        <v>3321391.15</v>
      </c>
      <c r="AD50" s="189">
        <v>0</v>
      </c>
      <c r="AE50" s="189">
        <v>1100160.58</v>
      </c>
      <c r="AF50" s="189">
        <v>0</v>
      </c>
      <c r="AG50" s="189">
        <v>1773697.55</v>
      </c>
      <c r="AH50" s="189">
        <v>0</v>
      </c>
      <c r="AI50" s="189">
        <v>792842.11</v>
      </c>
      <c r="AJ50" s="189">
        <v>0</v>
      </c>
      <c r="AK50" s="189">
        <v>6530333.3700000001</v>
      </c>
      <c r="AL50" s="189">
        <v>0</v>
      </c>
      <c r="AM50" s="189">
        <v>2474574.38</v>
      </c>
      <c r="AN50" s="189">
        <v>0</v>
      </c>
      <c r="AO50" s="189">
        <v>5082247.03</v>
      </c>
      <c r="AP50" s="189">
        <v>0</v>
      </c>
      <c r="AQ50" s="189">
        <v>2652883.23</v>
      </c>
      <c r="AR50" s="189">
        <v>0</v>
      </c>
      <c r="AS50" s="189">
        <v>9935793.4600000009</v>
      </c>
      <c r="AT50" s="189">
        <v>0</v>
      </c>
      <c r="AU50" s="189">
        <v>628485.12</v>
      </c>
      <c r="AV50" s="189">
        <v>0</v>
      </c>
      <c r="AW50" s="189">
        <v>5259476.3600000003</v>
      </c>
      <c r="AX50" s="189">
        <v>8266739.5300000003</v>
      </c>
      <c r="AY50" s="189">
        <v>2303974.52</v>
      </c>
      <c r="AZ50" s="189">
        <v>1154078.93</v>
      </c>
      <c r="BA50" s="189">
        <v>4825008.05</v>
      </c>
      <c r="BB50" s="189">
        <v>3403755.11</v>
      </c>
      <c r="BC50" s="189">
        <v>2105442.33</v>
      </c>
      <c r="BD50" s="189">
        <v>1048652.48</v>
      </c>
      <c r="BE50" s="189">
        <v>4117680.73</v>
      </c>
      <c r="BF50" s="189">
        <v>3010581.28</v>
      </c>
      <c r="BG50" s="189">
        <v>2086019.44</v>
      </c>
      <c r="BH50" s="189">
        <v>1271531.8600000001</v>
      </c>
      <c r="BI50" s="189">
        <v>3616971.68</v>
      </c>
      <c r="BJ50" s="189">
        <v>2564956.59</v>
      </c>
      <c r="BK50" s="189">
        <v>1702728.1</v>
      </c>
      <c r="BL50" s="189">
        <v>774821.83</v>
      </c>
      <c r="BM50" s="189">
        <v>2894560.33</v>
      </c>
      <c r="BN50" s="189">
        <v>1339550.95</v>
      </c>
      <c r="BO50" s="189">
        <v>2642667.2999999998</v>
      </c>
      <c r="BP50" s="189">
        <v>1312783</v>
      </c>
      <c r="BQ50" s="189">
        <v>3415502.03</v>
      </c>
      <c r="BR50" s="189">
        <v>2895129.74</v>
      </c>
      <c r="BS50" s="189">
        <v>0</v>
      </c>
    </row>
    <row r="51" spans="1:71" x14ac:dyDescent="0.25">
      <c r="A51" s="189" t="s">
        <v>265</v>
      </c>
      <c r="B51" s="189">
        <v>0</v>
      </c>
      <c r="C51" s="189">
        <v>37113172.170000002</v>
      </c>
      <c r="D51" s="189">
        <v>0</v>
      </c>
      <c r="E51" s="189">
        <v>92273993.980000004</v>
      </c>
      <c r="F51" s="189">
        <v>0</v>
      </c>
      <c r="G51" s="189">
        <v>52815306.229999997</v>
      </c>
      <c r="H51" s="189">
        <v>0</v>
      </c>
      <c r="I51" s="189">
        <v>90171987.189999998</v>
      </c>
      <c r="J51" s="189">
        <v>0</v>
      </c>
      <c r="K51" s="189">
        <v>38754283.789999999</v>
      </c>
      <c r="L51" s="189">
        <v>0</v>
      </c>
      <c r="M51" s="189">
        <v>61320533.439999998</v>
      </c>
      <c r="N51" s="189">
        <v>0</v>
      </c>
      <c r="O51" s="189">
        <v>28562381.66</v>
      </c>
      <c r="P51" s="189">
        <v>0</v>
      </c>
      <c r="Q51" s="189">
        <v>53991100.299999997</v>
      </c>
      <c r="R51" s="189">
        <v>0</v>
      </c>
      <c r="S51" s="189">
        <v>27576113.91</v>
      </c>
      <c r="T51" s="189">
        <v>0</v>
      </c>
      <c r="U51" s="189">
        <v>58004443.520000003</v>
      </c>
      <c r="V51" s="189">
        <v>0</v>
      </c>
      <c r="W51" s="189">
        <v>24896534.239999998</v>
      </c>
      <c r="X51" s="189">
        <v>0</v>
      </c>
      <c r="Y51" s="189">
        <v>53834008.090000004</v>
      </c>
      <c r="Z51" s="189">
        <v>0</v>
      </c>
      <c r="AA51" s="189">
        <v>22211262.52</v>
      </c>
      <c r="AB51" s="189">
        <v>0</v>
      </c>
      <c r="AC51" s="189">
        <v>45120020.530000001</v>
      </c>
      <c r="AD51" s="189">
        <v>0</v>
      </c>
      <c r="AE51" s="189">
        <v>17991992.780000001</v>
      </c>
      <c r="AF51" s="189">
        <v>0</v>
      </c>
      <c r="AG51" s="189">
        <v>50595526.670000002</v>
      </c>
      <c r="AH51" s="189">
        <v>0</v>
      </c>
      <c r="AI51" s="189">
        <v>19895840.120000001</v>
      </c>
      <c r="AJ51" s="189">
        <v>0</v>
      </c>
      <c r="AK51" s="189">
        <v>31522731.129999999</v>
      </c>
      <c r="AL51" s="189">
        <v>0</v>
      </c>
      <c r="AM51" s="189">
        <v>14675617.17</v>
      </c>
      <c r="AN51" s="189">
        <v>0</v>
      </c>
      <c r="AO51" s="189">
        <v>28984527.850000001</v>
      </c>
      <c r="AP51" s="189">
        <v>0</v>
      </c>
      <c r="AQ51" s="189">
        <v>12009407.380000001</v>
      </c>
      <c r="AR51" s="189">
        <v>0</v>
      </c>
      <c r="AS51" s="189">
        <v>28807617.309999999</v>
      </c>
      <c r="AT51" s="189">
        <v>0</v>
      </c>
      <c r="AU51" s="189">
        <v>16187202.09</v>
      </c>
      <c r="AV51" s="189">
        <v>0</v>
      </c>
      <c r="AW51" s="189">
        <v>4496726.6500000004</v>
      </c>
      <c r="AX51" s="189">
        <v>3675076.8</v>
      </c>
      <c r="AY51" s="189">
        <v>2772553.36</v>
      </c>
      <c r="AZ51" s="189">
        <v>1849467.45</v>
      </c>
      <c r="BA51" s="189">
        <v>2037545.71</v>
      </c>
      <c r="BB51" s="189">
        <v>755239.59</v>
      </c>
      <c r="BC51" s="189">
        <v>534847.31999999995</v>
      </c>
      <c r="BD51" s="189">
        <v>89161.44</v>
      </c>
      <c r="BE51" s="189">
        <v>673684.09</v>
      </c>
      <c r="BF51" s="189">
        <v>1484857.36</v>
      </c>
      <c r="BG51" s="189">
        <v>1128661.54</v>
      </c>
      <c r="BH51" s="189">
        <v>1362170.55</v>
      </c>
      <c r="BI51" s="189">
        <v>3126790.78</v>
      </c>
      <c r="BJ51" s="189">
        <v>2657126.64</v>
      </c>
      <c r="BK51" s="189">
        <v>1746345.4</v>
      </c>
      <c r="BL51" s="189">
        <v>876047.08</v>
      </c>
      <c r="BM51" s="189">
        <v>3091495.57</v>
      </c>
      <c r="BN51" s="189">
        <v>1448223.17</v>
      </c>
      <c r="BO51" s="189">
        <v>2502201.38</v>
      </c>
      <c r="BP51" s="189">
        <v>479826.21</v>
      </c>
      <c r="BQ51" s="189">
        <v>0</v>
      </c>
      <c r="BR51" s="189">
        <v>0</v>
      </c>
      <c r="BS51" s="189">
        <v>0</v>
      </c>
    </row>
    <row r="52" spans="1:71"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-1647890.06</v>
      </c>
      <c r="AX52" s="189">
        <v>671677.21</v>
      </c>
      <c r="AY52" s="189">
        <v>-1189251.8999999999</v>
      </c>
      <c r="AZ52" s="189">
        <v>-187091.61</v>
      </c>
      <c r="BA52" s="189">
        <v>1087926.3400000001</v>
      </c>
      <c r="BB52" s="189">
        <v>1163891.8500000001</v>
      </c>
      <c r="BC52" s="189">
        <v>-1112579.3500000001</v>
      </c>
      <c r="BD52" s="189">
        <v>-2173317.23</v>
      </c>
      <c r="BE52" s="189">
        <v>-470902.5</v>
      </c>
      <c r="BF52" s="189">
        <v>837571.95</v>
      </c>
      <c r="BG52" s="189">
        <v>-115644.19</v>
      </c>
      <c r="BH52" s="189">
        <v>-1677857.45</v>
      </c>
      <c r="BI52" s="189">
        <v>-835814.31</v>
      </c>
      <c r="BJ52" s="189">
        <v>-1503199.22</v>
      </c>
      <c r="BK52" s="189">
        <v>-2239828.79</v>
      </c>
      <c r="BL52" s="189">
        <v>-1471618.84</v>
      </c>
      <c r="BM52" s="189">
        <v>-48705.17</v>
      </c>
      <c r="BN52" s="189">
        <v>-650529.59</v>
      </c>
      <c r="BO52" s="189">
        <v>-232464.13</v>
      </c>
      <c r="BP52" s="189">
        <v>-481501.4</v>
      </c>
      <c r="BQ52" s="189">
        <v>6739864.3300000001</v>
      </c>
      <c r="BR52" s="189">
        <v>970952.12</v>
      </c>
      <c r="BS52" s="189">
        <v>0</v>
      </c>
    </row>
    <row r="53" spans="1:71"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-2338487.16</v>
      </c>
      <c r="AX53" s="189">
        <v>8525800.8300000001</v>
      </c>
      <c r="AY53" s="189">
        <v>4471449.96</v>
      </c>
      <c r="AZ53" s="189">
        <v>1180215.47</v>
      </c>
      <c r="BA53" s="189">
        <v>334020.15999999997</v>
      </c>
      <c r="BB53" s="189">
        <v>1755381.79</v>
      </c>
      <c r="BC53" s="189">
        <v>3919463.28</v>
      </c>
      <c r="BD53" s="189">
        <v>-1145398.75</v>
      </c>
      <c r="BE53" s="189">
        <v>784242.77</v>
      </c>
      <c r="BF53" s="189">
        <v>2505096.56</v>
      </c>
      <c r="BG53" s="189">
        <v>805274.51</v>
      </c>
      <c r="BH53" s="189">
        <v>2044026.33</v>
      </c>
      <c r="BI53" s="189">
        <v>42528.36</v>
      </c>
      <c r="BJ53" s="189">
        <v>3593517.47</v>
      </c>
      <c r="BK53" s="189">
        <v>1310824.9099999999</v>
      </c>
      <c r="BL53" s="189">
        <v>0</v>
      </c>
      <c r="BM53" s="189">
        <v>413476.29</v>
      </c>
      <c r="BN53" s="189">
        <v>13403710.210000001</v>
      </c>
      <c r="BO53" s="189">
        <v>-254396.26</v>
      </c>
      <c r="BP53" s="189">
        <v>7566485.8499999996</v>
      </c>
      <c r="BQ53" s="189">
        <v>112175.35</v>
      </c>
      <c r="BR53" s="189">
        <v>208774.97</v>
      </c>
      <c r="BS53" s="189">
        <v>0</v>
      </c>
    </row>
    <row r="54" spans="1:71" x14ac:dyDescent="0.25">
      <c r="A54" s="189" t="s">
        <v>268</v>
      </c>
      <c r="B54" s="189">
        <v>0</v>
      </c>
      <c r="C54" s="189">
        <v>38617457.369999997</v>
      </c>
      <c r="D54" s="189">
        <v>0</v>
      </c>
      <c r="E54" s="189">
        <v>5039860.2699999996</v>
      </c>
      <c r="F54" s="189">
        <v>0</v>
      </c>
      <c r="G54" s="189">
        <v>-48790.51</v>
      </c>
      <c r="H54" s="189">
        <v>0</v>
      </c>
      <c r="I54" s="189">
        <v>1084828.51</v>
      </c>
      <c r="J54" s="189">
        <v>0</v>
      </c>
      <c r="K54" s="189">
        <v>-47645.84</v>
      </c>
      <c r="L54" s="189">
        <v>0</v>
      </c>
      <c r="M54" s="189">
        <v>-7077706.8600000003</v>
      </c>
      <c r="N54" s="189">
        <v>0</v>
      </c>
      <c r="O54" s="189">
        <v>-1460042.85</v>
      </c>
      <c r="P54" s="189">
        <v>0</v>
      </c>
      <c r="Q54" s="189">
        <v>184782.48</v>
      </c>
      <c r="R54" s="189">
        <v>0</v>
      </c>
      <c r="S54" s="189">
        <v>-258093.77</v>
      </c>
      <c r="T54" s="189">
        <v>0</v>
      </c>
      <c r="U54" s="189">
        <v>862644.98</v>
      </c>
      <c r="V54" s="189">
        <v>0</v>
      </c>
      <c r="W54" s="189">
        <v>-110026.35</v>
      </c>
      <c r="X54" s="189">
        <v>0</v>
      </c>
      <c r="Y54" s="189">
        <v>188335.4</v>
      </c>
      <c r="Z54" s="189">
        <v>0</v>
      </c>
      <c r="AA54" s="189">
        <v>-147329.70000000001</v>
      </c>
      <c r="AB54" s="189">
        <v>0</v>
      </c>
      <c r="AC54" s="189">
        <v>1427134.84</v>
      </c>
      <c r="AD54" s="189">
        <v>0</v>
      </c>
      <c r="AE54" s="189">
        <v>37668.9</v>
      </c>
      <c r="AF54" s="189">
        <v>0</v>
      </c>
      <c r="AG54" s="189">
        <v>-1752676.28</v>
      </c>
      <c r="AH54" s="189">
        <v>0</v>
      </c>
      <c r="AI54" s="189">
        <v>-1781091.52</v>
      </c>
      <c r="AJ54" s="189">
        <v>0</v>
      </c>
      <c r="AK54" s="189">
        <v>1337701.58</v>
      </c>
      <c r="AL54" s="189">
        <v>0</v>
      </c>
      <c r="AM54" s="189">
        <v>-46716.4</v>
      </c>
      <c r="AN54" s="189">
        <v>0</v>
      </c>
      <c r="AO54" s="189">
        <v>163062.04999999999</v>
      </c>
      <c r="AP54" s="189">
        <v>0</v>
      </c>
      <c r="AQ54" s="189">
        <v>-395965.71</v>
      </c>
      <c r="AR54" s="189">
        <v>0</v>
      </c>
      <c r="AS54" s="189">
        <v>-928030.47</v>
      </c>
      <c r="AT54" s="189">
        <v>0</v>
      </c>
      <c r="AU54" s="189">
        <v>-98917.88</v>
      </c>
      <c r="AV54" s="189">
        <v>0</v>
      </c>
      <c r="AW54" s="189">
        <v>931714.29</v>
      </c>
      <c r="AX54" s="189">
        <v>0</v>
      </c>
      <c r="AY54" s="189">
        <v>0</v>
      </c>
      <c r="AZ54" s="189">
        <v>0</v>
      </c>
      <c r="BA54" s="189">
        <v>184044.19</v>
      </c>
      <c r="BB54" s="189">
        <v>18093.63</v>
      </c>
      <c r="BC54" s="189">
        <v>-115148.42</v>
      </c>
      <c r="BD54" s="189">
        <v>-57568.47</v>
      </c>
      <c r="BE54" s="189">
        <v>369281.71</v>
      </c>
      <c r="BF54" s="189">
        <v>240215.2</v>
      </c>
      <c r="BG54" s="189">
        <v>-305224.34000000003</v>
      </c>
      <c r="BH54" s="189">
        <v>-172030.03</v>
      </c>
      <c r="BI54" s="189">
        <v>306637.15000000002</v>
      </c>
      <c r="BJ54" s="189">
        <v>-15821.68</v>
      </c>
      <c r="BK54" s="189">
        <v>-6581.95</v>
      </c>
      <c r="BL54" s="189">
        <v>10716.72</v>
      </c>
      <c r="BM54" s="189">
        <v>178310.32</v>
      </c>
      <c r="BN54" s="189">
        <v>247893.6</v>
      </c>
      <c r="BO54" s="189">
        <v>44531.040000000001</v>
      </c>
      <c r="BP54" s="189">
        <v>-111284.18</v>
      </c>
      <c r="BQ54" s="189">
        <v>-146767.41</v>
      </c>
      <c r="BR54" s="189">
        <v>3290106.7</v>
      </c>
      <c r="BS54" s="189">
        <v>0</v>
      </c>
    </row>
    <row r="55" spans="1:71" x14ac:dyDescent="0.25">
      <c r="A55" s="189" t="s">
        <v>269</v>
      </c>
      <c r="B55" s="189">
        <v>0</v>
      </c>
      <c r="C55" s="189">
        <v>0</v>
      </c>
      <c r="D55" s="189">
        <v>0</v>
      </c>
      <c r="E55" s="189">
        <v>0</v>
      </c>
      <c r="F55" s="189">
        <v>0</v>
      </c>
      <c r="G55" s="189">
        <v>117539.74</v>
      </c>
      <c r="H55" s="189">
        <v>0</v>
      </c>
      <c r="I55" s="189">
        <v>0</v>
      </c>
      <c r="J55" s="189">
        <v>0</v>
      </c>
      <c r="K55" s="189">
        <v>9345.85</v>
      </c>
      <c r="L55" s="189">
        <v>0</v>
      </c>
      <c r="M55" s="189">
        <v>0</v>
      </c>
      <c r="N55" s="189">
        <v>0</v>
      </c>
      <c r="O55" s="189">
        <v>728716.87</v>
      </c>
      <c r="P55" s="189">
        <v>0</v>
      </c>
      <c r="Q55" s="189">
        <v>0</v>
      </c>
      <c r="R55" s="189">
        <v>0</v>
      </c>
      <c r="S55" s="189">
        <v>79969.350000000006</v>
      </c>
      <c r="T55" s="189">
        <v>0</v>
      </c>
      <c r="U55" s="189">
        <v>0</v>
      </c>
      <c r="V55" s="189">
        <v>0</v>
      </c>
      <c r="W55" s="189">
        <v>18611.05</v>
      </c>
      <c r="X55" s="189">
        <v>0</v>
      </c>
      <c r="Y55" s="189">
        <v>0</v>
      </c>
      <c r="Z55" s="189">
        <v>0</v>
      </c>
      <c r="AA55" s="189">
        <v>276241.43</v>
      </c>
      <c r="AB55" s="189">
        <v>0</v>
      </c>
      <c r="AC55" s="189">
        <v>0</v>
      </c>
      <c r="AD55" s="189">
        <v>0</v>
      </c>
      <c r="AE55" s="189">
        <v>474974.54</v>
      </c>
      <c r="AF55" s="189">
        <v>0</v>
      </c>
      <c r="AG55" s="189">
        <v>0</v>
      </c>
      <c r="AH55" s="189">
        <v>0</v>
      </c>
      <c r="AI55" s="189">
        <v>17104.330000000002</v>
      </c>
      <c r="AJ55" s="189">
        <v>0</v>
      </c>
      <c r="AK55" s="189">
        <v>0</v>
      </c>
      <c r="AL55" s="189">
        <v>0</v>
      </c>
      <c r="AM55" s="189">
        <v>227163.4</v>
      </c>
      <c r="AN55" s="189">
        <v>0</v>
      </c>
      <c r="AO55" s="189">
        <v>0</v>
      </c>
      <c r="AP55" s="189">
        <v>0</v>
      </c>
      <c r="AQ55" s="189">
        <v>54286.91</v>
      </c>
      <c r="AR55" s="189">
        <v>0</v>
      </c>
      <c r="AS55" s="189">
        <v>0</v>
      </c>
      <c r="AT55" s="189">
        <v>0</v>
      </c>
      <c r="AU55" s="189">
        <v>56029.62</v>
      </c>
      <c r="AV55" s="189">
        <v>0</v>
      </c>
      <c r="AW55" s="189">
        <v>0</v>
      </c>
      <c r="AX55" s="189">
        <v>0</v>
      </c>
      <c r="AY55" s="189">
        <v>0</v>
      </c>
      <c r="AZ55" s="189">
        <v>0</v>
      </c>
      <c r="BA55" s="189">
        <v>12642.28</v>
      </c>
      <c r="BB55" s="189">
        <v>0</v>
      </c>
      <c r="BC55" s="189">
        <v>0</v>
      </c>
      <c r="BD55" s="189">
        <v>0</v>
      </c>
      <c r="BE55" s="189">
        <v>0</v>
      </c>
      <c r="BF55" s="189">
        <v>0</v>
      </c>
      <c r="BG55" s="189">
        <v>0</v>
      </c>
      <c r="BH55" s="189">
        <v>0</v>
      </c>
      <c r="BI55" s="189">
        <v>0</v>
      </c>
      <c r="BJ55" s="189">
        <v>0</v>
      </c>
      <c r="BK55" s="189">
        <v>0</v>
      </c>
      <c r="BL55" s="189">
        <v>0</v>
      </c>
      <c r="BM55" s="189">
        <v>0</v>
      </c>
      <c r="BN55" s="189">
        <v>0</v>
      </c>
      <c r="BO55" s="189">
        <v>0</v>
      </c>
      <c r="BP55" s="189">
        <v>0</v>
      </c>
      <c r="BQ55" s="189">
        <v>0</v>
      </c>
      <c r="BR55" s="189">
        <v>0</v>
      </c>
      <c r="BS55" s="189">
        <v>0</v>
      </c>
    </row>
    <row r="56" spans="1:71" x14ac:dyDescent="0.25">
      <c r="A56" s="189" t="s">
        <v>270</v>
      </c>
      <c r="B56" s="189">
        <v>0</v>
      </c>
      <c r="C56" s="189">
        <v>2857566</v>
      </c>
      <c r="D56" s="189">
        <v>0</v>
      </c>
      <c r="E56" s="189">
        <v>2119167.87</v>
      </c>
      <c r="F56" s="189">
        <v>0</v>
      </c>
      <c r="G56" s="189">
        <v>-666741.01</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row>
    <row r="57" spans="1:71"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row>
    <row r="58" spans="1:71"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row>
    <row r="59" spans="1:71" x14ac:dyDescent="0.25">
      <c r="A59" s="189" t="s">
        <v>197</v>
      </c>
      <c r="B59" s="189">
        <v>0</v>
      </c>
      <c r="C59" s="189">
        <v>30348754.879999999</v>
      </c>
      <c r="D59" s="189">
        <v>0</v>
      </c>
      <c r="E59" s="189">
        <v>51076705.399999999</v>
      </c>
      <c r="F59" s="189">
        <v>0</v>
      </c>
      <c r="G59" s="189">
        <v>-5483252.0700000003</v>
      </c>
      <c r="H59" s="189">
        <v>0</v>
      </c>
      <c r="I59" s="189">
        <v>-19997103.449999999</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631806.73</v>
      </c>
      <c r="Z59" s="189">
        <v>0</v>
      </c>
      <c r="AA59" s="189">
        <v>325271.56</v>
      </c>
      <c r="AB59" s="189">
        <v>0</v>
      </c>
      <c r="AC59" s="189">
        <v>775612.75</v>
      </c>
      <c r="AD59" s="189">
        <v>0</v>
      </c>
      <c r="AE59" s="189">
        <v>378798.08000000002</v>
      </c>
      <c r="AF59" s="189">
        <v>0</v>
      </c>
      <c r="AG59" s="189">
        <v>692335.15</v>
      </c>
      <c r="AH59" s="189">
        <v>0</v>
      </c>
      <c r="AI59" s="189">
        <v>397657.93</v>
      </c>
      <c r="AJ59" s="189">
        <v>0</v>
      </c>
      <c r="AK59" s="189">
        <v>1632587.5</v>
      </c>
      <c r="AL59" s="189">
        <v>0</v>
      </c>
      <c r="AM59" s="189">
        <v>1311478.8600000001</v>
      </c>
      <c r="AN59" s="189">
        <v>0</v>
      </c>
      <c r="AO59" s="189">
        <v>8734532.1899999995</v>
      </c>
      <c r="AP59" s="189">
        <v>0</v>
      </c>
      <c r="AQ59" s="189">
        <v>6296943.25</v>
      </c>
      <c r="AR59" s="189">
        <v>0</v>
      </c>
      <c r="AS59" s="189">
        <v>12766831.880000001</v>
      </c>
      <c r="AT59" s="189">
        <v>0</v>
      </c>
      <c r="AU59" s="189">
        <v>6427692.7599999998</v>
      </c>
      <c r="AV59" s="189">
        <v>0</v>
      </c>
      <c r="AW59" s="189">
        <v>13679521.67</v>
      </c>
      <c r="AX59" s="189">
        <v>14894339.529999999</v>
      </c>
      <c r="AY59" s="189">
        <v>9269588.8800000008</v>
      </c>
      <c r="AZ59" s="189">
        <v>4485975.8899999997</v>
      </c>
      <c r="BA59" s="189">
        <v>7596083.1500000004</v>
      </c>
      <c r="BB59" s="189">
        <v>7729461.0099999998</v>
      </c>
      <c r="BC59" s="189">
        <v>4822849.13</v>
      </c>
      <c r="BD59" s="189">
        <v>2602926.13</v>
      </c>
      <c r="BE59" s="189">
        <v>3967814.87</v>
      </c>
      <c r="BF59" s="189">
        <v>5081408.95</v>
      </c>
      <c r="BG59" s="189">
        <v>3346288.18</v>
      </c>
      <c r="BH59" s="189">
        <v>1982275.95</v>
      </c>
      <c r="BI59" s="189">
        <v>4568663.99</v>
      </c>
      <c r="BJ59" s="189">
        <v>3496904.27</v>
      </c>
      <c r="BK59" s="189">
        <v>2434831.71</v>
      </c>
      <c r="BL59" s="189">
        <v>1230696.55</v>
      </c>
      <c r="BM59" s="189">
        <v>6700958.1900000004</v>
      </c>
      <c r="BN59" s="189">
        <v>5018685.07</v>
      </c>
      <c r="BO59" s="189">
        <v>12035633.130000001</v>
      </c>
      <c r="BP59" s="189">
        <v>4171982.81</v>
      </c>
      <c r="BQ59" s="189">
        <v>16161875.58</v>
      </c>
      <c r="BR59" s="189">
        <v>19101286.550000001</v>
      </c>
      <c r="BS59" s="189">
        <v>0</v>
      </c>
    </row>
    <row r="60" spans="1:71" x14ac:dyDescent="0.25">
      <c r="A60" s="189" t="s">
        <v>273</v>
      </c>
      <c r="B60" s="189">
        <v>0</v>
      </c>
      <c r="C60" s="189">
        <v>-63896730.109999999</v>
      </c>
      <c r="D60" s="189">
        <v>0</v>
      </c>
      <c r="E60" s="189">
        <v>-145539231.62</v>
      </c>
      <c r="F60" s="189">
        <v>0</v>
      </c>
      <c r="G60" s="189">
        <v>-37373264.060000002</v>
      </c>
      <c r="H60" s="189">
        <v>0</v>
      </c>
      <c r="I60" s="189">
        <v>-21391507.66</v>
      </c>
      <c r="J60" s="189">
        <v>0</v>
      </c>
      <c r="K60" s="189">
        <v>-24453175.190000001</v>
      </c>
      <c r="L60" s="189">
        <v>0</v>
      </c>
      <c r="M60" s="189">
        <v>-1787378248.05</v>
      </c>
      <c r="N60" s="189">
        <v>0</v>
      </c>
      <c r="O60" s="189">
        <v>-99072701.230000004</v>
      </c>
      <c r="P60" s="189">
        <v>0</v>
      </c>
      <c r="Q60" s="189">
        <v>-225663112.28999999</v>
      </c>
      <c r="R60" s="189">
        <v>0</v>
      </c>
      <c r="S60" s="189">
        <v>-87886698.180000007</v>
      </c>
      <c r="T60" s="189">
        <v>0</v>
      </c>
      <c r="U60" s="189">
        <v>-161796923.97</v>
      </c>
      <c r="V60" s="189">
        <v>0</v>
      </c>
      <c r="W60" s="189">
        <v>-68271588.920000002</v>
      </c>
      <c r="X60" s="189">
        <v>0</v>
      </c>
      <c r="Y60" s="189">
        <v>-167893177.09999999</v>
      </c>
      <c r="Z60" s="189">
        <v>0</v>
      </c>
      <c r="AA60" s="189">
        <v>-108196964.26000001</v>
      </c>
      <c r="AB60" s="189">
        <v>0</v>
      </c>
      <c r="AC60" s="189">
        <v>-88737295.319999993</v>
      </c>
      <c r="AD60" s="189">
        <v>0</v>
      </c>
      <c r="AE60" s="189">
        <v>-43738245.25</v>
      </c>
      <c r="AF60" s="189">
        <v>0</v>
      </c>
      <c r="AG60" s="189">
        <v>-88829758.5</v>
      </c>
      <c r="AH60" s="189">
        <v>0</v>
      </c>
      <c r="AI60" s="189">
        <v>-23366795.699999999</v>
      </c>
      <c r="AJ60" s="189">
        <v>0</v>
      </c>
      <c r="AK60" s="189">
        <v>-21740367.960000001</v>
      </c>
      <c r="AL60" s="189">
        <v>0</v>
      </c>
      <c r="AM60" s="189">
        <v>-9606338.4199999999</v>
      </c>
      <c r="AN60" s="189">
        <v>0</v>
      </c>
      <c r="AO60" s="189">
        <v>-13175493.310000001</v>
      </c>
      <c r="AP60" s="189">
        <v>0</v>
      </c>
      <c r="AQ60" s="189">
        <v>-2765207.58</v>
      </c>
      <c r="AR60" s="189">
        <v>0</v>
      </c>
      <c r="AS60" s="189">
        <v>-16078962.98</v>
      </c>
      <c r="AT60" s="189">
        <v>0</v>
      </c>
      <c r="AU60" s="189">
        <v>-4649050.3899999997</v>
      </c>
      <c r="AV60" s="189">
        <v>0</v>
      </c>
      <c r="AW60" s="189">
        <v>22822022.27</v>
      </c>
      <c r="AX60" s="189">
        <v>4141922.58</v>
      </c>
      <c r="AY60" s="189">
        <v>-4005997.32</v>
      </c>
      <c r="AZ60" s="189">
        <v>-548355.6</v>
      </c>
      <c r="BA60" s="189">
        <v>6562495.7599999998</v>
      </c>
      <c r="BB60" s="189">
        <v>-2102341.77</v>
      </c>
      <c r="BC60" s="189">
        <v>-1646595.15</v>
      </c>
      <c r="BD60" s="189">
        <v>-2885327.62</v>
      </c>
      <c r="BE60" s="189">
        <v>-4998119.34</v>
      </c>
      <c r="BF60" s="189">
        <v>2764685.08</v>
      </c>
      <c r="BG60" s="189">
        <v>1671095.51</v>
      </c>
      <c r="BH60" s="189">
        <v>-3191947.73</v>
      </c>
      <c r="BI60" s="189">
        <v>-3838531.04</v>
      </c>
      <c r="BJ60" s="189">
        <v>-73489.41</v>
      </c>
      <c r="BK60" s="189">
        <v>-2563713.19</v>
      </c>
      <c r="BL60" s="189">
        <v>-3824593.08</v>
      </c>
      <c r="BM60" s="189">
        <v>-27508658.879999999</v>
      </c>
      <c r="BN60" s="189">
        <v>-9260567.6899999995</v>
      </c>
      <c r="BO60" s="189">
        <v>-2964978.69</v>
      </c>
      <c r="BP60" s="189">
        <v>-432184.41</v>
      </c>
      <c r="BQ60" s="189">
        <v>33688.050000000003</v>
      </c>
      <c r="BR60" s="189">
        <v>260326.38</v>
      </c>
      <c r="BS60" s="189">
        <v>0</v>
      </c>
    </row>
    <row r="61" spans="1:71" x14ac:dyDescent="0.25">
      <c r="A61" s="189" t="s">
        <v>274</v>
      </c>
      <c r="B61" s="189">
        <v>0</v>
      </c>
      <c r="C61" s="189">
        <v>-1674168.14</v>
      </c>
      <c r="D61" s="189">
        <v>0</v>
      </c>
      <c r="E61" s="189">
        <v>-55220850.789999999</v>
      </c>
      <c r="F61" s="189">
        <v>0</v>
      </c>
      <c r="G61" s="189">
        <v>-17288428.530000001</v>
      </c>
      <c r="H61" s="189">
        <v>0</v>
      </c>
      <c r="I61" s="189">
        <v>-37436029.670000002</v>
      </c>
      <c r="J61" s="189">
        <v>0</v>
      </c>
      <c r="K61" s="189">
        <v>-17676015.280000001</v>
      </c>
      <c r="L61" s="189">
        <v>0</v>
      </c>
      <c r="M61" s="189">
        <v>-13850698.42</v>
      </c>
      <c r="N61" s="189">
        <v>0</v>
      </c>
      <c r="O61" s="189">
        <v>3452632.47</v>
      </c>
      <c r="P61" s="189">
        <v>0</v>
      </c>
      <c r="Q61" s="189">
        <v>29194619.09</v>
      </c>
      <c r="R61" s="189">
        <v>0</v>
      </c>
      <c r="S61" s="189">
        <v>16267269.01</v>
      </c>
      <c r="T61" s="189">
        <v>0</v>
      </c>
      <c r="U61" s="189">
        <v>-41588696.789999999</v>
      </c>
      <c r="V61" s="189">
        <v>0</v>
      </c>
      <c r="W61" s="189">
        <v>-432366.72</v>
      </c>
      <c r="X61" s="189">
        <v>0</v>
      </c>
      <c r="Y61" s="189">
        <v>-18975332.260000002</v>
      </c>
      <c r="Z61" s="189">
        <v>0</v>
      </c>
      <c r="AA61" s="189">
        <v>2465803.38</v>
      </c>
      <c r="AB61" s="189">
        <v>0</v>
      </c>
      <c r="AC61" s="189">
        <v>4541136.22</v>
      </c>
      <c r="AD61" s="189">
        <v>0</v>
      </c>
      <c r="AE61" s="189">
        <v>-1408914.52</v>
      </c>
      <c r="AF61" s="189">
        <v>0</v>
      </c>
      <c r="AG61" s="189">
        <v>-17549714.010000002</v>
      </c>
      <c r="AH61" s="189">
        <v>0</v>
      </c>
      <c r="AI61" s="189">
        <v>-7585886.0199999996</v>
      </c>
      <c r="AJ61" s="189">
        <v>0</v>
      </c>
      <c r="AK61" s="189">
        <v>-1899174.75</v>
      </c>
      <c r="AL61" s="189">
        <v>0</v>
      </c>
      <c r="AM61" s="189">
        <v>-222587.86</v>
      </c>
      <c r="AN61" s="189">
        <v>0</v>
      </c>
      <c r="AO61" s="189">
        <v>-4774892.28</v>
      </c>
      <c r="AP61" s="189">
        <v>0</v>
      </c>
      <c r="AQ61" s="189">
        <v>-5593528.8499999996</v>
      </c>
      <c r="AR61" s="189">
        <v>0</v>
      </c>
      <c r="AS61" s="189">
        <v>2064503.35</v>
      </c>
      <c r="AT61" s="189">
        <v>0</v>
      </c>
      <c r="AU61" s="189">
        <v>-632903.31999999995</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row>
    <row r="62" spans="1:71" x14ac:dyDescent="0.25">
      <c r="A62" s="189" t="s">
        <v>275</v>
      </c>
      <c r="B62" s="189">
        <v>0</v>
      </c>
      <c r="C62" s="189">
        <v>-3704197.44</v>
      </c>
      <c r="D62" s="189">
        <v>0</v>
      </c>
      <c r="E62" s="189">
        <v>-2894396.91</v>
      </c>
      <c r="F62" s="189">
        <v>0</v>
      </c>
      <c r="G62" s="189">
        <v>0</v>
      </c>
      <c r="H62" s="189">
        <v>0</v>
      </c>
      <c r="I62" s="189">
        <v>1488863.62</v>
      </c>
      <c r="J62" s="189">
        <v>0</v>
      </c>
      <c r="K62" s="189">
        <v>0</v>
      </c>
      <c r="L62" s="189">
        <v>0</v>
      </c>
      <c r="M62" s="189">
        <v>-74262444.239999995</v>
      </c>
      <c r="N62" s="189">
        <v>0</v>
      </c>
      <c r="O62" s="189">
        <v>22440859.510000002</v>
      </c>
      <c r="P62" s="189">
        <v>0</v>
      </c>
      <c r="Q62" s="189">
        <v>45882006.299999997</v>
      </c>
      <c r="R62" s="189">
        <v>0</v>
      </c>
      <c r="S62" s="189">
        <v>-2079469.2</v>
      </c>
      <c r="T62" s="189">
        <v>0</v>
      </c>
      <c r="U62" s="189">
        <v>0</v>
      </c>
      <c r="V62" s="189">
        <v>0</v>
      </c>
      <c r="W62" s="189">
        <v>0</v>
      </c>
      <c r="X62" s="189">
        <v>0</v>
      </c>
      <c r="Y62" s="189">
        <v>8073937.5</v>
      </c>
      <c r="Z62" s="189">
        <v>0</v>
      </c>
      <c r="AA62" s="189">
        <v>8073937.5</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-121242.36</v>
      </c>
      <c r="AR62" s="189">
        <v>0</v>
      </c>
      <c r="AS62" s="189">
        <v>0</v>
      </c>
      <c r="AT62" s="189">
        <v>0</v>
      </c>
      <c r="AU62" s="189">
        <v>141610.12</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row>
    <row r="63" spans="1:71" x14ac:dyDescent="0.25">
      <c r="A63" s="189" t="s">
        <v>276</v>
      </c>
      <c r="B63" s="189">
        <v>0</v>
      </c>
      <c r="C63" s="189">
        <v>-262462145.22</v>
      </c>
      <c r="D63" s="189">
        <v>0</v>
      </c>
      <c r="E63" s="189">
        <v>14918426.76</v>
      </c>
      <c r="F63" s="189">
        <v>0</v>
      </c>
      <c r="G63" s="189">
        <v>-49343288.439999998</v>
      </c>
      <c r="H63" s="189">
        <v>0</v>
      </c>
      <c r="I63" s="189">
        <v>80602731.109999999</v>
      </c>
      <c r="J63" s="189">
        <v>0</v>
      </c>
      <c r="K63" s="189">
        <v>34392065.189999998</v>
      </c>
      <c r="L63" s="189">
        <v>0</v>
      </c>
      <c r="M63" s="189">
        <v>-158514700.83000001</v>
      </c>
      <c r="N63" s="189">
        <v>0</v>
      </c>
      <c r="O63" s="189">
        <v>-155980470.02000001</v>
      </c>
      <c r="P63" s="189">
        <v>0</v>
      </c>
      <c r="Q63" s="189">
        <v>-98092560.099999994</v>
      </c>
      <c r="R63" s="189">
        <v>0</v>
      </c>
      <c r="S63" s="189">
        <v>-52511906.740000002</v>
      </c>
      <c r="T63" s="189">
        <v>0</v>
      </c>
      <c r="U63" s="189">
        <v>-45457602.810000002</v>
      </c>
      <c r="V63" s="189">
        <v>0</v>
      </c>
      <c r="W63" s="189">
        <v>-28910859.699999999</v>
      </c>
      <c r="X63" s="189">
        <v>0</v>
      </c>
      <c r="Y63" s="189">
        <v>8847761.7899999991</v>
      </c>
      <c r="Z63" s="189">
        <v>0</v>
      </c>
      <c r="AA63" s="189">
        <v>-16758645.93</v>
      </c>
      <c r="AB63" s="189">
        <v>0</v>
      </c>
      <c r="AC63" s="189">
        <v>-80326549.260000005</v>
      </c>
      <c r="AD63" s="189">
        <v>0</v>
      </c>
      <c r="AE63" s="189">
        <v>-11918020.77</v>
      </c>
      <c r="AF63" s="189">
        <v>0</v>
      </c>
      <c r="AG63" s="189">
        <v>-86840506.659999996</v>
      </c>
      <c r="AH63" s="189">
        <v>0</v>
      </c>
      <c r="AI63" s="189">
        <v>-74263423.909999996</v>
      </c>
      <c r="AJ63" s="189">
        <v>0</v>
      </c>
      <c r="AK63" s="189">
        <v>52412709.07</v>
      </c>
      <c r="AL63" s="189">
        <v>0</v>
      </c>
      <c r="AM63" s="189">
        <v>50893496.07</v>
      </c>
      <c r="AN63" s="189">
        <v>0</v>
      </c>
      <c r="AO63" s="189">
        <v>-76155823.879999995</v>
      </c>
      <c r="AP63" s="189">
        <v>0</v>
      </c>
      <c r="AQ63" s="189">
        <v>-52161802.380000003</v>
      </c>
      <c r="AR63" s="189">
        <v>0</v>
      </c>
      <c r="AS63" s="189">
        <v>-7756930.96</v>
      </c>
      <c r="AT63" s="189">
        <v>0</v>
      </c>
      <c r="AU63" s="189">
        <v>-40232521.700000003</v>
      </c>
      <c r="AV63" s="189">
        <v>0</v>
      </c>
      <c r="AW63" s="189">
        <v>-46544514.770000003</v>
      </c>
      <c r="AX63" s="189">
        <v>-43605208.289999999</v>
      </c>
      <c r="AY63" s="189">
        <v>-52407073.840000004</v>
      </c>
      <c r="AZ63" s="189">
        <v>-29457942.109999999</v>
      </c>
      <c r="BA63" s="189">
        <v>7031136.8200000003</v>
      </c>
      <c r="BB63" s="189">
        <v>-14406500.699999999</v>
      </c>
      <c r="BC63" s="189">
        <v>-26392120.760000002</v>
      </c>
      <c r="BD63" s="189">
        <v>-57486935.079999998</v>
      </c>
      <c r="BE63" s="189">
        <v>-25264330.149999999</v>
      </c>
      <c r="BF63" s="189">
        <v>-34066516.530000001</v>
      </c>
      <c r="BG63" s="189">
        <v>-23229623.109999999</v>
      </c>
      <c r="BH63" s="189">
        <v>-13457152.99</v>
      </c>
      <c r="BI63" s="189">
        <v>47599142.649999999</v>
      </c>
      <c r="BJ63" s="189">
        <v>14376576.1</v>
      </c>
      <c r="BK63" s="189">
        <v>24644049.57</v>
      </c>
      <c r="BL63" s="189">
        <v>-3398255.34</v>
      </c>
      <c r="BM63" s="189">
        <v>-40495851.939999998</v>
      </c>
      <c r="BN63" s="189">
        <v>-54915148.829999998</v>
      </c>
      <c r="BO63" s="189">
        <v>-23477526</v>
      </c>
      <c r="BP63" s="189">
        <v>-47201242.539999999</v>
      </c>
      <c r="BQ63" s="189">
        <v>19366026.25</v>
      </c>
      <c r="BR63" s="189">
        <v>10201019.039999999</v>
      </c>
      <c r="BS63" s="189">
        <v>0</v>
      </c>
    </row>
    <row r="64" spans="1:71" x14ac:dyDescent="0.25">
      <c r="A64" s="189" t="s">
        <v>277</v>
      </c>
      <c r="B64" s="189">
        <v>0</v>
      </c>
      <c r="C64" s="189">
        <v>-176111681.62</v>
      </c>
      <c r="D64" s="189">
        <v>0</v>
      </c>
      <c r="E64" s="189">
        <v>5006041.16</v>
      </c>
      <c r="F64" s="189">
        <v>0</v>
      </c>
      <c r="G64" s="189">
        <v>-110278652.90000001</v>
      </c>
      <c r="H64" s="189">
        <v>0</v>
      </c>
      <c r="I64" s="189">
        <v>-4349266.6900000004</v>
      </c>
      <c r="J64" s="189">
        <v>0</v>
      </c>
      <c r="K64" s="189">
        <v>-198447908.44999999</v>
      </c>
      <c r="L64" s="189">
        <v>0</v>
      </c>
      <c r="M64" s="189">
        <v>-298602179.56</v>
      </c>
      <c r="N64" s="189">
        <v>0</v>
      </c>
      <c r="O64" s="189">
        <v>-376761584.94999999</v>
      </c>
      <c r="P64" s="189">
        <v>0</v>
      </c>
      <c r="Q64" s="189">
        <v>-85244889.409999996</v>
      </c>
      <c r="R64" s="189">
        <v>0</v>
      </c>
      <c r="S64" s="189">
        <v>-313378527.22000003</v>
      </c>
      <c r="T64" s="189">
        <v>0</v>
      </c>
      <c r="U64" s="189">
        <v>17119329.760000002</v>
      </c>
      <c r="V64" s="189">
        <v>0</v>
      </c>
      <c r="W64" s="189">
        <v>-230916213.16</v>
      </c>
      <c r="X64" s="189">
        <v>0</v>
      </c>
      <c r="Y64" s="189">
        <v>-3641515.39</v>
      </c>
      <c r="Z64" s="189">
        <v>0</v>
      </c>
      <c r="AA64" s="189">
        <v>-190977125.93000001</v>
      </c>
      <c r="AB64" s="189">
        <v>0</v>
      </c>
      <c r="AC64" s="189">
        <v>-160757213.22</v>
      </c>
      <c r="AD64" s="189">
        <v>0</v>
      </c>
      <c r="AE64" s="189">
        <v>-271539869.19999999</v>
      </c>
      <c r="AF64" s="189">
        <v>0</v>
      </c>
      <c r="AG64" s="189">
        <v>-34384637.670000002</v>
      </c>
      <c r="AH64" s="189">
        <v>0</v>
      </c>
      <c r="AI64" s="189">
        <v>-151914049.43000001</v>
      </c>
      <c r="AJ64" s="189">
        <v>0</v>
      </c>
      <c r="AK64" s="189">
        <v>-51759510.030000001</v>
      </c>
      <c r="AL64" s="189">
        <v>0</v>
      </c>
      <c r="AM64" s="189">
        <v>-168634232.94</v>
      </c>
      <c r="AN64" s="189">
        <v>0</v>
      </c>
      <c r="AO64" s="189">
        <v>-35350950.25</v>
      </c>
      <c r="AP64" s="189">
        <v>0</v>
      </c>
      <c r="AQ64" s="189">
        <v>-179051722.08000001</v>
      </c>
      <c r="AR64" s="189">
        <v>0</v>
      </c>
      <c r="AS64" s="189">
        <v>76975324.019999996</v>
      </c>
      <c r="AT64" s="189">
        <v>0</v>
      </c>
      <c r="AU64" s="189">
        <v>-82653591.030000001</v>
      </c>
      <c r="AV64" s="189">
        <v>0</v>
      </c>
      <c r="AW64" s="189">
        <v>138751065.30000001</v>
      </c>
      <c r="AX64" s="189">
        <v>75465415.819999993</v>
      </c>
      <c r="AY64" s="189">
        <v>34574192.450000003</v>
      </c>
      <c r="AZ64" s="189">
        <v>19523477.300000001</v>
      </c>
      <c r="BA64" s="189">
        <v>-1448469.73</v>
      </c>
      <c r="BB64" s="189">
        <v>-133151692.65000001</v>
      </c>
      <c r="BC64" s="189">
        <v>-131147942.13</v>
      </c>
      <c r="BD64" s="189">
        <v>20216024.920000002</v>
      </c>
      <c r="BE64" s="189">
        <v>-71606871.959999993</v>
      </c>
      <c r="BF64" s="189">
        <v>-162757689.81</v>
      </c>
      <c r="BG64" s="189">
        <v>-116141119.34999999</v>
      </c>
      <c r="BH64" s="189">
        <v>30122316.940000001</v>
      </c>
      <c r="BI64" s="189">
        <v>-35809328.479999997</v>
      </c>
      <c r="BJ64" s="189">
        <v>-14304838.4</v>
      </c>
      <c r="BK64" s="189">
        <v>-61846722.310000002</v>
      </c>
      <c r="BL64" s="189">
        <v>-3104242.9</v>
      </c>
      <c r="BM64" s="189">
        <v>-27167550.510000002</v>
      </c>
      <c r="BN64" s="189">
        <v>-51559057.18</v>
      </c>
      <c r="BO64" s="189">
        <v>-53310785.829999998</v>
      </c>
      <c r="BP64" s="189">
        <v>-32524679.449999999</v>
      </c>
      <c r="BQ64" s="189">
        <v>19944512.329999998</v>
      </c>
      <c r="BR64" s="189">
        <v>35394775.990000002</v>
      </c>
      <c r="BS64" s="189">
        <v>0</v>
      </c>
    </row>
    <row r="65" spans="1:71" x14ac:dyDescent="0.25">
      <c r="A65" s="189" t="s">
        <v>278</v>
      </c>
      <c r="B65" s="189">
        <v>0</v>
      </c>
      <c r="C65" s="189">
        <v>497877404.97000003</v>
      </c>
      <c r="D65" s="189">
        <v>0</v>
      </c>
      <c r="E65" s="189">
        <v>325010058.12</v>
      </c>
      <c r="F65" s="189">
        <v>0</v>
      </c>
      <c r="G65" s="189">
        <v>403554334.38</v>
      </c>
      <c r="H65" s="189">
        <v>0</v>
      </c>
      <c r="I65" s="189">
        <v>-282823310.69</v>
      </c>
      <c r="J65" s="189">
        <v>0</v>
      </c>
      <c r="K65" s="189">
        <v>-284512810.24000001</v>
      </c>
      <c r="L65" s="189">
        <v>0</v>
      </c>
      <c r="M65" s="189">
        <v>480131553.42000002</v>
      </c>
      <c r="N65" s="189">
        <v>0</v>
      </c>
      <c r="O65" s="189">
        <v>188465947.69999999</v>
      </c>
      <c r="P65" s="189">
        <v>0</v>
      </c>
      <c r="Q65" s="189">
        <v>366778296.51999998</v>
      </c>
      <c r="R65" s="189">
        <v>0</v>
      </c>
      <c r="S65" s="189">
        <v>288665362.72000003</v>
      </c>
      <c r="T65" s="189">
        <v>0</v>
      </c>
      <c r="U65" s="189">
        <v>144147845.58000001</v>
      </c>
      <c r="V65" s="189">
        <v>0</v>
      </c>
      <c r="W65" s="189">
        <v>248866434.49000001</v>
      </c>
      <c r="X65" s="189">
        <v>0</v>
      </c>
      <c r="Y65" s="189">
        <v>165890379.56999999</v>
      </c>
      <c r="Z65" s="189">
        <v>0</v>
      </c>
      <c r="AA65" s="189">
        <v>259644264.91999999</v>
      </c>
      <c r="AB65" s="189">
        <v>0</v>
      </c>
      <c r="AC65" s="189">
        <v>171040132.53999999</v>
      </c>
      <c r="AD65" s="189">
        <v>0</v>
      </c>
      <c r="AE65" s="189">
        <v>320455332.56999999</v>
      </c>
      <c r="AF65" s="189">
        <v>0</v>
      </c>
      <c r="AG65" s="189">
        <v>108376489.62</v>
      </c>
      <c r="AH65" s="189">
        <v>0</v>
      </c>
      <c r="AI65" s="189">
        <v>243918971.69</v>
      </c>
      <c r="AJ65" s="189">
        <v>0</v>
      </c>
      <c r="AK65" s="189">
        <v>47677087.060000002</v>
      </c>
      <c r="AL65" s="189">
        <v>0</v>
      </c>
      <c r="AM65" s="189">
        <v>118212692.97</v>
      </c>
      <c r="AN65" s="189">
        <v>0</v>
      </c>
      <c r="AO65" s="189">
        <v>142924792.09999999</v>
      </c>
      <c r="AP65" s="189">
        <v>0</v>
      </c>
      <c r="AQ65" s="189">
        <v>316157985.58999997</v>
      </c>
      <c r="AR65" s="189">
        <v>0</v>
      </c>
      <c r="AS65" s="189">
        <v>-94171422.150000006</v>
      </c>
      <c r="AT65" s="189">
        <v>0</v>
      </c>
      <c r="AU65" s="189">
        <v>124826760.62</v>
      </c>
      <c r="AV65" s="189">
        <v>0</v>
      </c>
      <c r="AW65" s="189">
        <v>119753563.19</v>
      </c>
      <c r="AX65" s="189">
        <v>203033698.46000001</v>
      </c>
      <c r="AY65" s="189">
        <v>152953252.31</v>
      </c>
      <c r="AZ65" s="189">
        <v>27291578.670000002</v>
      </c>
      <c r="BA65" s="189">
        <v>-151422218.16999999</v>
      </c>
      <c r="BB65" s="189">
        <v>-9104973.5800000001</v>
      </c>
      <c r="BC65" s="189">
        <v>37502450.619999997</v>
      </c>
      <c r="BD65" s="189">
        <v>-31541240.5</v>
      </c>
      <c r="BE65" s="189">
        <v>47589341.259999998</v>
      </c>
      <c r="BF65" s="189">
        <v>78977807.870000005</v>
      </c>
      <c r="BG65" s="189">
        <v>62694252.719999999</v>
      </c>
      <c r="BH65" s="189">
        <v>-52909981.229999997</v>
      </c>
      <c r="BI65" s="189">
        <v>-20350884.859999999</v>
      </c>
      <c r="BJ65" s="189">
        <v>16025705.140000001</v>
      </c>
      <c r="BK65" s="189">
        <v>3073132.36</v>
      </c>
      <c r="BL65" s="189">
        <v>-112935972.90000001</v>
      </c>
      <c r="BM65" s="189">
        <v>-24727705.149999999</v>
      </c>
      <c r="BN65" s="189">
        <v>122309528.68000001</v>
      </c>
      <c r="BO65" s="189">
        <v>12041133.09</v>
      </c>
      <c r="BP65" s="189">
        <v>119454113.48</v>
      </c>
      <c r="BQ65" s="189">
        <v>1223957.23</v>
      </c>
      <c r="BR65" s="189">
        <v>-28953302.539999999</v>
      </c>
      <c r="BS65" s="189">
        <v>0</v>
      </c>
    </row>
    <row r="66" spans="1:71"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row>
    <row r="67" spans="1:71"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row>
    <row r="68" spans="1:71" x14ac:dyDescent="0.25">
      <c r="A68" s="189" t="s">
        <v>281</v>
      </c>
      <c r="B68" s="189">
        <v>0</v>
      </c>
      <c r="C68" s="189">
        <v>18661296</v>
      </c>
      <c r="D68" s="189">
        <v>0</v>
      </c>
      <c r="E68" s="189">
        <v>38108618.329999998</v>
      </c>
      <c r="F68" s="189">
        <v>0</v>
      </c>
      <c r="G68" s="189">
        <v>572074.76</v>
      </c>
      <c r="H68" s="189">
        <v>0</v>
      </c>
      <c r="I68" s="189">
        <v>-15182163.4</v>
      </c>
      <c r="J68" s="189">
        <v>0</v>
      </c>
      <c r="K68" s="189">
        <v>2284015.98</v>
      </c>
      <c r="L68" s="189">
        <v>0</v>
      </c>
      <c r="M68" s="189">
        <v>16628583.42</v>
      </c>
      <c r="N68" s="189">
        <v>0</v>
      </c>
      <c r="O68" s="189">
        <v>15981356.74</v>
      </c>
      <c r="P68" s="189">
        <v>0</v>
      </c>
      <c r="Q68" s="189">
        <v>72405140.719999999</v>
      </c>
      <c r="R68" s="189">
        <v>0</v>
      </c>
      <c r="S68" s="189">
        <v>47255554.259999998</v>
      </c>
      <c r="T68" s="189">
        <v>0</v>
      </c>
      <c r="U68" s="189">
        <v>0</v>
      </c>
      <c r="V68" s="189">
        <v>0</v>
      </c>
      <c r="W68" s="189">
        <v>111964612.5</v>
      </c>
      <c r="X68" s="189">
        <v>0</v>
      </c>
      <c r="Y68" s="189">
        <v>95238394.349999994</v>
      </c>
      <c r="Z68" s="189">
        <v>0</v>
      </c>
      <c r="AA68" s="189">
        <v>9390498.8499999996</v>
      </c>
      <c r="AB68" s="189">
        <v>0</v>
      </c>
      <c r="AC68" s="189">
        <v>7051190.1399999997</v>
      </c>
      <c r="AD68" s="189">
        <v>0</v>
      </c>
      <c r="AE68" s="189">
        <v>3661790.14</v>
      </c>
      <c r="AF68" s="189">
        <v>0</v>
      </c>
      <c r="AG68" s="189">
        <v>16361980.27</v>
      </c>
      <c r="AH68" s="189">
        <v>0</v>
      </c>
      <c r="AI68" s="189">
        <v>8453380.2699999996</v>
      </c>
      <c r="AJ68" s="189">
        <v>0</v>
      </c>
      <c r="AK68" s="189">
        <v>33894000</v>
      </c>
      <c r="AL68" s="189">
        <v>0</v>
      </c>
      <c r="AM68" s="189">
        <v>0</v>
      </c>
      <c r="AN68" s="189">
        <v>0</v>
      </c>
      <c r="AO68" s="189">
        <v>32872536.989999998</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3507574.14</v>
      </c>
      <c r="BF68" s="189">
        <v>0</v>
      </c>
      <c r="BG68" s="189">
        <v>0</v>
      </c>
      <c r="BH68" s="189">
        <v>0</v>
      </c>
      <c r="BI68" s="189">
        <v>0</v>
      </c>
      <c r="BJ68" s="189">
        <v>0</v>
      </c>
      <c r="BK68" s="189">
        <v>0</v>
      </c>
      <c r="BL68" s="189">
        <v>0</v>
      </c>
      <c r="BM68" s="189">
        <v>127000</v>
      </c>
      <c r="BN68" s="189">
        <v>0</v>
      </c>
      <c r="BO68" s="189">
        <v>2000</v>
      </c>
      <c r="BP68" s="189">
        <v>-324751.78000000003</v>
      </c>
      <c r="BQ68" s="189">
        <v>120000</v>
      </c>
      <c r="BR68" s="189">
        <v>0</v>
      </c>
      <c r="BS68" s="189">
        <v>0</v>
      </c>
    </row>
    <row r="69" spans="1:71" x14ac:dyDescent="0.25">
      <c r="A69" s="189" t="s">
        <v>282</v>
      </c>
      <c r="B69" s="189">
        <v>0</v>
      </c>
      <c r="C69" s="189">
        <v>504628792.54000002</v>
      </c>
      <c r="D69" s="189">
        <v>0</v>
      </c>
      <c r="E69" s="189">
        <v>861766418.96000004</v>
      </c>
      <c r="F69" s="189">
        <v>0</v>
      </c>
      <c r="G69" s="189">
        <v>497882274.82999998</v>
      </c>
      <c r="H69" s="189">
        <v>0</v>
      </c>
      <c r="I69" s="189">
        <v>53997559.140000001</v>
      </c>
      <c r="J69" s="189">
        <v>0</v>
      </c>
      <c r="K69" s="189">
        <v>-33919603.159999996</v>
      </c>
      <c r="L69" s="189">
        <v>0</v>
      </c>
      <c r="M69" s="189">
        <v>502584607.93000001</v>
      </c>
      <c r="N69" s="189">
        <v>0</v>
      </c>
      <c r="O69" s="189">
        <v>309903409.43000001</v>
      </c>
      <c r="P69" s="189">
        <v>0</v>
      </c>
      <c r="Q69" s="189">
        <v>1129569111.8599999</v>
      </c>
      <c r="R69" s="189">
        <v>0</v>
      </c>
      <c r="S69" s="189">
        <v>540510695.59000003</v>
      </c>
      <c r="T69" s="189">
        <v>0</v>
      </c>
      <c r="U69" s="189">
        <v>1028774337.48</v>
      </c>
      <c r="V69" s="189">
        <v>0</v>
      </c>
      <c r="W69" s="189">
        <v>584247462.16999996</v>
      </c>
      <c r="X69" s="189">
        <v>0</v>
      </c>
      <c r="Y69" s="189">
        <v>832913797.85000002</v>
      </c>
      <c r="Z69" s="189">
        <v>0</v>
      </c>
      <c r="AA69" s="189">
        <v>377148563.23000002</v>
      </c>
      <c r="AB69" s="189">
        <v>0</v>
      </c>
      <c r="AC69" s="189">
        <v>347097348</v>
      </c>
      <c r="AD69" s="189">
        <v>0</v>
      </c>
      <c r="AE69" s="189">
        <v>236187202.5</v>
      </c>
      <c r="AF69" s="189">
        <v>0</v>
      </c>
      <c r="AG69" s="189">
        <v>328641354.18000001</v>
      </c>
      <c r="AH69" s="189">
        <v>0</v>
      </c>
      <c r="AI69" s="189">
        <v>194197375.22</v>
      </c>
      <c r="AJ69" s="189">
        <v>0</v>
      </c>
      <c r="AK69" s="189">
        <v>451849963.27999997</v>
      </c>
      <c r="AL69" s="189">
        <v>0</v>
      </c>
      <c r="AM69" s="189">
        <v>178140362.90000001</v>
      </c>
      <c r="AN69" s="189">
        <v>0</v>
      </c>
      <c r="AO69" s="189">
        <v>329581687.44</v>
      </c>
      <c r="AP69" s="189">
        <v>0</v>
      </c>
      <c r="AQ69" s="189">
        <v>254620725.84999999</v>
      </c>
      <c r="AR69" s="189">
        <v>0</v>
      </c>
      <c r="AS69" s="189">
        <v>221899544.44999999</v>
      </c>
      <c r="AT69" s="189">
        <v>0</v>
      </c>
      <c r="AU69" s="189">
        <v>140661766.03</v>
      </c>
      <c r="AV69" s="189">
        <v>0</v>
      </c>
      <c r="AW69" s="189">
        <v>411693385.85000002</v>
      </c>
      <c r="AX69" s="189">
        <v>388985549.25</v>
      </c>
      <c r="AY69" s="189">
        <v>230534744.66999999</v>
      </c>
      <c r="AZ69" s="189">
        <v>60838238.009999998</v>
      </c>
      <c r="BA69" s="189">
        <v>2695467.28</v>
      </c>
      <c r="BB69" s="189">
        <v>-32057434.77</v>
      </c>
      <c r="BC69" s="189">
        <v>-34840071.5</v>
      </c>
      <c r="BD69" s="189">
        <v>-41681884.869999997</v>
      </c>
      <c r="BE69" s="189">
        <v>71692252.159999996</v>
      </c>
      <c r="BF69" s="189">
        <v>18091836.93</v>
      </c>
      <c r="BG69" s="189">
        <v>7064086.29</v>
      </c>
      <c r="BH69" s="189">
        <v>-8955488.2400000002</v>
      </c>
      <c r="BI69" s="189">
        <v>109281603.94</v>
      </c>
      <c r="BJ69" s="189">
        <v>130439657.06999999</v>
      </c>
      <c r="BK69" s="189">
        <v>47336304.630000003</v>
      </c>
      <c r="BL69" s="189">
        <v>-96295957.400000006</v>
      </c>
      <c r="BM69" s="189">
        <v>19807343.329999998</v>
      </c>
      <c r="BN69" s="189">
        <v>108584912.95999999</v>
      </c>
      <c r="BO69" s="189">
        <v>66722898.859999999</v>
      </c>
      <c r="BP69" s="189">
        <v>112348236.56999999</v>
      </c>
      <c r="BQ69" s="189">
        <v>150035803.47999999</v>
      </c>
      <c r="BR69" s="189">
        <v>99444443.469999999</v>
      </c>
      <c r="BS69" s="189">
        <v>0</v>
      </c>
    </row>
    <row r="70" spans="1:71"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row>
    <row r="71" spans="1:71"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c r="BP71" s="189">
        <v>0</v>
      </c>
      <c r="BQ71" s="189">
        <v>0</v>
      </c>
      <c r="BR71" s="189">
        <v>0</v>
      </c>
      <c r="BS71" s="189">
        <v>0</v>
      </c>
    </row>
    <row r="72" spans="1:71"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c r="BP72" s="189">
        <v>0</v>
      </c>
      <c r="BQ72" s="189">
        <v>0</v>
      </c>
      <c r="BR72" s="189">
        <v>0</v>
      </c>
      <c r="BS72" s="189">
        <v>0</v>
      </c>
    </row>
    <row r="73" spans="1:71" x14ac:dyDescent="0.25">
      <c r="A73" s="189" t="s">
        <v>286</v>
      </c>
      <c r="B73" s="189">
        <v>0</v>
      </c>
      <c r="C73" s="189">
        <v>1113028526.1800001</v>
      </c>
      <c r="D73" s="189">
        <v>0</v>
      </c>
      <c r="E73" s="189">
        <v>1230414598</v>
      </c>
      <c r="F73" s="189">
        <v>0</v>
      </c>
      <c r="G73" s="189">
        <v>1901961710.4300001</v>
      </c>
      <c r="H73" s="189">
        <v>0</v>
      </c>
      <c r="I73" s="189">
        <v>1739393154.9200001</v>
      </c>
      <c r="J73" s="189">
        <v>0</v>
      </c>
      <c r="K73" s="189">
        <v>2612451329.6300001</v>
      </c>
      <c r="L73" s="189">
        <v>0</v>
      </c>
      <c r="M73" s="189">
        <v>2934404089.2600002</v>
      </c>
      <c r="N73" s="189">
        <v>0</v>
      </c>
      <c r="O73" s="189">
        <v>1599089712.1800001</v>
      </c>
      <c r="P73" s="189">
        <v>0</v>
      </c>
      <c r="Q73" s="189">
        <v>2633560561.48</v>
      </c>
      <c r="R73" s="189">
        <v>0</v>
      </c>
      <c r="S73" s="189">
        <v>2208807833.5100002</v>
      </c>
      <c r="T73" s="189">
        <v>0</v>
      </c>
      <c r="U73" s="189">
        <v>1733026803.0899999</v>
      </c>
      <c r="V73" s="189">
        <v>0</v>
      </c>
      <c r="W73" s="189">
        <v>1349957091.27</v>
      </c>
      <c r="X73" s="189">
        <v>0</v>
      </c>
      <c r="Y73" s="189">
        <v>1328500030.21</v>
      </c>
      <c r="Z73" s="189">
        <v>0</v>
      </c>
      <c r="AA73" s="189">
        <v>1576784250.97</v>
      </c>
      <c r="AB73" s="189">
        <v>0</v>
      </c>
      <c r="AC73" s="189">
        <v>871579654.60000002</v>
      </c>
      <c r="AD73" s="189">
        <v>0</v>
      </c>
      <c r="AE73" s="189">
        <v>796301613.28999996</v>
      </c>
      <c r="AF73" s="189">
        <v>822114901.82000005</v>
      </c>
      <c r="AG73" s="189">
        <v>768359723.28999996</v>
      </c>
      <c r="AH73" s="189">
        <v>800320298.29999995</v>
      </c>
      <c r="AI73" s="189">
        <v>678805129.55999994</v>
      </c>
      <c r="AJ73" s="189">
        <v>692269835.62</v>
      </c>
      <c r="AK73" s="189">
        <v>700605005.73000002</v>
      </c>
      <c r="AL73" s="189">
        <v>689605047.82000005</v>
      </c>
      <c r="AM73" s="189">
        <v>486582727.50999999</v>
      </c>
      <c r="AN73" s="189">
        <v>522189527.00999999</v>
      </c>
      <c r="AO73" s="189">
        <v>478990556.25999999</v>
      </c>
      <c r="AP73" s="189">
        <v>466931262.31</v>
      </c>
      <c r="AQ73" s="189">
        <v>504966248.72000003</v>
      </c>
      <c r="AR73" s="189">
        <v>414543859.06999999</v>
      </c>
      <c r="AS73" s="189">
        <v>337389023.93000001</v>
      </c>
      <c r="AT73" s="189">
        <v>465844349.69999999</v>
      </c>
      <c r="AU73" s="189">
        <v>349804253.05000001</v>
      </c>
      <c r="AV73" s="189">
        <v>261977252.28999999</v>
      </c>
      <c r="AW73" s="189">
        <v>231085673.77000001</v>
      </c>
      <c r="AX73" s="189">
        <v>224546110.24000001</v>
      </c>
      <c r="AY73" s="189">
        <v>229902436.65000001</v>
      </c>
      <c r="AZ73" s="189">
        <v>467764060.77999997</v>
      </c>
      <c r="BA73" s="189">
        <v>350250323.23000002</v>
      </c>
      <c r="BB73" s="189">
        <v>226605194.72</v>
      </c>
      <c r="BC73" s="189">
        <v>305300697.36000001</v>
      </c>
      <c r="BD73" s="189">
        <v>262260123.28999999</v>
      </c>
      <c r="BE73" s="189">
        <v>376853902.33999997</v>
      </c>
      <c r="BF73" s="189">
        <v>388795604.60000002</v>
      </c>
      <c r="BG73" s="189">
        <v>448866748.66000003</v>
      </c>
      <c r="BH73" s="189">
        <v>389457078.69</v>
      </c>
      <c r="BI73" s="189">
        <v>422470524.32999998</v>
      </c>
      <c r="BJ73" s="189">
        <v>484643945.29000002</v>
      </c>
      <c r="BK73" s="189">
        <v>416024122.68000001</v>
      </c>
      <c r="BL73" s="189">
        <v>371399864.50999999</v>
      </c>
      <c r="BM73" s="189">
        <v>477729129.73000002</v>
      </c>
      <c r="BN73" s="189">
        <v>616799243.40999997</v>
      </c>
      <c r="BO73" s="189">
        <v>610055618.49000001</v>
      </c>
      <c r="BP73" s="189">
        <v>870343081.78999996</v>
      </c>
      <c r="BQ73" s="189">
        <v>67125512.590000004</v>
      </c>
      <c r="BR73" s="189">
        <v>74297081.659999996</v>
      </c>
      <c r="BS73" s="189">
        <v>0</v>
      </c>
    </row>
    <row r="74" spans="1:71" x14ac:dyDescent="0.25">
      <c r="A74" s="189" t="s">
        <v>287</v>
      </c>
      <c r="B74" s="189">
        <v>0</v>
      </c>
      <c r="C74" s="189">
        <v>1230414598</v>
      </c>
      <c r="D74" s="189">
        <v>0</v>
      </c>
      <c r="E74" s="189">
        <v>1947735351.1900001</v>
      </c>
      <c r="F74" s="189">
        <v>0</v>
      </c>
      <c r="G74" s="189">
        <v>1739393154.9200001</v>
      </c>
      <c r="H74" s="189">
        <v>0</v>
      </c>
      <c r="I74" s="189">
        <v>2934404089.2600002</v>
      </c>
      <c r="J74" s="189">
        <v>0</v>
      </c>
      <c r="K74" s="189">
        <v>2934404089.2600002</v>
      </c>
      <c r="L74" s="189">
        <v>0</v>
      </c>
      <c r="M74" s="189">
        <v>2633560561.48</v>
      </c>
      <c r="N74" s="189">
        <v>0</v>
      </c>
      <c r="O74" s="189">
        <v>2633560561.48</v>
      </c>
      <c r="P74" s="189">
        <v>0</v>
      </c>
      <c r="Q74" s="189">
        <v>1733026803.0899999</v>
      </c>
      <c r="R74" s="189">
        <v>0</v>
      </c>
      <c r="S74" s="189">
        <v>1733026803.0899999</v>
      </c>
      <c r="T74" s="189">
        <v>0</v>
      </c>
      <c r="U74" s="189">
        <v>1328500030.21</v>
      </c>
      <c r="V74" s="189">
        <v>0</v>
      </c>
      <c r="W74" s="189">
        <v>1328500030.21</v>
      </c>
      <c r="X74" s="189">
        <v>0</v>
      </c>
      <c r="Y74" s="189">
        <v>871579654.60000002</v>
      </c>
      <c r="Z74" s="189">
        <v>0</v>
      </c>
      <c r="AA74" s="189">
        <v>871579654.60000002</v>
      </c>
      <c r="AB74" s="189">
        <v>0</v>
      </c>
      <c r="AC74" s="189">
        <v>768359723.28999996</v>
      </c>
      <c r="AD74" s="189">
        <v>0</v>
      </c>
      <c r="AE74" s="189">
        <v>768359723.28999996</v>
      </c>
      <c r="AF74" s="189">
        <v>768359723.28999996</v>
      </c>
      <c r="AG74" s="189">
        <v>700605005.73000002</v>
      </c>
      <c r="AH74" s="189">
        <v>700605005.73000002</v>
      </c>
      <c r="AI74" s="189">
        <v>700605005.73000002</v>
      </c>
      <c r="AJ74" s="189">
        <v>700605005.73000002</v>
      </c>
      <c r="AK74" s="189">
        <v>478990556.25999999</v>
      </c>
      <c r="AL74" s="189">
        <v>478990556.25999999</v>
      </c>
      <c r="AM74" s="189">
        <v>478990556.25999999</v>
      </c>
      <c r="AN74" s="189">
        <v>478990556.25999999</v>
      </c>
      <c r="AO74" s="189">
        <v>337389023.93000001</v>
      </c>
      <c r="AP74" s="189">
        <v>337658094.49000001</v>
      </c>
      <c r="AQ74" s="189">
        <v>337658094.49000001</v>
      </c>
      <c r="AR74" s="189">
        <v>342491228.29000002</v>
      </c>
      <c r="AS74" s="189">
        <v>231085673.77000001</v>
      </c>
      <c r="AT74" s="189">
        <v>231085673.77000001</v>
      </c>
      <c r="AU74" s="189">
        <v>231085673.77000001</v>
      </c>
      <c r="AV74" s="189">
        <v>231085673.77000001</v>
      </c>
      <c r="AW74" s="189">
        <v>350250323.23000002</v>
      </c>
      <c r="AX74" s="189">
        <v>350250323.23000002</v>
      </c>
      <c r="AY74" s="189">
        <v>350250323.23000002</v>
      </c>
      <c r="AZ74" s="189">
        <v>350250323.23000002</v>
      </c>
      <c r="BA74" s="189">
        <v>376853902.33999997</v>
      </c>
      <c r="BB74" s="189">
        <v>376853902.33999997</v>
      </c>
      <c r="BC74" s="189">
        <v>376853902.33999997</v>
      </c>
      <c r="BD74" s="189">
        <v>376853902.33999997</v>
      </c>
      <c r="BE74" s="189">
        <v>422470524.32999998</v>
      </c>
      <c r="BF74" s="189">
        <v>422470524.32999998</v>
      </c>
      <c r="BG74" s="189">
        <v>422470524.32999998</v>
      </c>
      <c r="BH74" s="189">
        <v>422470524.32999998</v>
      </c>
      <c r="BI74" s="189">
        <v>477729129.73000002</v>
      </c>
      <c r="BJ74" s="189">
        <v>477729129.73000002</v>
      </c>
      <c r="BK74" s="189">
        <v>477729129.73000002</v>
      </c>
      <c r="BL74" s="189">
        <v>477729129.73000002</v>
      </c>
      <c r="BM74" s="189">
        <v>610055618.49000001</v>
      </c>
      <c r="BN74" s="189">
        <v>610055618.49000001</v>
      </c>
      <c r="BO74" s="189">
        <v>67125512.590000004</v>
      </c>
      <c r="BP74" s="189">
        <v>67125512.590000004</v>
      </c>
      <c r="BQ74" s="189">
        <v>74297081.659999996</v>
      </c>
      <c r="BR74" s="189">
        <v>44152475.600000001</v>
      </c>
      <c r="BS74" s="189">
        <v>0</v>
      </c>
    </row>
    <row r="75" spans="1:71"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row>
    <row r="76" spans="1:71"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row>
    <row r="77" spans="1:71" x14ac:dyDescent="0.25">
      <c r="A77" s="189" t="s">
        <v>290</v>
      </c>
      <c r="B77" s="189">
        <v>0</v>
      </c>
      <c r="C77" s="189">
        <v>-117386071.81999999</v>
      </c>
      <c r="D77" s="189">
        <v>0</v>
      </c>
      <c r="E77" s="189">
        <v>-717320753.19000006</v>
      </c>
      <c r="F77" s="189">
        <v>0</v>
      </c>
      <c r="G77" s="189">
        <v>162568555.50999999</v>
      </c>
      <c r="H77" s="189">
        <v>0</v>
      </c>
      <c r="I77" s="189">
        <v>-1195010934.3399999</v>
      </c>
      <c r="J77" s="189">
        <v>0</v>
      </c>
      <c r="K77" s="189">
        <v>-321952759.63</v>
      </c>
      <c r="L77" s="189">
        <v>0</v>
      </c>
      <c r="M77" s="189">
        <v>300843527.77999997</v>
      </c>
      <c r="N77" s="189">
        <v>0</v>
      </c>
      <c r="O77" s="189">
        <v>-1034470849.3</v>
      </c>
      <c r="P77" s="189">
        <v>0</v>
      </c>
      <c r="Q77" s="189">
        <v>900533758.38999999</v>
      </c>
      <c r="R77" s="189">
        <v>0</v>
      </c>
      <c r="S77" s="189">
        <v>475781030.42000002</v>
      </c>
      <c r="T77" s="189">
        <v>0</v>
      </c>
      <c r="U77" s="189">
        <v>404526772.88</v>
      </c>
      <c r="V77" s="189">
        <v>0</v>
      </c>
      <c r="W77" s="189">
        <v>21457061.059999999</v>
      </c>
      <c r="X77" s="189">
        <v>0</v>
      </c>
      <c r="Y77" s="189">
        <v>456920375.61000001</v>
      </c>
      <c r="Z77" s="189">
        <v>0</v>
      </c>
      <c r="AA77" s="189">
        <v>705204596.37</v>
      </c>
      <c r="AB77" s="189">
        <v>0</v>
      </c>
      <c r="AC77" s="189">
        <v>103219931.31</v>
      </c>
      <c r="AD77" s="189">
        <v>0</v>
      </c>
      <c r="AE77" s="189">
        <v>27941890</v>
      </c>
      <c r="AF77" s="189">
        <v>53755178.530000001</v>
      </c>
      <c r="AG77" s="189">
        <v>67754717.560000002</v>
      </c>
      <c r="AH77" s="189">
        <v>99715292.569999993</v>
      </c>
      <c r="AI77" s="189">
        <v>-21799876.170000002</v>
      </c>
      <c r="AJ77" s="189">
        <v>-8335170.1100000003</v>
      </c>
      <c r="AK77" s="189">
        <v>221614449.47</v>
      </c>
      <c r="AL77" s="189">
        <v>210614491.56</v>
      </c>
      <c r="AM77" s="189">
        <v>7592171.25</v>
      </c>
      <c r="AN77" s="189">
        <v>43198970.75</v>
      </c>
      <c r="AO77" s="189">
        <v>141601532.33000001</v>
      </c>
      <c r="AP77" s="189">
        <v>129273167.81999999</v>
      </c>
      <c r="AQ77" s="189">
        <v>167308154.22999999</v>
      </c>
      <c r="AR77" s="189">
        <v>72052630.780000001</v>
      </c>
      <c r="AS77" s="189">
        <v>106303350.16</v>
      </c>
      <c r="AT77" s="189">
        <v>234758675.93000001</v>
      </c>
      <c r="AU77" s="189">
        <v>118718579.28</v>
      </c>
      <c r="AV77" s="189">
        <v>30891578.52</v>
      </c>
      <c r="AW77" s="189">
        <v>-119164649.45999999</v>
      </c>
      <c r="AX77" s="189">
        <v>-125704212.98999999</v>
      </c>
      <c r="AY77" s="189">
        <v>-120347886.58</v>
      </c>
      <c r="AZ77" s="189">
        <v>117513737.55</v>
      </c>
      <c r="BA77" s="189">
        <v>-26603579.109999999</v>
      </c>
      <c r="BB77" s="189">
        <v>-150248707.62</v>
      </c>
      <c r="BC77" s="189">
        <v>-71553204.980000004</v>
      </c>
      <c r="BD77" s="189">
        <v>-114593779.05</v>
      </c>
      <c r="BE77" s="189">
        <v>-45616621.990000002</v>
      </c>
      <c r="BF77" s="189">
        <v>-33674919.729999997</v>
      </c>
      <c r="BG77" s="189">
        <v>26396224.329999998</v>
      </c>
      <c r="BH77" s="189">
        <v>-33013445.640000001</v>
      </c>
      <c r="BI77" s="189">
        <v>-55258605.399999999</v>
      </c>
      <c r="BJ77" s="189">
        <v>6914815.5599999996</v>
      </c>
      <c r="BK77" s="189">
        <v>-61705007.049999997</v>
      </c>
      <c r="BL77" s="189">
        <v>-106329265.22</v>
      </c>
      <c r="BM77" s="189">
        <v>-132326488.76000001</v>
      </c>
      <c r="BN77" s="189">
        <v>6743624.9199999999</v>
      </c>
      <c r="BO77" s="189">
        <v>542930105.89999998</v>
      </c>
      <c r="BP77" s="189">
        <v>803217569.20000005</v>
      </c>
      <c r="BQ77" s="189">
        <v>-7171569.0700000003</v>
      </c>
      <c r="BR77" s="189">
        <v>30144606.059999999</v>
      </c>
      <c r="BS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M11" sqref="M11"/>
    </sheetView>
  </sheetViews>
  <sheetFormatPr defaultRowHeight="14.4" x14ac:dyDescent="0.25"/>
  <cols>
    <col min="1" max="1" width="33.6640625" style="17" bestFit="1" customWidth="1"/>
    <col min="2" max="4" width="19.33203125" hidden="1" customWidth="1"/>
    <col min="5" max="5" width="21.441406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4" width="19" bestFit="1" customWidth="1"/>
    <col min="75" max="75" width="9.5546875" hidden="1" customWidth="1"/>
    <col min="76"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600315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19991231</v>
      </c>
      <c r="BU1" s="189">
        <v>19981231</v>
      </c>
      <c r="BV1" s="189">
        <v>19971231</v>
      </c>
      <c r="BW1" s="189">
        <v>19700101</v>
      </c>
      <c r="BX1" s="189"/>
      <c r="BY1" s="189"/>
      <c r="BZ1" s="189"/>
      <c r="CA1" s="189"/>
      <c r="CB1" s="189"/>
      <c r="CC1" s="189"/>
      <c r="CD1" s="189"/>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1244673067.6099999</v>
      </c>
      <c r="C4" s="189">
        <v>1213085694.1800001</v>
      </c>
      <c r="D4" s="189">
        <v>1203099825.28</v>
      </c>
      <c r="E4" s="189">
        <v>1330955759.4100001</v>
      </c>
      <c r="F4" s="189">
        <v>1676950117.79</v>
      </c>
      <c r="G4" s="189">
        <v>2140018551.8399999</v>
      </c>
      <c r="H4" s="189">
        <v>2106880370.73</v>
      </c>
      <c r="I4" s="189">
        <v>2330449996.3299999</v>
      </c>
      <c r="J4" s="189">
        <v>2880954242.46</v>
      </c>
      <c r="K4" s="189">
        <v>3619608171.04</v>
      </c>
      <c r="L4" s="189">
        <v>3844051282.4499998</v>
      </c>
      <c r="M4" s="189">
        <v>3477140930.6700001</v>
      </c>
      <c r="N4" s="189">
        <v>1670661607.74</v>
      </c>
      <c r="O4" s="189">
        <v>2139767821.3099999</v>
      </c>
      <c r="P4" s="189">
        <v>3001408760.3600001</v>
      </c>
      <c r="Q4" s="189">
        <v>2633560561.48</v>
      </c>
      <c r="R4" s="189">
        <v>2370726949.3400002</v>
      </c>
      <c r="S4" s="189">
        <v>2208807833.5100002</v>
      </c>
      <c r="T4" s="189">
        <v>2253225380.6399999</v>
      </c>
      <c r="U4" s="189">
        <v>1733026803.0899999</v>
      </c>
      <c r="V4" s="189">
        <v>1588745407.8599999</v>
      </c>
      <c r="W4" s="189">
        <v>1349957091.27</v>
      </c>
      <c r="X4" s="189">
        <v>1530938466.8699999</v>
      </c>
      <c r="Y4" s="189">
        <v>1328500030.21</v>
      </c>
      <c r="Z4" s="189">
        <v>1689311720.4200001</v>
      </c>
      <c r="AA4" s="189">
        <v>1576784250.97</v>
      </c>
      <c r="AB4" s="189">
        <v>1054018437.67</v>
      </c>
      <c r="AC4" s="189">
        <v>871579654.60000002</v>
      </c>
      <c r="AD4" s="189">
        <v>941436942.50999999</v>
      </c>
      <c r="AE4" s="189">
        <v>796301613.28999996</v>
      </c>
      <c r="AF4" s="189">
        <v>822114901.82000005</v>
      </c>
      <c r="AG4" s="189">
        <v>768359723.28999996</v>
      </c>
      <c r="AH4" s="189">
        <v>800320298.29999995</v>
      </c>
      <c r="AI4" s="189">
        <v>678805129.55999994</v>
      </c>
      <c r="AJ4" s="189">
        <v>692269835.62</v>
      </c>
      <c r="AK4" s="189">
        <v>700605005.73000002</v>
      </c>
      <c r="AL4" s="189">
        <v>689605047.82000005</v>
      </c>
      <c r="AM4" s="189">
        <v>486582727.50999999</v>
      </c>
      <c r="AN4" s="189">
        <v>522189527.00999999</v>
      </c>
      <c r="AO4" s="189">
        <v>478990556.25999999</v>
      </c>
      <c r="AP4" s="189">
        <v>466931262.31</v>
      </c>
      <c r="AQ4" s="189">
        <v>504966248.72000003</v>
      </c>
      <c r="AR4" s="189">
        <v>414543859.06999999</v>
      </c>
      <c r="AS4" s="189">
        <v>337658094.49000001</v>
      </c>
      <c r="AT4" s="189">
        <v>465844349.69999999</v>
      </c>
      <c r="AU4" s="189">
        <v>349804253.05000001</v>
      </c>
      <c r="AV4" s="189">
        <v>261977252.28999999</v>
      </c>
      <c r="AW4" s="189">
        <v>231085673.77000001</v>
      </c>
      <c r="AX4" s="189">
        <v>224546110.24000001</v>
      </c>
      <c r="AY4" s="189">
        <v>229902436.65000001</v>
      </c>
      <c r="AZ4" s="189">
        <v>467764060.77999997</v>
      </c>
      <c r="BA4" s="189">
        <v>350250323.23000002</v>
      </c>
      <c r="BB4" s="189">
        <v>226605194.72</v>
      </c>
      <c r="BC4" s="189">
        <v>305300697.36000001</v>
      </c>
      <c r="BD4" s="189">
        <v>262260123.28999999</v>
      </c>
      <c r="BE4" s="189">
        <v>376853902.33999997</v>
      </c>
      <c r="BF4" s="189">
        <v>388795604.60000002</v>
      </c>
      <c r="BG4" s="189">
        <v>448866748.66000003</v>
      </c>
      <c r="BH4" s="189">
        <v>389457078.69</v>
      </c>
      <c r="BI4" s="189">
        <v>422470524.32999998</v>
      </c>
      <c r="BJ4" s="189">
        <v>484643945.29000002</v>
      </c>
      <c r="BK4" s="189">
        <v>416024122.68000001</v>
      </c>
      <c r="BL4" s="189">
        <v>371399864.50999999</v>
      </c>
      <c r="BM4" s="189">
        <v>477729129.73000002</v>
      </c>
      <c r="BN4" s="189">
        <v>644075309.75999999</v>
      </c>
      <c r="BO4" s="189">
        <v>616799243.40999997</v>
      </c>
      <c r="BP4" s="189">
        <v>576480068.09000003</v>
      </c>
      <c r="BQ4" s="189">
        <v>610055618.49000001</v>
      </c>
      <c r="BR4" s="189">
        <v>0</v>
      </c>
      <c r="BS4" s="189">
        <v>67125512.590000004</v>
      </c>
      <c r="BT4" s="189">
        <v>74297081.659999996</v>
      </c>
      <c r="BU4" s="189">
        <v>44152475.600000001</v>
      </c>
      <c r="BV4" s="189">
        <v>50314733.219999999</v>
      </c>
      <c r="BW4" s="189">
        <v>0</v>
      </c>
      <c r="BX4" s="189"/>
      <c r="BY4" s="189"/>
      <c r="BZ4" s="189"/>
      <c r="CA4" s="189"/>
      <c r="CB4" s="189"/>
      <c r="CC4" s="189"/>
      <c r="CD4" s="189"/>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830720</v>
      </c>
      <c r="AX5" s="189">
        <v>5746000</v>
      </c>
      <c r="AY5" s="189">
        <v>9704053.9900000002</v>
      </c>
      <c r="AZ5" s="189">
        <v>11116600</v>
      </c>
      <c r="BA5" s="189">
        <v>14327600</v>
      </c>
      <c r="BB5" s="189">
        <v>18736441.699999999</v>
      </c>
      <c r="BC5" s="189">
        <v>19914333.260000002</v>
      </c>
      <c r="BD5" s="189">
        <v>48647433.899999999</v>
      </c>
      <c r="BE5" s="189">
        <v>20159320.68</v>
      </c>
      <c r="BF5" s="189">
        <v>22525058.359999999</v>
      </c>
      <c r="BG5" s="189">
        <v>23255017.140000001</v>
      </c>
      <c r="BH5" s="189">
        <v>42895577.719999999</v>
      </c>
      <c r="BI5" s="189">
        <v>28686928.329999998</v>
      </c>
      <c r="BJ5" s="189">
        <v>24214450.219999999</v>
      </c>
      <c r="BK5" s="189">
        <v>-8349198.8600000003</v>
      </c>
      <c r="BL5" s="189">
        <v>41534713.409999996</v>
      </c>
      <c r="BM5" s="189">
        <v>40671079.399999999</v>
      </c>
      <c r="BN5" s="189">
        <v>44796956.289999999</v>
      </c>
      <c r="BO5" s="189">
        <v>127502929.18000001</v>
      </c>
      <c r="BP5" s="189">
        <v>134345890.68000001</v>
      </c>
      <c r="BQ5" s="189">
        <v>122867038.56999999</v>
      </c>
      <c r="BR5" s="189">
        <v>870343081.78999996</v>
      </c>
      <c r="BS5" s="189">
        <v>0</v>
      </c>
      <c r="BT5" s="189">
        <v>0</v>
      </c>
      <c r="BU5" s="189">
        <v>0</v>
      </c>
      <c r="BV5" s="189">
        <v>0</v>
      </c>
      <c r="BW5" s="189">
        <v>0</v>
      </c>
      <c r="BX5" s="189"/>
      <c r="BY5" s="189"/>
      <c r="BZ5" s="189"/>
      <c r="CA5" s="189"/>
      <c r="CB5" s="189"/>
      <c r="CC5" s="189"/>
      <c r="CD5" s="189"/>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732957396.09000003</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c r="BY6" s="189"/>
      <c r="BZ6" s="189"/>
      <c r="CA6" s="189"/>
      <c r="CB6" s="189"/>
      <c r="CC6" s="189"/>
      <c r="CD6" s="189"/>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c r="BY7" s="189"/>
      <c r="BZ7" s="189"/>
      <c r="CA7" s="189"/>
      <c r="CB7" s="189"/>
      <c r="CC7" s="189"/>
      <c r="CD7" s="189"/>
      <c r="CE7" s="189"/>
      <c r="CF7" s="189"/>
      <c r="CG7" s="189"/>
      <c r="CH7" s="189"/>
      <c r="CI7" s="189"/>
      <c r="CJ7" s="189"/>
      <c r="CK7" s="189"/>
      <c r="CL7" s="189"/>
    </row>
    <row r="8" spans="1:90" x14ac:dyDescent="0.25">
      <c r="A8" s="17" t="s">
        <v>5</v>
      </c>
      <c r="B8" s="189">
        <v>752575806.45000005</v>
      </c>
      <c r="C8" s="189">
        <v>771478838.63</v>
      </c>
      <c r="D8" s="189">
        <v>772411162.09000003</v>
      </c>
      <c r="E8" s="189">
        <v>548610000</v>
      </c>
      <c r="F8" s="189">
        <v>461687812</v>
      </c>
      <c r="G8" s="189">
        <v>455318010.85000002</v>
      </c>
      <c r="H8" s="189">
        <v>440937311.89999998</v>
      </c>
      <c r="I8" s="189">
        <v>442637311.89999998</v>
      </c>
      <c r="J8" s="189">
        <v>438700000</v>
      </c>
      <c r="K8" s="189">
        <v>438950000</v>
      </c>
      <c r="L8" s="189">
        <v>98550000</v>
      </c>
      <c r="M8" s="189">
        <v>119500000</v>
      </c>
      <c r="N8" s="189">
        <v>93000000</v>
      </c>
      <c r="O8" s="189">
        <v>171700000</v>
      </c>
      <c r="P8" s="189">
        <v>64500000</v>
      </c>
      <c r="Q8" s="189">
        <v>64500000</v>
      </c>
      <c r="R8" s="189">
        <v>113571381.41</v>
      </c>
      <c r="S8" s="189">
        <v>48528970.560000002</v>
      </c>
      <c r="T8" s="189">
        <v>50151403.009999998</v>
      </c>
      <c r="U8" s="189">
        <v>49618592.350000001</v>
      </c>
      <c r="V8" s="189">
        <v>679446276.16999996</v>
      </c>
      <c r="W8" s="189">
        <v>676554700.32000005</v>
      </c>
      <c r="X8" s="189">
        <v>521697794.47000003</v>
      </c>
      <c r="Y8" s="189">
        <v>491584457.66000003</v>
      </c>
      <c r="Z8" s="189">
        <v>100000000</v>
      </c>
      <c r="AA8" s="189">
        <v>0</v>
      </c>
      <c r="AB8" s="189">
        <v>0</v>
      </c>
      <c r="AC8" s="189">
        <v>0</v>
      </c>
      <c r="AD8" s="189">
        <v>0</v>
      </c>
      <c r="AE8" s="189">
        <v>0</v>
      </c>
      <c r="AF8" s="189">
        <v>0</v>
      </c>
      <c r="AG8" s="189">
        <v>0</v>
      </c>
      <c r="AH8" s="189">
        <v>0</v>
      </c>
      <c r="AI8" s="189">
        <v>0</v>
      </c>
      <c r="AJ8" s="189">
        <v>0</v>
      </c>
      <c r="AK8" s="189">
        <v>0</v>
      </c>
      <c r="AL8" s="189">
        <v>0</v>
      </c>
      <c r="AM8" s="189">
        <v>0</v>
      </c>
      <c r="AN8" s="189">
        <v>0</v>
      </c>
      <c r="AO8" s="189">
        <v>0</v>
      </c>
      <c r="AP8" s="189">
        <v>0</v>
      </c>
      <c r="AQ8" s="189">
        <v>0</v>
      </c>
      <c r="AR8" s="189">
        <v>491599.24</v>
      </c>
      <c r="AS8" s="189">
        <v>570889.43999999994</v>
      </c>
      <c r="AT8" s="189">
        <v>631563.68000000005</v>
      </c>
      <c r="AU8" s="189">
        <v>515041.56</v>
      </c>
      <c r="AV8" s="189">
        <v>431614.48</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c r="BY8" s="189"/>
      <c r="BZ8" s="189"/>
      <c r="CA8" s="189"/>
      <c r="CB8" s="189"/>
      <c r="CC8" s="189"/>
      <c r="CD8" s="189"/>
      <c r="CE8" s="189"/>
      <c r="CF8" s="189"/>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2000</v>
      </c>
      <c r="BK9" s="189">
        <v>2000</v>
      </c>
      <c r="BL9" s="189">
        <v>2000</v>
      </c>
      <c r="BM9" s="189">
        <v>2000</v>
      </c>
      <c r="BN9" s="189">
        <v>2000</v>
      </c>
      <c r="BO9" s="189">
        <v>2000</v>
      </c>
      <c r="BP9" s="189">
        <v>2000</v>
      </c>
      <c r="BQ9" s="189">
        <v>2000</v>
      </c>
      <c r="BR9" s="189">
        <v>2000</v>
      </c>
      <c r="BS9" s="189">
        <v>2000</v>
      </c>
      <c r="BT9" s="189">
        <v>4000</v>
      </c>
      <c r="BU9" s="189">
        <v>3000</v>
      </c>
      <c r="BV9" s="189">
        <v>3000</v>
      </c>
      <c r="BW9" s="189">
        <v>0</v>
      </c>
      <c r="BX9" s="189"/>
      <c r="BY9" s="189"/>
      <c r="BZ9" s="189"/>
      <c r="CA9" s="189"/>
      <c r="CB9" s="189"/>
      <c r="CC9" s="189"/>
      <c r="CD9" s="189"/>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c r="BY10" s="189"/>
      <c r="BZ10" s="189"/>
      <c r="CA10" s="189"/>
      <c r="CB10" s="189"/>
      <c r="CC10" s="189"/>
      <c r="CD10" s="189"/>
      <c r="CE10" s="189"/>
      <c r="CF10" s="189"/>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18837837.73</v>
      </c>
      <c r="S11" s="189">
        <v>0</v>
      </c>
      <c r="T11" s="189">
        <v>0</v>
      </c>
      <c r="U11" s="189">
        <v>0</v>
      </c>
      <c r="V11" s="189">
        <v>0</v>
      </c>
      <c r="W11" s="189">
        <v>14302702.640000001</v>
      </c>
      <c r="X11" s="189">
        <v>0</v>
      </c>
      <c r="Y11" s="189">
        <v>0</v>
      </c>
      <c r="Z11" s="189">
        <v>15874476.119999999</v>
      </c>
      <c r="AA11" s="189">
        <v>0</v>
      </c>
      <c r="AB11" s="189">
        <v>0</v>
      </c>
      <c r="AC11" s="189">
        <v>1615108.11</v>
      </c>
      <c r="AD11" s="189">
        <v>13243243.24</v>
      </c>
      <c r="AE11" s="189">
        <v>13243243.24</v>
      </c>
      <c r="AF11" s="189">
        <v>7500000</v>
      </c>
      <c r="AG11" s="189">
        <v>5517531.7599999998</v>
      </c>
      <c r="AH11" s="189">
        <v>8823243.2400000002</v>
      </c>
      <c r="AI11" s="189">
        <v>0</v>
      </c>
      <c r="AJ11" s="189">
        <v>3160000</v>
      </c>
      <c r="AK11" s="189">
        <v>6329729.7300000004</v>
      </c>
      <c r="AL11" s="189">
        <v>11529729.73</v>
      </c>
      <c r="AM11" s="189">
        <v>15229729.73</v>
      </c>
      <c r="AN11" s="189">
        <v>12516159.699999999</v>
      </c>
      <c r="AO11" s="189">
        <v>5007742.49</v>
      </c>
      <c r="AP11" s="189">
        <v>5007742.49</v>
      </c>
      <c r="AQ11" s="189">
        <v>0</v>
      </c>
      <c r="AR11" s="189">
        <v>0</v>
      </c>
      <c r="AS11" s="189">
        <v>0</v>
      </c>
      <c r="AT11" s="189">
        <v>0</v>
      </c>
      <c r="AU11" s="189">
        <v>0</v>
      </c>
      <c r="AV11" s="189">
        <v>0</v>
      </c>
      <c r="AW11" s="189">
        <v>0</v>
      </c>
      <c r="AX11" s="189">
        <v>0</v>
      </c>
      <c r="AY11" s="189">
        <v>0</v>
      </c>
      <c r="AZ11" s="189">
        <v>0</v>
      </c>
      <c r="BA11" s="189">
        <v>453711.72</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860237.85</v>
      </c>
      <c r="BS11" s="189">
        <v>0</v>
      </c>
      <c r="BT11" s="189">
        <v>0</v>
      </c>
      <c r="BU11" s="189">
        <v>0</v>
      </c>
      <c r="BV11" s="189">
        <v>0</v>
      </c>
      <c r="BW11" s="189">
        <v>0</v>
      </c>
      <c r="BX11" s="189"/>
      <c r="BY11" s="189"/>
      <c r="BZ11" s="189"/>
      <c r="CA11" s="189"/>
      <c r="CB11" s="189"/>
      <c r="CC11" s="189"/>
      <c r="CD11" s="189"/>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c r="BY12" s="189"/>
      <c r="BZ12" s="189"/>
      <c r="CA12" s="189"/>
      <c r="CB12" s="189"/>
      <c r="CC12" s="189"/>
      <c r="CD12" s="189"/>
      <c r="CE12" s="189"/>
      <c r="CF12" s="189"/>
      <c r="CG12" s="189"/>
      <c r="CH12" s="189"/>
      <c r="CI12" s="189"/>
      <c r="CJ12" s="189"/>
      <c r="CK12" s="189"/>
      <c r="CL12" s="189"/>
    </row>
    <row r="13" spans="1:90" x14ac:dyDescent="0.25">
      <c r="A13" s="17" t="s">
        <v>10</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c r="BY13" s="189"/>
      <c r="BZ13" s="189"/>
      <c r="CA13" s="189"/>
      <c r="CB13" s="189"/>
      <c r="CC13" s="189"/>
      <c r="CD13" s="189"/>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1997248874.0599999</v>
      </c>
      <c r="C17" s="33">
        <f t="shared" ref="C17:BN17" si="0">SUM(C4:C13)</f>
        <v>1984564532.8099999</v>
      </c>
      <c r="D17" s="33">
        <f t="shared" si="0"/>
        <v>1975510987.3699999</v>
      </c>
      <c r="E17" s="33">
        <f t="shared" si="0"/>
        <v>1879565759.4100001</v>
      </c>
      <c r="F17" s="33">
        <f t="shared" si="0"/>
        <v>2138637929.79</v>
      </c>
      <c r="G17" s="33">
        <f t="shared" si="0"/>
        <v>2595336562.6900001</v>
      </c>
      <c r="H17" s="33">
        <f t="shared" si="0"/>
        <v>2547817682.6300001</v>
      </c>
      <c r="I17" s="33">
        <f t="shared" si="0"/>
        <v>2773087308.23</v>
      </c>
      <c r="J17" s="33">
        <f t="shared" si="0"/>
        <v>3319654242.46</v>
      </c>
      <c r="K17" s="33">
        <f t="shared" si="0"/>
        <v>4058558171.04</v>
      </c>
      <c r="L17" s="33">
        <f t="shared" si="0"/>
        <v>3942601282.4499998</v>
      </c>
      <c r="M17" s="33">
        <f t="shared" si="0"/>
        <v>3596640930.6700001</v>
      </c>
      <c r="N17" s="33">
        <f t="shared" si="0"/>
        <v>2496619003.8299999</v>
      </c>
      <c r="O17" s="33">
        <f t="shared" si="0"/>
        <v>2311467821.3099999</v>
      </c>
      <c r="P17" s="33">
        <f t="shared" si="0"/>
        <v>3065908760.3600001</v>
      </c>
      <c r="Q17" s="33">
        <f t="shared" si="0"/>
        <v>2698060561.48</v>
      </c>
      <c r="R17" s="33">
        <f t="shared" si="0"/>
        <v>2503136168.48</v>
      </c>
      <c r="S17" s="33">
        <f t="shared" si="0"/>
        <v>2257336804.0700002</v>
      </c>
      <c r="T17" s="33">
        <f t="shared" si="0"/>
        <v>2303376783.6500001</v>
      </c>
      <c r="U17" s="33">
        <f t="shared" si="0"/>
        <v>1782645395.4399998</v>
      </c>
      <c r="V17" s="33">
        <f t="shared" si="0"/>
        <v>2268191684.0299997</v>
      </c>
      <c r="W17" s="33">
        <f t="shared" si="0"/>
        <v>2040814494.2300003</v>
      </c>
      <c r="X17" s="33">
        <f t="shared" si="0"/>
        <v>2052636261.3399999</v>
      </c>
      <c r="Y17" s="33">
        <f t="shared" si="0"/>
        <v>1820084487.8700001</v>
      </c>
      <c r="Z17" s="33">
        <f t="shared" si="0"/>
        <v>1805186196.54</v>
      </c>
      <c r="AA17" s="33">
        <f t="shared" si="0"/>
        <v>1576784250.97</v>
      </c>
      <c r="AB17" s="33">
        <f t="shared" si="0"/>
        <v>1054018437.67</v>
      </c>
      <c r="AC17" s="33">
        <f t="shared" si="0"/>
        <v>873194762.71000004</v>
      </c>
      <c r="AD17" s="33">
        <f t="shared" si="0"/>
        <v>954680185.75</v>
      </c>
      <c r="AE17" s="33">
        <f t="shared" si="0"/>
        <v>809544856.52999997</v>
      </c>
      <c r="AF17" s="33">
        <f t="shared" si="0"/>
        <v>829614901.82000005</v>
      </c>
      <c r="AG17" s="33">
        <f t="shared" si="0"/>
        <v>773877255.04999995</v>
      </c>
      <c r="AH17" s="33">
        <f t="shared" si="0"/>
        <v>809143541.53999996</v>
      </c>
      <c r="AI17" s="33">
        <f t="shared" si="0"/>
        <v>678805129.55999994</v>
      </c>
      <c r="AJ17" s="33">
        <f t="shared" si="0"/>
        <v>695429835.62</v>
      </c>
      <c r="AK17" s="33">
        <f t="shared" si="0"/>
        <v>706934735.46000004</v>
      </c>
      <c r="AL17" s="33">
        <f t="shared" si="0"/>
        <v>701134777.55000007</v>
      </c>
      <c r="AM17" s="33">
        <f t="shared" si="0"/>
        <v>501812457.24000001</v>
      </c>
      <c r="AN17" s="33">
        <f t="shared" si="0"/>
        <v>534705686.70999998</v>
      </c>
      <c r="AO17" s="33">
        <f t="shared" si="0"/>
        <v>483998298.75</v>
      </c>
      <c r="AP17" s="33">
        <f t="shared" si="0"/>
        <v>471939004.80000001</v>
      </c>
      <c r="AQ17" s="33">
        <f t="shared" si="0"/>
        <v>504966248.72000003</v>
      </c>
      <c r="AR17" s="33">
        <f t="shared" si="0"/>
        <v>415035458.31</v>
      </c>
      <c r="AS17" s="33">
        <f t="shared" si="0"/>
        <v>338228983.93000001</v>
      </c>
      <c r="AT17" s="33">
        <f t="shared" si="0"/>
        <v>466475913.38</v>
      </c>
      <c r="AU17" s="33">
        <f t="shared" si="0"/>
        <v>350319294.61000001</v>
      </c>
      <c r="AV17" s="33">
        <f t="shared" si="0"/>
        <v>262408866.76999998</v>
      </c>
      <c r="AW17" s="33">
        <f t="shared" si="0"/>
        <v>231916393.77000001</v>
      </c>
      <c r="AX17" s="33">
        <f t="shared" si="0"/>
        <v>230292110.24000001</v>
      </c>
      <c r="AY17" s="33">
        <f t="shared" si="0"/>
        <v>239606490.64000002</v>
      </c>
      <c r="AZ17" s="33">
        <f t="shared" si="0"/>
        <v>478880660.77999997</v>
      </c>
      <c r="BA17" s="33">
        <f t="shared" si="0"/>
        <v>365031634.95000005</v>
      </c>
      <c r="BB17" s="33">
        <f t="shared" si="0"/>
        <v>245341636.41999999</v>
      </c>
      <c r="BC17" s="33">
        <f t="shared" si="0"/>
        <v>325215030.62</v>
      </c>
      <c r="BD17" s="33">
        <f t="shared" si="0"/>
        <v>310907557.19</v>
      </c>
      <c r="BE17" s="33">
        <f t="shared" si="0"/>
        <v>397013223.01999998</v>
      </c>
      <c r="BF17" s="33">
        <f t="shared" si="0"/>
        <v>411320662.96000004</v>
      </c>
      <c r="BG17" s="33">
        <f t="shared" si="0"/>
        <v>472121765.80000001</v>
      </c>
      <c r="BH17" s="33">
        <f t="shared" si="0"/>
        <v>432352656.40999997</v>
      </c>
      <c r="BI17" s="33">
        <f t="shared" si="0"/>
        <v>451157452.65999997</v>
      </c>
      <c r="BJ17" s="33">
        <f t="shared" si="0"/>
        <v>508860395.50999999</v>
      </c>
      <c r="BK17" s="33">
        <f t="shared" si="0"/>
        <v>407676923.81999999</v>
      </c>
      <c r="BL17" s="33">
        <f t="shared" si="0"/>
        <v>412936577.91999996</v>
      </c>
      <c r="BM17" s="33">
        <f t="shared" si="0"/>
        <v>518402209.13</v>
      </c>
      <c r="BN17" s="33">
        <f t="shared" si="0"/>
        <v>688874266.04999995</v>
      </c>
      <c r="BO17" s="33">
        <f t="shared" ref="BO17:CK17" si="1">SUM(BO4:BO13)</f>
        <v>744304172.58999991</v>
      </c>
      <c r="BP17" s="33">
        <f t="shared" si="1"/>
        <v>710827958.76999998</v>
      </c>
      <c r="BQ17" s="33">
        <f t="shared" si="1"/>
        <v>732924657.05999994</v>
      </c>
      <c r="BR17" s="33">
        <f t="shared" si="1"/>
        <v>871205319.63999999</v>
      </c>
      <c r="BS17" s="33">
        <f t="shared" si="1"/>
        <v>67127512.590000004</v>
      </c>
      <c r="BT17" s="33">
        <f t="shared" si="1"/>
        <v>74301081.659999996</v>
      </c>
      <c r="BU17" s="33">
        <f t="shared" si="1"/>
        <v>44155475.600000001</v>
      </c>
      <c r="BV17" s="33">
        <f t="shared" si="1"/>
        <v>50317733.219999999</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265598318.37</v>
      </c>
      <c r="C19" s="189">
        <v>241680408.63999999</v>
      </c>
      <c r="D19" s="189">
        <v>236502742.09</v>
      </c>
      <c r="E19" s="189">
        <v>207045491.97</v>
      </c>
      <c r="F19" s="189">
        <v>194880010.28999999</v>
      </c>
      <c r="G19" s="189">
        <v>205669036.63999999</v>
      </c>
      <c r="H19" s="189">
        <v>207219060.93000001</v>
      </c>
      <c r="I19" s="189">
        <v>205101612.72</v>
      </c>
      <c r="J19" s="189">
        <v>212965977.13999999</v>
      </c>
      <c r="K19" s="189">
        <v>171657131.87</v>
      </c>
      <c r="L19" s="189">
        <v>170346402.28</v>
      </c>
      <c r="M19" s="189">
        <v>118202862.25</v>
      </c>
      <c r="N19" s="189">
        <v>115560201.05</v>
      </c>
      <c r="O19" s="189">
        <v>791942039.50999999</v>
      </c>
      <c r="P19" s="189">
        <v>744940292.03999996</v>
      </c>
      <c r="Q19" s="189">
        <v>703752772.44000006</v>
      </c>
      <c r="R19" s="189">
        <v>655310620.20000005</v>
      </c>
      <c r="S19" s="189">
        <v>702282180.88</v>
      </c>
      <c r="T19" s="189">
        <v>675317161.55999994</v>
      </c>
      <c r="U19" s="189">
        <v>633868921.77999997</v>
      </c>
      <c r="V19" s="189">
        <v>598754113.67999995</v>
      </c>
      <c r="W19" s="189">
        <v>561767078.84000003</v>
      </c>
      <c r="X19" s="189">
        <v>543831936.99000001</v>
      </c>
      <c r="Y19" s="189">
        <v>507798192.56</v>
      </c>
      <c r="Z19" s="189">
        <v>481002211.52999997</v>
      </c>
      <c r="AA19" s="189">
        <v>466395831.44</v>
      </c>
      <c r="AB19" s="189">
        <v>387508464.47000003</v>
      </c>
      <c r="AC19" s="189">
        <v>358473350.06</v>
      </c>
      <c r="AD19" s="189">
        <v>341172083.88</v>
      </c>
      <c r="AE19" s="189">
        <v>315011594</v>
      </c>
      <c r="AF19" s="189">
        <v>307724741.49000001</v>
      </c>
      <c r="AG19" s="189">
        <v>292012679.68000001</v>
      </c>
      <c r="AH19" s="189">
        <v>244885572.72999999</v>
      </c>
      <c r="AI19" s="189">
        <v>252299709.12</v>
      </c>
      <c r="AJ19" s="189">
        <v>239813620.88</v>
      </c>
      <c r="AK19" s="189">
        <v>163932913.41999999</v>
      </c>
      <c r="AL19" s="189">
        <v>198436551.91999999</v>
      </c>
      <c r="AM19" s="189">
        <v>170625915.52000001</v>
      </c>
      <c r="AN19" s="189">
        <v>177159526.24000001</v>
      </c>
      <c r="AO19" s="189">
        <v>176249306.83000001</v>
      </c>
      <c r="AP19" s="189">
        <v>175603618.08000001</v>
      </c>
      <c r="AQ19" s="189">
        <v>98140365.739999995</v>
      </c>
      <c r="AR19" s="189">
        <v>103767804.09</v>
      </c>
      <c r="AS19" s="189">
        <v>95057978.010000005</v>
      </c>
      <c r="AT19" s="189">
        <v>108995616.31999999</v>
      </c>
      <c r="AU19" s="189">
        <v>102201474.23</v>
      </c>
      <c r="AV19" s="189">
        <v>99695249.099999994</v>
      </c>
      <c r="AW19" s="189">
        <v>141214351.81999999</v>
      </c>
      <c r="AX19" s="189">
        <v>139813863.02000001</v>
      </c>
      <c r="AY19" s="189">
        <v>146797905.83000001</v>
      </c>
      <c r="AZ19" s="189">
        <v>151320459.31</v>
      </c>
      <c r="BA19" s="189">
        <v>143150804.46000001</v>
      </c>
      <c r="BB19" s="189">
        <v>132635980.97</v>
      </c>
      <c r="BC19" s="189">
        <v>133275752.09</v>
      </c>
      <c r="BD19" s="189">
        <v>137615001.56999999</v>
      </c>
      <c r="BE19" s="189">
        <v>121066935.12</v>
      </c>
      <c r="BF19" s="189">
        <v>120304394.26000001</v>
      </c>
      <c r="BG19" s="189">
        <v>93157156.730000004</v>
      </c>
      <c r="BH19" s="189">
        <v>109272597.03</v>
      </c>
      <c r="BI19" s="189">
        <v>102102723.65000001</v>
      </c>
      <c r="BJ19" s="189">
        <v>96715504.489999995</v>
      </c>
      <c r="BK19" s="189">
        <v>99318235.209999993</v>
      </c>
      <c r="BL19" s="189">
        <v>66036505.789999999</v>
      </c>
      <c r="BM19" s="189">
        <v>65235560.880000003</v>
      </c>
      <c r="BN19" s="189">
        <v>59312928.140000001</v>
      </c>
      <c r="BO19" s="189">
        <v>69028533.200000003</v>
      </c>
      <c r="BP19" s="189">
        <v>11397799.52</v>
      </c>
      <c r="BQ19" s="189">
        <v>11457748.77</v>
      </c>
      <c r="BR19" s="189">
        <v>23389260.390000001</v>
      </c>
      <c r="BS19" s="189">
        <v>16239320.220000001</v>
      </c>
      <c r="BT19" s="189">
        <v>15679775.9</v>
      </c>
      <c r="BU19" s="189">
        <v>10421401.550000001</v>
      </c>
      <c r="BV19" s="189">
        <v>14017346.949999999</v>
      </c>
      <c r="BW19" s="189">
        <v>0</v>
      </c>
      <c r="BX19" s="189"/>
      <c r="BY19" s="189"/>
      <c r="BZ19" s="189"/>
      <c r="CA19" s="189"/>
      <c r="CB19" s="189"/>
      <c r="CC19" s="189"/>
      <c r="CD19" s="189"/>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3036685.48</v>
      </c>
      <c r="C22" s="189">
        <v>14303060.300000001</v>
      </c>
      <c r="D22" s="189">
        <v>7843102.8799999999</v>
      </c>
      <c r="E22" s="189">
        <v>9973526.9800000004</v>
      </c>
      <c r="F22" s="189">
        <v>20939632.32</v>
      </c>
      <c r="G22" s="189">
        <v>11480177.560000001</v>
      </c>
      <c r="H22" s="189">
        <v>16747976.470000001</v>
      </c>
      <c r="I22" s="189">
        <v>30603534.23</v>
      </c>
      <c r="J22" s="189">
        <v>20371000</v>
      </c>
      <c r="K22" s="189">
        <v>55923222.509999998</v>
      </c>
      <c r="L22" s="189">
        <v>40757478.130000003</v>
      </c>
      <c r="M22" s="189">
        <v>1964378.97</v>
      </c>
      <c r="N22" s="189">
        <v>48857212.82</v>
      </c>
      <c r="O22" s="189">
        <v>30967854.109999999</v>
      </c>
      <c r="P22" s="189">
        <v>69935243.959999993</v>
      </c>
      <c r="Q22" s="189">
        <v>12663861.800000001</v>
      </c>
      <c r="R22" s="189">
        <v>46587660.259999998</v>
      </c>
      <c r="S22" s="189">
        <v>79096216.150000006</v>
      </c>
      <c r="T22" s="189">
        <v>85302979.829999998</v>
      </c>
      <c r="U22" s="189">
        <v>8093647.8600000003</v>
      </c>
      <c r="V22" s="189">
        <v>20328564.800000001</v>
      </c>
      <c r="W22" s="189">
        <v>19615185.460000001</v>
      </c>
      <c r="X22" s="189">
        <v>52134549.920000002</v>
      </c>
      <c r="Y22" s="189">
        <v>11037773.050000001</v>
      </c>
      <c r="Z22" s="189">
        <v>40597006.670000002</v>
      </c>
      <c r="AA22" s="189">
        <v>56856770.950000003</v>
      </c>
      <c r="AB22" s="189">
        <v>68339471.290000007</v>
      </c>
      <c r="AC22" s="189">
        <v>73218069.609999999</v>
      </c>
      <c r="AD22" s="189">
        <v>90352249.450000003</v>
      </c>
      <c r="AE22" s="189">
        <v>70670933.819999993</v>
      </c>
      <c r="AF22" s="189">
        <v>55486082.710000001</v>
      </c>
      <c r="AG22" s="189">
        <v>37804230.799999997</v>
      </c>
      <c r="AH22" s="189">
        <v>50765406.259999998</v>
      </c>
      <c r="AI22" s="189">
        <v>21628638.41</v>
      </c>
      <c r="AJ22" s="189">
        <v>41251059.850000001</v>
      </c>
      <c r="AK22" s="189">
        <v>34239048.130000003</v>
      </c>
      <c r="AL22" s="189">
        <v>53718688.600000001</v>
      </c>
      <c r="AM22" s="189">
        <v>40923445.020000003</v>
      </c>
      <c r="AN22" s="189">
        <v>33236874.949999999</v>
      </c>
      <c r="AO22" s="189">
        <v>45090609.490000002</v>
      </c>
      <c r="AP22" s="189">
        <v>53498660.740000002</v>
      </c>
      <c r="AQ22" s="189">
        <v>35766186.329999998</v>
      </c>
      <c r="AR22" s="189">
        <v>27312255.460000001</v>
      </c>
      <c r="AS22" s="189">
        <v>39267318</v>
      </c>
      <c r="AT22" s="189">
        <v>40068285.850000001</v>
      </c>
      <c r="AU22" s="189">
        <v>19112003.100000001</v>
      </c>
      <c r="AV22" s="189">
        <v>36088973.350000001</v>
      </c>
      <c r="AW22" s="189">
        <v>38664432.390000001</v>
      </c>
      <c r="AX22" s="189">
        <v>41046380.210000001</v>
      </c>
      <c r="AY22" s="189">
        <v>20100668.940000001</v>
      </c>
      <c r="AZ22" s="189">
        <v>36363466.950000003</v>
      </c>
      <c r="BA22" s="189">
        <v>96616077.430000007</v>
      </c>
      <c r="BB22" s="189">
        <v>97103346.689999998</v>
      </c>
      <c r="BC22" s="189">
        <v>72240705.489999995</v>
      </c>
      <c r="BD22" s="189">
        <v>34921836.359999999</v>
      </c>
      <c r="BE22" s="189">
        <v>92278327.090000004</v>
      </c>
      <c r="BF22" s="189">
        <v>93032723.819999993</v>
      </c>
      <c r="BG22" s="189">
        <v>56052338.659999996</v>
      </c>
      <c r="BH22" s="189">
        <v>41012167.390000001</v>
      </c>
      <c r="BI22" s="189">
        <v>54063651.479999997</v>
      </c>
      <c r="BJ22" s="189">
        <v>67026767.079999998</v>
      </c>
      <c r="BK22" s="189">
        <v>0</v>
      </c>
      <c r="BL22" s="189">
        <v>27563907.84</v>
      </c>
      <c r="BM22" s="189">
        <v>25752096.670000002</v>
      </c>
      <c r="BN22" s="189">
        <v>32200822.809999999</v>
      </c>
      <c r="BO22" s="189">
        <v>20629716.969999999</v>
      </c>
      <c r="BP22" s="189">
        <v>5520000</v>
      </c>
      <c r="BQ22" s="189">
        <v>19783240.77</v>
      </c>
      <c r="BR22" s="189">
        <v>163590</v>
      </c>
      <c r="BS22" s="189">
        <v>250000</v>
      </c>
      <c r="BT22" s="189">
        <v>1873618.81</v>
      </c>
      <c r="BU22" s="189">
        <v>6024771.0999999996</v>
      </c>
      <c r="BV22" s="189">
        <v>21336004.66</v>
      </c>
      <c r="BW22" s="189">
        <v>0</v>
      </c>
      <c r="BX22" s="189"/>
      <c r="BY22" s="189"/>
      <c r="BZ22" s="189"/>
      <c r="CA22" s="189"/>
      <c r="CB22" s="189"/>
      <c r="CC22" s="189"/>
      <c r="CD22" s="189"/>
      <c r="CE22" s="189"/>
      <c r="CF22" s="189"/>
      <c r="CG22" s="189"/>
      <c r="CH22" s="189"/>
      <c r="CI22" s="189"/>
      <c r="CJ22" s="189"/>
      <c r="CK22" s="189"/>
      <c r="CL22" s="189"/>
    </row>
    <row r="23" spans="1:90" x14ac:dyDescent="0.25">
      <c r="A23" s="17" t="s">
        <v>15</v>
      </c>
      <c r="B23" s="189">
        <v>1161538902.01</v>
      </c>
      <c r="C23" s="189">
        <v>1071323495.49</v>
      </c>
      <c r="D23" s="189">
        <v>1039462670.41</v>
      </c>
      <c r="E23" s="189">
        <v>926859205.88999999</v>
      </c>
      <c r="F23" s="189">
        <v>718667512.76999998</v>
      </c>
      <c r="G23" s="189">
        <v>717343758.27999997</v>
      </c>
      <c r="H23" s="189">
        <v>710087189.00999999</v>
      </c>
      <c r="I23" s="189">
        <v>625465967.98000002</v>
      </c>
      <c r="J23" s="189">
        <v>818245750.38999999</v>
      </c>
      <c r="K23" s="189">
        <v>865088297.17999995</v>
      </c>
      <c r="L23" s="189">
        <v>820613250.25</v>
      </c>
      <c r="M23" s="189">
        <v>762326711.47000003</v>
      </c>
      <c r="N23" s="189">
        <v>838064080.51999998</v>
      </c>
      <c r="O23" s="189">
        <v>850265134.58000004</v>
      </c>
      <c r="P23" s="189">
        <v>660370326.05999994</v>
      </c>
      <c r="Q23" s="189">
        <v>530098698.44</v>
      </c>
      <c r="R23" s="189">
        <v>600220533.16999996</v>
      </c>
      <c r="S23" s="189">
        <v>648204335.92999995</v>
      </c>
      <c r="T23" s="189">
        <v>481437309.20999998</v>
      </c>
      <c r="U23" s="189">
        <v>429072458.13999999</v>
      </c>
      <c r="V23" s="189">
        <v>510360926.35000002</v>
      </c>
      <c r="W23" s="189">
        <v>608478474.13</v>
      </c>
      <c r="X23" s="189">
        <v>547259817.87</v>
      </c>
      <c r="Y23" s="189">
        <v>428395165.35000002</v>
      </c>
      <c r="Z23" s="189">
        <v>438471744.70999998</v>
      </c>
      <c r="AA23" s="189">
        <v>525088512.85000002</v>
      </c>
      <c r="AB23" s="189">
        <v>406566856.75</v>
      </c>
      <c r="AC23" s="189">
        <v>371389926.02999997</v>
      </c>
      <c r="AD23" s="189">
        <v>381102508.83999997</v>
      </c>
      <c r="AE23" s="189">
        <v>460683854.63</v>
      </c>
      <c r="AF23" s="189">
        <v>355606829.05000001</v>
      </c>
      <c r="AG23" s="189">
        <v>263903151.38</v>
      </c>
      <c r="AH23" s="189">
        <v>308881925.83999997</v>
      </c>
      <c r="AI23" s="189">
        <v>389391826.94</v>
      </c>
      <c r="AJ23" s="189">
        <v>313344124.5</v>
      </c>
      <c r="AK23" s="189">
        <v>262583200.74000001</v>
      </c>
      <c r="AL23" s="189">
        <v>283940892.61000001</v>
      </c>
      <c r="AM23" s="189">
        <v>368767136.51999998</v>
      </c>
      <c r="AN23" s="189">
        <v>216074365.28</v>
      </c>
      <c r="AO23" s="189">
        <v>204950354.58000001</v>
      </c>
      <c r="AP23" s="189">
        <v>269568057.99000001</v>
      </c>
      <c r="AQ23" s="189">
        <v>383181346.32999998</v>
      </c>
      <c r="AR23" s="189">
        <v>267050679.30000001</v>
      </c>
      <c r="AS23" s="189">
        <v>204542361.03</v>
      </c>
      <c r="AT23" s="189">
        <v>274670936.41000003</v>
      </c>
      <c r="AU23" s="189">
        <v>304328889.30000001</v>
      </c>
      <c r="AV23" s="189">
        <v>260604368.58000001</v>
      </c>
      <c r="AW23" s="189">
        <v>235232531.90000001</v>
      </c>
      <c r="AX23" s="189">
        <v>317279704.89999998</v>
      </c>
      <c r="AY23" s="189">
        <v>339029137.23000002</v>
      </c>
      <c r="AZ23" s="189">
        <v>259061246.09999999</v>
      </c>
      <c r="BA23" s="189">
        <v>223442257.47</v>
      </c>
      <c r="BB23" s="189">
        <v>400055432.11000001</v>
      </c>
      <c r="BC23" s="189">
        <v>417819644.25999999</v>
      </c>
      <c r="BD23" s="189">
        <v>336316241.29000002</v>
      </c>
      <c r="BE23" s="189">
        <v>286670973.47000003</v>
      </c>
      <c r="BF23" s="189">
        <v>351004515.5</v>
      </c>
      <c r="BG23" s="189">
        <v>369236740.06999999</v>
      </c>
      <c r="BH23" s="189">
        <v>274582737.62</v>
      </c>
      <c r="BI23" s="189">
        <v>279394303.20999998</v>
      </c>
      <c r="BJ23" s="189">
        <v>292915933.70999998</v>
      </c>
      <c r="BK23" s="189">
        <v>351255758.91000003</v>
      </c>
      <c r="BL23" s="189">
        <v>276906342</v>
      </c>
      <c r="BM23" s="189">
        <v>272503052.93000001</v>
      </c>
      <c r="BN23" s="189">
        <v>285889441.01999998</v>
      </c>
      <c r="BO23" s="189">
        <v>297994238.92000002</v>
      </c>
      <c r="BP23" s="189">
        <v>217607846.49000001</v>
      </c>
      <c r="BQ23" s="189">
        <v>242694118.41999999</v>
      </c>
      <c r="BR23" s="189">
        <v>265898290.75999999</v>
      </c>
      <c r="BS23" s="189">
        <v>237690916.34</v>
      </c>
      <c r="BT23" s="189">
        <v>251513721.05000001</v>
      </c>
      <c r="BU23" s="189">
        <v>263926948.97999999</v>
      </c>
      <c r="BV23" s="189">
        <v>281221727.86000001</v>
      </c>
      <c r="BW23" s="189">
        <v>0</v>
      </c>
      <c r="BX23" s="189"/>
      <c r="BY23" s="189"/>
      <c r="BZ23" s="189"/>
      <c r="CA23" s="189"/>
      <c r="CB23" s="189"/>
      <c r="CC23" s="189"/>
      <c r="CD23" s="189"/>
      <c r="CE23" s="189"/>
      <c r="CF23" s="189"/>
      <c r="CG23" s="189"/>
      <c r="CH23" s="189"/>
      <c r="CI23" s="189"/>
      <c r="CJ23" s="189"/>
      <c r="CK23" s="189"/>
      <c r="CL23" s="189"/>
    </row>
    <row r="24" spans="1:90" x14ac:dyDescent="0.25">
      <c r="A24" s="17" t="s">
        <v>16</v>
      </c>
      <c r="B24" s="189">
        <v>99843559.049999997</v>
      </c>
      <c r="C24" s="189">
        <v>92742027.549999997</v>
      </c>
      <c r="D24" s="189">
        <v>86977353.980000004</v>
      </c>
      <c r="E24" s="189">
        <v>63342520.409999996</v>
      </c>
      <c r="F24" s="189">
        <v>83615410.370000005</v>
      </c>
      <c r="G24" s="189">
        <v>100353720.08</v>
      </c>
      <c r="H24" s="189">
        <v>88335566.609999999</v>
      </c>
      <c r="I24" s="189">
        <v>44349125.399999999</v>
      </c>
      <c r="J24" s="189">
        <v>98081077.799999997</v>
      </c>
      <c r="K24" s="189">
        <v>104909353.18000001</v>
      </c>
      <c r="L24" s="189">
        <v>80071130.349999994</v>
      </c>
      <c r="M24" s="189">
        <v>87397123.299999997</v>
      </c>
      <c r="N24" s="189">
        <v>175893858.25</v>
      </c>
      <c r="O24" s="189">
        <v>35146765.369999997</v>
      </c>
      <c r="P24" s="189">
        <v>32135368.07</v>
      </c>
      <c r="Q24" s="189">
        <v>21201490.510000002</v>
      </c>
      <c r="R24" s="189">
        <v>25027966.109999999</v>
      </c>
      <c r="S24" s="189">
        <v>30957022.43</v>
      </c>
      <c r="T24" s="189">
        <v>25118360.800000001</v>
      </c>
      <c r="U24" s="189">
        <v>18980395.699999999</v>
      </c>
      <c r="V24" s="189">
        <v>39547945.740000002</v>
      </c>
      <c r="W24" s="189">
        <v>36813695.770000003</v>
      </c>
      <c r="X24" s="189">
        <v>22438648.77</v>
      </c>
      <c r="Y24" s="189">
        <v>17130682.609999999</v>
      </c>
      <c r="Z24" s="189">
        <v>37560737.25</v>
      </c>
      <c r="AA24" s="189">
        <v>54055442.479999997</v>
      </c>
      <c r="AB24" s="189">
        <v>47475642.630000003</v>
      </c>
      <c r="AC24" s="189">
        <v>28033486.260000002</v>
      </c>
      <c r="AD24" s="189">
        <v>52680897.740000002</v>
      </c>
      <c r="AE24" s="189">
        <v>47404104.5</v>
      </c>
      <c r="AF24" s="189">
        <v>34542988.409999996</v>
      </c>
      <c r="AG24" s="189">
        <v>21666464.399999999</v>
      </c>
      <c r="AH24" s="189">
        <v>7153773.4400000004</v>
      </c>
      <c r="AI24" s="189">
        <v>7567677.3700000001</v>
      </c>
      <c r="AJ24" s="189">
        <v>8886655.3599999994</v>
      </c>
      <c r="AK24" s="189">
        <v>10387531.050000001</v>
      </c>
      <c r="AL24" s="189">
        <v>18272517.620000001</v>
      </c>
      <c r="AM24" s="189">
        <v>7687065.9900000002</v>
      </c>
      <c r="AN24" s="189">
        <v>12032772.68</v>
      </c>
      <c r="AO24" s="189">
        <v>9778255.0800000001</v>
      </c>
      <c r="AP24" s="189">
        <v>17137756.199999999</v>
      </c>
      <c r="AQ24" s="189">
        <v>17812795.489999998</v>
      </c>
      <c r="AR24" s="189">
        <v>41067978.57</v>
      </c>
      <c r="AS24" s="189">
        <v>28376025.25</v>
      </c>
      <c r="AT24" s="189">
        <v>31316541.449999999</v>
      </c>
      <c r="AU24" s="189">
        <v>40504000.57</v>
      </c>
      <c r="AV24" s="189">
        <v>43614093.299999997</v>
      </c>
      <c r="AW24" s="189">
        <v>67415772.430000007</v>
      </c>
      <c r="AX24" s="189">
        <v>3995480.6</v>
      </c>
      <c r="AY24" s="189">
        <v>35316600.380000003</v>
      </c>
      <c r="AZ24" s="189">
        <v>115890962.87</v>
      </c>
      <c r="BA24" s="189">
        <v>140975349.77000001</v>
      </c>
      <c r="BB24" s="189">
        <v>22847040.449999999</v>
      </c>
      <c r="BC24" s="189">
        <v>6255748.8700000001</v>
      </c>
      <c r="BD24" s="189">
        <v>4283996.07</v>
      </c>
      <c r="BE24" s="189">
        <v>12712354.09</v>
      </c>
      <c r="BF24" s="189">
        <v>24059963.550000001</v>
      </c>
      <c r="BG24" s="189">
        <v>22085422.579999998</v>
      </c>
      <c r="BH24" s="189">
        <v>1137188.68</v>
      </c>
      <c r="BI24" s="189">
        <v>14830112.99</v>
      </c>
      <c r="BJ24" s="189">
        <v>1725968.56</v>
      </c>
      <c r="BK24" s="189">
        <v>1302456.6299999999</v>
      </c>
      <c r="BL24" s="189">
        <v>1631980.67</v>
      </c>
      <c r="BM24" s="189">
        <v>6191690.46</v>
      </c>
      <c r="BN24" s="189">
        <v>734808.07</v>
      </c>
      <c r="BO24" s="189">
        <v>141500</v>
      </c>
      <c r="BP24" s="189">
        <v>2000</v>
      </c>
      <c r="BQ24" s="189">
        <v>11825009.720000001</v>
      </c>
      <c r="BR24" s="189">
        <v>5743719.7599999998</v>
      </c>
      <c r="BS24" s="189">
        <v>4248025.5599999996</v>
      </c>
      <c r="BT24" s="189">
        <v>1437670.35</v>
      </c>
      <c r="BU24" s="189">
        <v>1483285.46</v>
      </c>
      <c r="BV24" s="189">
        <v>202979.24</v>
      </c>
      <c r="BW24" s="189">
        <v>0</v>
      </c>
      <c r="BX24" s="189"/>
      <c r="BY24" s="189"/>
      <c r="BZ24" s="189"/>
      <c r="CA24" s="189"/>
      <c r="CB24" s="189"/>
      <c r="CC24" s="189"/>
      <c r="CD24" s="189"/>
      <c r="CE24" s="189"/>
      <c r="CF24" s="189"/>
      <c r="CG24" s="189"/>
      <c r="CH24" s="189"/>
      <c r="CI24" s="189"/>
      <c r="CJ24" s="189"/>
      <c r="CK24" s="189"/>
      <c r="CL24" s="189"/>
    </row>
    <row r="25" spans="1:90" x14ac:dyDescent="0.25">
      <c r="A25" s="17" t="s">
        <v>17</v>
      </c>
      <c r="B25" s="189">
        <v>63727590.939999998</v>
      </c>
      <c r="C25" s="189">
        <v>53772323.810000002</v>
      </c>
      <c r="D25" s="189">
        <v>53565348.18</v>
      </c>
      <c r="E25" s="189">
        <v>63576669.93</v>
      </c>
      <c r="F25" s="189">
        <v>70181368.030000001</v>
      </c>
      <c r="G25" s="189">
        <v>71843796.010000005</v>
      </c>
      <c r="H25" s="189">
        <v>102012328.06</v>
      </c>
      <c r="I25" s="189">
        <v>101602383.77</v>
      </c>
      <c r="J25" s="189">
        <v>90965249.019999996</v>
      </c>
      <c r="K25" s="189">
        <v>80248695.609999999</v>
      </c>
      <c r="L25" s="189">
        <v>66052675.119999997</v>
      </c>
      <c r="M25" s="189">
        <v>413150516.70999998</v>
      </c>
      <c r="N25" s="189">
        <v>45739232.799999997</v>
      </c>
      <c r="O25" s="189">
        <v>32591555.5</v>
      </c>
      <c r="P25" s="189">
        <v>27723817.73</v>
      </c>
      <c r="Q25" s="189">
        <v>24957170.739999998</v>
      </c>
      <c r="R25" s="189">
        <v>34489097.810000002</v>
      </c>
      <c r="S25" s="189">
        <v>22101594.559999999</v>
      </c>
      <c r="T25" s="189">
        <v>25945601.93</v>
      </c>
      <c r="U25" s="189">
        <v>22797949.780000001</v>
      </c>
      <c r="V25" s="189">
        <v>41851186.409999996</v>
      </c>
      <c r="W25" s="189">
        <v>46235316.93</v>
      </c>
      <c r="X25" s="189">
        <v>40799191.43</v>
      </c>
      <c r="Y25" s="189">
        <v>37102505.990000002</v>
      </c>
      <c r="Z25" s="189">
        <v>33217122.309999999</v>
      </c>
      <c r="AA25" s="189">
        <v>45040918.079999998</v>
      </c>
      <c r="AB25" s="189">
        <v>28509685.780000001</v>
      </c>
      <c r="AC25" s="189">
        <v>22966422.030000001</v>
      </c>
      <c r="AD25" s="189">
        <v>27242767.93</v>
      </c>
      <c r="AE25" s="189">
        <v>27549416.800000001</v>
      </c>
      <c r="AF25" s="189">
        <v>52242385.25</v>
      </c>
      <c r="AG25" s="189">
        <v>19916090.449999999</v>
      </c>
      <c r="AH25" s="189">
        <v>39502564.200000003</v>
      </c>
      <c r="AI25" s="189">
        <v>49903018.299999997</v>
      </c>
      <c r="AJ25" s="189">
        <v>23170481.359999999</v>
      </c>
      <c r="AK25" s="189">
        <v>17223546.199999999</v>
      </c>
      <c r="AL25" s="189">
        <v>21488185.440000001</v>
      </c>
      <c r="AM25" s="189">
        <v>27098067.620000001</v>
      </c>
      <c r="AN25" s="189">
        <v>24788748.359999999</v>
      </c>
      <c r="AO25" s="189">
        <v>16993339.75</v>
      </c>
      <c r="AP25" s="189">
        <v>28038458.640000001</v>
      </c>
      <c r="AQ25" s="189">
        <v>48530508.479999997</v>
      </c>
      <c r="AR25" s="189">
        <v>49215204.170000002</v>
      </c>
      <c r="AS25" s="189">
        <v>46979367.890000001</v>
      </c>
      <c r="AT25" s="189">
        <v>59806003.25</v>
      </c>
      <c r="AU25" s="189">
        <v>64510640.979999997</v>
      </c>
      <c r="AV25" s="189">
        <v>53182678.039999999</v>
      </c>
      <c r="AW25" s="189">
        <v>59337226.170000002</v>
      </c>
      <c r="AX25" s="189">
        <v>122332600.56999999</v>
      </c>
      <c r="AY25" s="189">
        <v>122133476.94</v>
      </c>
      <c r="AZ25" s="189">
        <v>117283759.78</v>
      </c>
      <c r="BA25" s="189">
        <v>88484208.099999994</v>
      </c>
      <c r="BB25" s="189">
        <v>95813012.969999999</v>
      </c>
      <c r="BC25" s="189">
        <v>116700975.98</v>
      </c>
      <c r="BD25" s="189">
        <v>107439940.8</v>
      </c>
      <c r="BE25" s="189">
        <v>114530241.23</v>
      </c>
      <c r="BF25" s="189">
        <v>102306821.69</v>
      </c>
      <c r="BG25" s="189">
        <v>98014137.120000005</v>
      </c>
      <c r="BH25" s="189">
        <v>75140382.849999994</v>
      </c>
      <c r="BI25" s="189">
        <v>72782982.519999996</v>
      </c>
      <c r="BJ25" s="189">
        <v>43729613.799999997</v>
      </c>
      <c r="BK25" s="189">
        <v>46206931.539999999</v>
      </c>
      <c r="BL25" s="189">
        <v>38856911.329999998</v>
      </c>
      <c r="BM25" s="189">
        <v>36569624.310000002</v>
      </c>
      <c r="BN25" s="189">
        <v>30873993.550000001</v>
      </c>
      <c r="BO25" s="189">
        <v>29159060.809999999</v>
      </c>
      <c r="BP25" s="189">
        <v>23178123.579999998</v>
      </c>
      <c r="BQ25" s="189">
        <v>24183931.960000001</v>
      </c>
      <c r="BR25" s="189">
        <v>25721451.489999998</v>
      </c>
      <c r="BS25" s="189">
        <v>25626689.789999999</v>
      </c>
      <c r="BT25" s="189">
        <v>53094348.039999999</v>
      </c>
      <c r="BU25" s="189">
        <v>77310513.980000004</v>
      </c>
      <c r="BV25" s="189">
        <v>43538670.460000001</v>
      </c>
      <c r="BW25" s="189">
        <v>0</v>
      </c>
      <c r="BX25" s="189"/>
      <c r="BY25" s="189"/>
      <c r="BZ25" s="189"/>
      <c r="CA25" s="189"/>
      <c r="CB25" s="189"/>
      <c r="CC25" s="189"/>
      <c r="CD25" s="189"/>
      <c r="CE25" s="189"/>
      <c r="CF25" s="189"/>
      <c r="CG25" s="189"/>
      <c r="CH25" s="189"/>
      <c r="CI25" s="189"/>
      <c r="CJ25" s="189"/>
      <c r="CK25" s="189"/>
      <c r="CL25" s="189"/>
    </row>
    <row r="26" spans="1:90" x14ac:dyDescent="0.25">
      <c r="A26" s="17" t="s">
        <v>18</v>
      </c>
      <c r="B26" s="189">
        <v>1045304760.2</v>
      </c>
      <c r="C26" s="189">
        <v>994403572.28999996</v>
      </c>
      <c r="D26" s="189">
        <v>868341267.04999995</v>
      </c>
      <c r="E26" s="189">
        <v>750415795.02999997</v>
      </c>
      <c r="F26" s="189">
        <v>591039967.70000005</v>
      </c>
      <c r="G26" s="189">
        <v>636878882.95000005</v>
      </c>
      <c r="H26" s="189">
        <v>631180644.24000001</v>
      </c>
      <c r="I26" s="189">
        <v>593697312.38999999</v>
      </c>
      <c r="J26" s="189">
        <v>683246190.65999997</v>
      </c>
      <c r="K26" s="189">
        <v>634597095.58000004</v>
      </c>
      <c r="L26" s="189">
        <v>724307054.13999999</v>
      </c>
      <c r="M26" s="189">
        <v>677108151.61000001</v>
      </c>
      <c r="N26" s="189">
        <v>703293294.42999995</v>
      </c>
      <c r="O26" s="189">
        <v>677960534.10000002</v>
      </c>
      <c r="P26" s="189">
        <v>621816314.36000001</v>
      </c>
      <c r="Q26" s="189">
        <v>524448318.06</v>
      </c>
      <c r="R26" s="189">
        <v>495236558.51999998</v>
      </c>
      <c r="S26" s="189">
        <v>484403802.22000003</v>
      </c>
      <c r="T26" s="189">
        <v>469474644.88</v>
      </c>
      <c r="U26" s="189">
        <v>436564132.48000002</v>
      </c>
      <c r="V26" s="189">
        <v>385275930.97000003</v>
      </c>
      <c r="W26" s="189">
        <v>401334108.26999998</v>
      </c>
      <c r="X26" s="189">
        <v>357715646.44999999</v>
      </c>
      <c r="Y26" s="189">
        <v>374977924.24000001</v>
      </c>
      <c r="Z26" s="189">
        <v>390655393.66000003</v>
      </c>
      <c r="AA26" s="189">
        <v>414402030.64999998</v>
      </c>
      <c r="AB26" s="189">
        <v>373135455.63</v>
      </c>
      <c r="AC26" s="189">
        <v>398644823.11000001</v>
      </c>
      <c r="AD26" s="189">
        <v>295599970.01999998</v>
      </c>
      <c r="AE26" s="189">
        <v>348340307.41000003</v>
      </c>
      <c r="AF26" s="189">
        <v>287437718.31999999</v>
      </c>
      <c r="AG26" s="189">
        <v>317515496.18000001</v>
      </c>
      <c r="AH26" s="189">
        <v>328487017.25999999</v>
      </c>
      <c r="AI26" s="189">
        <v>340879302.25</v>
      </c>
      <c r="AJ26" s="189">
        <v>263056206.49000001</v>
      </c>
      <c r="AK26" s="189">
        <v>267955613.59999999</v>
      </c>
      <c r="AL26" s="189">
        <v>248789834.56999999</v>
      </c>
      <c r="AM26" s="189">
        <v>283555156.91000003</v>
      </c>
      <c r="AN26" s="189">
        <v>353386353.68000001</v>
      </c>
      <c r="AO26" s="189">
        <v>334628555.87</v>
      </c>
      <c r="AP26" s="189">
        <v>237681828.58000001</v>
      </c>
      <c r="AQ26" s="189">
        <v>335379001.69999999</v>
      </c>
      <c r="AR26" s="189">
        <v>292487837.72000003</v>
      </c>
      <c r="AS26" s="189">
        <v>256119303.94999999</v>
      </c>
      <c r="AT26" s="189">
        <v>266069487.00999999</v>
      </c>
      <c r="AU26" s="189">
        <v>281673799.39999998</v>
      </c>
      <c r="AV26" s="189">
        <v>303704997.63</v>
      </c>
      <c r="AW26" s="189">
        <v>251840064.31999999</v>
      </c>
      <c r="AX26" s="189">
        <v>236053895.34</v>
      </c>
      <c r="AY26" s="189">
        <v>257643283.52000001</v>
      </c>
      <c r="AZ26" s="189">
        <v>235212757.56</v>
      </c>
      <c r="BA26" s="189">
        <v>207341977.61000001</v>
      </c>
      <c r="BB26" s="189">
        <v>219724881.36000001</v>
      </c>
      <c r="BC26" s="189">
        <v>228744037.25</v>
      </c>
      <c r="BD26" s="189">
        <v>263374915.52000001</v>
      </c>
      <c r="BE26" s="189">
        <v>205628983.91</v>
      </c>
      <c r="BF26" s="189">
        <v>210722466.72999999</v>
      </c>
      <c r="BG26" s="189">
        <v>200828800.37</v>
      </c>
      <c r="BH26" s="189">
        <v>192157521.25</v>
      </c>
      <c r="BI26" s="189">
        <v>178420120.31999999</v>
      </c>
      <c r="BJ26" s="189">
        <v>197296087.06999999</v>
      </c>
      <c r="BK26" s="189">
        <v>198311663.02000001</v>
      </c>
      <c r="BL26" s="189">
        <v>203550687.59</v>
      </c>
      <c r="BM26" s="189">
        <v>201549744.49000001</v>
      </c>
      <c r="BN26" s="189">
        <v>203104633.53999999</v>
      </c>
      <c r="BO26" s="189">
        <v>203775573.43000001</v>
      </c>
      <c r="BP26" s="189">
        <v>195530577.11000001</v>
      </c>
      <c r="BQ26" s="189">
        <v>150205880.24000001</v>
      </c>
      <c r="BR26" s="189">
        <v>180217252.00999999</v>
      </c>
      <c r="BS26" s="189">
        <v>133358001.56999999</v>
      </c>
      <c r="BT26" s="189">
        <v>152707697.31999999</v>
      </c>
      <c r="BU26" s="189">
        <v>162908716.36000001</v>
      </c>
      <c r="BV26" s="189">
        <v>184340512.91999999</v>
      </c>
      <c r="BW26" s="189">
        <v>0</v>
      </c>
      <c r="BX26" s="189"/>
      <c r="BY26" s="189"/>
      <c r="BZ26" s="189"/>
      <c r="CA26" s="189"/>
      <c r="CB26" s="189"/>
      <c r="CC26" s="189"/>
      <c r="CD26" s="189"/>
      <c r="CE26" s="189"/>
      <c r="CF26" s="189"/>
      <c r="CG26" s="189"/>
      <c r="CH26" s="189"/>
      <c r="CI26" s="189"/>
      <c r="CJ26" s="189"/>
      <c r="CK26" s="189"/>
      <c r="CL26" s="189"/>
    </row>
    <row r="27" spans="1:90" x14ac:dyDescent="0.25">
      <c r="A27" s="17" t="s">
        <v>19</v>
      </c>
      <c r="B27" s="189">
        <v>1442442658.9000001</v>
      </c>
      <c r="C27" s="189">
        <v>1432160642.75</v>
      </c>
      <c r="D27" s="189">
        <v>1259240573.9200001</v>
      </c>
      <c r="E27" s="189">
        <v>1224867524.5</v>
      </c>
      <c r="F27" s="189">
        <v>2506699692.7199998</v>
      </c>
      <c r="G27" s="189">
        <v>2051804285.3</v>
      </c>
      <c r="H27" s="189">
        <v>1874056686.8800001</v>
      </c>
      <c r="I27" s="189">
        <v>1686962576.54</v>
      </c>
      <c r="J27" s="189">
        <v>1230004557.53</v>
      </c>
      <c r="K27" s="189">
        <v>1166547509.53</v>
      </c>
      <c r="L27" s="189">
        <v>1521337737.78</v>
      </c>
      <c r="M27" s="189">
        <v>1507133583.53</v>
      </c>
      <c r="N27" s="189">
        <v>1334196534.26</v>
      </c>
      <c r="O27" s="189">
        <v>784510958.90999997</v>
      </c>
      <c r="P27" s="189">
        <v>363661428.39999998</v>
      </c>
      <c r="Q27" s="189">
        <v>516295593.33999997</v>
      </c>
      <c r="R27" s="189">
        <v>481191933.45999998</v>
      </c>
      <c r="S27" s="189">
        <v>317877383.88999999</v>
      </c>
      <c r="T27" s="189">
        <v>461358865.30000001</v>
      </c>
      <c r="U27" s="189">
        <v>635744535.66999996</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143402.57</v>
      </c>
      <c r="BS27" s="189">
        <v>0</v>
      </c>
      <c r="BT27" s="189">
        <v>0</v>
      </c>
      <c r="BU27" s="189">
        <v>0</v>
      </c>
      <c r="BV27" s="189">
        <v>0</v>
      </c>
      <c r="BW27" s="189">
        <v>0</v>
      </c>
      <c r="BX27" s="189"/>
      <c r="BY27" s="189"/>
      <c r="BZ27" s="189"/>
      <c r="CA27" s="189"/>
      <c r="CB27" s="189"/>
      <c r="CC27" s="189"/>
      <c r="CD27" s="189"/>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c r="BY28" s="189"/>
      <c r="BZ28" s="189"/>
      <c r="CA28" s="189"/>
      <c r="CB28" s="189"/>
      <c r="CC28" s="189"/>
      <c r="CD28" s="189"/>
      <c r="CE28" s="189"/>
      <c r="CF28" s="189"/>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1000</v>
      </c>
      <c r="BG29" s="189">
        <v>1000</v>
      </c>
      <c r="BH29" s="189">
        <v>1000</v>
      </c>
      <c r="BI29" s="189">
        <v>2000</v>
      </c>
      <c r="BJ29" s="189">
        <v>0</v>
      </c>
      <c r="BK29" s="189">
        <v>0</v>
      </c>
      <c r="BL29" s="189">
        <v>0</v>
      </c>
      <c r="BM29" s="189">
        <v>0</v>
      </c>
      <c r="BN29" s="189">
        <v>0</v>
      </c>
      <c r="BO29" s="189">
        <v>0</v>
      </c>
      <c r="BP29" s="189">
        <v>0</v>
      </c>
      <c r="BQ29" s="189">
        <v>0</v>
      </c>
      <c r="BR29" s="189">
        <v>0</v>
      </c>
      <c r="BS29" s="189">
        <v>3000</v>
      </c>
      <c r="BT29" s="189">
        <v>0</v>
      </c>
      <c r="BU29" s="189">
        <v>0</v>
      </c>
      <c r="BV29" s="189">
        <v>0</v>
      </c>
      <c r="BW29" s="189">
        <v>0</v>
      </c>
      <c r="BX29" s="189"/>
      <c r="BY29" s="189"/>
      <c r="BZ29" s="189"/>
      <c r="CA29" s="189"/>
      <c r="CB29" s="189"/>
      <c r="CC29" s="189"/>
      <c r="CD29" s="189"/>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3815894156.5800004</v>
      </c>
      <c r="C33" s="35">
        <f t="shared" ref="C33:BN33" si="2">SUM(C22:C29)</f>
        <v>3658705122.1899996</v>
      </c>
      <c r="D33" s="35">
        <f t="shared" si="2"/>
        <v>3315430316.4200001</v>
      </c>
      <c r="E33" s="35">
        <f t="shared" si="2"/>
        <v>3039035242.7399998</v>
      </c>
      <c r="F33" s="35">
        <f t="shared" si="2"/>
        <v>3991143583.9099998</v>
      </c>
      <c r="G33" s="35">
        <f t="shared" si="2"/>
        <v>3589704620.1800003</v>
      </c>
      <c r="H33" s="35">
        <f t="shared" si="2"/>
        <v>3422420391.2700005</v>
      </c>
      <c r="I33" s="35">
        <f t="shared" si="2"/>
        <v>3082680900.3099999</v>
      </c>
      <c r="J33" s="35">
        <f t="shared" si="2"/>
        <v>2940913825.3999996</v>
      </c>
      <c r="K33" s="35">
        <f t="shared" si="2"/>
        <v>2907314173.5900002</v>
      </c>
      <c r="L33" s="35">
        <f t="shared" si="2"/>
        <v>3253139325.77</v>
      </c>
      <c r="M33" s="35">
        <f t="shared" si="2"/>
        <v>3449080465.5900002</v>
      </c>
      <c r="N33" s="35">
        <f t="shared" si="2"/>
        <v>3146044213.0799999</v>
      </c>
      <c r="O33" s="35">
        <f t="shared" si="2"/>
        <v>2411442802.5700002</v>
      </c>
      <c r="P33" s="35">
        <f t="shared" si="2"/>
        <v>1775642498.5799999</v>
      </c>
      <c r="Q33" s="35">
        <f t="shared" si="2"/>
        <v>1629665132.8899999</v>
      </c>
      <c r="R33" s="35">
        <f t="shared" si="2"/>
        <v>1682753749.3299999</v>
      </c>
      <c r="S33" s="35">
        <f t="shared" si="2"/>
        <v>1582640355.1799998</v>
      </c>
      <c r="T33" s="35">
        <f t="shared" si="2"/>
        <v>1548637761.9499998</v>
      </c>
      <c r="U33" s="35">
        <f t="shared" si="2"/>
        <v>1551253119.6300001</v>
      </c>
      <c r="V33" s="35">
        <f t="shared" si="2"/>
        <v>997364554.26999998</v>
      </c>
      <c r="W33" s="35">
        <f t="shared" si="2"/>
        <v>1112476780.5599999</v>
      </c>
      <c r="X33" s="35">
        <f t="shared" si="2"/>
        <v>1020347854.4399998</v>
      </c>
      <c r="Y33" s="35">
        <f t="shared" si="2"/>
        <v>868644051.24000001</v>
      </c>
      <c r="Z33" s="35">
        <f t="shared" si="2"/>
        <v>940502004.5999999</v>
      </c>
      <c r="AA33" s="35">
        <f t="shared" si="2"/>
        <v>1095443675.0100002</v>
      </c>
      <c r="AB33" s="35">
        <f t="shared" si="2"/>
        <v>924027112.08000004</v>
      </c>
      <c r="AC33" s="35">
        <f t="shared" si="2"/>
        <v>894252727.03999996</v>
      </c>
      <c r="AD33" s="35">
        <f t="shared" si="2"/>
        <v>846978393.9799999</v>
      </c>
      <c r="AE33" s="35">
        <f t="shared" si="2"/>
        <v>954648617.16000009</v>
      </c>
      <c r="AF33" s="35">
        <f t="shared" si="2"/>
        <v>785316003.74000001</v>
      </c>
      <c r="AG33" s="35">
        <f t="shared" si="2"/>
        <v>660805433.21000004</v>
      </c>
      <c r="AH33" s="35">
        <f t="shared" si="2"/>
        <v>734790687</v>
      </c>
      <c r="AI33" s="35">
        <f t="shared" si="2"/>
        <v>809370463.26999998</v>
      </c>
      <c r="AJ33" s="35">
        <f t="shared" si="2"/>
        <v>649708527.56000006</v>
      </c>
      <c r="AK33" s="35">
        <f t="shared" si="2"/>
        <v>592388939.72000003</v>
      </c>
      <c r="AL33" s="35">
        <f t="shared" si="2"/>
        <v>626210118.84000003</v>
      </c>
      <c r="AM33" s="35">
        <f t="shared" si="2"/>
        <v>728030872.05999994</v>
      </c>
      <c r="AN33" s="35">
        <f t="shared" si="2"/>
        <v>639519114.95000005</v>
      </c>
      <c r="AO33" s="35">
        <f t="shared" si="2"/>
        <v>611441114.76999998</v>
      </c>
      <c r="AP33" s="35">
        <f t="shared" si="2"/>
        <v>605924762.14999998</v>
      </c>
      <c r="AQ33" s="35">
        <f t="shared" si="2"/>
        <v>820669838.32999992</v>
      </c>
      <c r="AR33" s="35">
        <f t="shared" si="2"/>
        <v>677133955.22000003</v>
      </c>
      <c r="AS33" s="35">
        <f t="shared" si="2"/>
        <v>575284376.11999989</v>
      </c>
      <c r="AT33" s="35">
        <f t="shared" si="2"/>
        <v>671931253.97000003</v>
      </c>
      <c r="AU33" s="35">
        <f t="shared" si="2"/>
        <v>710129333.35000002</v>
      </c>
      <c r="AV33" s="35">
        <f t="shared" si="2"/>
        <v>697195110.9000001</v>
      </c>
      <c r="AW33" s="35">
        <f t="shared" si="2"/>
        <v>652490027.21000004</v>
      </c>
      <c r="AX33" s="35">
        <f t="shared" si="2"/>
        <v>720708061.62</v>
      </c>
      <c r="AY33" s="35">
        <f t="shared" si="2"/>
        <v>774223167.00999999</v>
      </c>
      <c r="AZ33" s="35">
        <f t="shared" si="2"/>
        <v>763812193.25999999</v>
      </c>
      <c r="BA33" s="35">
        <f t="shared" si="2"/>
        <v>756859870.38</v>
      </c>
      <c r="BB33" s="35">
        <f t="shared" si="2"/>
        <v>835543713.58000004</v>
      </c>
      <c r="BC33" s="35">
        <f t="shared" si="2"/>
        <v>841761111.85000002</v>
      </c>
      <c r="BD33" s="35">
        <f t="shared" si="2"/>
        <v>746336930.04000008</v>
      </c>
      <c r="BE33" s="35">
        <f t="shared" si="2"/>
        <v>711820879.79000008</v>
      </c>
      <c r="BF33" s="35">
        <f t="shared" si="2"/>
        <v>781127491.28999996</v>
      </c>
      <c r="BG33" s="35">
        <f t="shared" si="2"/>
        <v>746218438.80000007</v>
      </c>
      <c r="BH33" s="35">
        <f t="shared" si="2"/>
        <v>584030997.78999996</v>
      </c>
      <c r="BI33" s="35">
        <f t="shared" si="2"/>
        <v>599493170.51999998</v>
      </c>
      <c r="BJ33" s="35">
        <f t="shared" si="2"/>
        <v>602694370.22000003</v>
      </c>
      <c r="BK33" s="35">
        <f t="shared" si="2"/>
        <v>597076810.10000002</v>
      </c>
      <c r="BL33" s="35">
        <f t="shared" si="2"/>
        <v>548509829.42999995</v>
      </c>
      <c r="BM33" s="35">
        <f t="shared" si="2"/>
        <v>542566208.86000001</v>
      </c>
      <c r="BN33" s="35">
        <f t="shared" si="2"/>
        <v>552803698.99000001</v>
      </c>
      <c r="BO33" s="35">
        <f t="shared" ref="BO33:CK33" si="3">SUM(BO22:BO29)</f>
        <v>551700090.13</v>
      </c>
      <c r="BP33" s="35">
        <f t="shared" si="3"/>
        <v>441838547.18000001</v>
      </c>
      <c r="BQ33" s="35">
        <f t="shared" si="3"/>
        <v>448692181.11000001</v>
      </c>
      <c r="BR33" s="35">
        <f t="shared" si="3"/>
        <v>477887706.58999997</v>
      </c>
      <c r="BS33" s="35">
        <f t="shared" si="3"/>
        <v>401176633.25999999</v>
      </c>
      <c r="BT33" s="35">
        <f t="shared" si="3"/>
        <v>460627055.56999999</v>
      </c>
      <c r="BU33" s="35">
        <f t="shared" si="3"/>
        <v>511654235.88</v>
      </c>
      <c r="BV33" s="35">
        <f t="shared" si="3"/>
        <v>530639895.13999999</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0</v>
      </c>
      <c r="D35" s="189">
        <v>0</v>
      </c>
      <c r="E35" s="189">
        <v>0</v>
      </c>
      <c r="F35" s="189">
        <v>0</v>
      </c>
      <c r="G35" s="189">
        <v>0</v>
      </c>
      <c r="H35" s="189">
        <v>0</v>
      </c>
      <c r="I35" s="189">
        <v>0</v>
      </c>
      <c r="J35" s="189">
        <v>0</v>
      </c>
      <c r="K35" s="189">
        <v>0</v>
      </c>
      <c r="L35" s="189">
        <v>0</v>
      </c>
      <c r="M35" s="189">
        <v>0</v>
      </c>
      <c r="N35" s="189">
        <v>0</v>
      </c>
      <c r="O35" s="189">
        <v>0</v>
      </c>
      <c r="P35" s="189">
        <v>0</v>
      </c>
      <c r="Q35" s="189">
        <v>0</v>
      </c>
      <c r="R35" s="189">
        <v>0</v>
      </c>
      <c r="S35" s="189">
        <v>0</v>
      </c>
      <c r="T35" s="189">
        <v>0</v>
      </c>
      <c r="U35" s="189">
        <v>0</v>
      </c>
      <c r="V35" s="189">
        <v>0</v>
      </c>
      <c r="W35" s="189">
        <v>0</v>
      </c>
      <c r="X35" s="189">
        <v>0</v>
      </c>
      <c r="Y35" s="189">
        <v>0</v>
      </c>
      <c r="Z35" s="189">
        <v>0</v>
      </c>
      <c r="AA35" s="189">
        <v>0</v>
      </c>
      <c r="AB35" s="189">
        <v>0</v>
      </c>
      <c r="AC35" s="189">
        <v>0</v>
      </c>
      <c r="AD35" s="189">
        <v>0</v>
      </c>
      <c r="AE35" s="189">
        <v>0</v>
      </c>
      <c r="AF35" s="189">
        <v>0</v>
      </c>
      <c r="AG35" s="189">
        <v>0</v>
      </c>
      <c r="AH35" s="189">
        <v>0</v>
      </c>
      <c r="AI35" s="189">
        <v>0</v>
      </c>
      <c r="AJ35" s="189">
        <v>0</v>
      </c>
      <c r="AK35" s="189">
        <v>179484.46</v>
      </c>
      <c r="AL35" s="189">
        <v>2652817.4</v>
      </c>
      <c r="AM35" s="189">
        <v>8331526.7400000002</v>
      </c>
      <c r="AN35" s="189">
        <v>3189909.81</v>
      </c>
      <c r="AO35" s="189">
        <v>1806145.52</v>
      </c>
      <c r="AP35" s="189">
        <v>3930719.7</v>
      </c>
      <c r="AQ35" s="189">
        <v>22382287.59</v>
      </c>
      <c r="AR35" s="189">
        <v>16240672.1</v>
      </c>
      <c r="AS35" s="189">
        <v>0</v>
      </c>
      <c r="AT35" s="189">
        <v>4737750</v>
      </c>
      <c r="AU35" s="189">
        <v>7096935</v>
      </c>
      <c r="AV35" s="189">
        <v>7497050.4000000004</v>
      </c>
      <c r="AW35" s="189">
        <v>47730</v>
      </c>
      <c r="AX35" s="189">
        <v>40980</v>
      </c>
      <c r="AY35" s="189">
        <v>172299.2</v>
      </c>
      <c r="AZ35" s="189">
        <v>173070.88</v>
      </c>
      <c r="BA35" s="189">
        <v>63360</v>
      </c>
      <c r="BB35" s="189">
        <v>125294.39999999999</v>
      </c>
      <c r="BC35" s="189">
        <v>58220.800000000003</v>
      </c>
      <c r="BD35" s="189">
        <v>52384</v>
      </c>
      <c r="BE35" s="189">
        <v>24993589.760000002</v>
      </c>
      <c r="BF35" s="189">
        <v>20000000</v>
      </c>
      <c r="BG35" s="189">
        <v>1073076.8999999999</v>
      </c>
      <c r="BH35" s="189">
        <v>3574525.6</v>
      </c>
      <c r="BI35" s="189">
        <v>14142468.67</v>
      </c>
      <c r="BJ35" s="189">
        <v>8866517.3399999999</v>
      </c>
      <c r="BK35" s="189">
        <v>8324359.96</v>
      </c>
      <c r="BL35" s="189">
        <v>0</v>
      </c>
      <c r="BM35" s="189">
        <v>5054049.07</v>
      </c>
      <c r="BN35" s="189">
        <v>10054049.07</v>
      </c>
      <c r="BO35" s="189">
        <v>12837268.449999999</v>
      </c>
      <c r="BP35" s="189">
        <v>0</v>
      </c>
      <c r="BQ35" s="189">
        <v>11913222.710000001</v>
      </c>
      <c r="BR35" s="189">
        <v>12488946.75</v>
      </c>
      <c r="BS35" s="189">
        <v>2997406.92</v>
      </c>
      <c r="BT35" s="189">
        <v>4352450.2699999996</v>
      </c>
      <c r="BU35" s="189">
        <v>13111309.720000001</v>
      </c>
      <c r="BV35" s="189">
        <v>8475117.5099999998</v>
      </c>
      <c r="BW35" s="189">
        <v>0</v>
      </c>
      <c r="BX35" s="189"/>
      <c r="BY35" s="189"/>
      <c r="BZ35" s="189"/>
      <c r="CA35" s="189"/>
      <c r="CB35" s="189"/>
      <c r="CC35" s="189"/>
      <c r="CD35" s="189"/>
      <c r="CE35" s="189"/>
      <c r="CF35" s="189"/>
      <c r="CG35" s="189"/>
      <c r="CH35" s="189"/>
      <c r="CI35" s="189"/>
      <c r="CJ35" s="189"/>
      <c r="CK35" s="189"/>
      <c r="CL35" s="189"/>
    </row>
    <row r="36" spans="1:90" x14ac:dyDescent="0.25">
      <c r="A36" s="17" t="s">
        <v>22</v>
      </c>
      <c r="B36" s="189">
        <v>0</v>
      </c>
      <c r="C36" s="189">
        <v>1017239375.79</v>
      </c>
      <c r="D36" s="189">
        <v>794390376.94000006</v>
      </c>
      <c r="E36" s="189">
        <v>683904842.53999996</v>
      </c>
      <c r="F36" s="189">
        <v>559455975.95000005</v>
      </c>
      <c r="G36" s="189">
        <v>636219414.97000003</v>
      </c>
      <c r="H36" s="189">
        <v>469702537.42000002</v>
      </c>
      <c r="I36" s="189">
        <v>484733751.25999999</v>
      </c>
      <c r="J36" s="189">
        <v>613850993.04999995</v>
      </c>
      <c r="K36" s="189">
        <v>580085781.88</v>
      </c>
      <c r="L36" s="189">
        <v>649348022.95000005</v>
      </c>
      <c r="M36" s="189">
        <v>640800112.34000003</v>
      </c>
      <c r="N36" s="189">
        <v>667358433.35000002</v>
      </c>
      <c r="O36" s="189">
        <v>658799188.14999998</v>
      </c>
      <c r="P36" s="189">
        <v>589611825.79999995</v>
      </c>
      <c r="Q36" s="189">
        <v>495068514.01999998</v>
      </c>
      <c r="R36" s="189">
        <v>553926479.95000005</v>
      </c>
      <c r="S36" s="189">
        <v>526689966.17000002</v>
      </c>
      <c r="T36" s="189">
        <v>463928499.85000002</v>
      </c>
      <c r="U36" s="189">
        <v>372896753.17000002</v>
      </c>
      <c r="V36" s="189">
        <v>468369017.11000001</v>
      </c>
      <c r="W36" s="189">
        <v>550107977.66999996</v>
      </c>
      <c r="X36" s="189">
        <v>481253487.94999999</v>
      </c>
      <c r="Y36" s="189">
        <v>463849428.88</v>
      </c>
      <c r="Z36" s="189">
        <v>464507635.95999998</v>
      </c>
      <c r="AA36" s="189">
        <v>470298606.48000002</v>
      </c>
      <c r="AB36" s="189">
        <v>425566303.91000003</v>
      </c>
      <c r="AC36" s="189">
        <v>359221154.98000002</v>
      </c>
      <c r="AD36" s="189">
        <v>372951056.26999998</v>
      </c>
      <c r="AE36" s="189">
        <v>455939815.92000002</v>
      </c>
      <c r="AF36" s="189">
        <v>308077885.43000001</v>
      </c>
      <c r="AG36" s="189">
        <v>301876960.72000003</v>
      </c>
      <c r="AH36" s="189">
        <v>376658349.91000003</v>
      </c>
      <c r="AI36" s="189">
        <v>443185090.64999998</v>
      </c>
      <c r="AJ36" s="189">
        <v>282245010.50999999</v>
      </c>
      <c r="AK36" s="189">
        <v>294841584.30000001</v>
      </c>
      <c r="AL36" s="189">
        <v>359529781.72000003</v>
      </c>
      <c r="AM36" s="189">
        <v>289535171.75</v>
      </c>
      <c r="AN36" s="189">
        <v>244204844.46000001</v>
      </c>
      <c r="AO36" s="189">
        <v>267980282.78</v>
      </c>
      <c r="AP36" s="189">
        <v>249769331.30000001</v>
      </c>
      <c r="AQ36" s="189">
        <v>377357784.80000001</v>
      </c>
      <c r="AR36" s="189">
        <v>251509642.75</v>
      </c>
      <c r="AS36" s="189">
        <v>216691418.78</v>
      </c>
      <c r="AT36" s="189">
        <v>315981117.94</v>
      </c>
      <c r="AU36" s="189">
        <v>313439046.80000001</v>
      </c>
      <c r="AV36" s="189">
        <v>253062470.53</v>
      </c>
      <c r="AW36" s="189">
        <v>248084322.33000001</v>
      </c>
      <c r="AX36" s="189">
        <v>275834547.79000002</v>
      </c>
      <c r="AY36" s="189">
        <v>258027524.13</v>
      </c>
      <c r="AZ36" s="189">
        <v>175955760.19</v>
      </c>
      <c r="BA36" s="189">
        <v>186640662.88999999</v>
      </c>
      <c r="BB36" s="189">
        <v>216547190.41999999</v>
      </c>
      <c r="BC36" s="189">
        <v>239558488.94999999</v>
      </c>
      <c r="BD36" s="189">
        <v>216637447.80000001</v>
      </c>
      <c r="BE36" s="189">
        <v>213096133.43000001</v>
      </c>
      <c r="BF36" s="189">
        <v>225383401.69999999</v>
      </c>
      <c r="BG36" s="189">
        <v>231776253.02000001</v>
      </c>
      <c r="BH36" s="189">
        <v>131885056.47</v>
      </c>
      <c r="BI36" s="189">
        <v>163397705.53</v>
      </c>
      <c r="BJ36" s="189">
        <v>212263126.03999999</v>
      </c>
      <c r="BK36" s="189">
        <v>201395500.86000001</v>
      </c>
      <c r="BL36" s="189">
        <v>94407947.689999998</v>
      </c>
      <c r="BM36" s="189">
        <v>165333437.05000001</v>
      </c>
      <c r="BN36" s="189">
        <v>257346286.09</v>
      </c>
      <c r="BO36" s="189">
        <v>283253135.61000001</v>
      </c>
      <c r="BP36" s="189">
        <v>160442512.65000001</v>
      </c>
      <c r="BQ36" s="189">
        <v>164960678.91999999</v>
      </c>
      <c r="BR36" s="189">
        <v>291594335.35000002</v>
      </c>
      <c r="BS36" s="189">
        <v>179621723.43000001</v>
      </c>
      <c r="BT36" s="189">
        <v>195144486.06</v>
      </c>
      <c r="BU36" s="189">
        <v>206247022.88999999</v>
      </c>
      <c r="BV36" s="189">
        <v>190753780.08000001</v>
      </c>
      <c r="BW36" s="189">
        <v>0</v>
      </c>
      <c r="BX36" s="189"/>
      <c r="BY36" s="189"/>
      <c r="BZ36" s="189"/>
      <c r="CA36" s="189"/>
      <c r="CB36" s="189"/>
      <c r="CC36" s="189"/>
      <c r="CD36" s="189"/>
      <c r="CE36" s="189"/>
      <c r="CF36" s="189"/>
      <c r="CG36" s="189"/>
      <c r="CH36" s="189"/>
      <c r="CI36" s="189"/>
      <c r="CJ36" s="189"/>
      <c r="CK36" s="189"/>
      <c r="CL36" s="189"/>
    </row>
    <row r="37" spans="1:90" x14ac:dyDescent="0.25">
      <c r="A37" s="17" t="s">
        <v>23</v>
      </c>
      <c r="B37" s="189">
        <v>110382017.04000001</v>
      </c>
      <c r="C37" s="189">
        <v>93466887.689999998</v>
      </c>
      <c r="D37" s="189">
        <v>99741957.560000002</v>
      </c>
      <c r="E37" s="189">
        <v>85056770.069999993</v>
      </c>
      <c r="F37" s="189">
        <v>75566607.530000001</v>
      </c>
      <c r="G37" s="189">
        <v>106060821.06</v>
      </c>
      <c r="H37" s="189">
        <v>119600232.38</v>
      </c>
      <c r="I37" s="189">
        <v>92139977.810000002</v>
      </c>
      <c r="J37" s="189">
        <v>91107375.459999993</v>
      </c>
      <c r="K37" s="189">
        <v>91224958.370000005</v>
      </c>
      <c r="L37" s="189">
        <v>95782840.049999997</v>
      </c>
      <c r="M37" s="189">
        <v>80443685.299999997</v>
      </c>
      <c r="N37" s="189">
        <v>71819781.780000001</v>
      </c>
      <c r="O37" s="189">
        <v>79939454.840000004</v>
      </c>
      <c r="P37" s="189">
        <v>104543354.45</v>
      </c>
      <c r="Q37" s="189">
        <v>91430054.239999995</v>
      </c>
      <c r="R37" s="189">
        <v>67409375.709999993</v>
      </c>
      <c r="S37" s="189">
        <v>79345503.239999995</v>
      </c>
      <c r="T37" s="189">
        <v>120916691.23</v>
      </c>
      <c r="U37" s="189">
        <v>88255114.849999994</v>
      </c>
      <c r="V37" s="189">
        <v>79393189.180000007</v>
      </c>
      <c r="W37" s="189">
        <v>66510151.75</v>
      </c>
      <c r="X37" s="189">
        <v>48943026.600000001</v>
      </c>
      <c r="Y37" s="189">
        <v>67909348.219999999</v>
      </c>
      <c r="Z37" s="189">
        <v>64400009.990000002</v>
      </c>
      <c r="AA37" s="189">
        <v>64489184.340000004</v>
      </c>
      <c r="AB37" s="189">
        <v>50017482</v>
      </c>
      <c r="AC37" s="189">
        <v>62966575.200000003</v>
      </c>
      <c r="AD37" s="189">
        <v>57449822.880000003</v>
      </c>
      <c r="AE37" s="189">
        <v>58696619.969999999</v>
      </c>
      <c r="AF37" s="189">
        <v>79172498.5</v>
      </c>
      <c r="AG37" s="189">
        <v>41596665.979999997</v>
      </c>
      <c r="AH37" s="189">
        <v>37723107.329999998</v>
      </c>
      <c r="AI37" s="189">
        <v>41085311.810000002</v>
      </c>
      <c r="AJ37" s="189">
        <v>57823454.200000003</v>
      </c>
      <c r="AK37" s="189">
        <v>27492817.629999999</v>
      </c>
      <c r="AL37" s="189">
        <v>23119612.48</v>
      </c>
      <c r="AM37" s="189">
        <v>21616115.48</v>
      </c>
      <c r="AN37" s="189">
        <v>65182227.340000004</v>
      </c>
      <c r="AO37" s="189">
        <v>24177986.25</v>
      </c>
      <c r="AP37" s="189">
        <v>18269005.09</v>
      </c>
      <c r="AQ37" s="189">
        <v>19436000.02</v>
      </c>
      <c r="AR37" s="189">
        <v>66447971.229999997</v>
      </c>
      <c r="AS37" s="189">
        <v>17723099.850000001</v>
      </c>
      <c r="AT37" s="189">
        <v>21859111.140000001</v>
      </c>
      <c r="AU37" s="189">
        <v>18299406.629999999</v>
      </c>
      <c r="AV37" s="189">
        <v>35844793.689999998</v>
      </c>
      <c r="AW37" s="189">
        <v>57456925.609999999</v>
      </c>
      <c r="AX37" s="189">
        <v>33902020.409999996</v>
      </c>
      <c r="AY37" s="189">
        <v>47033925.130000003</v>
      </c>
      <c r="AZ37" s="189">
        <v>54575615.07</v>
      </c>
      <c r="BA37" s="189">
        <v>23103623.93</v>
      </c>
      <c r="BB37" s="189">
        <v>20381623.379999999</v>
      </c>
      <c r="BC37" s="189">
        <v>16721125.210000001</v>
      </c>
      <c r="BD37" s="189">
        <v>14244225.300000001</v>
      </c>
      <c r="BE37" s="189">
        <v>10920628.74</v>
      </c>
      <c r="BF37" s="189">
        <v>7436419.5599999996</v>
      </c>
      <c r="BG37" s="189">
        <v>11537127.279999999</v>
      </c>
      <c r="BH37" s="189">
        <v>5163810.46</v>
      </c>
      <c r="BI37" s="189">
        <v>4620829.82</v>
      </c>
      <c r="BJ37" s="189">
        <v>3900736.07</v>
      </c>
      <c r="BK37" s="189">
        <v>2006018.11</v>
      </c>
      <c r="BL37" s="189">
        <v>378348</v>
      </c>
      <c r="BM37" s="189">
        <v>1844706.59</v>
      </c>
      <c r="BN37" s="189">
        <v>386180.67</v>
      </c>
      <c r="BO37" s="189">
        <v>334845.3</v>
      </c>
      <c r="BP37" s="189">
        <v>68084.56</v>
      </c>
      <c r="BQ37" s="189">
        <v>4866236.18</v>
      </c>
      <c r="BR37" s="189">
        <v>248147.95</v>
      </c>
      <c r="BS37" s="189">
        <v>3936188.18</v>
      </c>
      <c r="BT37" s="189">
        <v>2464102.19</v>
      </c>
      <c r="BU37" s="189">
        <v>5088855.46</v>
      </c>
      <c r="BV37" s="189">
        <v>4654517.8</v>
      </c>
      <c r="BW37" s="189">
        <v>0</v>
      </c>
      <c r="BX37" s="189"/>
      <c r="BY37" s="189"/>
      <c r="BZ37" s="189"/>
      <c r="CA37" s="189"/>
      <c r="CB37" s="189"/>
      <c r="CC37" s="189"/>
      <c r="CD37" s="189"/>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c r="BY38" s="189"/>
      <c r="BZ38" s="189"/>
      <c r="CA38" s="189"/>
      <c r="CB38" s="189"/>
      <c r="CC38" s="189"/>
      <c r="CD38" s="189"/>
      <c r="CE38" s="189"/>
      <c r="CF38" s="189"/>
      <c r="CG38" s="189"/>
      <c r="CH38" s="189"/>
      <c r="CI38" s="189"/>
      <c r="CJ38" s="189"/>
      <c r="CK38" s="189"/>
      <c r="CL38" s="189"/>
    </row>
    <row r="39" spans="1:90" x14ac:dyDescent="0.25">
      <c r="A39" s="17" t="s">
        <v>25</v>
      </c>
      <c r="B39" s="189">
        <v>144803788.71000001</v>
      </c>
      <c r="C39" s="189">
        <v>114190944.22</v>
      </c>
      <c r="D39" s="189">
        <v>134060475.37</v>
      </c>
      <c r="E39" s="189">
        <v>155125294.97999999</v>
      </c>
      <c r="F39" s="189">
        <v>71441880.969999999</v>
      </c>
      <c r="G39" s="189">
        <v>56090466.090000004</v>
      </c>
      <c r="H39" s="189">
        <v>39405878.5</v>
      </c>
      <c r="I39" s="189">
        <v>82613607.129999995</v>
      </c>
      <c r="J39" s="189">
        <v>55994670.140000001</v>
      </c>
      <c r="K39" s="189">
        <v>43541746.619999997</v>
      </c>
      <c r="L39" s="189">
        <v>26936401.280000001</v>
      </c>
      <c r="M39" s="189">
        <v>75742913.209999993</v>
      </c>
      <c r="N39" s="189">
        <v>45475442.950000003</v>
      </c>
      <c r="O39" s="189">
        <v>33829566.369999997</v>
      </c>
      <c r="P39" s="189">
        <v>21563543.579999998</v>
      </c>
      <c r="Q39" s="189">
        <v>57586070.060000002</v>
      </c>
      <c r="R39" s="189">
        <v>34361998.939999998</v>
      </c>
      <c r="S39" s="189">
        <v>24388960.559999999</v>
      </c>
      <c r="T39" s="189">
        <v>13679903.390000001</v>
      </c>
      <c r="U39" s="189">
        <v>34745259.469999999</v>
      </c>
      <c r="V39" s="189">
        <v>31981780.079999998</v>
      </c>
      <c r="W39" s="189">
        <v>32718653.73</v>
      </c>
      <c r="X39" s="189">
        <v>32400005.59</v>
      </c>
      <c r="Y39" s="189">
        <v>33186661.739999998</v>
      </c>
      <c r="Z39" s="189">
        <v>22502859.039999999</v>
      </c>
      <c r="AA39" s="189">
        <v>22472228.079999998</v>
      </c>
      <c r="AB39" s="189">
        <v>21972370.350000001</v>
      </c>
      <c r="AC39" s="189">
        <v>22166920.489999998</v>
      </c>
      <c r="AD39" s="189">
        <v>10479916.85</v>
      </c>
      <c r="AE39" s="189">
        <v>10410540.91</v>
      </c>
      <c r="AF39" s="189">
        <v>498525.56</v>
      </c>
      <c r="AG39" s="189">
        <v>15809050.9</v>
      </c>
      <c r="AH39" s="189">
        <v>385326.68</v>
      </c>
      <c r="AI39" s="189">
        <v>870827.98</v>
      </c>
      <c r="AJ39" s="189">
        <v>534672.42000000004</v>
      </c>
      <c r="AK39" s="189">
        <v>404508.01</v>
      </c>
      <c r="AL39" s="189">
        <v>560696.76</v>
      </c>
      <c r="AM39" s="189">
        <v>1022405.14</v>
      </c>
      <c r="AN39" s="189">
        <v>634143.86</v>
      </c>
      <c r="AO39" s="189">
        <v>458145.11</v>
      </c>
      <c r="AP39" s="189">
        <v>2444475.52</v>
      </c>
      <c r="AQ39" s="189">
        <v>3873035.15</v>
      </c>
      <c r="AR39" s="189">
        <v>1117939.3899999999</v>
      </c>
      <c r="AS39" s="189">
        <v>1289025.5</v>
      </c>
      <c r="AT39" s="189">
        <v>16810652.02</v>
      </c>
      <c r="AU39" s="189">
        <v>19065159</v>
      </c>
      <c r="AV39" s="189">
        <v>20527952.73</v>
      </c>
      <c r="AW39" s="189">
        <v>19545152.579999998</v>
      </c>
      <c r="AX39" s="189">
        <v>18035858.510000002</v>
      </c>
      <c r="AY39" s="189">
        <v>16683045.119999999</v>
      </c>
      <c r="AZ39" s="189">
        <v>15340070.050000001</v>
      </c>
      <c r="BA39" s="189">
        <v>15551842.74</v>
      </c>
      <c r="BB39" s="189">
        <v>14664238.779999999</v>
      </c>
      <c r="BC39" s="189">
        <v>14719540.08</v>
      </c>
      <c r="BD39" s="189">
        <v>14844190.48</v>
      </c>
      <c r="BE39" s="189">
        <v>16011115.41</v>
      </c>
      <c r="BF39" s="189">
        <v>15186192.92</v>
      </c>
      <c r="BG39" s="189">
        <v>15696459.68</v>
      </c>
      <c r="BH39" s="189">
        <v>15914371.65</v>
      </c>
      <c r="BI39" s="189">
        <v>16188272.32</v>
      </c>
      <c r="BJ39" s="189">
        <v>16591660.369999999</v>
      </c>
      <c r="BK39" s="189">
        <v>17458824.460000001</v>
      </c>
      <c r="BL39" s="189">
        <v>15734138.859999999</v>
      </c>
      <c r="BM39" s="189">
        <v>16835599.239999998</v>
      </c>
      <c r="BN39" s="189">
        <v>18086300.75</v>
      </c>
      <c r="BO39" s="189">
        <v>16184027.789999999</v>
      </c>
      <c r="BP39" s="189">
        <v>13330687.460000001</v>
      </c>
      <c r="BQ39" s="189">
        <v>12935377.640000001</v>
      </c>
      <c r="BR39" s="189">
        <v>17845813.77</v>
      </c>
      <c r="BS39" s="189">
        <v>15625017.5</v>
      </c>
      <c r="BT39" s="189">
        <v>15552103.52</v>
      </c>
      <c r="BU39" s="189">
        <v>13728720.710000001</v>
      </c>
      <c r="BV39" s="189">
        <v>11725441.92</v>
      </c>
      <c r="BW39" s="189">
        <v>0</v>
      </c>
      <c r="BX39" s="189"/>
      <c r="BY39" s="189"/>
      <c r="BZ39" s="189"/>
      <c r="CA39" s="189"/>
      <c r="CB39" s="189"/>
      <c r="CC39" s="189"/>
      <c r="CD39" s="189"/>
      <c r="CE39" s="189"/>
      <c r="CF39" s="189"/>
      <c r="CG39" s="189"/>
      <c r="CH39" s="189"/>
      <c r="CI39" s="189"/>
      <c r="CJ39" s="189"/>
      <c r="CK39" s="189"/>
      <c r="CL39" s="189"/>
    </row>
    <row r="40" spans="1:90" x14ac:dyDescent="0.25">
      <c r="A40" s="17" t="s">
        <v>26</v>
      </c>
      <c r="B40" s="189">
        <v>173153526.40000001</v>
      </c>
      <c r="C40" s="189">
        <v>158852998.55000001</v>
      </c>
      <c r="D40" s="189">
        <v>274211456.94999999</v>
      </c>
      <c r="E40" s="189">
        <v>159427541.59</v>
      </c>
      <c r="F40" s="189">
        <v>109050198.08</v>
      </c>
      <c r="G40" s="189">
        <v>102314411.62</v>
      </c>
      <c r="H40" s="189">
        <v>98072567.329999998</v>
      </c>
      <c r="I40" s="189">
        <v>66376374.299999997</v>
      </c>
      <c r="J40" s="189">
        <v>145400015.83000001</v>
      </c>
      <c r="K40" s="189">
        <v>127006111.01000001</v>
      </c>
      <c r="L40" s="189">
        <v>523920434.85000002</v>
      </c>
      <c r="M40" s="189">
        <v>443323856.76999998</v>
      </c>
      <c r="N40" s="189">
        <v>133306385.31</v>
      </c>
      <c r="O40" s="189">
        <v>133598574.03</v>
      </c>
      <c r="P40" s="189">
        <v>133400893.69</v>
      </c>
      <c r="Q40" s="189">
        <v>169589110.94999999</v>
      </c>
      <c r="R40" s="189">
        <v>146724183.02000001</v>
      </c>
      <c r="S40" s="189">
        <v>102658326.63</v>
      </c>
      <c r="T40" s="189">
        <v>189097747.16999999</v>
      </c>
      <c r="U40" s="189">
        <v>119213427.01000001</v>
      </c>
      <c r="V40" s="189">
        <v>113723683.94</v>
      </c>
      <c r="W40" s="189">
        <v>135269629.40000001</v>
      </c>
      <c r="X40" s="189">
        <v>133813532.43000001</v>
      </c>
      <c r="Y40" s="189">
        <v>120100595.09</v>
      </c>
      <c r="Z40" s="189">
        <v>144481608.88</v>
      </c>
      <c r="AA40" s="189">
        <v>129705284.78</v>
      </c>
      <c r="AB40" s="189">
        <v>103809736.53</v>
      </c>
      <c r="AC40" s="189">
        <v>80297463.530000001</v>
      </c>
      <c r="AD40" s="189">
        <v>75394508.129999995</v>
      </c>
      <c r="AE40" s="189">
        <v>89796975.420000002</v>
      </c>
      <c r="AF40" s="189">
        <v>122084036.22</v>
      </c>
      <c r="AG40" s="189">
        <v>82546694.719999999</v>
      </c>
      <c r="AH40" s="189">
        <v>44707917.659999996</v>
      </c>
      <c r="AI40" s="189">
        <v>69400895.650000006</v>
      </c>
      <c r="AJ40" s="189">
        <v>95200993.599999994</v>
      </c>
      <c r="AK40" s="189">
        <v>53183486.869999997</v>
      </c>
      <c r="AL40" s="189">
        <v>40765000.920000002</v>
      </c>
      <c r="AM40" s="189">
        <v>63992297.68</v>
      </c>
      <c r="AN40" s="189">
        <v>63371631.450000003</v>
      </c>
      <c r="AO40" s="189">
        <v>46018578.689999998</v>
      </c>
      <c r="AP40" s="189">
        <v>43600147.469999999</v>
      </c>
      <c r="AQ40" s="189">
        <v>58060809.759999998</v>
      </c>
      <c r="AR40" s="189">
        <v>67821557.409999996</v>
      </c>
      <c r="AS40" s="189">
        <v>29966568.989999998</v>
      </c>
      <c r="AT40" s="189">
        <v>36565315.82</v>
      </c>
      <c r="AU40" s="189">
        <v>39982023.899999999</v>
      </c>
      <c r="AV40" s="189">
        <v>41622853.68</v>
      </c>
      <c r="AW40" s="189">
        <v>15900826.640000001</v>
      </c>
      <c r="AX40" s="189">
        <v>27521611.25</v>
      </c>
      <c r="AY40" s="189">
        <v>21568111.440000001</v>
      </c>
      <c r="AZ40" s="189">
        <v>33438490.34</v>
      </c>
      <c r="BA40" s="189">
        <v>13642765.970000001</v>
      </c>
      <c r="BB40" s="189">
        <v>16436905.02</v>
      </c>
      <c r="BC40" s="189">
        <v>19092469.32</v>
      </c>
      <c r="BD40" s="189">
        <v>3779716.04</v>
      </c>
      <c r="BE40" s="189">
        <v>8004074.7000000002</v>
      </c>
      <c r="BF40" s="189">
        <v>7545549.6399999997</v>
      </c>
      <c r="BG40" s="189">
        <v>6651402.8300000001</v>
      </c>
      <c r="BH40" s="189">
        <v>4222813.2699999996</v>
      </c>
      <c r="BI40" s="189">
        <v>5657050.7699999996</v>
      </c>
      <c r="BJ40" s="189">
        <v>3242870.87</v>
      </c>
      <c r="BK40" s="189">
        <v>7888274.9699999997</v>
      </c>
      <c r="BL40" s="189">
        <v>-4086993.9</v>
      </c>
      <c r="BM40" s="189">
        <v>-2308033.9500000002</v>
      </c>
      <c r="BN40" s="189">
        <v>-2753404.26</v>
      </c>
      <c r="BO40" s="189">
        <v>890400.17</v>
      </c>
      <c r="BP40" s="189">
        <v>-2914836.42</v>
      </c>
      <c r="BQ40" s="189">
        <v>1908048.16</v>
      </c>
      <c r="BR40" s="189">
        <v>-355770.79</v>
      </c>
      <c r="BS40" s="189">
        <v>3054533.72</v>
      </c>
      <c r="BT40" s="189">
        <v>2391938.4700000002</v>
      </c>
      <c r="BU40" s="189">
        <v>-3330904.73</v>
      </c>
      <c r="BV40" s="189">
        <v>1129442.28</v>
      </c>
      <c r="BW40" s="189">
        <v>0</v>
      </c>
      <c r="BX40" s="189"/>
      <c r="BY40" s="189"/>
      <c r="BZ40" s="189"/>
      <c r="CA40" s="189"/>
      <c r="CB40" s="189"/>
      <c r="CC40" s="189"/>
      <c r="CD40" s="189"/>
      <c r="CE40" s="189"/>
      <c r="CF40" s="189"/>
      <c r="CG40" s="189"/>
      <c r="CH40" s="189"/>
      <c r="CI40" s="189"/>
      <c r="CJ40" s="189"/>
      <c r="CK40" s="189"/>
      <c r="CL40" s="189"/>
    </row>
    <row r="41" spans="1:90" x14ac:dyDescent="0.25">
      <c r="A41" s="17" t="s">
        <v>27</v>
      </c>
      <c r="B41" s="189">
        <v>1619014341.0799999</v>
      </c>
      <c r="C41" s="189">
        <v>1593011322.3599999</v>
      </c>
      <c r="D41" s="189">
        <v>1409738854.55</v>
      </c>
      <c r="E41" s="189">
        <v>1391326249.74</v>
      </c>
      <c r="F41" s="189">
        <v>1146907373.05</v>
      </c>
      <c r="G41" s="189">
        <v>1184834200.5999999</v>
      </c>
      <c r="H41" s="189">
        <v>1180257853.8399999</v>
      </c>
      <c r="I41" s="189">
        <v>1139822677.95</v>
      </c>
      <c r="J41" s="189">
        <v>1058324657.97</v>
      </c>
      <c r="K41" s="189">
        <v>976006536.13</v>
      </c>
      <c r="L41" s="189">
        <v>827523671.53999996</v>
      </c>
      <c r="M41" s="189">
        <v>837376171.20000005</v>
      </c>
      <c r="N41" s="189">
        <v>892992330.61000001</v>
      </c>
      <c r="O41" s="189">
        <v>761054733.46000004</v>
      </c>
      <c r="P41" s="189">
        <v>935050250.90999997</v>
      </c>
      <c r="Q41" s="189">
        <v>758139036.21000004</v>
      </c>
      <c r="R41" s="189">
        <v>683046276.47000003</v>
      </c>
      <c r="S41" s="189">
        <v>608530510.08000004</v>
      </c>
      <c r="T41" s="189">
        <v>627745502.00999999</v>
      </c>
      <c r="U41" s="189">
        <v>441540057.29000002</v>
      </c>
      <c r="V41" s="189">
        <v>434632382.12</v>
      </c>
      <c r="W41" s="189">
        <v>342672481.93000001</v>
      </c>
      <c r="X41" s="189">
        <v>447274798.63</v>
      </c>
      <c r="Y41" s="189">
        <v>209488531.15000001</v>
      </c>
      <c r="Z41" s="189">
        <v>426781709.68000001</v>
      </c>
      <c r="AA41" s="189">
        <v>307359846.83999997</v>
      </c>
      <c r="AB41" s="189">
        <v>297045456.10000002</v>
      </c>
      <c r="AC41" s="189">
        <v>227459065.41999999</v>
      </c>
      <c r="AD41" s="189">
        <v>369117133.57999998</v>
      </c>
      <c r="AE41" s="189">
        <v>288675005.47000003</v>
      </c>
      <c r="AF41" s="189">
        <v>210280716.49000001</v>
      </c>
      <c r="AG41" s="189">
        <v>143745028.38</v>
      </c>
      <c r="AH41" s="189">
        <v>248903941.62</v>
      </c>
      <c r="AI41" s="189">
        <v>161997973.44999999</v>
      </c>
      <c r="AJ41" s="189">
        <v>131777464.5</v>
      </c>
      <c r="AK41" s="189">
        <v>99426888.489999995</v>
      </c>
      <c r="AL41" s="189">
        <v>185666928.22</v>
      </c>
      <c r="AM41" s="189">
        <v>156872252.59999999</v>
      </c>
      <c r="AN41" s="189">
        <v>94826546.230000004</v>
      </c>
      <c r="AO41" s="189">
        <v>89622289.099999994</v>
      </c>
      <c r="AP41" s="189">
        <v>168565672.80000001</v>
      </c>
      <c r="AQ41" s="189">
        <v>146152964.21000001</v>
      </c>
      <c r="AR41" s="189">
        <v>117115954.23</v>
      </c>
      <c r="AS41" s="189">
        <v>106662052.41</v>
      </c>
      <c r="AT41" s="189">
        <v>220908844.47</v>
      </c>
      <c r="AU41" s="189">
        <v>144335950.75</v>
      </c>
      <c r="AV41" s="189">
        <v>99114971.900000006</v>
      </c>
      <c r="AW41" s="189">
        <v>113305251.16</v>
      </c>
      <c r="AX41" s="189">
        <v>175006776.91999999</v>
      </c>
      <c r="AY41" s="189">
        <v>149802132.46000001</v>
      </c>
      <c r="AZ41" s="189">
        <v>96172454.180000007</v>
      </c>
      <c r="BA41" s="189">
        <v>90349690.420000002</v>
      </c>
      <c r="BB41" s="189">
        <v>94084660.450000003</v>
      </c>
      <c r="BC41" s="189">
        <v>106010206.45999999</v>
      </c>
      <c r="BD41" s="189">
        <v>83814582.450000003</v>
      </c>
      <c r="BE41" s="189">
        <v>82017017.609999999</v>
      </c>
      <c r="BF41" s="189">
        <v>69436175.049999997</v>
      </c>
      <c r="BG41" s="189">
        <v>61818665.969999999</v>
      </c>
      <c r="BH41" s="189">
        <v>52199926.68</v>
      </c>
      <c r="BI41" s="189">
        <v>61938784.899999999</v>
      </c>
      <c r="BJ41" s="189">
        <v>59724806.479999997</v>
      </c>
      <c r="BK41" s="189">
        <v>54282552.32</v>
      </c>
      <c r="BL41" s="189">
        <v>33333680.829999998</v>
      </c>
      <c r="BM41" s="189">
        <v>65107049.039999999</v>
      </c>
      <c r="BN41" s="189">
        <v>70671595.290000007</v>
      </c>
      <c r="BO41" s="189">
        <v>70528388.290000007</v>
      </c>
      <c r="BP41" s="189">
        <v>54424834.909999996</v>
      </c>
      <c r="BQ41" s="189">
        <v>65237713.640000001</v>
      </c>
      <c r="BR41" s="189">
        <v>50350577.5</v>
      </c>
      <c r="BS41" s="189">
        <v>47475349.020000003</v>
      </c>
      <c r="BT41" s="189">
        <v>31412635.140000001</v>
      </c>
      <c r="BU41" s="189">
        <v>49207620.670000002</v>
      </c>
      <c r="BV41" s="189">
        <v>72136949.909999996</v>
      </c>
      <c r="BW41" s="189">
        <v>0</v>
      </c>
      <c r="BX41" s="189"/>
      <c r="BY41" s="189"/>
      <c r="BZ41" s="189"/>
      <c r="CA41" s="189"/>
      <c r="CB41" s="189"/>
      <c r="CC41" s="189"/>
      <c r="CD41" s="189"/>
      <c r="CE41" s="189"/>
      <c r="CF41" s="189"/>
      <c r="CG41" s="189"/>
      <c r="CH41" s="189"/>
      <c r="CI41" s="189"/>
      <c r="CJ41" s="189"/>
      <c r="CK41" s="189"/>
      <c r="CL41" s="189"/>
    </row>
    <row r="42" spans="1:90" s="39" customFormat="1" x14ac:dyDescent="0.25">
      <c r="A42" s="124" t="s">
        <v>28</v>
      </c>
      <c r="B42" s="189">
        <v>89624119.269999996</v>
      </c>
      <c r="C42" s="189">
        <v>78677520.430000007</v>
      </c>
      <c r="D42" s="189">
        <v>71024218.609999999</v>
      </c>
      <c r="E42" s="189">
        <v>62398030.259999998</v>
      </c>
      <c r="F42" s="189">
        <v>10723671.82</v>
      </c>
      <c r="G42" s="189">
        <v>10285051.460000001</v>
      </c>
      <c r="H42" s="189">
        <v>2312589.21</v>
      </c>
      <c r="I42" s="189">
        <v>1776165.53</v>
      </c>
      <c r="J42" s="189">
        <v>7445323.96</v>
      </c>
      <c r="K42" s="189">
        <v>8267829.9000000004</v>
      </c>
      <c r="L42" s="189">
        <v>10404285.810000001</v>
      </c>
      <c r="M42" s="189">
        <v>12847549.470000001</v>
      </c>
      <c r="N42" s="189">
        <v>13786958.220000001</v>
      </c>
      <c r="O42" s="189">
        <v>18581304.84</v>
      </c>
      <c r="P42" s="189">
        <v>16811250.280000001</v>
      </c>
      <c r="Q42" s="189">
        <v>11823960.220000001</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c r="BY42" s="189"/>
      <c r="BZ42" s="189"/>
      <c r="CA42" s="189"/>
      <c r="CB42" s="189"/>
      <c r="CC42" s="189"/>
      <c r="CD42" s="189"/>
      <c r="CE42" s="189"/>
      <c r="CF42" s="189"/>
      <c r="CG42" s="189"/>
      <c r="CH42" s="189"/>
      <c r="CI42" s="189"/>
      <c r="CJ42" s="189"/>
      <c r="CK42" s="189"/>
      <c r="CL42" s="189"/>
    </row>
    <row r="43" spans="1:90" x14ac:dyDescent="0.25">
      <c r="A43" s="17" t="s">
        <v>29</v>
      </c>
      <c r="B43" s="189">
        <v>410740403.06999999</v>
      </c>
      <c r="C43" s="189">
        <v>351034846.79000002</v>
      </c>
      <c r="D43" s="189">
        <v>463456063.79000002</v>
      </c>
      <c r="E43" s="189">
        <v>483766426.69</v>
      </c>
      <c r="F43" s="189">
        <v>485736585.33999997</v>
      </c>
      <c r="G43" s="189">
        <v>489134796.27999997</v>
      </c>
      <c r="H43" s="189">
        <v>493523128.31999999</v>
      </c>
      <c r="I43" s="189">
        <v>462354543.31999999</v>
      </c>
      <c r="J43" s="189">
        <v>467539865.88</v>
      </c>
      <c r="K43" s="189">
        <v>423425293.74000001</v>
      </c>
      <c r="L43" s="189">
        <v>426027334.07999998</v>
      </c>
      <c r="M43" s="189">
        <v>338923911.06999999</v>
      </c>
      <c r="N43" s="189">
        <v>337132321.97000003</v>
      </c>
      <c r="O43" s="189">
        <v>303364398.77999997</v>
      </c>
      <c r="P43" s="189">
        <v>78321767.019999996</v>
      </c>
      <c r="Q43" s="189">
        <v>75884331.890000001</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c r="BY43" s="189"/>
      <c r="BZ43" s="189"/>
      <c r="CA43" s="189"/>
      <c r="CB43" s="189"/>
      <c r="CC43" s="189"/>
      <c r="CD43" s="189"/>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233100000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6202540.5999999996</v>
      </c>
      <c r="AU44" s="189">
        <v>8185617.5300000003</v>
      </c>
      <c r="AV44" s="189">
        <v>8550674.5</v>
      </c>
      <c r="AW44" s="189">
        <v>8550674.5</v>
      </c>
      <c r="AX44" s="189">
        <v>6913874.5</v>
      </c>
      <c r="AY44" s="189">
        <v>6613874.5</v>
      </c>
      <c r="AZ44" s="189">
        <v>6213874.5</v>
      </c>
      <c r="BA44" s="189">
        <v>6213874.5</v>
      </c>
      <c r="BB44" s="189">
        <v>9409853.3200000003</v>
      </c>
      <c r="BC44" s="189">
        <v>9015853.3200000003</v>
      </c>
      <c r="BD44" s="189">
        <v>9355853.3200000003</v>
      </c>
      <c r="BE44" s="189">
        <v>9545414.3800000008</v>
      </c>
      <c r="BF44" s="189">
        <v>8390414.3800000008</v>
      </c>
      <c r="BG44" s="189">
        <v>6580414.3799999999</v>
      </c>
      <c r="BH44" s="189">
        <v>5222414.38</v>
      </c>
      <c r="BI44" s="189">
        <v>4760414.38</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c r="BY44" s="189"/>
      <c r="BZ44" s="189"/>
      <c r="CA44" s="189"/>
      <c r="CB44" s="189"/>
      <c r="CC44" s="189"/>
      <c r="CD44" s="189"/>
      <c r="CE44" s="189"/>
      <c r="CF44" s="189"/>
      <c r="CG44" s="189"/>
      <c r="CH44" s="189"/>
      <c r="CI44" s="189"/>
      <c r="CJ44" s="189"/>
      <c r="CK44" s="189"/>
      <c r="CL44" s="189"/>
    </row>
    <row r="45" spans="1:90" x14ac:dyDescent="0.25">
      <c r="A45" s="17" t="s">
        <v>31</v>
      </c>
      <c r="B45" s="189">
        <v>0</v>
      </c>
      <c r="C45" s="189">
        <v>0</v>
      </c>
      <c r="D45" s="189">
        <v>2979055.29</v>
      </c>
      <c r="E45" s="189">
        <v>8224429.71</v>
      </c>
      <c r="F45" s="189">
        <v>0</v>
      </c>
      <c r="G45" s="189">
        <v>0</v>
      </c>
      <c r="H45" s="189">
        <v>0</v>
      </c>
      <c r="I45" s="189">
        <v>0</v>
      </c>
      <c r="J45" s="189">
        <v>0</v>
      </c>
      <c r="K45" s="189">
        <v>0</v>
      </c>
      <c r="L45" s="189">
        <v>0</v>
      </c>
      <c r="M45" s="189">
        <v>0</v>
      </c>
      <c r="N45" s="189">
        <v>0</v>
      </c>
      <c r="O45" s="189">
        <v>0</v>
      </c>
      <c r="P45" s="189">
        <v>0</v>
      </c>
      <c r="Q45" s="189">
        <v>0</v>
      </c>
      <c r="R45" s="189">
        <v>49033121.850000001</v>
      </c>
      <c r="S45" s="189">
        <v>41907195.630000003</v>
      </c>
      <c r="T45" s="189">
        <v>61916869.43</v>
      </c>
      <c r="U45" s="189">
        <v>56167287.909999996</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c r="BY45" s="189"/>
      <c r="BZ45" s="189"/>
      <c r="CA45" s="189"/>
      <c r="CB45" s="189"/>
      <c r="CC45" s="189"/>
      <c r="CD45" s="189"/>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2458094076.3000002</v>
      </c>
      <c r="C49" s="35">
        <f>SUM(C35:C41)+SUM(C43:C45)</f>
        <v>3327796375.3999996</v>
      </c>
      <c r="D49" s="35">
        <f>SUM(D35:D41)+SUM(D43:D45)</f>
        <v>3178578240.4499998</v>
      </c>
      <c r="E49" s="35">
        <f>SUM(E35:E45)</f>
        <v>3029229585.5800004</v>
      </c>
      <c r="F49" s="35">
        <f t="shared" ref="F49:BQ49" si="4">SUM(F35:F45)</f>
        <v>2458882292.7399998</v>
      </c>
      <c r="G49" s="35">
        <f t="shared" si="4"/>
        <v>2584939162.0799999</v>
      </c>
      <c r="H49" s="35">
        <f t="shared" si="4"/>
        <v>2402874787</v>
      </c>
      <c r="I49" s="35">
        <f t="shared" si="4"/>
        <v>2329817097.2999997</v>
      </c>
      <c r="J49" s="35">
        <f t="shared" si="4"/>
        <v>2439662902.29</v>
      </c>
      <c r="K49" s="35">
        <f t="shared" si="4"/>
        <v>2249558257.6500001</v>
      </c>
      <c r="L49" s="35">
        <f t="shared" si="4"/>
        <v>2559942990.5599999</v>
      </c>
      <c r="M49" s="35">
        <f t="shared" si="4"/>
        <v>2429458199.3600001</v>
      </c>
      <c r="N49" s="35">
        <f t="shared" si="4"/>
        <v>2161871654.1900001</v>
      </c>
      <c r="O49" s="35">
        <f t="shared" si="4"/>
        <v>1989167220.4699998</v>
      </c>
      <c r="P49" s="35">
        <f t="shared" si="4"/>
        <v>2112402885.7299998</v>
      </c>
      <c r="Q49" s="35">
        <f t="shared" si="4"/>
        <v>1659521077.5900002</v>
      </c>
      <c r="R49" s="35">
        <f t="shared" si="4"/>
        <v>1534501435.9400001</v>
      </c>
      <c r="S49" s="35">
        <f t="shared" si="4"/>
        <v>1383520462.3099999</v>
      </c>
      <c r="T49" s="35">
        <f t="shared" si="4"/>
        <v>1477285213.0800002</v>
      </c>
      <c r="U49" s="35">
        <f t="shared" si="4"/>
        <v>1112817899.7</v>
      </c>
      <c r="V49" s="35">
        <f t="shared" si="4"/>
        <v>1128100052.4299998</v>
      </c>
      <c r="W49" s="35">
        <f t="shared" si="4"/>
        <v>1127278894.48</v>
      </c>
      <c r="X49" s="35">
        <f t="shared" si="4"/>
        <v>1143684851.1999998</v>
      </c>
      <c r="Y49" s="35">
        <f t="shared" si="4"/>
        <v>894534565.08000004</v>
      </c>
      <c r="Z49" s="35">
        <f t="shared" si="4"/>
        <v>1122673823.55</v>
      </c>
      <c r="AA49" s="35">
        <f t="shared" si="4"/>
        <v>994325150.51999998</v>
      </c>
      <c r="AB49" s="35">
        <f t="shared" si="4"/>
        <v>898411348.8900001</v>
      </c>
      <c r="AC49" s="35">
        <f t="shared" si="4"/>
        <v>752111179.62</v>
      </c>
      <c r="AD49" s="35">
        <f t="shared" si="4"/>
        <v>885392437.71000004</v>
      </c>
      <c r="AE49" s="35">
        <f t="shared" si="4"/>
        <v>903518957.69000006</v>
      </c>
      <c r="AF49" s="35">
        <f t="shared" si="4"/>
        <v>720113662.20000005</v>
      </c>
      <c r="AG49" s="35">
        <f t="shared" si="4"/>
        <v>585574400.70000005</v>
      </c>
      <c r="AH49" s="35">
        <f t="shared" si="4"/>
        <v>708378643.20000005</v>
      </c>
      <c r="AI49" s="35">
        <f t="shared" si="4"/>
        <v>716540099.53999996</v>
      </c>
      <c r="AJ49" s="35">
        <f t="shared" si="4"/>
        <v>567581595.23000002</v>
      </c>
      <c r="AK49" s="35">
        <f t="shared" si="4"/>
        <v>475528769.75999999</v>
      </c>
      <c r="AL49" s="35">
        <f t="shared" si="4"/>
        <v>612294837.5</v>
      </c>
      <c r="AM49" s="35">
        <f t="shared" si="4"/>
        <v>541369769.38999999</v>
      </c>
      <c r="AN49" s="35">
        <f t="shared" si="4"/>
        <v>471409303.15000004</v>
      </c>
      <c r="AO49" s="35">
        <f t="shared" si="4"/>
        <v>430063427.45000005</v>
      </c>
      <c r="AP49" s="35">
        <f t="shared" si="4"/>
        <v>486579351.87999994</v>
      </c>
      <c r="AQ49" s="35">
        <f t="shared" si="4"/>
        <v>627262881.52999997</v>
      </c>
      <c r="AR49" s="35">
        <f t="shared" si="4"/>
        <v>520253737.11000001</v>
      </c>
      <c r="AS49" s="35">
        <f t="shared" si="4"/>
        <v>372332165.52999997</v>
      </c>
      <c r="AT49" s="35">
        <f t="shared" si="4"/>
        <v>623065331.99000001</v>
      </c>
      <c r="AU49" s="35">
        <f t="shared" si="4"/>
        <v>550404139.6099999</v>
      </c>
      <c r="AV49" s="35">
        <f t="shared" si="4"/>
        <v>466220767.43000007</v>
      </c>
      <c r="AW49" s="35">
        <f t="shared" si="4"/>
        <v>462890882.81999993</v>
      </c>
      <c r="AX49" s="35">
        <f t="shared" si="4"/>
        <v>537255669.38</v>
      </c>
      <c r="AY49" s="35">
        <f t="shared" si="4"/>
        <v>499900911.98000002</v>
      </c>
      <c r="AZ49" s="35">
        <f t="shared" si="4"/>
        <v>381869335.20999998</v>
      </c>
      <c r="BA49" s="35">
        <f t="shared" si="4"/>
        <v>335565820.44999999</v>
      </c>
      <c r="BB49" s="35">
        <f t="shared" si="4"/>
        <v>371649765.76999998</v>
      </c>
      <c r="BC49" s="35">
        <f t="shared" si="4"/>
        <v>405175904.13999999</v>
      </c>
      <c r="BD49" s="35">
        <f t="shared" si="4"/>
        <v>342728399.38999999</v>
      </c>
      <c r="BE49" s="35">
        <f t="shared" si="4"/>
        <v>364587974.03000003</v>
      </c>
      <c r="BF49" s="35">
        <f t="shared" si="4"/>
        <v>353378153.25</v>
      </c>
      <c r="BG49" s="35">
        <f t="shared" si="4"/>
        <v>335133400.06000006</v>
      </c>
      <c r="BH49" s="35">
        <f t="shared" si="4"/>
        <v>218182918.51000002</v>
      </c>
      <c r="BI49" s="35">
        <f t="shared" si="4"/>
        <v>270705526.38999999</v>
      </c>
      <c r="BJ49" s="35">
        <f t="shared" si="4"/>
        <v>304589717.17000002</v>
      </c>
      <c r="BK49" s="35">
        <f t="shared" si="4"/>
        <v>291355530.68000007</v>
      </c>
      <c r="BL49" s="35">
        <f t="shared" si="4"/>
        <v>139767121.47999999</v>
      </c>
      <c r="BM49" s="35">
        <f t="shared" si="4"/>
        <v>251866807.04000002</v>
      </c>
      <c r="BN49" s="35">
        <f t="shared" si="4"/>
        <v>353791007.61000001</v>
      </c>
      <c r="BO49" s="35">
        <f t="shared" si="4"/>
        <v>384028065.61000007</v>
      </c>
      <c r="BP49" s="35">
        <f t="shared" si="4"/>
        <v>225351283.16000003</v>
      </c>
      <c r="BQ49" s="35">
        <f t="shared" si="4"/>
        <v>261821277.25</v>
      </c>
      <c r="BR49" s="35">
        <f t="shared" ref="BR49:CK49" si="5">SUM(BR35:BR45)</f>
        <v>372172050.52999997</v>
      </c>
      <c r="BS49" s="35">
        <f t="shared" si="5"/>
        <v>252710218.77000001</v>
      </c>
      <c r="BT49" s="35">
        <f t="shared" si="5"/>
        <v>251317715.65000004</v>
      </c>
      <c r="BU49" s="35">
        <f t="shared" si="5"/>
        <v>284052624.72000003</v>
      </c>
      <c r="BV49" s="35">
        <f t="shared" si="5"/>
        <v>288875249.5</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1357800080.2800002</v>
      </c>
      <c r="C50" s="36">
        <f t="shared" ref="C50:BN50" si="6">C33-C49</f>
        <v>330908746.78999996</v>
      </c>
      <c r="D50" s="36">
        <f t="shared" si="6"/>
        <v>136852075.97000027</v>
      </c>
      <c r="E50" s="36">
        <f t="shared" si="6"/>
        <v>9805657.1599993706</v>
      </c>
      <c r="F50" s="36">
        <f t="shared" si="6"/>
        <v>1532261291.1700001</v>
      </c>
      <c r="G50" s="36">
        <f t="shared" si="6"/>
        <v>1004765458.1000004</v>
      </c>
      <c r="H50" s="36">
        <f t="shared" si="6"/>
        <v>1019545604.2700005</v>
      </c>
      <c r="I50" s="36">
        <f t="shared" si="6"/>
        <v>752863803.01000023</v>
      </c>
      <c r="J50" s="36">
        <f t="shared" si="6"/>
        <v>501250923.10999966</v>
      </c>
      <c r="K50" s="36">
        <f t="shared" si="6"/>
        <v>657755915.94000006</v>
      </c>
      <c r="L50" s="36">
        <f t="shared" si="6"/>
        <v>693196335.21000004</v>
      </c>
      <c r="M50" s="36">
        <f t="shared" si="6"/>
        <v>1019622266.23</v>
      </c>
      <c r="N50" s="36">
        <f t="shared" si="6"/>
        <v>984172558.88999987</v>
      </c>
      <c r="O50" s="36">
        <f t="shared" si="6"/>
        <v>422275582.10000038</v>
      </c>
      <c r="P50" s="36">
        <f t="shared" si="6"/>
        <v>-336760387.14999986</v>
      </c>
      <c r="Q50" s="36">
        <f t="shared" si="6"/>
        <v>-29855944.700000286</v>
      </c>
      <c r="R50" s="36">
        <f t="shared" si="6"/>
        <v>148252313.38999987</v>
      </c>
      <c r="S50" s="36">
        <f t="shared" si="6"/>
        <v>199119892.86999989</v>
      </c>
      <c r="T50" s="36">
        <f t="shared" si="6"/>
        <v>71352548.869999647</v>
      </c>
      <c r="U50" s="36">
        <f t="shared" si="6"/>
        <v>438435219.93000007</v>
      </c>
      <c r="V50" s="36">
        <f t="shared" si="6"/>
        <v>-130735498.15999985</v>
      </c>
      <c r="W50" s="36">
        <f t="shared" si="6"/>
        <v>-14802113.920000076</v>
      </c>
      <c r="X50" s="36">
        <f t="shared" si="6"/>
        <v>-123336996.75999999</v>
      </c>
      <c r="Y50" s="36">
        <f t="shared" si="6"/>
        <v>-25890513.840000033</v>
      </c>
      <c r="Z50" s="36">
        <f t="shared" si="6"/>
        <v>-182171818.95000005</v>
      </c>
      <c r="AA50" s="36">
        <f t="shared" si="6"/>
        <v>101118524.49000025</v>
      </c>
      <c r="AB50" s="36">
        <f t="shared" si="6"/>
        <v>25615763.189999938</v>
      </c>
      <c r="AC50" s="36">
        <f t="shared" si="6"/>
        <v>142141547.41999996</v>
      </c>
      <c r="AD50" s="36">
        <f t="shared" si="6"/>
        <v>-38414043.730000138</v>
      </c>
      <c r="AE50" s="36">
        <f t="shared" si="6"/>
        <v>51129659.470000029</v>
      </c>
      <c r="AF50" s="36">
        <f t="shared" si="6"/>
        <v>65202341.539999962</v>
      </c>
      <c r="AG50" s="36">
        <f t="shared" si="6"/>
        <v>75231032.50999999</v>
      </c>
      <c r="AH50" s="36">
        <f t="shared" si="6"/>
        <v>26412043.799999952</v>
      </c>
      <c r="AI50" s="36">
        <f t="shared" si="6"/>
        <v>92830363.730000019</v>
      </c>
      <c r="AJ50" s="36">
        <f t="shared" si="6"/>
        <v>82126932.330000043</v>
      </c>
      <c r="AK50" s="36">
        <f t="shared" si="6"/>
        <v>116860169.96000004</v>
      </c>
      <c r="AL50" s="36">
        <f t="shared" si="6"/>
        <v>13915281.340000033</v>
      </c>
      <c r="AM50" s="36">
        <f t="shared" si="6"/>
        <v>186661102.66999996</v>
      </c>
      <c r="AN50" s="36">
        <f t="shared" si="6"/>
        <v>168109811.80000001</v>
      </c>
      <c r="AO50" s="36">
        <f t="shared" si="6"/>
        <v>181377687.31999993</v>
      </c>
      <c r="AP50" s="36">
        <f t="shared" si="6"/>
        <v>119345410.27000004</v>
      </c>
      <c r="AQ50" s="36">
        <f t="shared" si="6"/>
        <v>193406956.79999995</v>
      </c>
      <c r="AR50" s="36">
        <f t="shared" si="6"/>
        <v>156880218.11000001</v>
      </c>
      <c r="AS50" s="36">
        <f t="shared" si="6"/>
        <v>202952210.58999991</v>
      </c>
      <c r="AT50" s="36">
        <f t="shared" si="6"/>
        <v>48865921.980000019</v>
      </c>
      <c r="AU50" s="36">
        <f t="shared" si="6"/>
        <v>159725193.74000013</v>
      </c>
      <c r="AV50" s="36">
        <f t="shared" si="6"/>
        <v>230974343.47000003</v>
      </c>
      <c r="AW50" s="36">
        <f t="shared" si="6"/>
        <v>189599144.3900001</v>
      </c>
      <c r="AX50" s="36">
        <f t="shared" si="6"/>
        <v>183452392.24000001</v>
      </c>
      <c r="AY50" s="36">
        <f t="shared" si="6"/>
        <v>274322255.02999997</v>
      </c>
      <c r="AZ50" s="36">
        <f t="shared" si="6"/>
        <v>381942858.05000001</v>
      </c>
      <c r="BA50" s="36">
        <f t="shared" si="6"/>
        <v>421294049.93000001</v>
      </c>
      <c r="BB50" s="36">
        <f t="shared" si="6"/>
        <v>463893947.81000006</v>
      </c>
      <c r="BC50" s="36">
        <f t="shared" si="6"/>
        <v>436585207.71000004</v>
      </c>
      <c r="BD50" s="36">
        <f t="shared" si="6"/>
        <v>403608530.6500001</v>
      </c>
      <c r="BE50" s="36">
        <f t="shared" si="6"/>
        <v>347232905.76000005</v>
      </c>
      <c r="BF50" s="36">
        <f t="shared" si="6"/>
        <v>427749338.03999996</v>
      </c>
      <c r="BG50" s="36">
        <f t="shared" si="6"/>
        <v>411085038.74000001</v>
      </c>
      <c r="BH50" s="36">
        <f t="shared" si="6"/>
        <v>365848079.27999997</v>
      </c>
      <c r="BI50" s="36">
        <f t="shared" si="6"/>
        <v>328787644.13</v>
      </c>
      <c r="BJ50" s="36">
        <f t="shared" si="6"/>
        <v>298104653.05000001</v>
      </c>
      <c r="BK50" s="36">
        <f t="shared" si="6"/>
        <v>305721279.41999996</v>
      </c>
      <c r="BL50" s="36">
        <f t="shared" si="6"/>
        <v>408742707.94999993</v>
      </c>
      <c r="BM50" s="36">
        <f t="shared" si="6"/>
        <v>290699401.81999999</v>
      </c>
      <c r="BN50" s="36">
        <f t="shared" si="6"/>
        <v>199012691.38</v>
      </c>
      <c r="BO50" s="36">
        <f t="shared" ref="BO50:CK50" si="7">BO33-BO49</f>
        <v>167672024.51999992</v>
      </c>
      <c r="BP50" s="36">
        <f t="shared" si="7"/>
        <v>216487264.01999998</v>
      </c>
      <c r="BQ50" s="36">
        <f t="shared" si="7"/>
        <v>186870903.86000001</v>
      </c>
      <c r="BR50" s="36">
        <f t="shared" si="7"/>
        <v>105715656.06</v>
      </c>
      <c r="BS50" s="36">
        <f t="shared" si="7"/>
        <v>148466414.48999998</v>
      </c>
      <c r="BT50" s="36">
        <f t="shared" si="7"/>
        <v>209309339.91999996</v>
      </c>
      <c r="BU50" s="36">
        <f t="shared" si="7"/>
        <v>227601611.15999997</v>
      </c>
      <c r="BV50" s="36">
        <f t="shared" si="7"/>
        <v>241764645.63999999</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899370062.94000006</v>
      </c>
      <c r="C52" s="189">
        <v>881152386.40999997</v>
      </c>
      <c r="D52" s="189">
        <v>286895181.69999999</v>
      </c>
      <c r="E52" s="189">
        <v>297062924.36000001</v>
      </c>
      <c r="F52" s="189">
        <v>187811063.59</v>
      </c>
      <c r="G52" s="189">
        <v>198619254.72999999</v>
      </c>
      <c r="H52" s="189">
        <v>201466347.58000001</v>
      </c>
      <c r="I52" s="189">
        <v>206527861.86000001</v>
      </c>
      <c r="J52" s="189">
        <v>207698826.53999999</v>
      </c>
      <c r="K52" s="189">
        <v>211654467.03999999</v>
      </c>
      <c r="L52" s="189">
        <v>216257532.15000001</v>
      </c>
      <c r="M52" s="189">
        <v>223990917.56999999</v>
      </c>
      <c r="N52" s="189">
        <v>189755973.36000001</v>
      </c>
      <c r="O52" s="189">
        <v>194772817.52000001</v>
      </c>
      <c r="P52" s="189">
        <v>211071704.46000001</v>
      </c>
      <c r="Q52" s="189">
        <v>215581175.34999999</v>
      </c>
      <c r="R52" s="189">
        <v>214693826.5</v>
      </c>
      <c r="S52" s="189">
        <v>228150384.83000001</v>
      </c>
      <c r="T52" s="189">
        <v>224601979.87</v>
      </c>
      <c r="U52" s="189">
        <v>216466934.61000001</v>
      </c>
      <c r="V52" s="189">
        <v>217266110.41999999</v>
      </c>
      <c r="W52" s="189">
        <v>210129158.63</v>
      </c>
      <c r="X52" s="189">
        <v>214264857.59999999</v>
      </c>
      <c r="Y52" s="189">
        <v>217467104.56</v>
      </c>
      <c r="Z52" s="189">
        <v>226164520.31</v>
      </c>
      <c r="AA52" s="189">
        <v>225380073.88999999</v>
      </c>
      <c r="AB52" s="189">
        <v>228548788.24000001</v>
      </c>
      <c r="AC52" s="189">
        <v>234531569.31</v>
      </c>
      <c r="AD52" s="189">
        <v>250919584.00999999</v>
      </c>
      <c r="AE52" s="189">
        <v>252765826.65000001</v>
      </c>
      <c r="AF52" s="189">
        <v>250725181.22999999</v>
      </c>
      <c r="AG52" s="189">
        <v>257760918.06999999</v>
      </c>
      <c r="AH52" s="189">
        <v>248338802.63</v>
      </c>
      <c r="AI52" s="189">
        <v>252847769.41</v>
      </c>
      <c r="AJ52" s="189">
        <v>258640549.88</v>
      </c>
      <c r="AK52" s="189">
        <v>262068655.86000001</v>
      </c>
      <c r="AL52" s="189">
        <v>281218145.36000001</v>
      </c>
      <c r="AM52" s="189">
        <v>281873857.37</v>
      </c>
      <c r="AN52" s="189">
        <v>286058982.05000001</v>
      </c>
      <c r="AO52" s="189">
        <v>283120631.62</v>
      </c>
      <c r="AP52" s="189">
        <v>279938730.94</v>
      </c>
      <c r="AQ52" s="189">
        <v>327806800.24000001</v>
      </c>
      <c r="AR52" s="189">
        <v>364800049.42000002</v>
      </c>
      <c r="AS52" s="189">
        <v>373808526.88999999</v>
      </c>
      <c r="AT52" s="189">
        <v>380326409.80000001</v>
      </c>
      <c r="AU52" s="189">
        <v>392991166.18000001</v>
      </c>
      <c r="AV52" s="189">
        <v>402827537.75</v>
      </c>
      <c r="AW52" s="189">
        <v>446119707.56</v>
      </c>
      <c r="AX52" s="189">
        <v>416491849.99000001</v>
      </c>
      <c r="AY52" s="189">
        <v>419993120.44999999</v>
      </c>
      <c r="AZ52" s="189">
        <v>408800889.36000001</v>
      </c>
      <c r="BA52" s="189">
        <v>417967079.56</v>
      </c>
      <c r="BB52" s="189">
        <v>403336058.80000001</v>
      </c>
      <c r="BC52" s="189">
        <v>412214707.44</v>
      </c>
      <c r="BD52" s="189">
        <v>421686447.94999999</v>
      </c>
      <c r="BE52" s="189">
        <v>431883492.13</v>
      </c>
      <c r="BF52" s="189">
        <v>336953694.74000001</v>
      </c>
      <c r="BG52" s="189">
        <v>334280296.25</v>
      </c>
      <c r="BH52" s="189">
        <v>330934296.20999998</v>
      </c>
      <c r="BI52" s="189">
        <v>345349617.94</v>
      </c>
      <c r="BJ52" s="189">
        <v>319252509.68000001</v>
      </c>
      <c r="BK52" s="189">
        <v>305007847.69</v>
      </c>
      <c r="BL52" s="189">
        <v>299295084.94999999</v>
      </c>
      <c r="BM52" s="189">
        <v>307001312.16000003</v>
      </c>
      <c r="BN52" s="189">
        <v>259483407.24000001</v>
      </c>
      <c r="BO52" s="189">
        <v>257640559.43000001</v>
      </c>
      <c r="BP52" s="189">
        <v>223730557.47999999</v>
      </c>
      <c r="BQ52" s="189">
        <v>228985805.99000001</v>
      </c>
      <c r="BR52" s="189">
        <v>230587790.81</v>
      </c>
      <c r="BS52" s="189">
        <v>239724274.46000001</v>
      </c>
      <c r="BT52" s="189">
        <v>278402995.75</v>
      </c>
      <c r="BU52" s="189">
        <v>230762140.72</v>
      </c>
      <c r="BV52" s="189">
        <v>139259547.97999999</v>
      </c>
      <c r="BW52" s="189">
        <v>0</v>
      </c>
      <c r="BX52" s="189"/>
      <c r="BY52" s="189"/>
      <c r="BZ52" s="189"/>
      <c r="CA52" s="189"/>
      <c r="CB52" s="189"/>
      <c r="CC52" s="189"/>
      <c r="CD52" s="189"/>
      <c r="CE52" s="189"/>
      <c r="CF52" s="189"/>
      <c r="CG52" s="189"/>
      <c r="CH52" s="189"/>
      <c r="CI52" s="189"/>
      <c r="CJ52" s="189"/>
      <c r="CK52" s="189"/>
      <c r="CL52" s="189"/>
    </row>
    <row r="53" spans="1:90" s="192" customFormat="1" x14ac:dyDescent="0.25">
      <c r="A53" s="192" t="s">
        <v>35</v>
      </c>
      <c r="B53" s="189">
        <v>321741897.73000002</v>
      </c>
      <c r="C53" s="189">
        <v>355643456.88999999</v>
      </c>
      <c r="D53" s="189">
        <v>972891625.82000005</v>
      </c>
      <c r="E53" s="189">
        <v>928864153.22000003</v>
      </c>
      <c r="F53" s="189">
        <v>804391494.25</v>
      </c>
      <c r="G53" s="189">
        <v>746603891.78999996</v>
      </c>
      <c r="H53" s="189">
        <v>704476549.73000002</v>
      </c>
      <c r="I53" s="189">
        <v>584874097.07000005</v>
      </c>
      <c r="J53" s="189">
        <v>543647826.29999995</v>
      </c>
      <c r="K53" s="189">
        <v>356445805.98000002</v>
      </c>
      <c r="L53" s="189">
        <v>213359458.28</v>
      </c>
      <c r="M53" s="189">
        <v>153160043.77000001</v>
      </c>
      <c r="N53" s="189">
        <v>84446275.329999998</v>
      </c>
      <c r="O53" s="189">
        <v>61289438.479999997</v>
      </c>
      <c r="P53" s="189">
        <v>35903913.950000003</v>
      </c>
      <c r="Q53" s="189">
        <v>28548849.52</v>
      </c>
      <c r="R53" s="189">
        <v>41873784.210000001</v>
      </c>
      <c r="S53" s="189">
        <v>41614978.700000003</v>
      </c>
      <c r="T53" s="189">
        <v>39690760.920000002</v>
      </c>
      <c r="U53" s="189">
        <v>45997096.359999999</v>
      </c>
      <c r="V53" s="189">
        <v>40707819.579999998</v>
      </c>
      <c r="W53" s="189">
        <v>34830137.219999999</v>
      </c>
      <c r="X53" s="189">
        <v>22846209.170000002</v>
      </c>
      <c r="Y53" s="189">
        <v>9904261.5700000003</v>
      </c>
      <c r="Z53" s="189">
        <v>27078111.199999999</v>
      </c>
      <c r="AA53" s="189">
        <v>20753027.469999999</v>
      </c>
      <c r="AB53" s="189">
        <v>20539557.239999998</v>
      </c>
      <c r="AC53" s="189">
        <v>16560029.26</v>
      </c>
      <c r="AD53" s="189">
        <v>31957867.190000001</v>
      </c>
      <c r="AE53" s="189">
        <v>32776102.43</v>
      </c>
      <c r="AF53" s="189">
        <v>33005203.23</v>
      </c>
      <c r="AG53" s="189">
        <v>31687558.539999999</v>
      </c>
      <c r="AH53" s="189">
        <v>35291977.960000001</v>
      </c>
      <c r="AI53" s="189">
        <v>36904401.969999999</v>
      </c>
      <c r="AJ53" s="189">
        <v>32186283.420000002</v>
      </c>
      <c r="AK53" s="189">
        <v>30475652.690000001</v>
      </c>
      <c r="AL53" s="189">
        <v>33749797.329999998</v>
      </c>
      <c r="AM53" s="189">
        <v>32664936.260000002</v>
      </c>
      <c r="AN53" s="189">
        <v>29436393.190000001</v>
      </c>
      <c r="AO53" s="189">
        <v>31330383.289999999</v>
      </c>
      <c r="AP53" s="189">
        <v>37256962.079999998</v>
      </c>
      <c r="AQ53" s="189">
        <v>30008701.859999999</v>
      </c>
      <c r="AR53" s="189">
        <v>25119857.239999998</v>
      </c>
      <c r="AS53" s="189">
        <v>17994664.18</v>
      </c>
      <c r="AT53" s="189">
        <v>32145912.609999999</v>
      </c>
      <c r="AU53" s="189">
        <v>30012637.82</v>
      </c>
      <c r="AV53" s="189">
        <v>27644779.309999999</v>
      </c>
      <c r="AW53" s="189">
        <v>19857093.579999998</v>
      </c>
      <c r="AX53" s="189">
        <v>67272844.049999997</v>
      </c>
      <c r="AY53" s="189">
        <v>65595419.210000001</v>
      </c>
      <c r="AZ53" s="189">
        <v>74804131.780000001</v>
      </c>
      <c r="BA53" s="189">
        <v>57989673.119999997</v>
      </c>
      <c r="BB53" s="189">
        <v>61799084.159999996</v>
      </c>
      <c r="BC53" s="189">
        <v>40437162.109999999</v>
      </c>
      <c r="BD53" s="189">
        <v>36116045.520000003</v>
      </c>
      <c r="BE53" s="189">
        <v>29287913.449999999</v>
      </c>
      <c r="BF53" s="189">
        <v>33178313.699999999</v>
      </c>
      <c r="BG53" s="189">
        <v>30180953.300000001</v>
      </c>
      <c r="BH53" s="189">
        <v>29389017.32</v>
      </c>
      <c r="BI53" s="189">
        <v>25189071.960000001</v>
      </c>
      <c r="BJ53" s="189">
        <v>40858695.469999999</v>
      </c>
      <c r="BK53" s="189">
        <v>35666409.130000003</v>
      </c>
      <c r="BL53" s="189">
        <v>37934684.880000003</v>
      </c>
      <c r="BM53" s="189">
        <v>28249593.800000001</v>
      </c>
      <c r="BN53" s="189">
        <v>63886854.869999997</v>
      </c>
      <c r="BO53" s="189">
        <v>57438503.479999997</v>
      </c>
      <c r="BP53" s="189">
        <v>48438957.509999998</v>
      </c>
      <c r="BQ53" s="189">
        <v>33631464.689999998</v>
      </c>
      <c r="BR53" s="189">
        <v>19581388.68</v>
      </c>
      <c r="BS53" s="189">
        <v>13536233.970000001</v>
      </c>
      <c r="BT53" s="189">
        <v>15138865.800000001</v>
      </c>
      <c r="BU53" s="189">
        <v>67141737.450000003</v>
      </c>
      <c r="BV53" s="189">
        <v>134235138.52000001</v>
      </c>
      <c r="BW53" s="189">
        <v>0</v>
      </c>
      <c r="BX53" s="189"/>
      <c r="BY53" s="189"/>
      <c r="BZ53" s="189"/>
      <c r="CA53" s="189"/>
      <c r="CB53" s="189"/>
      <c r="CC53" s="189"/>
      <c r="CD53" s="189"/>
      <c r="CE53" s="189"/>
      <c r="CF53" s="189"/>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c r="BY54" s="189"/>
      <c r="BZ54" s="189"/>
      <c r="CA54" s="189"/>
      <c r="CB54" s="189"/>
      <c r="CC54" s="189"/>
      <c r="CD54" s="189"/>
      <c r="CE54" s="189"/>
      <c r="CF54" s="189"/>
      <c r="CG54" s="189"/>
      <c r="CH54" s="189"/>
      <c r="CI54" s="189"/>
      <c r="CJ54" s="189"/>
      <c r="CK54" s="189"/>
      <c r="CL54" s="189"/>
    </row>
    <row r="55" spans="1:90" s="192" customFormat="1" x14ac:dyDescent="0.25">
      <c r="A55" s="192" t="s">
        <v>37</v>
      </c>
      <c r="B55" s="189">
        <v>0</v>
      </c>
      <c r="C55" s="189">
        <v>0</v>
      </c>
      <c r="D55" s="189">
        <v>0</v>
      </c>
      <c r="E55" s="189">
        <v>0</v>
      </c>
      <c r="F55" s="189">
        <v>125157.43</v>
      </c>
      <c r="G55" s="189">
        <v>121020.1</v>
      </c>
      <c r="H55" s="189">
        <v>121020.1</v>
      </c>
      <c r="I55" s="189">
        <v>62372.34</v>
      </c>
      <c r="J55" s="189">
        <v>28185.95</v>
      </c>
      <c r="K55" s="189">
        <v>59972.34</v>
      </c>
      <c r="L55" s="189">
        <v>17122.900000000001</v>
      </c>
      <c r="M55" s="189">
        <v>13430</v>
      </c>
      <c r="N55" s="189">
        <v>149892.70000000001</v>
      </c>
      <c r="O55" s="189">
        <v>148183.29999999999</v>
      </c>
      <c r="P55" s="189">
        <v>149892.70000000001</v>
      </c>
      <c r="Q55" s="189">
        <v>149892.70000000001</v>
      </c>
      <c r="R55" s="189">
        <v>134837.17000000001</v>
      </c>
      <c r="S55" s="189">
        <v>141605.47</v>
      </c>
      <c r="T55" s="189">
        <v>141605.47</v>
      </c>
      <c r="U55" s="189">
        <v>141605.47</v>
      </c>
      <c r="V55" s="189">
        <v>141883.29</v>
      </c>
      <c r="W55" s="189">
        <v>144721.07999999999</v>
      </c>
      <c r="X55" s="189">
        <v>0</v>
      </c>
      <c r="Y55" s="189">
        <v>0</v>
      </c>
      <c r="Z55" s="189">
        <v>0</v>
      </c>
      <c r="AA55" s="189">
        <v>0</v>
      </c>
      <c r="AB55" s="189">
        <v>0</v>
      </c>
      <c r="AC55" s="189">
        <v>0</v>
      </c>
      <c r="AD55" s="189">
        <v>28671.19</v>
      </c>
      <c r="AE55" s="189">
        <v>0</v>
      </c>
      <c r="AF55" s="189">
        <v>0</v>
      </c>
      <c r="AG55" s="189">
        <v>0</v>
      </c>
      <c r="AH55" s="189">
        <v>0</v>
      </c>
      <c r="AI55" s="189">
        <v>0</v>
      </c>
      <c r="AJ55" s="189">
        <v>0</v>
      </c>
      <c r="AK55" s="189">
        <v>0</v>
      </c>
      <c r="AL55" s="189">
        <v>-56683.12</v>
      </c>
      <c r="AM55" s="189">
        <v>1524.38</v>
      </c>
      <c r="AN55" s="189">
        <v>208802.79</v>
      </c>
      <c r="AO55" s="189">
        <v>207002.79</v>
      </c>
      <c r="AP55" s="189">
        <v>13707.66</v>
      </c>
      <c r="AQ55" s="189">
        <v>0</v>
      </c>
      <c r="AR55" s="189">
        <v>30291.360000000001</v>
      </c>
      <c r="AS55" s="189">
        <v>0</v>
      </c>
      <c r="AT55" s="189">
        <v>282711.02</v>
      </c>
      <c r="AU55" s="189">
        <v>300599.43</v>
      </c>
      <c r="AV55" s="189">
        <v>238070.88</v>
      </c>
      <c r="AW55" s="189">
        <v>100851.5</v>
      </c>
      <c r="AX55" s="189">
        <v>81152.95</v>
      </c>
      <c r="AY55" s="189">
        <v>79059.850000000006</v>
      </c>
      <c r="AZ55" s="189">
        <v>95040</v>
      </c>
      <c r="BA55" s="189">
        <v>95040</v>
      </c>
      <c r="BB55" s="189">
        <v>98780</v>
      </c>
      <c r="BC55" s="189">
        <v>98780</v>
      </c>
      <c r="BD55" s="189">
        <v>88780</v>
      </c>
      <c r="BE55" s="189">
        <v>98780</v>
      </c>
      <c r="BF55" s="189">
        <v>66635.179999999993</v>
      </c>
      <c r="BG55" s="189">
        <v>3740</v>
      </c>
      <c r="BH55" s="189">
        <v>3740</v>
      </c>
      <c r="BI55" s="189">
        <v>296424.40999999997</v>
      </c>
      <c r="BJ55" s="189">
        <v>853417.17</v>
      </c>
      <c r="BK55" s="189">
        <v>884879.92</v>
      </c>
      <c r="BL55" s="189">
        <v>796169.3</v>
      </c>
      <c r="BM55" s="189">
        <v>305397.90000000002</v>
      </c>
      <c r="BN55" s="189">
        <v>505797.9</v>
      </c>
      <c r="BO55" s="189">
        <v>534904.92000000004</v>
      </c>
      <c r="BP55" s="189">
        <v>363564.64</v>
      </c>
      <c r="BQ55" s="189">
        <v>281351.87</v>
      </c>
      <c r="BR55" s="189">
        <v>287377.78999999998</v>
      </c>
      <c r="BS55" s="189">
        <v>61355.38</v>
      </c>
      <c r="BT55" s="189">
        <v>131978.22</v>
      </c>
      <c r="BU55" s="189">
        <v>5843472.4199999999</v>
      </c>
      <c r="BV55" s="189">
        <v>4637179.25</v>
      </c>
      <c r="BW55" s="189">
        <v>0</v>
      </c>
      <c r="BX55" s="189"/>
      <c r="BY55" s="189"/>
      <c r="BZ55" s="189"/>
      <c r="CA55" s="189"/>
      <c r="CB55" s="189"/>
      <c r="CC55" s="189"/>
      <c r="CD55" s="189"/>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c r="BY56" s="189"/>
      <c r="BZ56" s="189"/>
      <c r="CA56" s="189"/>
      <c r="CB56" s="189"/>
      <c r="CC56" s="189"/>
      <c r="CD56" s="189"/>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c r="BY57" s="189"/>
      <c r="BZ57" s="189"/>
      <c r="CA57" s="189"/>
      <c r="CB57" s="189"/>
      <c r="CC57" s="189"/>
      <c r="CD57" s="189"/>
      <c r="CE57" s="189"/>
      <c r="CF57" s="189"/>
      <c r="CG57" s="189"/>
      <c r="CH57" s="189"/>
      <c r="CI57" s="189"/>
      <c r="CJ57" s="189"/>
      <c r="CK57" s="189"/>
      <c r="CL57" s="189"/>
    </row>
    <row r="58" spans="1:90" s="192" customFormat="1" x14ac:dyDescent="0.25">
      <c r="A58" s="192" t="s">
        <v>40</v>
      </c>
      <c r="B58" s="189">
        <v>838510834.91999996</v>
      </c>
      <c r="C58" s="189">
        <v>814305407.84000003</v>
      </c>
      <c r="D58" s="189">
        <v>826803322.55999994</v>
      </c>
      <c r="E58" s="189">
        <v>821805447.64999998</v>
      </c>
      <c r="F58" s="189">
        <v>308668374.06999999</v>
      </c>
      <c r="G58" s="189">
        <v>311698753.70999998</v>
      </c>
      <c r="H58" s="189">
        <v>314799780.39999998</v>
      </c>
      <c r="I58" s="189">
        <v>318035170.17000002</v>
      </c>
      <c r="J58" s="189">
        <v>325011031.92000002</v>
      </c>
      <c r="K58" s="189">
        <v>329190255.50999999</v>
      </c>
      <c r="L58" s="189">
        <v>328530250.67000002</v>
      </c>
      <c r="M58" s="189">
        <v>334411010.38999999</v>
      </c>
      <c r="N58" s="189">
        <v>126449050.01000001</v>
      </c>
      <c r="O58" s="189">
        <v>128001128.25</v>
      </c>
      <c r="P58" s="189">
        <v>134130911.33</v>
      </c>
      <c r="Q58" s="189">
        <v>135620626.41999999</v>
      </c>
      <c r="R58" s="189">
        <v>131507705.34999999</v>
      </c>
      <c r="S58" s="189">
        <v>132601698.59999999</v>
      </c>
      <c r="T58" s="189">
        <v>134599454.44</v>
      </c>
      <c r="U58" s="189">
        <v>136559113.96000001</v>
      </c>
      <c r="V58" s="189">
        <v>131860418.7</v>
      </c>
      <c r="W58" s="189">
        <v>112533205.36</v>
      </c>
      <c r="X58" s="189">
        <v>114298534.47</v>
      </c>
      <c r="Y58" s="189">
        <v>115357637.83</v>
      </c>
      <c r="Z58" s="189">
        <v>119324435.03</v>
      </c>
      <c r="AA58" s="189">
        <v>120101779.52</v>
      </c>
      <c r="AB58" s="189">
        <v>97148474.329999998</v>
      </c>
      <c r="AC58" s="189">
        <v>94225631.549999997</v>
      </c>
      <c r="AD58" s="189">
        <v>35502321.350000001</v>
      </c>
      <c r="AE58" s="189">
        <v>36336948.119999997</v>
      </c>
      <c r="AF58" s="189">
        <v>31008980</v>
      </c>
      <c r="AG58" s="189">
        <v>31453008.699999999</v>
      </c>
      <c r="AH58" s="189">
        <v>31974430.73</v>
      </c>
      <c r="AI58" s="189">
        <v>22954956.420000002</v>
      </c>
      <c r="AJ58" s="189">
        <v>23358406.18</v>
      </c>
      <c r="AK58" s="189">
        <v>23494764.34</v>
      </c>
      <c r="AL58" s="189">
        <v>26171249.760000002</v>
      </c>
      <c r="AM58" s="189">
        <v>26897221.699999999</v>
      </c>
      <c r="AN58" s="189">
        <v>28061480.989999998</v>
      </c>
      <c r="AO58" s="189">
        <v>29297093.09</v>
      </c>
      <c r="AP58" s="189">
        <v>30272193.800000001</v>
      </c>
      <c r="AQ58" s="189">
        <v>36298778.950000003</v>
      </c>
      <c r="AR58" s="189">
        <v>41813780.850000001</v>
      </c>
      <c r="AS58" s="189">
        <v>42800209.259999998</v>
      </c>
      <c r="AT58" s="189">
        <v>46594797.969999999</v>
      </c>
      <c r="AU58" s="189">
        <v>46295685.5</v>
      </c>
      <c r="AV58" s="189">
        <v>46401383.810000002</v>
      </c>
      <c r="AW58" s="189">
        <v>46924170.619999997</v>
      </c>
      <c r="AX58" s="189">
        <v>43196675.140000001</v>
      </c>
      <c r="AY58" s="189">
        <v>49358292.299999997</v>
      </c>
      <c r="AZ58" s="189">
        <v>50707040.039999999</v>
      </c>
      <c r="BA58" s="189">
        <v>51978771.119999997</v>
      </c>
      <c r="BB58" s="189">
        <v>52450024.060000002</v>
      </c>
      <c r="BC58" s="189">
        <v>51193771.990000002</v>
      </c>
      <c r="BD58" s="189">
        <v>51312378.689999998</v>
      </c>
      <c r="BE58" s="189">
        <v>51692234.020000003</v>
      </c>
      <c r="BF58" s="189">
        <v>43166903.479999997</v>
      </c>
      <c r="BG58" s="189">
        <v>49703390.219999999</v>
      </c>
      <c r="BH58" s="189">
        <v>49847513.799999997</v>
      </c>
      <c r="BI58" s="189">
        <v>51767317.560000002</v>
      </c>
      <c r="BJ58" s="189">
        <v>48626345.170000002</v>
      </c>
      <c r="BK58" s="189">
        <v>49329173.659999996</v>
      </c>
      <c r="BL58" s="189">
        <v>50180759.93</v>
      </c>
      <c r="BM58" s="189">
        <v>51023901.759999998</v>
      </c>
      <c r="BN58" s="189">
        <v>51633265.909999996</v>
      </c>
      <c r="BO58" s="189">
        <v>40579862.82</v>
      </c>
      <c r="BP58" s="189">
        <v>39448900.840000004</v>
      </c>
      <c r="BQ58" s="189">
        <v>40088259.649999999</v>
      </c>
      <c r="BR58" s="189">
        <v>41368643.950000003</v>
      </c>
      <c r="BS58" s="189">
        <v>42092826.950000003</v>
      </c>
      <c r="BT58" s="189">
        <v>23337014.690000001</v>
      </c>
      <c r="BU58" s="189">
        <v>14483980.08</v>
      </c>
      <c r="BV58" s="189">
        <v>15108575</v>
      </c>
      <c r="BW58" s="189">
        <v>0</v>
      </c>
      <c r="BX58" s="189"/>
      <c r="BY58" s="189"/>
      <c r="BZ58" s="189"/>
      <c r="CA58" s="189"/>
      <c r="CB58" s="189"/>
      <c r="CC58" s="189"/>
      <c r="CD58" s="189"/>
      <c r="CE58" s="189"/>
      <c r="CF58" s="189"/>
      <c r="CG58" s="189"/>
      <c r="CH58" s="189"/>
      <c r="CI58" s="189"/>
      <c r="CJ58" s="189"/>
      <c r="CK58" s="189"/>
      <c r="CL58" s="189"/>
    </row>
    <row r="59" spans="1:90" s="192" customFormat="1" x14ac:dyDescent="0.25">
      <c r="A59" s="192" t="s">
        <v>41</v>
      </c>
      <c r="B59" s="189">
        <v>19226664.73</v>
      </c>
      <c r="C59" s="189">
        <v>15483613.5</v>
      </c>
      <c r="D59" s="189">
        <v>14250444.33</v>
      </c>
      <c r="E59" s="189">
        <v>11313616.24</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c r="BY59" s="189"/>
      <c r="BZ59" s="189"/>
      <c r="CA59" s="189"/>
      <c r="CB59" s="189"/>
      <c r="CC59" s="189"/>
      <c r="CD59" s="189"/>
      <c r="CE59" s="189"/>
      <c r="CF59" s="189"/>
      <c r="CG59" s="189"/>
      <c r="CH59" s="189"/>
      <c r="CI59" s="189"/>
      <c r="CJ59" s="189"/>
      <c r="CK59" s="189"/>
      <c r="CL59" s="189"/>
    </row>
    <row r="60" spans="1:90" s="192" customFormat="1" x14ac:dyDescent="0.25">
      <c r="A60" s="192" t="s">
        <v>42</v>
      </c>
      <c r="B60" s="189">
        <v>2010867356.23</v>
      </c>
      <c r="C60" s="189">
        <v>1933570125.3099999</v>
      </c>
      <c r="D60" s="189">
        <v>1969996792.1800001</v>
      </c>
      <c r="E60" s="189">
        <v>1961083992.46</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62590683.240000002</v>
      </c>
      <c r="AE60" s="189">
        <v>62590683.240000002</v>
      </c>
      <c r="AF60" s="189">
        <v>0</v>
      </c>
      <c r="AG60" s="189">
        <v>0</v>
      </c>
      <c r="AH60" s="189">
        <v>30057710.489999998</v>
      </c>
      <c r="AI60" s="189">
        <v>30057710.489999998</v>
      </c>
      <c r="AJ60" s="189">
        <v>30057710.489999998</v>
      </c>
      <c r="AK60" s="189">
        <v>30057710.489999998</v>
      </c>
      <c r="AL60" s="189">
        <v>30057710.489999998</v>
      </c>
      <c r="AM60" s="189">
        <v>30057710.489999998</v>
      </c>
      <c r="AN60" s="189">
        <v>30057710.489999998</v>
      </c>
      <c r="AO60" s="189">
        <v>30057710.489999998</v>
      </c>
      <c r="AP60" s="189">
        <v>28758091.199999999</v>
      </c>
      <c r="AQ60" s="189">
        <v>28758091.199999999</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c r="BY60" s="189"/>
      <c r="BZ60" s="189"/>
      <c r="CA60" s="189"/>
      <c r="CB60" s="189"/>
      <c r="CC60" s="189"/>
      <c r="CD60" s="189"/>
      <c r="CE60" s="189"/>
      <c r="CF60" s="189"/>
      <c r="CG60" s="189"/>
      <c r="CH60" s="189"/>
      <c r="CI60" s="189"/>
      <c r="CJ60" s="189"/>
      <c r="CK60" s="189"/>
      <c r="CL60" s="189"/>
    </row>
    <row r="61" spans="1:90" s="192" customFormat="1" x14ac:dyDescent="0.25">
      <c r="A61" s="192" t="s">
        <v>43</v>
      </c>
      <c r="B61" s="189">
        <v>87727151.640000001</v>
      </c>
      <c r="C61" s="189">
        <v>91327233.569999993</v>
      </c>
      <c r="D61" s="189">
        <v>99563495.239999995</v>
      </c>
      <c r="E61" s="189">
        <v>111566514.70999999</v>
      </c>
      <c r="F61" s="189">
        <v>135730339.69999999</v>
      </c>
      <c r="G61" s="189">
        <v>145593905.74000001</v>
      </c>
      <c r="H61" s="189">
        <v>146614603.97999999</v>
      </c>
      <c r="I61" s="189">
        <v>165753726.22</v>
      </c>
      <c r="J61" s="189">
        <v>156873435.44999999</v>
      </c>
      <c r="K61" s="189">
        <v>88590560.790000007</v>
      </c>
      <c r="L61" s="189">
        <v>84464188.469999999</v>
      </c>
      <c r="M61" s="189">
        <v>87496743.590000004</v>
      </c>
      <c r="N61" s="189">
        <v>79492024.609999999</v>
      </c>
      <c r="O61" s="189">
        <v>67651777.409999996</v>
      </c>
      <c r="P61" s="189">
        <v>67371045.409999996</v>
      </c>
      <c r="Q61" s="189">
        <v>62678520.969999999</v>
      </c>
      <c r="R61" s="189">
        <v>48876208.140000001</v>
      </c>
      <c r="S61" s="189">
        <v>52346528.200000003</v>
      </c>
      <c r="T61" s="189">
        <v>56702429.560000002</v>
      </c>
      <c r="U61" s="189">
        <v>64515985.719999999</v>
      </c>
      <c r="V61" s="189">
        <v>59044603.369999997</v>
      </c>
      <c r="W61" s="189">
        <v>55895127.600000001</v>
      </c>
      <c r="X61" s="189">
        <v>51288140.880000003</v>
      </c>
      <c r="Y61" s="189">
        <v>54774691.409999996</v>
      </c>
      <c r="Z61" s="189">
        <v>53298169.590000004</v>
      </c>
      <c r="AA61" s="189">
        <v>47801498.18</v>
      </c>
      <c r="AB61" s="189">
        <v>44844557.600000001</v>
      </c>
      <c r="AC61" s="189">
        <v>49680474.799999997</v>
      </c>
      <c r="AD61" s="189">
        <v>43277323.840000004</v>
      </c>
      <c r="AE61" s="189">
        <v>43770930.869999997</v>
      </c>
      <c r="AF61" s="189">
        <v>43857516.289999999</v>
      </c>
      <c r="AG61" s="189">
        <v>44341450.770000003</v>
      </c>
      <c r="AH61" s="189">
        <v>44757917.729999997</v>
      </c>
      <c r="AI61" s="189">
        <v>44557671.990000002</v>
      </c>
      <c r="AJ61" s="189">
        <v>44235209.079999998</v>
      </c>
      <c r="AK61" s="189">
        <v>41442240.719999999</v>
      </c>
      <c r="AL61" s="189">
        <v>30031050.48</v>
      </c>
      <c r="AM61" s="189">
        <v>29803617.43</v>
      </c>
      <c r="AN61" s="189">
        <v>28468283.329999998</v>
      </c>
      <c r="AO61" s="189">
        <v>29180357.27</v>
      </c>
      <c r="AP61" s="189">
        <v>22685331.719999999</v>
      </c>
      <c r="AQ61" s="189">
        <v>24083849.789999999</v>
      </c>
      <c r="AR61" s="189">
        <v>24634742.800000001</v>
      </c>
      <c r="AS61" s="189">
        <v>31164435.91</v>
      </c>
      <c r="AT61" s="189">
        <v>20055660.510000002</v>
      </c>
      <c r="AU61" s="189">
        <v>20947323.59</v>
      </c>
      <c r="AV61" s="189">
        <v>25954897.23</v>
      </c>
      <c r="AW61" s="189">
        <v>4438746.01</v>
      </c>
      <c r="AX61" s="189">
        <v>6138743.0199999996</v>
      </c>
      <c r="AY61" s="189">
        <v>7041266.46</v>
      </c>
      <c r="AZ61" s="189">
        <v>7964352.3700000001</v>
      </c>
      <c r="BA61" s="189">
        <v>8935472.6600000001</v>
      </c>
      <c r="BB61" s="189">
        <v>3500479.3</v>
      </c>
      <c r="BC61" s="189">
        <v>3720871.57</v>
      </c>
      <c r="BD61" s="189">
        <v>4473025.5</v>
      </c>
      <c r="BE61" s="189">
        <v>4179157.83</v>
      </c>
      <c r="BF61" s="189">
        <v>5429412.79</v>
      </c>
      <c r="BG61" s="189">
        <v>5798758.9299999997</v>
      </c>
      <c r="BH61" s="189">
        <v>3778675.78</v>
      </c>
      <c r="BI61" s="189">
        <v>4002378.56</v>
      </c>
      <c r="BJ61" s="189">
        <v>4931889.17</v>
      </c>
      <c r="BK61" s="189">
        <v>6577747.9900000002</v>
      </c>
      <c r="BL61" s="189">
        <v>6416539.8600000003</v>
      </c>
      <c r="BM61" s="189">
        <v>7129169.3399999999</v>
      </c>
      <c r="BN61" s="189">
        <v>7973940.2599999998</v>
      </c>
      <c r="BO61" s="189">
        <v>4452805.16</v>
      </c>
      <c r="BP61" s="189">
        <v>5484771.2000000002</v>
      </c>
      <c r="BQ61" s="189">
        <v>5810586.5499999998</v>
      </c>
      <c r="BR61" s="189">
        <v>5420067.04</v>
      </c>
      <c r="BS61" s="189">
        <v>5354904.25</v>
      </c>
      <c r="BT61" s="189">
        <v>14031151.300000001</v>
      </c>
      <c r="BU61" s="189">
        <v>13717927.220000001</v>
      </c>
      <c r="BV61" s="189">
        <v>14151474.869999999</v>
      </c>
      <c r="BW61" s="189">
        <v>0</v>
      </c>
      <c r="BX61" s="189"/>
      <c r="BY61" s="189"/>
      <c r="BZ61" s="189"/>
      <c r="CA61" s="189"/>
      <c r="CB61" s="189"/>
      <c r="CC61" s="189"/>
      <c r="CD61" s="189"/>
      <c r="CE61" s="189"/>
      <c r="CF61" s="189"/>
      <c r="CG61" s="189"/>
      <c r="CH61" s="189"/>
      <c r="CI61" s="189"/>
      <c r="CJ61" s="189"/>
      <c r="CK61" s="189"/>
      <c r="CL61" s="189"/>
    </row>
    <row r="62" spans="1:90" s="192" customFormat="1" x14ac:dyDescent="0.25">
      <c r="A62" s="192" t="s">
        <v>44</v>
      </c>
      <c r="B62" s="189">
        <v>190647416.53</v>
      </c>
      <c r="C62" s="189">
        <v>173640549.71000001</v>
      </c>
      <c r="D62" s="189">
        <v>172033259.22999999</v>
      </c>
      <c r="E62" s="189">
        <v>184246738.30000001</v>
      </c>
      <c r="F62" s="189">
        <v>135297155.61000001</v>
      </c>
      <c r="G62" s="189">
        <v>146102579.47999999</v>
      </c>
      <c r="H62" s="189">
        <v>138583950.88999999</v>
      </c>
      <c r="I62" s="189">
        <v>130519998.72</v>
      </c>
      <c r="J62" s="189">
        <v>122621574.25</v>
      </c>
      <c r="K62" s="189">
        <v>113630395.43000001</v>
      </c>
      <c r="L62" s="189">
        <v>101326681.17</v>
      </c>
      <c r="M62" s="189">
        <v>93083969.049999997</v>
      </c>
      <c r="N62" s="189">
        <v>50462737.869999997</v>
      </c>
      <c r="O62" s="189">
        <v>56123492.68</v>
      </c>
      <c r="P62" s="189">
        <v>48422759.07</v>
      </c>
      <c r="Q62" s="189">
        <v>59576125.149999999</v>
      </c>
      <c r="R62" s="189">
        <v>84903069.049999997</v>
      </c>
      <c r="S62" s="189">
        <v>72503475.230000004</v>
      </c>
      <c r="T62" s="189">
        <v>88605909.780000001</v>
      </c>
      <c r="U62" s="189">
        <v>88770744.239999995</v>
      </c>
      <c r="V62" s="189">
        <v>46242581.210000001</v>
      </c>
      <c r="W62" s="189">
        <v>45272547.07</v>
      </c>
      <c r="X62" s="189">
        <v>43091048.869999997</v>
      </c>
      <c r="Y62" s="189">
        <v>44840180.350000001</v>
      </c>
      <c r="Z62" s="189">
        <v>28415889.510000002</v>
      </c>
      <c r="AA62" s="189">
        <v>23399044.710000001</v>
      </c>
      <c r="AB62" s="189">
        <v>25681547.440000001</v>
      </c>
      <c r="AC62" s="189">
        <v>25864848.09</v>
      </c>
      <c r="AD62" s="189">
        <v>28629512.27</v>
      </c>
      <c r="AE62" s="189">
        <v>31814898.829999998</v>
      </c>
      <c r="AF62" s="189">
        <v>35106875.170000002</v>
      </c>
      <c r="AG62" s="189">
        <v>30405984.309999999</v>
      </c>
      <c r="AH62" s="189">
        <v>19797597.170000002</v>
      </c>
      <c r="AI62" s="189">
        <v>20442156.32</v>
      </c>
      <c r="AJ62" s="189">
        <v>26557134.719999999</v>
      </c>
      <c r="AK62" s="189">
        <v>12856270.300000001</v>
      </c>
      <c r="AL62" s="189">
        <v>10851594.210000001</v>
      </c>
      <c r="AM62" s="189">
        <v>11189683.41</v>
      </c>
      <c r="AN62" s="189">
        <v>10766458.24</v>
      </c>
      <c r="AO62" s="189">
        <v>10967095.550000001</v>
      </c>
      <c r="AP62" s="189">
        <v>12147455.779999999</v>
      </c>
      <c r="AQ62" s="189">
        <v>11752166.75</v>
      </c>
      <c r="AR62" s="189">
        <v>7753956.25</v>
      </c>
      <c r="AS62" s="189">
        <v>6158637.9000000004</v>
      </c>
      <c r="AT62" s="189">
        <v>23547791.649999999</v>
      </c>
      <c r="AU62" s="189">
        <v>26415045.670000002</v>
      </c>
      <c r="AV62" s="189">
        <v>26247218.870000001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c r="BY62" s="189"/>
      <c r="BZ62" s="189"/>
      <c r="CA62" s="189"/>
      <c r="CB62" s="189"/>
      <c r="CC62" s="189"/>
      <c r="CD62" s="189"/>
      <c r="CE62" s="189"/>
      <c r="CF62" s="189"/>
      <c r="CG62" s="189"/>
      <c r="CH62" s="189"/>
      <c r="CI62" s="189"/>
      <c r="CJ62" s="189"/>
      <c r="CK62" s="189"/>
      <c r="CL62" s="189"/>
    </row>
    <row r="63" spans="1:90" s="192" customFormat="1" x14ac:dyDescent="0.25">
      <c r="A63" s="192" t="s">
        <v>45</v>
      </c>
      <c r="B63" s="189">
        <v>92451918.840000004</v>
      </c>
      <c r="C63" s="189">
        <v>88952739.620000005</v>
      </c>
      <c r="D63" s="189">
        <v>94593807.709999993</v>
      </c>
      <c r="E63" s="189">
        <v>94484129.390000001</v>
      </c>
      <c r="F63" s="189">
        <v>0</v>
      </c>
      <c r="G63" s="189">
        <v>0</v>
      </c>
      <c r="H63" s="189">
        <v>0</v>
      </c>
      <c r="I63" s="189">
        <v>0</v>
      </c>
      <c r="J63" s="189">
        <v>0</v>
      </c>
      <c r="K63" s="189">
        <v>0</v>
      </c>
      <c r="L63" s="189">
        <v>0</v>
      </c>
      <c r="M63" s="189">
        <v>0</v>
      </c>
      <c r="N63" s="189">
        <v>88552460.829999998</v>
      </c>
      <c r="O63" s="189">
        <v>93153447.150000006</v>
      </c>
      <c r="P63" s="189">
        <v>58908514.119999997</v>
      </c>
      <c r="Q63" s="189">
        <v>54605298.759999998</v>
      </c>
      <c r="R63" s="189">
        <v>11413434.73</v>
      </c>
      <c r="S63" s="189">
        <v>10834890.67</v>
      </c>
      <c r="T63" s="189">
        <v>10100477.75</v>
      </c>
      <c r="U63" s="189">
        <v>10153406.699999999</v>
      </c>
      <c r="V63" s="189">
        <v>8073937.5</v>
      </c>
      <c r="W63" s="189">
        <v>8073937.5</v>
      </c>
      <c r="X63" s="189">
        <v>8073937.5</v>
      </c>
      <c r="Y63" s="189">
        <v>8073937.5</v>
      </c>
      <c r="Z63" s="189">
        <v>8073937.5</v>
      </c>
      <c r="AA63" s="189">
        <v>8073937.5</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101419.81</v>
      </c>
      <c r="AS63" s="189">
        <v>121242.36</v>
      </c>
      <c r="AT63" s="189">
        <v>1113515.67</v>
      </c>
      <c r="AU63" s="189">
        <v>1075063.3700000001</v>
      </c>
      <c r="AV63" s="189">
        <v>1047532.43</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c r="BY63" s="189"/>
      <c r="BZ63" s="189"/>
      <c r="CA63" s="189"/>
      <c r="CB63" s="189"/>
      <c r="CC63" s="189"/>
      <c r="CD63" s="189"/>
      <c r="CE63" s="189"/>
      <c r="CF63" s="189"/>
      <c r="CG63" s="189"/>
      <c r="CH63" s="189"/>
      <c r="CI63" s="189"/>
      <c r="CJ63" s="189"/>
      <c r="CK63" s="189"/>
      <c r="CL63" s="189"/>
    </row>
    <row r="64" spans="1:90" s="192" customFormat="1" x14ac:dyDescent="0.25">
      <c r="A64" s="192" t="s">
        <v>46</v>
      </c>
      <c r="B64" s="189">
        <v>161366670.22</v>
      </c>
      <c r="C64" s="189">
        <v>153542264.41</v>
      </c>
      <c r="D64" s="189">
        <v>165952349.19999999</v>
      </c>
      <c r="E64" s="189">
        <v>162369221.94</v>
      </c>
      <c r="F64" s="189">
        <v>146326997.55000001</v>
      </c>
      <c r="G64" s="189">
        <v>132391321.97</v>
      </c>
      <c r="H64" s="189">
        <v>130207370.73</v>
      </c>
      <c r="I64" s="189">
        <v>165804397.83000001</v>
      </c>
      <c r="J64" s="189">
        <v>106312328.77</v>
      </c>
      <c r="K64" s="189">
        <v>105304109.59</v>
      </c>
      <c r="L64" s="189">
        <v>104306849.31999999</v>
      </c>
      <c r="M64" s="189">
        <v>103309589.04000001</v>
      </c>
      <c r="N64" s="189">
        <v>309390000</v>
      </c>
      <c r="O64" s="189">
        <v>309390000</v>
      </c>
      <c r="P64" s="189">
        <v>100000000</v>
      </c>
      <c r="Q64" s="189">
        <v>0</v>
      </c>
      <c r="R64" s="189">
        <v>0</v>
      </c>
      <c r="S64" s="189">
        <v>0</v>
      </c>
      <c r="T64" s="189">
        <v>0</v>
      </c>
      <c r="U64" s="189">
        <v>0</v>
      </c>
      <c r="V64" s="189">
        <v>0</v>
      </c>
      <c r="W64" s="189">
        <v>12870000</v>
      </c>
      <c r="X64" s="189">
        <v>12870000</v>
      </c>
      <c r="Y64" s="189">
        <v>8000000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0</v>
      </c>
      <c r="BX64" s="189"/>
      <c r="BY64" s="189"/>
      <c r="BZ64" s="189"/>
      <c r="CA64" s="189"/>
      <c r="CB64" s="189"/>
      <c r="CC64" s="189"/>
      <c r="CD64" s="189"/>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4437006136.1000004</v>
      </c>
      <c r="C68" s="36">
        <f t="shared" ref="C68:BN68" si="8">SUM(C52:C64)-2*C63</f>
        <v>4329712298.0200005</v>
      </c>
      <c r="D68" s="36">
        <f t="shared" si="8"/>
        <v>4413792662.5499992</v>
      </c>
      <c r="E68" s="36">
        <f t="shared" si="8"/>
        <v>4383828479.4900007</v>
      </c>
      <c r="F68" s="36">
        <f t="shared" si="8"/>
        <v>1718350582.2</v>
      </c>
      <c r="G68" s="36">
        <f t="shared" si="8"/>
        <v>1681130727.52</v>
      </c>
      <c r="H68" s="36">
        <f t="shared" si="8"/>
        <v>1636269623.4099998</v>
      </c>
      <c r="I68" s="36">
        <f t="shared" si="8"/>
        <v>1571577624.21</v>
      </c>
      <c r="J68" s="36">
        <f t="shared" si="8"/>
        <v>1462193209.1800001</v>
      </c>
      <c r="K68" s="36">
        <f t="shared" si="8"/>
        <v>1204875566.6799998</v>
      </c>
      <c r="L68" s="36">
        <f t="shared" si="8"/>
        <v>1048262082.96</v>
      </c>
      <c r="M68" s="36">
        <f t="shared" si="8"/>
        <v>995465703.40999997</v>
      </c>
      <c r="N68" s="36">
        <f t="shared" si="8"/>
        <v>751593493.05000007</v>
      </c>
      <c r="O68" s="36">
        <f t="shared" si="8"/>
        <v>724223390.49000001</v>
      </c>
      <c r="P68" s="36">
        <f t="shared" si="8"/>
        <v>538141712.79999995</v>
      </c>
      <c r="Q68" s="36">
        <f t="shared" si="8"/>
        <v>447549891.35000002</v>
      </c>
      <c r="R68" s="36">
        <f t="shared" si="8"/>
        <v>510575995.69000006</v>
      </c>
      <c r="S68" s="36">
        <f t="shared" si="8"/>
        <v>516523780.36000007</v>
      </c>
      <c r="T68" s="36">
        <f t="shared" si="8"/>
        <v>534241662.29000008</v>
      </c>
      <c r="U68" s="36">
        <f t="shared" si="8"/>
        <v>542298073.66000009</v>
      </c>
      <c r="V68" s="36">
        <f t="shared" si="8"/>
        <v>487189479.06999999</v>
      </c>
      <c r="W68" s="36">
        <f t="shared" si="8"/>
        <v>463600959.46000004</v>
      </c>
      <c r="X68" s="36">
        <f t="shared" si="8"/>
        <v>450584853.49000001</v>
      </c>
      <c r="Y68" s="36">
        <f t="shared" si="8"/>
        <v>442269938.22000003</v>
      </c>
      <c r="Z68" s="36">
        <f t="shared" si="8"/>
        <v>446207188.13999999</v>
      </c>
      <c r="AA68" s="36">
        <f t="shared" si="8"/>
        <v>429361486.26999998</v>
      </c>
      <c r="AB68" s="36">
        <f t="shared" si="8"/>
        <v>416762924.85000002</v>
      </c>
      <c r="AC68" s="36">
        <f t="shared" si="8"/>
        <v>420862553.00999999</v>
      </c>
      <c r="AD68" s="36">
        <f t="shared" si="8"/>
        <v>452905963.09000003</v>
      </c>
      <c r="AE68" s="36">
        <f t="shared" si="8"/>
        <v>460055390.13999999</v>
      </c>
      <c r="AF68" s="36">
        <f t="shared" si="8"/>
        <v>393703755.92000002</v>
      </c>
      <c r="AG68" s="36">
        <f t="shared" si="8"/>
        <v>395648920.38999999</v>
      </c>
      <c r="AH68" s="36">
        <f t="shared" si="8"/>
        <v>410218436.71000004</v>
      </c>
      <c r="AI68" s="36">
        <f t="shared" si="8"/>
        <v>407764666.60000002</v>
      </c>
      <c r="AJ68" s="36">
        <f t="shared" si="8"/>
        <v>415035293.76999998</v>
      </c>
      <c r="AK68" s="36">
        <f t="shared" si="8"/>
        <v>400395294.40000004</v>
      </c>
      <c r="AL68" s="36">
        <f t="shared" si="8"/>
        <v>412022864.50999999</v>
      </c>
      <c r="AM68" s="36">
        <f t="shared" si="8"/>
        <v>412488551.04000002</v>
      </c>
      <c r="AN68" s="36">
        <f t="shared" si="8"/>
        <v>413058111.08000004</v>
      </c>
      <c r="AO68" s="36">
        <f t="shared" si="8"/>
        <v>414160274.10000002</v>
      </c>
      <c r="AP68" s="36">
        <f t="shared" si="8"/>
        <v>411072473.17999995</v>
      </c>
      <c r="AQ68" s="36">
        <f t="shared" si="8"/>
        <v>458708388.79000002</v>
      </c>
      <c r="AR68" s="36">
        <f t="shared" si="8"/>
        <v>464051258.11000007</v>
      </c>
      <c r="AS68" s="36">
        <f t="shared" si="8"/>
        <v>471805231.77999997</v>
      </c>
      <c r="AT68" s="36">
        <f t="shared" si="8"/>
        <v>501839767.88999999</v>
      </c>
      <c r="AU68" s="36">
        <f t="shared" si="8"/>
        <v>515887394.81999999</v>
      </c>
      <c r="AV68" s="36">
        <f t="shared" si="8"/>
        <v>528266355.42000002</v>
      </c>
      <c r="AW68" s="36">
        <f t="shared" si="8"/>
        <v>517440569.26999998</v>
      </c>
      <c r="AX68" s="36">
        <f t="shared" si="8"/>
        <v>533181265.14999998</v>
      </c>
      <c r="AY68" s="36">
        <f t="shared" si="8"/>
        <v>542067158.26999998</v>
      </c>
      <c r="AZ68" s="36">
        <f t="shared" si="8"/>
        <v>542371453.54999995</v>
      </c>
      <c r="BA68" s="36">
        <f t="shared" si="8"/>
        <v>536966036.46000004</v>
      </c>
      <c r="BB68" s="36">
        <f t="shared" si="8"/>
        <v>521184426.32000005</v>
      </c>
      <c r="BC68" s="36">
        <f t="shared" si="8"/>
        <v>507665293.11000001</v>
      </c>
      <c r="BD68" s="36">
        <f t="shared" si="8"/>
        <v>513676677.65999997</v>
      </c>
      <c r="BE68" s="36">
        <f t="shared" si="8"/>
        <v>517141577.42999995</v>
      </c>
      <c r="BF68" s="36">
        <f t="shared" si="8"/>
        <v>418794959.89000005</v>
      </c>
      <c r="BG68" s="36">
        <f t="shared" si="8"/>
        <v>419967138.69999999</v>
      </c>
      <c r="BH68" s="36">
        <f t="shared" si="8"/>
        <v>413953243.10999995</v>
      </c>
      <c r="BI68" s="36">
        <f t="shared" si="8"/>
        <v>426604810.43000001</v>
      </c>
      <c r="BJ68" s="36">
        <f t="shared" si="8"/>
        <v>414522856.66000003</v>
      </c>
      <c r="BK68" s="36">
        <f t="shared" si="8"/>
        <v>397466058.38999999</v>
      </c>
      <c r="BL68" s="36">
        <f t="shared" si="8"/>
        <v>394623238.92000002</v>
      </c>
      <c r="BM68" s="36">
        <f t="shared" si="8"/>
        <v>393709374.95999998</v>
      </c>
      <c r="BN68" s="36">
        <f t="shared" si="8"/>
        <v>383483266.17999995</v>
      </c>
      <c r="BO68" s="36">
        <f t="shared" ref="BO68:CK68" si="9">SUM(BO52:BO64)-2*BO63</f>
        <v>360646635.81000006</v>
      </c>
      <c r="BP68" s="36">
        <f t="shared" si="9"/>
        <v>317466751.67000002</v>
      </c>
      <c r="BQ68" s="36">
        <f t="shared" si="9"/>
        <v>308797468.75</v>
      </c>
      <c r="BR68" s="36">
        <f t="shared" si="9"/>
        <v>297245268.27000004</v>
      </c>
      <c r="BS68" s="36">
        <f t="shared" si="9"/>
        <v>300769595.00999999</v>
      </c>
      <c r="BT68" s="36">
        <f t="shared" si="9"/>
        <v>331042005.76000005</v>
      </c>
      <c r="BU68" s="36">
        <f t="shared" si="9"/>
        <v>331949257.89000005</v>
      </c>
      <c r="BV68" s="36">
        <f t="shared" si="9"/>
        <v>307391915.62</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5794806216.3800011</v>
      </c>
      <c r="C69" s="33">
        <f t="shared" ref="C69:BN69" si="10">C50+C68</f>
        <v>4660621044.8100004</v>
      </c>
      <c r="D69" s="33">
        <f t="shared" si="10"/>
        <v>4550644738.5199995</v>
      </c>
      <c r="E69" s="33">
        <f t="shared" si="10"/>
        <v>4393634136.6499996</v>
      </c>
      <c r="F69" s="33">
        <f t="shared" si="10"/>
        <v>3250611873.3699999</v>
      </c>
      <c r="G69" s="33">
        <f t="shared" si="10"/>
        <v>2685896185.6200004</v>
      </c>
      <c r="H69" s="33">
        <f t="shared" si="10"/>
        <v>2655815227.6800003</v>
      </c>
      <c r="I69" s="33">
        <f t="shared" si="10"/>
        <v>2324441427.2200003</v>
      </c>
      <c r="J69" s="33">
        <f t="shared" si="10"/>
        <v>1963444132.2899997</v>
      </c>
      <c r="K69" s="33">
        <f t="shared" si="10"/>
        <v>1862631482.6199999</v>
      </c>
      <c r="L69" s="33">
        <f t="shared" si="10"/>
        <v>1741458418.1700001</v>
      </c>
      <c r="M69" s="33">
        <f t="shared" si="10"/>
        <v>2015087969.6399999</v>
      </c>
      <c r="N69" s="33">
        <f t="shared" si="10"/>
        <v>1735766051.9400001</v>
      </c>
      <c r="O69" s="33">
        <f t="shared" si="10"/>
        <v>1146498972.5900004</v>
      </c>
      <c r="P69" s="33">
        <f t="shared" si="10"/>
        <v>201381325.6500001</v>
      </c>
      <c r="Q69" s="33">
        <f t="shared" si="10"/>
        <v>417693946.64999974</v>
      </c>
      <c r="R69" s="33">
        <f t="shared" si="10"/>
        <v>658828309.07999992</v>
      </c>
      <c r="S69" s="33">
        <f t="shared" si="10"/>
        <v>715643673.23000002</v>
      </c>
      <c r="T69" s="33">
        <f t="shared" si="10"/>
        <v>605594211.15999973</v>
      </c>
      <c r="U69" s="33">
        <f t="shared" si="10"/>
        <v>980733293.59000015</v>
      </c>
      <c r="V69" s="33">
        <f t="shared" si="10"/>
        <v>356453980.91000015</v>
      </c>
      <c r="W69" s="33">
        <f t="shared" si="10"/>
        <v>448798845.53999996</v>
      </c>
      <c r="X69" s="33">
        <f t="shared" si="10"/>
        <v>327247856.73000002</v>
      </c>
      <c r="Y69" s="33">
        <f t="shared" si="10"/>
        <v>416379424.38</v>
      </c>
      <c r="Z69" s="33">
        <f t="shared" si="10"/>
        <v>264035369.18999994</v>
      </c>
      <c r="AA69" s="33">
        <f t="shared" si="10"/>
        <v>530480010.76000023</v>
      </c>
      <c r="AB69" s="33">
        <f t="shared" si="10"/>
        <v>442378688.03999996</v>
      </c>
      <c r="AC69" s="33">
        <f t="shared" si="10"/>
        <v>563004100.42999995</v>
      </c>
      <c r="AD69" s="33">
        <f t="shared" si="10"/>
        <v>414491919.3599999</v>
      </c>
      <c r="AE69" s="33">
        <f t="shared" si="10"/>
        <v>511185049.61000001</v>
      </c>
      <c r="AF69" s="33">
        <f t="shared" si="10"/>
        <v>458906097.45999998</v>
      </c>
      <c r="AG69" s="33">
        <f t="shared" si="10"/>
        <v>470879952.89999998</v>
      </c>
      <c r="AH69" s="33">
        <f t="shared" si="10"/>
        <v>436630480.50999999</v>
      </c>
      <c r="AI69" s="33">
        <f t="shared" si="10"/>
        <v>500595030.33000004</v>
      </c>
      <c r="AJ69" s="33">
        <f t="shared" si="10"/>
        <v>497162226.10000002</v>
      </c>
      <c r="AK69" s="33">
        <f t="shared" si="10"/>
        <v>517255464.36000007</v>
      </c>
      <c r="AL69" s="33">
        <f t="shared" si="10"/>
        <v>425938145.85000002</v>
      </c>
      <c r="AM69" s="33">
        <f t="shared" si="10"/>
        <v>599149653.71000004</v>
      </c>
      <c r="AN69" s="33">
        <f t="shared" si="10"/>
        <v>581167922.88000011</v>
      </c>
      <c r="AO69" s="33">
        <f t="shared" si="10"/>
        <v>595537961.41999996</v>
      </c>
      <c r="AP69" s="33">
        <f t="shared" si="10"/>
        <v>530417883.44999999</v>
      </c>
      <c r="AQ69" s="33">
        <f t="shared" si="10"/>
        <v>652115345.58999991</v>
      </c>
      <c r="AR69" s="33">
        <f t="shared" si="10"/>
        <v>620931476.22000003</v>
      </c>
      <c r="AS69" s="33">
        <f t="shared" si="10"/>
        <v>674757442.36999989</v>
      </c>
      <c r="AT69" s="33">
        <f t="shared" si="10"/>
        <v>550705689.87</v>
      </c>
      <c r="AU69" s="33">
        <f t="shared" si="10"/>
        <v>675612588.56000018</v>
      </c>
      <c r="AV69" s="33">
        <f t="shared" si="10"/>
        <v>759240698.8900001</v>
      </c>
      <c r="AW69" s="33">
        <f t="shared" si="10"/>
        <v>707039713.66000009</v>
      </c>
      <c r="AX69" s="33">
        <f t="shared" si="10"/>
        <v>716633657.38999999</v>
      </c>
      <c r="AY69" s="33">
        <f t="shared" si="10"/>
        <v>816389413.29999995</v>
      </c>
      <c r="AZ69" s="33">
        <f t="shared" si="10"/>
        <v>924314311.5999999</v>
      </c>
      <c r="BA69" s="33">
        <f t="shared" si="10"/>
        <v>958260086.3900001</v>
      </c>
      <c r="BB69" s="33">
        <f t="shared" si="10"/>
        <v>985078374.13000011</v>
      </c>
      <c r="BC69" s="33">
        <f t="shared" si="10"/>
        <v>944250500.82000005</v>
      </c>
      <c r="BD69" s="33">
        <f t="shared" si="10"/>
        <v>917285208.31000006</v>
      </c>
      <c r="BE69" s="33">
        <f t="shared" si="10"/>
        <v>864374483.19000006</v>
      </c>
      <c r="BF69" s="33">
        <f t="shared" si="10"/>
        <v>846544297.93000007</v>
      </c>
      <c r="BG69" s="33">
        <f t="shared" si="10"/>
        <v>831052177.44000006</v>
      </c>
      <c r="BH69" s="33">
        <f t="shared" si="10"/>
        <v>779801322.38999987</v>
      </c>
      <c r="BI69" s="33">
        <f t="shared" si="10"/>
        <v>755392454.55999994</v>
      </c>
      <c r="BJ69" s="33">
        <f t="shared" si="10"/>
        <v>712627509.71000004</v>
      </c>
      <c r="BK69" s="33">
        <f t="shared" si="10"/>
        <v>703187337.80999994</v>
      </c>
      <c r="BL69" s="33">
        <f t="shared" si="10"/>
        <v>803365946.86999989</v>
      </c>
      <c r="BM69" s="33">
        <f t="shared" si="10"/>
        <v>684408776.77999997</v>
      </c>
      <c r="BN69" s="33">
        <f t="shared" si="10"/>
        <v>582495957.55999994</v>
      </c>
      <c r="BO69" s="33">
        <f t="shared" ref="BO69:CL69" si="11">BO50+BO68</f>
        <v>528318660.32999998</v>
      </c>
      <c r="BP69" s="33">
        <f t="shared" si="11"/>
        <v>533954015.69</v>
      </c>
      <c r="BQ69" s="33">
        <f t="shared" si="11"/>
        <v>495668372.61000001</v>
      </c>
      <c r="BR69" s="33">
        <f t="shared" si="11"/>
        <v>402960924.33000004</v>
      </c>
      <c r="BS69" s="33">
        <f t="shared" si="11"/>
        <v>449236009.5</v>
      </c>
      <c r="BT69" s="33">
        <f t="shared" si="11"/>
        <v>540351345.68000007</v>
      </c>
      <c r="BU69" s="33">
        <f t="shared" si="11"/>
        <v>559550869.04999995</v>
      </c>
      <c r="BV69" s="33">
        <f t="shared" si="11"/>
        <v>549156561.25999999</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8057653408.8100014</v>
      </c>
      <c r="C70" s="37">
        <f t="shared" ref="C70:BN70" si="12">C17+C19+C69</f>
        <v>6886865986.2600002</v>
      </c>
      <c r="D70" s="37">
        <f t="shared" si="12"/>
        <v>6762658467.9799995</v>
      </c>
      <c r="E70" s="37">
        <f t="shared" si="12"/>
        <v>6480245388.0299997</v>
      </c>
      <c r="F70" s="37">
        <f t="shared" si="12"/>
        <v>5584129813.4499998</v>
      </c>
      <c r="G70" s="37">
        <f t="shared" si="12"/>
        <v>5486901784.9500008</v>
      </c>
      <c r="H70" s="37">
        <f t="shared" si="12"/>
        <v>5410851971.2399998</v>
      </c>
      <c r="I70" s="37">
        <f t="shared" si="12"/>
        <v>5302630348.1700001</v>
      </c>
      <c r="J70" s="37">
        <f t="shared" si="12"/>
        <v>5496064351.8899994</v>
      </c>
      <c r="K70" s="37">
        <f t="shared" si="12"/>
        <v>6092846785.5299997</v>
      </c>
      <c r="L70" s="37">
        <f t="shared" si="12"/>
        <v>5854406102.8999996</v>
      </c>
      <c r="M70" s="37">
        <f t="shared" si="12"/>
        <v>5729931762.5599995</v>
      </c>
      <c r="N70" s="37">
        <f t="shared" si="12"/>
        <v>4347945256.8199997</v>
      </c>
      <c r="O70" s="37">
        <f t="shared" si="12"/>
        <v>4249908833.4099998</v>
      </c>
      <c r="P70" s="37">
        <f t="shared" si="12"/>
        <v>4012230378.0500002</v>
      </c>
      <c r="Q70" s="37">
        <f t="shared" si="12"/>
        <v>3819507280.5699997</v>
      </c>
      <c r="R70" s="37">
        <f t="shared" si="12"/>
        <v>3817275097.7600002</v>
      </c>
      <c r="S70" s="37">
        <f t="shared" si="12"/>
        <v>3675262658.1800003</v>
      </c>
      <c r="T70" s="37">
        <f t="shared" si="12"/>
        <v>3584288156.3699999</v>
      </c>
      <c r="U70" s="37">
        <f t="shared" si="12"/>
        <v>3397247610.8099999</v>
      </c>
      <c r="V70" s="37">
        <f t="shared" si="12"/>
        <v>3223399778.6199999</v>
      </c>
      <c r="W70" s="37">
        <f t="shared" si="12"/>
        <v>3051380418.6100001</v>
      </c>
      <c r="X70" s="37">
        <f t="shared" si="12"/>
        <v>2923716055.0599999</v>
      </c>
      <c r="Y70" s="37">
        <f t="shared" si="12"/>
        <v>2744262104.8100004</v>
      </c>
      <c r="Z70" s="37">
        <f t="shared" si="12"/>
        <v>2550223777.2599998</v>
      </c>
      <c r="AA70" s="37">
        <f t="shared" si="12"/>
        <v>2573660093.1700001</v>
      </c>
      <c r="AB70" s="37">
        <f t="shared" si="12"/>
        <v>1883905590.1799998</v>
      </c>
      <c r="AC70" s="37">
        <f t="shared" si="12"/>
        <v>1794672213.1999998</v>
      </c>
      <c r="AD70" s="37">
        <f t="shared" si="12"/>
        <v>1710344188.99</v>
      </c>
      <c r="AE70" s="37">
        <f t="shared" si="12"/>
        <v>1635741500.1399999</v>
      </c>
      <c r="AF70" s="37">
        <f t="shared" si="12"/>
        <v>1596245740.77</v>
      </c>
      <c r="AG70" s="37">
        <f t="shared" si="12"/>
        <v>1536769887.6300001</v>
      </c>
      <c r="AH70" s="37">
        <f t="shared" si="12"/>
        <v>1490659594.78</v>
      </c>
      <c r="AI70" s="37">
        <f t="shared" si="12"/>
        <v>1431699869.01</v>
      </c>
      <c r="AJ70" s="37">
        <f t="shared" si="12"/>
        <v>1432405682.5999999</v>
      </c>
      <c r="AK70" s="37">
        <f t="shared" si="12"/>
        <v>1388123113.24</v>
      </c>
      <c r="AL70" s="37">
        <f t="shared" si="12"/>
        <v>1325509475.3200002</v>
      </c>
      <c r="AM70" s="37">
        <f t="shared" si="12"/>
        <v>1271588026.47</v>
      </c>
      <c r="AN70" s="37">
        <f t="shared" si="12"/>
        <v>1293033135.8300002</v>
      </c>
      <c r="AO70" s="37">
        <f t="shared" si="12"/>
        <v>1255785567</v>
      </c>
      <c r="AP70" s="37">
        <f t="shared" si="12"/>
        <v>1177960506.3299999</v>
      </c>
      <c r="AQ70" s="37">
        <f t="shared" si="12"/>
        <v>1255221960.05</v>
      </c>
      <c r="AR70" s="37">
        <f t="shared" si="12"/>
        <v>1139734738.6199999</v>
      </c>
      <c r="AS70" s="37">
        <f t="shared" si="12"/>
        <v>1108044404.3099999</v>
      </c>
      <c r="AT70" s="37">
        <f t="shared" si="12"/>
        <v>1126177219.5700002</v>
      </c>
      <c r="AU70" s="37">
        <f t="shared" si="12"/>
        <v>1128133357.4000001</v>
      </c>
      <c r="AV70" s="37">
        <f t="shared" si="12"/>
        <v>1121344814.7600002</v>
      </c>
      <c r="AW70" s="37">
        <f t="shared" si="12"/>
        <v>1080170459.25</v>
      </c>
      <c r="AX70" s="37">
        <f t="shared" si="12"/>
        <v>1086739630.6500001</v>
      </c>
      <c r="AY70" s="37">
        <f t="shared" si="12"/>
        <v>1202793809.77</v>
      </c>
      <c r="AZ70" s="37">
        <f t="shared" si="12"/>
        <v>1554515431.6899998</v>
      </c>
      <c r="BA70" s="37">
        <f t="shared" si="12"/>
        <v>1466442525.8000002</v>
      </c>
      <c r="BB70" s="37">
        <f t="shared" si="12"/>
        <v>1363055991.52</v>
      </c>
      <c r="BC70" s="37">
        <f t="shared" si="12"/>
        <v>1402741283.5300002</v>
      </c>
      <c r="BD70" s="37">
        <f t="shared" si="12"/>
        <v>1365807767.0700002</v>
      </c>
      <c r="BE70" s="37">
        <f t="shared" si="12"/>
        <v>1382454641.3299999</v>
      </c>
      <c r="BF70" s="37">
        <f t="shared" si="12"/>
        <v>1378169355.1500001</v>
      </c>
      <c r="BG70" s="37">
        <f t="shared" si="12"/>
        <v>1396331099.97</v>
      </c>
      <c r="BH70" s="37">
        <f t="shared" si="12"/>
        <v>1321426575.8299999</v>
      </c>
      <c r="BI70" s="37">
        <f t="shared" si="12"/>
        <v>1308652630.8699999</v>
      </c>
      <c r="BJ70" s="37">
        <f t="shared" si="12"/>
        <v>1318203409.71</v>
      </c>
      <c r="BK70" s="37">
        <f t="shared" si="12"/>
        <v>1210182496.8399999</v>
      </c>
      <c r="BL70" s="37">
        <f t="shared" si="12"/>
        <v>1282339030.5799999</v>
      </c>
      <c r="BM70" s="37">
        <f t="shared" si="12"/>
        <v>1268046546.79</v>
      </c>
      <c r="BN70" s="37">
        <f t="shared" si="12"/>
        <v>1330683151.75</v>
      </c>
      <c r="BO70" s="37">
        <f t="shared" ref="BO70:CL70" si="13">BO17+BO19+BO69</f>
        <v>1341651366.1199999</v>
      </c>
      <c r="BP70" s="37">
        <f t="shared" si="13"/>
        <v>1256179773.98</v>
      </c>
      <c r="BQ70" s="37">
        <f t="shared" si="13"/>
        <v>1240050778.4400001</v>
      </c>
      <c r="BR70" s="37">
        <f t="shared" si="13"/>
        <v>1297555504.3600001</v>
      </c>
      <c r="BS70" s="37">
        <f t="shared" si="13"/>
        <v>532602842.31</v>
      </c>
      <c r="BT70" s="37">
        <f t="shared" si="13"/>
        <v>630332203.24000001</v>
      </c>
      <c r="BU70" s="37">
        <f t="shared" si="13"/>
        <v>614127746.19999993</v>
      </c>
      <c r="BV70" s="37">
        <f t="shared" si="13"/>
        <v>613491641.42999995</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22498649.439999998</v>
      </c>
      <c r="F72" s="28">
        <f t="shared" ref="F72:BQ72" si="14">SUM(F73:F77)</f>
        <v>2981935.32</v>
      </c>
      <c r="G72" s="28">
        <f t="shared" si="14"/>
        <v>3673740.88</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10000000</v>
      </c>
      <c r="AA72" s="28">
        <f t="shared" si="14"/>
        <v>10000000</v>
      </c>
      <c r="AB72" s="28">
        <f t="shared" si="14"/>
        <v>10000000</v>
      </c>
      <c r="AC72" s="28">
        <f t="shared" si="14"/>
        <v>10000000</v>
      </c>
      <c r="AD72" s="28">
        <f t="shared" si="14"/>
        <v>12000000</v>
      </c>
      <c r="AE72" s="28">
        <f t="shared" si="14"/>
        <v>12000000</v>
      </c>
      <c r="AF72" s="28">
        <f t="shared" si="14"/>
        <v>12000000</v>
      </c>
      <c r="AG72" s="28">
        <f t="shared" si="14"/>
        <v>14000000</v>
      </c>
      <c r="AH72" s="28">
        <f t="shared" si="14"/>
        <v>14000000</v>
      </c>
      <c r="AI72" s="28">
        <f t="shared" si="14"/>
        <v>14000000</v>
      </c>
      <c r="AJ72" s="28">
        <f t="shared" si="14"/>
        <v>15000000</v>
      </c>
      <c r="AK72" s="28">
        <f t="shared" si="14"/>
        <v>12000000</v>
      </c>
      <c r="AL72" s="28">
        <f t="shared" si="14"/>
        <v>10000000</v>
      </c>
      <c r="AM72" s="28">
        <f t="shared" si="14"/>
        <v>7000000</v>
      </c>
      <c r="AN72" s="28">
        <f t="shared" si="14"/>
        <v>100000000</v>
      </c>
      <c r="AO72" s="28">
        <f t="shared" si="14"/>
        <v>103000000</v>
      </c>
      <c r="AP72" s="28">
        <f t="shared" si="14"/>
        <v>72100000</v>
      </c>
      <c r="AQ72" s="28">
        <f t="shared" si="14"/>
        <v>157000000</v>
      </c>
      <c r="AR72" s="28">
        <f t="shared" si="14"/>
        <v>193000000</v>
      </c>
      <c r="AS72" s="28">
        <f t="shared" si="14"/>
        <v>196214636.59</v>
      </c>
      <c r="AT72" s="28">
        <f t="shared" si="14"/>
        <v>234668584.59</v>
      </c>
      <c r="AU72" s="28">
        <f t="shared" si="14"/>
        <v>270295000</v>
      </c>
      <c r="AV72" s="28">
        <f t="shared" si="14"/>
        <v>287983274.00999999</v>
      </c>
      <c r="AW72" s="28">
        <f t="shared" si="14"/>
        <v>229500000</v>
      </c>
      <c r="AX72" s="28">
        <f t="shared" si="14"/>
        <v>237500000</v>
      </c>
      <c r="AY72" s="28">
        <f t="shared" si="14"/>
        <v>373500000</v>
      </c>
      <c r="AZ72" s="28">
        <f t="shared" si="14"/>
        <v>300000000</v>
      </c>
      <c r="BA72" s="28">
        <f t="shared" si="14"/>
        <v>213531825.30000001</v>
      </c>
      <c r="BB72" s="28">
        <f t="shared" si="14"/>
        <v>95000000</v>
      </c>
      <c r="BC72" s="28">
        <f t="shared" si="14"/>
        <v>104000000</v>
      </c>
      <c r="BD72" s="28">
        <f t="shared" si="14"/>
        <v>90800000</v>
      </c>
      <c r="BE72" s="28">
        <f t="shared" si="14"/>
        <v>115358159</v>
      </c>
      <c r="BF72" s="28">
        <f t="shared" si="14"/>
        <v>86800000</v>
      </c>
      <c r="BG72" s="28">
        <f t="shared" si="14"/>
        <v>86800000</v>
      </c>
      <c r="BH72" s="28">
        <f t="shared" si="14"/>
        <v>69710000</v>
      </c>
      <c r="BI72" s="28">
        <f t="shared" si="14"/>
        <v>66970000</v>
      </c>
      <c r="BJ72" s="28">
        <f t="shared" si="14"/>
        <v>71350000</v>
      </c>
      <c r="BK72" s="28">
        <f t="shared" si="14"/>
        <v>83300000</v>
      </c>
      <c r="BL72" s="28">
        <f t="shared" si="14"/>
        <v>72350000</v>
      </c>
      <c r="BM72" s="28">
        <f t="shared" si="14"/>
        <v>72350000</v>
      </c>
      <c r="BN72" s="28">
        <f t="shared" si="14"/>
        <v>123000000</v>
      </c>
      <c r="BO72" s="28">
        <f t="shared" si="14"/>
        <v>138830000</v>
      </c>
      <c r="BP72" s="28">
        <f t="shared" si="14"/>
        <v>130180000</v>
      </c>
      <c r="BQ72" s="28">
        <f t="shared" si="14"/>
        <v>130480000</v>
      </c>
      <c r="BR72" s="28">
        <f t="shared" ref="BR72:CL72" si="15">SUM(BR73:BR77)</f>
        <v>207630000</v>
      </c>
      <c r="BS72" s="28">
        <f t="shared" si="15"/>
        <v>212730000</v>
      </c>
      <c r="BT72" s="28">
        <f t="shared" si="15"/>
        <v>275759000</v>
      </c>
      <c r="BU72" s="28">
        <f t="shared" si="15"/>
        <v>248329000</v>
      </c>
      <c r="BV72" s="28">
        <f t="shared" si="15"/>
        <v>199539000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0</v>
      </c>
      <c r="C73" s="189">
        <v>0</v>
      </c>
      <c r="D73" s="189">
        <v>0</v>
      </c>
      <c r="E73" s="189">
        <v>18522735.68</v>
      </c>
      <c r="F73" s="189">
        <v>0</v>
      </c>
      <c r="G73" s="189">
        <v>0</v>
      </c>
      <c r="H73" s="189">
        <v>0</v>
      </c>
      <c r="I73" s="189">
        <v>0</v>
      </c>
      <c r="J73" s="189">
        <v>0</v>
      </c>
      <c r="K73" s="189">
        <v>0</v>
      </c>
      <c r="L73" s="189">
        <v>0</v>
      </c>
      <c r="M73" s="189">
        <v>0</v>
      </c>
      <c r="N73" s="189">
        <v>0</v>
      </c>
      <c r="O73" s="189">
        <v>0</v>
      </c>
      <c r="P73" s="189">
        <v>0</v>
      </c>
      <c r="Q73" s="189">
        <v>0</v>
      </c>
      <c r="R73" s="189">
        <v>0</v>
      </c>
      <c r="S73" s="189">
        <v>0</v>
      </c>
      <c r="T73" s="189">
        <v>0</v>
      </c>
      <c r="U73" s="189">
        <v>0</v>
      </c>
      <c r="V73" s="189">
        <v>0</v>
      </c>
      <c r="W73" s="189">
        <v>0</v>
      </c>
      <c r="X73" s="189">
        <v>0</v>
      </c>
      <c r="Y73" s="189">
        <v>0</v>
      </c>
      <c r="Z73" s="189">
        <v>10000000</v>
      </c>
      <c r="AA73" s="189">
        <v>10000000</v>
      </c>
      <c r="AB73" s="189">
        <v>10000000</v>
      </c>
      <c r="AC73" s="189">
        <v>10000000</v>
      </c>
      <c r="AD73" s="189">
        <v>12000000</v>
      </c>
      <c r="AE73" s="189">
        <v>12000000</v>
      </c>
      <c r="AF73" s="189">
        <v>12000000</v>
      </c>
      <c r="AG73" s="189">
        <v>14000000</v>
      </c>
      <c r="AH73" s="189">
        <v>14000000</v>
      </c>
      <c r="AI73" s="189">
        <v>14000000</v>
      </c>
      <c r="AJ73" s="189">
        <v>15000000</v>
      </c>
      <c r="AK73" s="189">
        <v>12000000</v>
      </c>
      <c r="AL73" s="189">
        <v>10000000</v>
      </c>
      <c r="AM73" s="189">
        <v>7000000</v>
      </c>
      <c r="AN73" s="189">
        <v>100000000</v>
      </c>
      <c r="AO73" s="189">
        <v>103000000</v>
      </c>
      <c r="AP73" s="189">
        <v>72100000</v>
      </c>
      <c r="AQ73" s="189">
        <v>157000000</v>
      </c>
      <c r="AR73" s="189">
        <v>193000000</v>
      </c>
      <c r="AS73" s="189">
        <v>196214636.59</v>
      </c>
      <c r="AT73" s="189">
        <v>234668584.59</v>
      </c>
      <c r="AU73" s="189">
        <v>270295000</v>
      </c>
      <c r="AV73" s="189">
        <v>287983274.00999999</v>
      </c>
      <c r="AW73" s="189">
        <v>229500000</v>
      </c>
      <c r="AX73" s="189">
        <v>237500000</v>
      </c>
      <c r="AY73" s="189">
        <v>373500000</v>
      </c>
      <c r="AZ73" s="189">
        <v>290000000</v>
      </c>
      <c r="BA73" s="189">
        <v>203531825.30000001</v>
      </c>
      <c r="BB73" s="189">
        <v>95000000</v>
      </c>
      <c r="BC73" s="189">
        <v>104000000</v>
      </c>
      <c r="BD73" s="189">
        <v>86800000</v>
      </c>
      <c r="BE73" s="189">
        <v>111358159</v>
      </c>
      <c r="BF73" s="189">
        <v>86800000</v>
      </c>
      <c r="BG73" s="189">
        <v>86800000</v>
      </c>
      <c r="BH73" s="189">
        <v>69710000</v>
      </c>
      <c r="BI73" s="189">
        <v>66970000</v>
      </c>
      <c r="BJ73" s="189">
        <v>68500000</v>
      </c>
      <c r="BK73" s="189">
        <v>76950000</v>
      </c>
      <c r="BL73" s="189">
        <v>66000000</v>
      </c>
      <c r="BM73" s="189">
        <v>66000000</v>
      </c>
      <c r="BN73" s="189">
        <v>116500000</v>
      </c>
      <c r="BO73" s="189">
        <v>130180000</v>
      </c>
      <c r="BP73" s="189">
        <v>130180000</v>
      </c>
      <c r="BQ73" s="189">
        <v>130480000</v>
      </c>
      <c r="BR73" s="189">
        <v>207630000</v>
      </c>
      <c r="BS73" s="189">
        <v>194730000</v>
      </c>
      <c r="BT73" s="189">
        <v>272129000</v>
      </c>
      <c r="BU73" s="189">
        <v>233329000</v>
      </c>
      <c r="BV73" s="189">
        <v>199539000</v>
      </c>
      <c r="BW73" s="189">
        <v>0</v>
      </c>
      <c r="BX73" s="189"/>
      <c r="BY73" s="189"/>
      <c r="BZ73" s="189"/>
      <c r="CA73" s="189"/>
      <c r="CB73" s="189"/>
      <c r="CC73" s="189"/>
      <c r="CD73" s="189"/>
      <c r="CE73" s="189"/>
      <c r="CF73" s="189"/>
      <c r="CG73" s="189"/>
      <c r="CH73" s="189"/>
      <c r="CI73" s="189"/>
      <c r="CJ73" s="189"/>
      <c r="CK73" s="189"/>
      <c r="CL73" s="189"/>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0</v>
      </c>
      <c r="AI74" s="189">
        <v>0</v>
      </c>
      <c r="AJ74" s="189">
        <v>0</v>
      </c>
      <c r="AK74" s="189">
        <v>0</v>
      </c>
      <c r="AL74" s="189">
        <v>0</v>
      </c>
      <c r="AM74" s="189">
        <v>0</v>
      </c>
      <c r="AN74" s="189">
        <v>0</v>
      </c>
      <c r="AO74" s="189">
        <v>0</v>
      </c>
      <c r="AP74" s="189">
        <v>0</v>
      </c>
      <c r="AQ74" s="189">
        <v>0</v>
      </c>
      <c r="AR74" s="189">
        <v>0</v>
      </c>
      <c r="AS74" s="189">
        <v>0</v>
      </c>
      <c r="AT74" s="189">
        <v>0</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c r="BY74" s="189"/>
      <c r="BZ74" s="189"/>
      <c r="CA74" s="189"/>
      <c r="CB74" s="189"/>
      <c r="CC74" s="189"/>
      <c r="CD74" s="189"/>
      <c r="CE74" s="189"/>
      <c r="CF74" s="189"/>
      <c r="CG74" s="189"/>
      <c r="CH74" s="189"/>
      <c r="CI74" s="189"/>
      <c r="CJ74" s="189"/>
      <c r="CK74" s="189"/>
      <c r="CL74" s="189"/>
    </row>
    <row r="75" spans="1:90" x14ac:dyDescent="0.25">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c r="BY75" s="189"/>
      <c r="BZ75" s="189"/>
      <c r="CA75" s="189"/>
      <c r="CB75" s="189"/>
      <c r="CC75" s="189"/>
      <c r="CD75" s="189"/>
      <c r="CE75" s="189"/>
      <c r="CF75" s="189"/>
      <c r="CG75" s="189"/>
      <c r="CH75" s="189"/>
      <c r="CI75" s="189"/>
      <c r="CJ75" s="189"/>
      <c r="CK75" s="189"/>
      <c r="CL75" s="189"/>
    </row>
    <row r="76" spans="1:90" x14ac:dyDescent="0.25">
      <c r="A76" s="128" t="s">
        <v>54</v>
      </c>
      <c r="B76" s="189">
        <v>3027057.78</v>
      </c>
      <c r="C76" s="189">
        <v>3318878.95</v>
      </c>
      <c r="D76" s="189">
        <v>3621151.34</v>
      </c>
      <c r="E76" s="189">
        <v>3975913.76</v>
      </c>
      <c r="F76" s="189">
        <v>2981935.32</v>
      </c>
      <c r="G76" s="189">
        <v>3673740.88</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10000000</v>
      </c>
      <c r="BA76" s="189">
        <v>10000000</v>
      </c>
      <c r="BB76" s="189">
        <v>0</v>
      </c>
      <c r="BC76" s="189">
        <v>0</v>
      </c>
      <c r="BD76" s="189">
        <v>4000000</v>
      </c>
      <c r="BE76" s="189">
        <v>4000000</v>
      </c>
      <c r="BF76" s="189">
        <v>0</v>
      </c>
      <c r="BG76" s="189">
        <v>0</v>
      </c>
      <c r="BH76" s="189">
        <v>0</v>
      </c>
      <c r="BI76" s="189">
        <v>0</v>
      </c>
      <c r="BJ76" s="189">
        <v>2850000</v>
      </c>
      <c r="BK76" s="189">
        <v>6350000</v>
      </c>
      <c r="BL76" s="189">
        <v>6350000</v>
      </c>
      <c r="BM76" s="189">
        <v>6350000</v>
      </c>
      <c r="BN76" s="189">
        <v>6500000</v>
      </c>
      <c r="BO76" s="189">
        <v>8650000</v>
      </c>
      <c r="BP76" s="189">
        <v>0</v>
      </c>
      <c r="BQ76" s="189">
        <v>0</v>
      </c>
      <c r="BR76" s="189">
        <v>0</v>
      </c>
      <c r="BS76" s="189">
        <v>18000000</v>
      </c>
      <c r="BT76" s="189">
        <v>3630000</v>
      </c>
      <c r="BU76" s="189">
        <v>15000000</v>
      </c>
      <c r="BV76" s="189">
        <v>0</v>
      </c>
      <c r="BW76" s="189">
        <v>0</v>
      </c>
      <c r="BX76" s="189"/>
      <c r="BY76" s="189"/>
      <c r="BZ76" s="189"/>
      <c r="CA76" s="189"/>
      <c r="CB76" s="189"/>
      <c r="CC76" s="189"/>
      <c r="CD76" s="189"/>
      <c r="CE76" s="189"/>
      <c r="CF76" s="189"/>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c r="BY77" s="189"/>
      <c r="BZ77" s="189"/>
      <c r="CA77" s="189"/>
      <c r="CB77" s="189"/>
      <c r="CC77" s="189"/>
      <c r="CD77" s="189"/>
      <c r="CE77" s="189"/>
      <c r="CF77" s="189"/>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1078686422.9400001</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26756778.68</v>
      </c>
      <c r="S81" s="28">
        <f t="shared" si="16"/>
        <v>23039767.309999999</v>
      </c>
      <c r="T81" s="28">
        <f t="shared" si="16"/>
        <v>15490755.939999999</v>
      </c>
      <c r="U81" s="28">
        <f t="shared" si="16"/>
        <v>15161744.57</v>
      </c>
      <c r="V81" s="28">
        <f t="shared" si="16"/>
        <v>15799140.92</v>
      </c>
      <c r="W81" s="28">
        <f t="shared" si="16"/>
        <v>2638330</v>
      </c>
      <c r="X81" s="28">
        <f t="shared" si="16"/>
        <v>2638330</v>
      </c>
      <c r="Y81" s="28">
        <f t="shared" si="16"/>
        <v>2638330</v>
      </c>
      <c r="Z81" s="28">
        <f t="shared" si="16"/>
        <v>2682666.2799999998</v>
      </c>
      <c r="AA81" s="28">
        <f t="shared" si="16"/>
        <v>2540166.2799999998</v>
      </c>
      <c r="AB81" s="28">
        <f t="shared" si="16"/>
        <v>2285830</v>
      </c>
      <c r="AC81" s="28">
        <f t="shared" si="16"/>
        <v>2434385</v>
      </c>
      <c r="AD81" s="28">
        <f t="shared" si="16"/>
        <v>2575344.0499999998</v>
      </c>
      <c r="AE81" s="28">
        <f t="shared" si="16"/>
        <v>3910911.75</v>
      </c>
      <c r="AF81" s="28">
        <f t="shared" si="16"/>
        <v>4113235.91</v>
      </c>
      <c r="AG81" s="28">
        <f t="shared" si="16"/>
        <v>4332963.1100000003</v>
      </c>
      <c r="AH81" s="28">
        <f t="shared" si="16"/>
        <v>7486841.4100000001</v>
      </c>
      <c r="AI81" s="28">
        <f t="shared" si="16"/>
        <v>5599925.4100000001</v>
      </c>
      <c r="AJ81" s="28">
        <f t="shared" si="16"/>
        <v>5599925.4100000001</v>
      </c>
      <c r="AK81" s="28">
        <f t="shared" si="16"/>
        <v>5599925.4100000001</v>
      </c>
      <c r="AL81" s="28">
        <f t="shared" si="16"/>
        <v>4939901.91</v>
      </c>
      <c r="AM81" s="28">
        <f t="shared" si="16"/>
        <v>4840901.91</v>
      </c>
      <c r="AN81" s="28">
        <f t="shared" si="16"/>
        <v>4840901.91</v>
      </c>
      <c r="AO81" s="28">
        <f t="shared" si="16"/>
        <v>4840901.91</v>
      </c>
      <c r="AP81" s="28">
        <f t="shared" si="16"/>
        <v>3260901.91</v>
      </c>
      <c r="AQ81" s="28">
        <f t="shared" si="16"/>
        <v>4596521.18</v>
      </c>
      <c r="AR81" s="28">
        <f t="shared" si="16"/>
        <v>3996521.18</v>
      </c>
      <c r="AS81" s="28">
        <f t="shared" si="16"/>
        <v>3996521.18</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10000000</v>
      </c>
      <c r="BC81" s="28">
        <f t="shared" si="16"/>
        <v>10000000</v>
      </c>
      <c r="BD81" s="28">
        <f t="shared" si="16"/>
        <v>10000000</v>
      </c>
      <c r="BE81" s="28">
        <f t="shared" si="16"/>
        <v>10000000</v>
      </c>
      <c r="BF81" s="28">
        <f t="shared" si="16"/>
        <v>873264.3</v>
      </c>
      <c r="BG81" s="28">
        <f t="shared" si="16"/>
        <v>873264.3</v>
      </c>
      <c r="BH81" s="28">
        <f t="shared" si="16"/>
        <v>4873264.3</v>
      </c>
      <c r="BI81" s="28">
        <f t="shared" si="16"/>
        <v>4873264.3</v>
      </c>
      <c r="BJ81" s="28">
        <f t="shared" si="16"/>
        <v>7314805.2400000002</v>
      </c>
      <c r="BK81" s="28">
        <f t="shared" si="16"/>
        <v>9398264.3000000007</v>
      </c>
      <c r="BL81" s="28">
        <f t="shared" si="16"/>
        <v>8873264.3000000007</v>
      </c>
      <c r="BM81" s="28">
        <f t="shared" si="16"/>
        <v>8073264.2999999998</v>
      </c>
      <c r="BN81" s="28">
        <f t="shared" si="16"/>
        <v>15043264.300000001</v>
      </c>
      <c r="BO81" s="28">
        <f t="shared" si="16"/>
        <v>15670000</v>
      </c>
      <c r="BP81" s="28">
        <f t="shared" si="16"/>
        <v>9000000</v>
      </c>
      <c r="BQ81" s="28">
        <f t="shared" si="16"/>
        <v>9000000</v>
      </c>
      <c r="BR81" s="28">
        <f t="shared" ref="BR81:CG81" si="17">SUM(BR82:BR85)</f>
        <v>11250000</v>
      </c>
      <c r="BS81" s="28">
        <f t="shared" si="17"/>
        <v>13629375</v>
      </c>
      <c r="BT81" s="28">
        <f t="shared" si="17"/>
        <v>77136856.479999989</v>
      </c>
      <c r="BU81" s="28">
        <f t="shared" si="17"/>
        <v>117326806.86</v>
      </c>
      <c r="BV81" s="28">
        <f t="shared" si="17"/>
        <v>134447215.98000002</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1111013132.8399999</v>
      </c>
      <c r="C82" s="189">
        <v>1066689292.66</v>
      </c>
      <c r="D82" s="189">
        <v>1085245092.1600001</v>
      </c>
      <c r="E82" s="189">
        <v>1078686422.9400001</v>
      </c>
      <c r="F82" s="189">
        <v>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0</v>
      </c>
      <c r="AC82" s="189">
        <v>0</v>
      </c>
      <c r="AD82" s="189">
        <v>0</v>
      </c>
      <c r="AE82" s="189">
        <v>0</v>
      </c>
      <c r="AF82" s="189">
        <v>0</v>
      </c>
      <c r="AG82" s="189">
        <v>0</v>
      </c>
      <c r="AH82" s="189">
        <v>0</v>
      </c>
      <c r="AI82" s="189">
        <v>0</v>
      </c>
      <c r="AJ82" s="189">
        <v>0</v>
      </c>
      <c r="AK82" s="189">
        <v>0</v>
      </c>
      <c r="AL82" s="189">
        <v>0</v>
      </c>
      <c r="AM82" s="189">
        <v>0</v>
      </c>
      <c r="AN82" s="189">
        <v>0</v>
      </c>
      <c r="AO82" s="189">
        <v>0</v>
      </c>
      <c r="AP82" s="189">
        <v>0</v>
      </c>
      <c r="AQ82" s="189">
        <v>0</v>
      </c>
      <c r="AR82" s="189">
        <v>0</v>
      </c>
      <c r="AS82" s="189">
        <v>0</v>
      </c>
      <c r="AT82" s="189">
        <v>0</v>
      </c>
      <c r="AU82" s="189">
        <v>0</v>
      </c>
      <c r="AV82" s="189">
        <v>0</v>
      </c>
      <c r="AW82" s="189">
        <v>0</v>
      </c>
      <c r="AX82" s="189">
        <v>0</v>
      </c>
      <c r="AY82" s="189">
        <v>0</v>
      </c>
      <c r="AZ82" s="189">
        <v>0</v>
      </c>
      <c r="BA82" s="189">
        <v>0</v>
      </c>
      <c r="BB82" s="189">
        <v>10000000</v>
      </c>
      <c r="BC82" s="189">
        <v>10000000</v>
      </c>
      <c r="BD82" s="189">
        <v>10000000</v>
      </c>
      <c r="BE82" s="189">
        <v>10000000</v>
      </c>
      <c r="BF82" s="189">
        <v>0</v>
      </c>
      <c r="BG82" s="189">
        <v>0</v>
      </c>
      <c r="BH82" s="189">
        <v>4000000</v>
      </c>
      <c r="BI82" s="189">
        <v>4000000</v>
      </c>
      <c r="BJ82" s="189">
        <v>0</v>
      </c>
      <c r="BK82" s="189">
        <v>0</v>
      </c>
      <c r="BL82" s="189">
        <v>0</v>
      </c>
      <c r="BM82" s="189">
        <v>0</v>
      </c>
      <c r="BN82" s="189">
        <v>4850000</v>
      </c>
      <c r="BO82" s="189">
        <v>6350000</v>
      </c>
      <c r="BP82" s="189">
        <v>0</v>
      </c>
      <c r="BQ82" s="189">
        <v>0</v>
      </c>
      <c r="BR82" s="189">
        <v>0</v>
      </c>
      <c r="BS82" s="189">
        <v>129375</v>
      </c>
      <c r="BT82" s="189">
        <v>33470000</v>
      </c>
      <c r="BU82" s="189">
        <v>37120000</v>
      </c>
      <c r="BV82" s="189">
        <v>51220000</v>
      </c>
      <c r="BW82" s="189">
        <v>0</v>
      </c>
      <c r="BX82" s="189"/>
      <c r="BY82" s="189"/>
      <c r="BZ82" s="189"/>
      <c r="CA82" s="189"/>
      <c r="CB82" s="189"/>
      <c r="CC82" s="189"/>
      <c r="CD82" s="189"/>
      <c r="CE82" s="189"/>
      <c r="CF82" s="189"/>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c r="BY83" s="189"/>
      <c r="BZ83" s="189"/>
      <c r="CA83" s="189"/>
      <c r="CB83" s="189"/>
      <c r="CC83" s="189"/>
      <c r="CD83" s="189"/>
      <c r="CE83" s="189"/>
      <c r="CF83" s="189"/>
      <c r="CG83" s="189"/>
      <c r="CH83" s="189"/>
      <c r="CI83" s="189"/>
      <c r="CJ83" s="189"/>
      <c r="CK83" s="189"/>
      <c r="CL83" s="189"/>
    </row>
    <row r="84" spans="1:90" x14ac:dyDescent="0.25">
      <c r="A84" s="128" t="s">
        <v>59</v>
      </c>
      <c r="B84" s="189">
        <v>0</v>
      </c>
      <c r="C84" s="189">
        <v>0</v>
      </c>
      <c r="D84" s="189">
        <v>0</v>
      </c>
      <c r="E84" s="189">
        <v>0</v>
      </c>
      <c r="F84" s="189">
        <v>0</v>
      </c>
      <c r="G84" s="189">
        <v>0</v>
      </c>
      <c r="H84" s="189">
        <v>0</v>
      </c>
      <c r="I84" s="189">
        <v>0</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0</v>
      </c>
      <c r="AQ84" s="189">
        <v>0</v>
      </c>
      <c r="AR84" s="189">
        <v>0</v>
      </c>
      <c r="AS84" s="189">
        <v>0</v>
      </c>
      <c r="AT84" s="189">
        <v>0</v>
      </c>
      <c r="AU84" s="189">
        <v>0</v>
      </c>
      <c r="AV84" s="189">
        <v>0</v>
      </c>
      <c r="AW84" s="189">
        <v>0</v>
      </c>
      <c r="AX84" s="189">
        <v>0</v>
      </c>
      <c r="AY84" s="189">
        <v>0</v>
      </c>
      <c r="AZ84" s="189">
        <v>0</v>
      </c>
      <c r="BA84" s="189">
        <v>0</v>
      </c>
      <c r="BB84" s="189">
        <v>0</v>
      </c>
      <c r="BC84" s="189">
        <v>0</v>
      </c>
      <c r="BD84" s="189">
        <v>0</v>
      </c>
      <c r="BE84" s="189">
        <v>0</v>
      </c>
      <c r="BF84" s="189">
        <v>873264.3</v>
      </c>
      <c r="BG84" s="189">
        <v>873264.3</v>
      </c>
      <c r="BH84" s="189">
        <v>873264.3</v>
      </c>
      <c r="BI84" s="189">
        <v>873264.3</v>
      </c>
      <c r="BJ84" s="189">
        <v>7314805.2400000002</v>
      </c>
      <c r="BK84" s="189">
        <v>9398264.3000000007</v>
      </c>
      <c r="BL84" s="189">
        <v>8873264.3000000007</v>
      </c>
      <c r="BM84" s="189">
        <v>8073264.2999999998</v>
      </c>
      <c r="BN84" s="189">
        <v>10193264.300000001</v>
      </c>
      <c r="BO84" s="189">
        <v>9320000</v>
      </c>
      <c r="BP84" s="189">
        <v>9000000</v>
      </c>
      <c r="BQ84" s="189">
        <v>9000000</v>
      </c>
      <c r="BR84" s="189">
        <v>11250000</v>
      </c>
      <c r="BS84" s="189">
        <v>13500000</v>
      </c>
      <c r="BT84" s="189">
        <v>43666856.479999997</v>
      </c>
      <c r="BU84" s="189">
        <v>80206806.859999999</v>
      </c>
      <c r="BV84" s="189">
        <v>83227215.980000004</v>
      </c>
      <c r="BW84" s="189">
        <v>0</v>
      </c>
      <c r="BX84" s="189"/>
      <c r="BY84" s="189"/>
      <c r="BZ84" s="189"/>
      <c r="CA84" s="189"/>
      <c r="CB84" s="189"/>
      <c r="CC84" s="189"/>
      <c r="CD84" s="189"/>
      <c r="CE84" s="189"/>
      <c r="CF84" s="189"/>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26756778.68</v>
      </c>
      <c r="S85" s="189">
        <v>23039767.309999999</v>
      </c>
      <c r="T85" s="189">
        <v>15490755.939999999</v>
      </c>
      <c r="U85" s="189">
        <v>15161744.57</v>
      </c>
      <c r="V85" s="189">
        <v>15799140.92</v>
      </c>
      <c r="W85" s="189">
        <v>2638330</v>
      </c>
      <c r="X85" s="189">
        <v>2638330</v>
      </c>
      <c r="Y85" s="189">
        <v>2638330</v>
      </c>
      <c r="Z85" s="189">
        <v>2682666.2799999998</v>
      </c>
      <c r="AA85" s="189">
        <v>2540166.2799999998</v>
      </c>
      <c r="AB85" s="189">
        <v>2285830</v>
      </c>
      <c r="AC85" s="189">
        <v>2434385</v>
      </c>
      <c r="AD85" s="189">
        <v>2575344.0499999998</v>
      </c>
      <c r="AE85" s="189">
        <v>3910911.75</v>
      </c>
      <c r="AF85" s="189">
        <v>4113235.91</v>
      </c>
      <c r="AG85" s="189">
        <v>4332963.1100000003</v>
      </c>
      <c r="AH85" s="189">
        <v>7486841.4100000001</v>
      </c>
      <c r="AI85" s="189">
        <v>5599925.4100000001</v>
      </c>
      <c r="AJ85" s="189">
        <v>5599925.4100000001</v>
      </c>
      <c r="AK85" s="189">
        <v>5599925.4100000001</v>
      </c>
      <c r="AL85" s="189">
        <v>4939901.91</v>
      </c>
      <c r="AM85" s="189">
        <v>4840901.91</v>
      </c>
      <c r="AN85" s="189">
        <v>4840901.91</v>
      </c>
      <c r="AO85" s="189">
        <v>4840901.91</v>
      </c>
      <c r="AP85" s="189">
        <v>3260901.91</v>
      </c>
      <c r="AQ85" s="189">
        <v>4596521.18</v>
      </c>
      <c r="AR85" s="189">
        <v>3996521.18</v>
      </c>
      <c r="AS85" s="189">
        <v>3996521.18</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0</v>
      </c>
      <c r="BS85" s="189">
        <v>0</v>
      </c>
      <c r="BT85" s="189">
        <v>0</v>
      </c>
      <c r="BU85" s="189">
        <v>0</v>
      </c>
      <c r="BV85" s="189">
        <v>0</v>
      </c>
      <c r="BW85" s="189">
        <v>0</v>
      </c>
      <c r="BX85" s="189"/>
      <c r="BY85" s="189"/>
      <c r="BZ85" s="189"/>
      <c r="CA85" s="189"/>
      <c r="CB85" s="189"/>
      <c r="CC85" s="189"/>
      <c r="CD85" s="189"/>
      <c r="CE85" s="189"/>
      <c r="CF85" s="189"/>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1114040190.6199999</v>
      </c>
      <c r="C89" s="33">
        <f>SUM(C73:C85)</f>
        <v>1070008171.61</v>
      </c>
      <c r="D89" s="33">
        <f>SUM(D73:D85)</f>
        <v>1088866243.5</v>
      </c>
      <c r="E89" s="33">
        <f>E72+E81</f>
        <v>1101185072.3800001</v>
      </c>
      <c r="F89" s="33">
        <f t="shared" ref="F89:BQ89" si="18">F72+F81</f>
        <v>2981935.32</v>
      </c>
      <c r="G89" s="33">
        <f t="shared" si="18"/>
        <v>3673740.88</v>
      </c>
      <c r="H89" s="33">
        <f t="shared" si="18"/>
        <v>0</v>
      </c>
      <c r="I89" s="33">
        <f t="shared" si="18"/>
        <v>0</v>
      </c>
      <c r="J89" s="33">
        <f t="shared" si="18"/>
        <v>0</v>
      </c>
      <c r="K89" s="33">
        <f t="shared" si="18"/>
        <v>0</v>
      </c>
      <c r="L89" s="33">
        <f t="shared" si="18"/>
        <v>0</v>
      </c>
      <c r="M89" s="33">
        <f t="shared" si="18"/>
        <v>0</v>
      </c>
      <c r="N89" s="33">
        <f t="shared" si="18"/>
        <v>0</v>
      </c>
      <c r="O89" s="33">
        <f t="shared" si="18"/>
        <v>0</v>
      </c>
      <c r="P89" s="33">
        <f t="shared" si="18"/>
        <v>0</v>
      </c>
      <c r="Q89" s="33">
        <f t="shared" si="18"/>
        <v>0</v>
      </c>
      <c r="R89" s="33">
        <f t="shared" si="18"/>
        <v>26756778.68</v>
      </c>
      <c r="S89" s="33">
        <f t="shared" si="18"/>
        <v>23039767.309999999</v>
      </c>
      <c r="T89" s="33">
        <f t="shared" si="18"/>
        <v>15490755.939999999</v>
      </c>
      <c r="U89" s="33">
        <f t="shared" si="18"/>
        <v>15161744.57</v>
      </c>
      <c r="V89" s="33">
        <f t="shared" si="18"/>
        <v>15799140.92</v>
      </c>
      <c r="W89" s="33">
        <f t="shared" si="18"/>
        <v>2638330</v>
      </c>
      <c r="X89" s="33">
        <f t="shared" si="18"/>
        <v>2638330</v>
      </c>
      <c r="Y89" s="33">
        <f t="shared" si="18"/>
        <v>2638330</v>
      </c>
      <c r="Z89" s="33">
        <f t="shared" si="18"/>
        <v>12682666.279999999</v>
      </c>
      <c r="AA89" s="33">
        <f t="shared" si="18"/>
        <v>12540166.279999999</v>
      </c>
      <c r="AB89" s="33">
        <f t="shared" si="18"/>
        <v>12285830</v>
      </c>
      <c r="AC89" s="33">
        <f t="shared" si="18"/>
        <v>12434385</v>
      </c>
      <c r="AD89" s="33">
        <f t="shared" si="18"/>
        <v>14575344.050000001</v>
      </c>
      <c r="AE89" s="33">
        <f t="shared" si="18"/>
        <v>15910911.75</v>
      </c>
      <c r="AF89" s="33">
        <f t="shared" si="18"/>
        <v>16113235.91</v>
      </c>
      <c r="AG89" s="33">
        <f t="shared" si="18"/>
        <v>18332963.109999999</v>
      </c>
      <c r="AH89" s="33">
        <f t="shared" si="18"/>
        <v>21486841.41</v>
      </c>
      <c r="AI89" s="33">
        <f t="shared" si="18"/>
        <v>19599925.41</v>
      </c>
      <c r="AJ89" s="33">
        <f t="shared" si="18"/>
        <v>20599925.41</v>
      </c>
      <c r="AK89" s="33">
        <f t="shared" si="18"/>
        <v>17599925.41</v>
      </c>
      <c r="AL89" s="33">
        <f t="shared" si="18"/>
        <v>14939901.91</v>
      </c>
      <c r="AM89" s="33">
        <f t="shared" si="18"/>
        <v>11840901.91</v>
      </c>
      <c r="AN89" s="33">
        <f t="shared" si="18"/>
        <v>104840901.91</v>
      </c>
      <c r="AO89" s="33">
        <f t="shared" si="18"/>
        <v>107840901.91</v>
      </c>
      <c r="AP89" s="33">
        <f t="shared" si="18"/>
        <v>75360901.909999996</v>
      </c>
      <c r="AQ89" s="33">
        <f t="shared" si="18"/>
        <v>161596521.18000001</v>
      </c>
      <c r="AR89" s="33">
        <f t="shared" si="18"/>
        <v>196996521.18000001</v>
      </c>
      <c r="AS89" s="33">
        <f t="shared" si="18"/>
        <v>200211157.77000001</v>
      </c>
      <c r="AT89" s="33">
        <f t="shared" si="18"/>
        <v>234668584.59</v>
      </c>
      <c r="AU89" s="33">
        <f t="shared" si="18"/>
        <v>270295000</v>
      </c>
      <c r="AV89" s="33">
        <f t="shared" si="18"/>
        <v>287983274.00999999</v>
      </c>
      <c r="AW89" s="33">
        <f t="shared" si="18"/>
        <v>229500000</v>
      </c>
      <c r="AX89" s="33">
        <f t="shared" si="18"/>
        <v>237500000</v>
      </c>
      <c r="AY89" s="33">
        <f t="shared" si="18"/>
        <v>373500000</v>
      </c>
      <c r="AZ89" s="33">
        <f t="shared" si="18"/>
        <v>300000000</v>
      </c>
      <c r="BA89" s="33">
        <f t="shared" si="18"/>
        <v>213531825.30000001</v>
      </c>
      <c r="BB89" s="33">
        <f t="shared" si="18"/>
        <v>105000000</v>
      </c>
      <c r="BC89" s="33">
        <f t="shared" si="18"/>
        <v>114000000</v>
      </c>
      <c r="BD89" s="33">
        <f t="shared" si="18"/>
        <v>100800000</v>
      </c>
      <c r="BE89" s="33">
        <f t="shared" si="18"/>
        <v>125358159</v>
      </c>
      <c r="BF89" s="33">
        <f t="shared" si="18"/>
        <v>87673264.299999997</v>
      </c>
      <c r="BG89" s="33">
        <f t="shared" si="18"/>
        <v>87673264.299999997</v>
      </c>
      <c r="BH89" s="33">
        <f t="shared" si="18"/>
        <v>74583264.299999997</v>
      </c>
      <c r="BI89" s="33">
        <f t="shared" si="18"/>
        <v>71843264.299999997</v>
      </c>
      <c r="BJ89" s="33">
        <f t="shared" si="18"/>
        <v>78664805.239999995</v>
      </c>
      <c r="BK89" s="33">
        <f t="shared" si="18"/>
        <v>92698264.299999997</v>
      </c>
      <c r="BL89" s="33">
        <f t="shared" si="18"/>
        <v>81223264.299999997</v>
      </c>
      <c r="BM89" s="33">
        <f t="shared" si="18"/>
        <v>80423264.299999997</v>
      </c>
      <c r="BN89" s="33">
        <f t="shared" si="18"/>
        <v>138043264.30000001</v>
      </c>
      <c r="BO89" s="33">
        <f t="shared" si="18"/>
        <v>154500000</v>
      </c>
      <c r="BP89" s="33">
        <f t="shared" si="18"/>
        <v>139180000</v>
      </c>
      <c r="BQ89" s="33">
        <f t="shared" si="18"/>
        <v>139480000</v>
      </c>
      <c r="BR89" s="33">
        <f t="shared" ref="BR89:CK89" si="19">BR72+BR81</f>
        <v>218880000</v>
      </c>
      <c r="BS89" s="33">
        <f t="shared" si="19"/>
        <v>226359375</v>
      </c>
      <c r="BT89" s="33">
        <f t="shared" si="19"/>
        <v>352895856.48000002</v>
      </c>
      <c r="BU89" s="33">
        <f t="shared" si="19"/>
        <v>365655806.86000001</v>
      </c>
      <c r="BV89" s="33">
        <f t="shared" si="19"/>
        <v>333986215.98000002</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671713547</v>
      </c>
      <c r="C91" s="189">
        <v>671713547</v>
      </c>
      <c r="D91" s="189">
        <v>671713547</v>
      </c>
      <c r="E91" s="189">
        <v>673416467</v>
      </c>
      <c r="F91" s="189">
        <v>673416467</v>
      </c>
      <c r="G91" s="189">
        <v>673416467</v>
      </c>
      <c r="H91" s="189">
        <v>673416467</v>
      </c>
      <c r="I91" s="189">
        <v>673416467</v>
      </c>
      <c r="J91" s="189">
        <v>674032111</v>
      </c>
      <c r="K91" s="189">
        <v>674032111</v>
      </c>
      <c r="L91" s="189">
        <v>674032111</v>
      </c>
      <c r="M91" s="189">
        <v>674032111</v>
      </c>
      <c r="N91" s="189">
        <v>674032111</v>
      </c>
      <c r="O91" s="189">
        <v>672366711</v>
      </c>
      <c r="P91" s="189">
        <v>672366711</v>
      </c>
      <c r="Q91" s="189">
        <v>672366711</v>
      </c>
      <c r="R91" s="189">
        <v>672366711</v>
      </c>
      <c r="S91" s="189">
        <v>672443211</v>
      </c>
      <c r="T91" s="189">
        <v>672443211</v>
      </c>
      <c r="U91" s="189">
        <v>672443211</v>
      </c>
      <c r="V91" s="189">
        <v>672443211</v>
      </c>
      <c r="W91" s="189">
        <v>672525711</v>
      </c>
      <c r="X91" s="189">
        <v>448350474</v>
      </c>
      <c r="Y91" s="189">
        <v>448350474</v>
      </c>
      <c r="Z91" s="189">
        <v>448350474</v>
      </c>
      <c r="AA91" s="189">
        <v>448361004</v>
      </c>
      <c r="AB91" s="189">
        <v>423011004</v>
      </c>
      <c r="AC91" s="189">
        <v>423011004</v>
      </c>
      <c r="AD91" s="189">
        <v>423011004</v>
      </c>
      <c r="AE91" s="189">
        <v>423011004</v>
      </c>
      <c r="AF91" s="189">
        <v>423032064</v>
      </c>
      <c r="AG91" s="189">
        <v>423032064</v>
      </c>
      <c r="AH91" s="189">
        <v>423032064</v>
      </c>
      <c r="AI91" s="189">
        <v>423032064</v>
      </c>
      <c r="AJ91" s="189">
        <v>325546905</v>
      </c>
      <c r="AK91" s="189">
        <v>325546905</v>
      </c>
      <c r="AL91" s="189">
        <v>325546905</v>
      </c>
      <c r="AM91" s="189">
        <v>325546905</v>
      </c>
      <c r="AN91" s="189">
        <v>217031270</v>
      </c>
      <c r="AO91" s="189">
        <v>217031270</v>
      </c>
      <c r="AP91" s="189">
        <v>216671270</v>
      </c>
      <c r="AQ91" s="189">
        <v>216671270</v>
      </c>
      <c r="AR91" s="189">
        <v>175259392</v>
      </c>
      <c r="AS91" s="189">
        <v>175259392</v>
      </c>
      <c r="AT91" s="189">
        <v>175259392</v>
      </c>
      <c r="AU91" s="189">
        <v>175259392</v>
      </c>
      <c r="AV91" s="189">
        <v>175259392</v>
      </c>
      <c r="AW91" s="189">
        <v>175259392</v>
      </c>
      <c r="AX91" s="189">
        <v>175259392</v>
      </c>
      <c r="AY91" s="189">
        <v>167552000</v>
      </c>
      <c r="AZ91" s="189">
        <v>270000000</v>
      </c>
      <c r="BA91" s="189">
        <v>270000000</v>
      </c>
      <c r="BB91" s="189">
        <v>270000000</v>
      </c>
      <c r="BC91" s="189">
        <v>270000000</v>
      </c>
      <c r="BD91" s="189">
        <v>270000000</v>
      </c>
      <c r="BE91" s="189">
        <v>270000000</v>
      </c>
      <c r="BF91" s="189">
        <v>270000000</v>
      </c>
      <c r="BG91" s="189">
        <v>270000000</v>
      </c>
      <c r="BH91" s="189">
        <v>270000000</v>
      </c>
      <c r="BI91" s="189">
        <v>270000000</v>
      </c>
      <c r="BJ91" s="189">
        <v>270000000</v>
      </c>
      <c r="BK91" s="189">
        <v>270000000</v>
      </c>
      <c r="BL91" s="189">
        <v>270000000</v>
      </c>
      <c r="BM91" s="189">
        <v>270000000</v>
      </c>
      <c r="BN91" s="189">
        <v>270000000</v>
      </c>
      <c r="BO91" s="189">
        <v>270000000</v>
      </c>
      <c r="BP91" s="189">
        <v>270000000</v>
      </c>
      <c r="BQ91" s="189">
        <v>270000000</v>
      </c>
      <c r="BR91" s="189">
        <v>270000000</v>
      </c>
      <c r="BS91" s="189">
        <v>190000000</v>
      </c>
      <c r="BT91" s="189">
        <v>287490000</v>
      </c>
      <c r="BU91" s="189">
        <v>245000000</v>
      </c>
      <c r="BV91" s="189">
        <v>245000000</v>
      </c>
      <c r="BW91" s="189">
        <v>0</v>
      </c>
      <c r="BX91" s="189"/>
      <c r="BY91" s="189"/>
      <c r="BZ91" s="189"/>
      <c r="CA91" s="189"/>
      <c r="CB91" s="189"/>
      <c r="CC91" s="189"/>
      <c r="CD91" s="189"/>
      <c r="CE91" s="189"/>
      <c r="CF91" s="189"/>
      <c r="CG91" s="189"/>
      <c r="CH91" s="189"/>
      <c r="CI91" s="189"/>
      <c r="CJ91" s="189"/>
      <c r="CK91" s="189"/>
      <c r="CL91" s="189"/>
    </row>
    <row r="92" spans="1:90" x14ac:dyDescent="0.25">
      <c r="A92" s="128" t="s">
        <v>63</v>
      </c>
      <c r="B92" s="189">
        <v>861010884.90999997</v>
      </c>
      <c r="C92" s="189">
        <v>856082426.40999997</v>
      </c>
      <c r="D92" s="189">
        <v>856082426.40999997</v>
      </c>
      <c r="E92" s="189">
        <v>877721891.40999997</v>
      </c>
      <c r="F92" s="189">
        <v>1126715216.1800001</v>
      </c>
      <c r="G92" s="189">
        <v>1126715216.1800001</v>
      </c>
      <c r="H92" s="189">
        <v>1126525272.3900001</v>
      </c>
      <c r="I92" s="189">
        <v>1126525272.3900001</v>
      </c>
      <c r="J92" s="189">
        <v>1153880952.9100001</v>
      </c>
      <c r="K92" s="189">
        <v>1150392203.3499999</v>
      </c>
      <c r="L92" s="189">
        <v>1146941374.98</v>
      </c>
      <c r="M92" s="189">
        <v>1143528467.8</v>
      </c>
      <c r="N92" s="189">
        <v>1190983573.3299999</v>
      </c>
      <c r="O92" s="189">
        <v>1153659572.8499999</v>
      </c>
      <c r="P92" s="189">
        <v>1148521781.1099999</v>
      </c>
      <c r="Q92" s="189">
        <v>1144435560.73</v>
      </c>
      <c r="R92" s="189">
        <v>1159180292.6800001</v>
      </c>
      <c r="S92" s="189">
        <v>1100855692.73</v>
      </c>
      <c r="T92" s="189">
        <v>1073944328.8800001</v>
      </c>
      <c r="U92" s="189">
        <v>1051494569.03</v>
      </c>
      <c r="V92" s="189">
        <v>1013543320.63</v>
      </c>
      <c r="W92" s="189">
        <v>994593036.17999995</v>
      </c>
      <c r="X92" s="189">
        <v>924989463.44000006</v>
      </c>
      <c r="Y92" s="189">
        <v>868455888.69000006</v>
      </c>
      <c r="Z92" s="189">
        <v>805482291.96000004</v>
      </c>
      <c r="AA92" s="189">
        <v>777953373.21000004</v>
      </c>
      <c r="AB92" s="189">
        <v>378152010.13999999</v>
      </c>
      <c r="AC92" s="189">
        <v>377947717.54000002</v>
      </c>
      <c r="AD92" s="189">
        <v>376253017.54000002</v>
      </c>
      <c r="AE92" s="189">
        <v>374558317.54000002</v>
      </c>
      <c r="AF92" s="189">
        <v>372923017.54000002</v>
      </c>
      <c r="AG92" s="189">
        <v>370955927.39999998</v>
      </c>
      <c r="AH92" s="189">
        <v>367001627.39999998</v>
      </c>
      <c r="AI92" s="189">
        <v>363047327.39999998</v>
      </c>
      <c r="AJ92" s="189">
        <v>359596721.89999998</v>
      </c>
      <c r="AK92" s="189">
        <v>355097641.63</v>
      </c>
      <c r="AL92" s="189">
        <v>346624141.63</v>
      </c>
      <c r="AM92" s="189">
        <v>338150641.63</v>
      </c>
      <c r="AN92" s="189">
        <v>438192776.63</v>
      </c>
      <c r="AO92" s="189">
        <v>429719276.63</v>
      </c>
      <c r="AP92" s="189">
        <v>421017738.89999998</v>
      </c>
      <c r="AQ92" s="189">
        <v>411928801.44</v>
      </c>
      <c r="AR92" s="189">
        <v>398275885.06999999</v>
      </c>
      <c r="AS92" s="189">
        <v>390883315.70999998</v>
      </c>
      <c r="AT92" s="189">
        <v>396484486.88</v>
      </c>
      <c r="AU92" s="189">
        <v>396406551.66000003</v>
      </c>
      <c r="AV92" s="189">
        <v>396350751.88999999</v>
      </c>
      <c r="AW92" s="189">
        <v>396119535.92000002</v>
      </c>
      <c r="AX92" s="189">
        <v>395352245.73000002</v>
      </c>
      <c r="AY92" s="189">
        <v>402070997.36000001</v>
      </c>
      <c r="AZ92" s="189">
        <v>753427706.32000005</v>
      </c>
      <c r="BA92" s="189">
        <v>753427706.32000005</v>
      </c>
      <c r="BB92" s="189">
        <v>752567575.58000004</v>
      </c>
      <c r="BC92" s="189">
        <v>752567575.58000004</v>
      </c>
      <c r="BD92" s="189">
        <v>752567575.58000004</v>
      </c>
      <c r="BE92" s="189">
        <v>753176687.30999994</v>
      </c>
      <c r="BF92" s="189">
        <v>752138211.24000001</v>
      </c>
      <c r="BG92" s="189">
        <v>752164344.44000006</v>
      </c>
      <c r="BH92" s="189">
        <v>752053743.82000005</v>
      </c>
      <c r="BI92" s="189">
        <v>752059367.84000003</v>
      </c>
      <c r="BJ92" s="189">
        <v>751326807.57000005</v>
      </c>
      <c r="BK92" s="189">
        <v>751326807.57000005</v>
      </c>
      <c r="BL92" s="189">
        <v>751313007.57000005</v>
      </c>
      <c r="BM92" s="189">
        <v>751313007.57000005</v>
      </c>
      <c r="BN92" s="189">
        <v>751291984.75999999</v>
      </c>
      <c r="BO92" s="189">
        <v>751291984.75999999</v>
      </c>
      <c r="BP92" s="189">
        <v>751291984.75999999</v>
      </c>
      <c r="BQ92" s="189">
        <v>751291984.75999999</v>
      </c>
      <c r="BR92" s="189">
        <v>751231619.21000004</v>
      </c>
      <c r="BS92" s="189">
        <v>97509675.680000007</v>
      </c>
      <c r="BT92" s="189">
        <v>14051.65</v>
      </c>
      <c r="BU92" s="189">
        <v>1721488.51</v>
      </c>
      <c r="BV92" s="189">
        <v>1721488.51</v>
      </c>
      <c r="BW92" s="189">
        <v>0</v>
      </c>
      <c r="BX92" s="189"/>
      <c r="BY92" s="189"/>
      <c r="BZ92" s="189"/>
      <c r="CA92" s="189"/>
      <c r="CB92" s="189"/>
      <c r="CC92" s="189"/>
      <c r="CD92" s="189"/>
      <c r="CE92" s="189"/>
      <c r="CF92" s="189"/>
      <c r="CG92" s="189"/>
      <c r="CH92" s="189"/>
      <c r="CI92" s="189"/>
      <c r="CJ92" s="189"/>
      <c r="CK92" s="189"/>
      <c r="CL92" s="189"/>
    </row>
    <row r="93" spans="1:90" x14ac:dyDescent="0.25">
      <c r="A93" s="128" t="s">
        <v>64</v>
      </c>
      <c r="B93" s="189">
        <v>14608872.039999999</v>
      </c>
      <c r="C93" s="189">
        <v>14608872.039999999</v>
      </c>
      <c r="D93" s="189">
        <v>14608872.039999999</v>
      </c>
      <c r="E93" s="189">
        <v>37951257.039999999</v>
      </c>
      <c r="F93" s="189">
        <v>37951257.039999999</v>
      </c>
      <c r="G93" s="189">
        <v>37951257.039999999</v>
      </c>
      <c r="H93" s="189">
        <v>38148177.039999999</v>
      </c>
      <c r="I93" s="189">
        <v>39871227.039999999</v>
      </c>
      <c r="J93" s="189">
        <v>51568463.039999999</v>
      </c>
      <c r="K93" s="189">
        <v>51568463.039999999</v>
      </c>
      <c r="L93" s="189">
        <v>51568463.039999999</v>
      </c>
      <c r="M93" s="189">
        <v>51568463.039999999</v>
      </c>
      <c r="N93" s="189">
        <v>45796225</v>
      </c>
      <c r="O93" s="189">
        <v>14153625</v>
      </c>
      <c r="P93" s="189">
        <v>125831880</v>
      </c>
      <c r="Q93" s="189">
        <v>125831880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200516244.77000001</v>
      </c>
      <c r="C94" s="189">
        <v>139527100.08000001</v>
      </c>
      <c r="D94" s="189">
        <v>169753190.27000001</v>
      </c>
      <c r="E94" s="189">
        <v>95228629.069999993</v>
      </c>
      <c r="F94" s="189">
        <v>68811073.170000002</v>
      </c>
      <c r="G94" s="189">
        <v>52760143.560000002</v>
      </c>
      <c r="H94" s="189">
        <v>46515847.939999998</v>
      </c>
      <c r="I94" s="189">
        <v>43343577.32</v>
      </c>
      <c r="J94" s="189">
        <v>37482971.990000002</v>
      </c>
      <c r="K94" s="189">
        <v>34467887.560000002</v>
      </c>
      <c r="L94" s="189">
        <v>44400836.689999998</v>
      </c>
      <c r="M94" s="189">
        <v>50768363.280000001</v>
      </c>
      <c r="N94" s="189">
        <v>34893129.960000001</v>
      </c>
      <c r="O94" s="189">
        <v>92812883.340000004</v>
      </c>
      <c r="P94" s="189">
        <v>884869.37</v>
      </c>
      <c r="Q94" s="189">
        <v>1764554.8</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392410127.07999998</v>
      </c>
      <c r="C96" s="189">
        <v>392410127.07999998</v>
      </c>
      <c r="D96" s="189">
        <v>392410127.07999998</v>
      </c>
      <c r="E96" s="189">
        <v>392410127.07999998</v>
      </c>
      <c r="F96" s="189">
        <v>392410127.07999998</v>
      </c>
      <c r="G96" s="189">
        <v>392410127.07999998</v>
      </c>
      <c r="H96" s="189">
        <v>392410127.07999998</v>
      </c>
      <c r="I96" s="189">
        <v>392410127.07999998</v>
      </c>
      <c r="J96" s="189">
        <v>392410127.07999998</v>
      </c>
      <c r="K96" s="189">
        <v>392410127.07999998</v>
      </c>
      <c r="L96" s="189">
        <v>392410127.07999998</v>
      </c>
      <c r="M96" s="189">
        <v>392410127.07999998</v>
      </c>
      <c r="N96" s="189">
        <v>392410127.07999998</v>
      </c>
      <c r="O96" s="189">
        <v>392410127.07999998</v>
      </c>
      <c r="P96" s="189">
        <v>392410127.07999998</v>
      </c>
      <c r="Q96" s="189">
        <v>392410127.07999998</v>
      </c>
      <c r="R96" s="189">
        <v>298914129.5</v>
      </c>
      <c r="S96" s="189">
        <v>298914129.5</v>
      </c>
      <c r="T96" s="189">
        <v>298914129.5</v>
      </c>
      <c r="U96" s="189">
        <v>298914129.5</v>
      </c>
      <c r="V96" s="189">
        <v>220855306.88999999</v>
      </c>
      <c r="W96" s="189">
        <v>220855306.88999999</v>
      </c>
      <c r="X96" s="189">
        <v>220855306.88999999</v>
      </c>
      <c r="Y96" s="189">
        <v>220855306.88999999</v>
      </c>
      <c r="Z96" s="189">
        <v>161918863.87</v>
      </c>
      <c r="AA96" s="189">
        <v>161918863.87</v>
      </c>
      <c r="AB96" s="189">
        <v>161918863.87</v>
      </c>
      <c r="AC96" s="189">
        <v>161918863.87</v>
      </c>
      <c r="AD96" s="189">
        <v>119042588.03</v>
      </c>
      <c r="AE96" s="189">
        <v>119042588.03</v>
      </c>
      <c r="AF96" s="189">
        <v>119042588.03</v>
      </c>
      <c r="AG96" s="189">
        <v>119042588.03</v>
      </c>
      <c r="AH96" s="189">
        <v>87166718.620000005</v>
      </c>
      <c r="AI96" s="189">
        <v>87166718.620000005</v>
      </c>
      <c r="AJ96" s="189">
        <v>87166718.620000005</v>
      </c>
      <c r="AK96" s="189">
        <v>87166718.620000005</v>
      </c>
      <c r="AL96" s="189">
        <v>72111762.040000007</v>
      </c>
      <c r="AM96" s="189">
        <v>72111762.040000007</v>
      </c>
      <c r="AN96" s="189">
        <v>72111762.040000007</v>
      </c>
      <c r="AO96" s="189">
        <v>72111762.040000007</v>
      </c>
      <c r="AP96" s="189">
        <v>67464176.459999993</v>
      </c>
      <c r="AQ96" s="189">
        <v>67464176.459999993</v>
      </c>
      <c r="AR96" s="189">
        <v>67464176.459999993</v>
      </c>
      <c r="AS96" s="189">
        <v>67464176.459999993</v>
      </c>
      <c r="AT96" s="189">
        <v>86624744.269999996</v>
      </c>
      <c r="AU96" s="189">
        <v>86624744.269999996</v>
      </c>
      <c r="AV96" s="189">
        <v>86624744.269999996</v>
      </c>
      <c r="AW96" s="189">
        <v>86624744.269999996</v>
      </c>
      <c r="AX96" s="189">
        <v>72692122.430000007</v>
      </c>
      <c r="AY96" s="189">
        <v>72692122.430000007</v>
      </c>
      <c r="AZ96" s="189">
        <v>72692122.430000007</v>
      </c>
      <c r="BA96" s="189">
        <v>72692122.430000007</v>
      </c>
      <c r="BB96" s="189">
        <v>59903724.700000003</v>
      </c>
      <c r="BC96" s="189">
        <v>59903724.700000003</v>
      </c>
      <c r="BD96" s="189">
        <v>59903724.700000003</v>
      </c>
      <c r="BE96" s="189">
        <v>60684200.600000001</v>
      </c>
      <c r="BF96" s="189">
        <v>43073367.850000001</v>
      </c>
      <c r="BG96" s="189">
        <v>43073367.850000001</v>
      </c>
      <c r="BH96" s="189">
        <v>43073367.850000001</v>
      </c>
      <c r="BI96" s="189">
        <v>43073367.850000001</v>
      </c>
      <c r="BJ96" s="189">
        <v>25411353.420000002</v>
      </c>
      <c r="BK96" s="189">
        <v>25411353.420000002</v>
      </c>
      <c r="BL96" s="189">
        <v>25411353.420000002</v>
      </c>
      <c r="BM96" s="189">
        <v>25411353.420000002</v>
      </c>
      <c r="BN96" s="189">
        <v>11508031.890000001</v>
      </c>
      <c r="BO96" s="189">
        <v>11508031.890000001</v>
      </c>
      <c r="BP96" s="189">
        <v>11508031.890000001</v>
      </c>
      <c r="BQ96" s="189">
        <v>11508031.890000001</v>
      </c>
      <c r="BR96" s="189">
        <v>0</v>
      </c>
      <c r="BS96" s="189">
        <v>4566507.33</v>
      </c>
      <c r="BT96" s="189">
        <v>6972.85</v>
      </c>
      <c r="BU96" s="189">
        <v>20499704.260000002</v>
      </c>
      <c r="BV96" s="189">
        <v>15374363.880000001</v>
      </c>
      <c r="BW96" s="189">
        <v>0</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3708613993.46</v>
      </c>
      <c r="C98" s="189">
        <v>3571640583.4899998</v>
      </c>
      <c r="D98" s="189">
        <v>3526405428.4099998</v>
      </c>
      <c r="E98" s="189">
        <v>3375725989.0900002</v>
      </c>
      <c r="F98" s="189">
        <v>3303116401.9699998</v>
      </c>
      <c r="G98" s="189">
        <v>3217202415.6100001</v>
      </c>
      <c r="H98" s="189">
        <v>3176581380.8400002</v>
      </c>
      <c r="I98" s="189">
        <v>3068301780.48</v>
      </c>
      <c r="J98" s="189">
        <v>3285712813.4499998</v>
      </c>
      <c r="K98" s="189">
        <v>3891928639.5799999</v>
      </c>
      <c r="L98" s="189">
        <v>3647005836.1900001</v>
      </c>
      <c r="M98" s="189">
        <v>3519576876.4400001</v>
      </c>
      <c r="N98" s="189">
        <v>2100054780.45</v>
      </c>
      <c r="O98" s="189">
        <v>1950415414.1400001</v>
      </c>
      <c r="P98" s="189">
        <v>1909577949.49</v>
      </c>
      <c r="Q98" s="189">
        <v>1719759552.8800001</v>
      </c>
      <c r="R98" s="189">
        <v>1643432475.21</v>
      </c>
      <c r="S98" s="189">
        <v>1535355950.8299999</v>
      </c>
      <c r="T98" s="189">
        <v>1468394915.5599999</v>
      </c>
      <c r="U98" s="189">
        <v>1304770027.8599999</v>
      </c>
      <c r="V98" s="189">
        <v>1259211142.1600001</v>
      </c>
      <c r="W98" s="189">
        <v>1126251742.0599999</v>
      </c>
      <c r="X98" s="189">
        <v>1298471503.3599999</v>
      </c>
      <c r="Y98" s="189">
        <v>1174394874.4200001</v>
      </c>
      <c r="Z98" s="189">
        <v>1095312462.8699999</v>
      </c>
      <c r="AA98" s="189">
        <v>1158443138.1099999</v>
      </c>
      <c r="AB98" s="189">
        <v>887315308.89999998</v>
      </c>
      <c r="AC98" s="189">
        <v>798043494.10000002</v>
      </c>
      <c r="AD98" s="189">
        <v>759685740.11000001</v>
      </c>
      <c r="AE98" s="189">
        <v>686880676.29999995</v>
      </c>
      <c r="AF98" s="189">
        <v>645588115.86000001</v>
      </c>
      <c r="AG98" s="189">
        <v>585423831.89999998</v>
      </c>
      <c r="AH98" s="189">
        <v>550992535.13</v>
      </c>
      <c r="AI98" s="189">
        <v>501121152.82999998</v>
      </c>
      <c r="AJ98" s="189">
        <v>599832770.53999996</v>
      </c>
      <c r="AK98" s="189">
        <v>553274464.87</v>
      </c>
      <c r="AL98" s="189">
        <v>525592817.13999999</v>
      </c>
      <c r="AM98" s="189">
        <v>480200351.81</v>
      </c>
      <c r="AN98" s="189">
        <v>415706770.48000002</v>
      </c>
      <c r="AO98" s="189">
        <v>378727385.56</v>
      </c>
      <c r="AP98" s="189">
        <v>342376758.93000001</v>
      </c>
      <c r="AQ98" s="189">
        <v>300489696.29000002</v>
      </c>
      <c r="AR98" s="189">
        <v>246824050.31</v>
      </c>
      <c r="AS98" s="189">
        <v>220747271.28</v>
      </c>
      <c r="AT98" s="189">
        <v>180281036.25999999</v>
      </c>
      <c r="AU98" s="189">
        <v>150412132.30000001</v>
      </c>
      <c r="AV98" s="189">
        <v>126688710.69</v>
      </c>
      <c r="AW98" s="189">
        <v>141100977.68000001</v>
      </c>
      <c r="AX98" s="189">
        <v>148899349.27000001</v>
      </c>
      <c r="AY98" s="189">
        <v>133081531.41</v>
      </c>
      <c r="AZ98" s="189">
        <v>107715286.73999999</v>
      </c>
      <c r="BA98" s="189">
        <v>94497411.689999998</v>
      </c>
      <c r="BB98" s="189">
        <v>112615845.56</v>
      </c>
      <c r="BC98" s="189">
        <v>100054290.28</v>
      </c>
      <c r="BD98" s="189">
        <v>124046875.29000001</v>
      </c>
      <c r="BE98" s="189">
        <v>111128786.8</v>
      </c>
      <c r="BF98" s="189">
        <v>144128457.84</v>
      </c>
      <c r="BG98" s="189">
        <v>126963072.8</v>
      </c>
      <c r="BH98" s="189">
        <v>136964635.47999999</v>
      </c>
      <c r="BI98" s="189">
        <v>121916341.93000001</v>
      </c>
      <c r="BJ98" s="189">
        <v>136023747.88</v>
      </c>
      <c r="BK98" s="189">
        <v>114302269.51000001</v>
      </c>
      <c r="BL98" s="189">
        <v>71047128.269999996</v>
      </c>
      <c r="BM98" s="189">
        <v>99008994.890000001</v>
      </c>
      <c r="BN98" s="189">
        <v>112722679.62</v>
      </c>
      <c r="BO98" s="189">
        <v>91754361.370000005</v>
      </c>
      <c r="BP98" s="189">
        <v>49933735.899999999</v>
      </c>
      <c r="BQ98" s="189">
        <v>37550354.890000001</v>
      </c>
      <c r="BR98" s="189">
        <v>47191240.579999998</v>
      </c>
      <c r="BS98" s="189">
        <v>-5305033.1500000004</v>
      </c>
      <c r="BT98" s="189">
        <v>-23521049.18</v>
      </c>
      <c r="BU98" s="189">
        <v>-38758600.469999999</v>
      </c>
      <c r="BV98" s="189">
        <v>-56126040.200000003</v>
      </c>
      <c r="BW98" s="189">
        <v>0</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8" t="s">
        <v>70</v>
      </c>
      <c r="B99" s="189">
        <v>506943.74</v>
      </c>
      <c r="C99" s="189">
        <v>121415382.2</v>
      </c>
      <c r="D99" s="189">
        <v>1012158.74</v>
      </c>
      <c r="E99" s="189">
        <v>2508469.04</v>
      </c>
      <c r="F99" s="189">
        <v>2508469.04</v>
      </c>
      <c r="G99" s="189">
        <v>3222146.54</v>
      </c>
      <c r="H99" s="189">
        <v>3056525.94</v>
      </c>
      <c r="I99" s="189">
        <v>3504350.94</v>
      </c>
      <c r="J99" s="189">
        <v>4113838.5</v>
      </c>
      <c r="K99" s="189">
        <v>1184280</v>
      </c>
      <c r="L99" s="189">
        <v>1184280</v>
      </c>
      <c r="M99" s="189">
        <v>1184280</v>
      </c>
      <c r="N99" s="189">
        <v>1367760</v>
      </c>
      <c r="O99" s="189">
        <v>2397750</v>
      </c>
      <c r="P99" s="189">
        <v>14300820</v>
      </c>
      <c r="Q99" s="189">
        <v>14300820</v>
      </c>
      <c r="R99" s="189">
        <v>14300820</v>
      </c>
      <c r="S99" s="189">
        <v>16159752</v>
      </c>
      <c r="T99" s="189">
        <v>16694700</v>
      </c>
      <c r="U99" s="189">
        <v>16694700</v>
      </c>
      <c r="V99" s="189">
        <v>16945961.969999999</v>
      </c>
      <c r="W99" s="189">
        <v>16755200</v>
      </c>
      <c r="X99" s="189">
        <v>10140000</v>
      </c>
      <c r="Y99" s="189">
        <v>10140000</v>
      </c>
      <c r="Z99" s="189">
        <v>10140000</v>
      </c>
      <c r="AA99" s="189">
        <v>1254275.22</v>
      </c>
      <c r="AB99" s="189">
        <v>2776067.04</v>
      </c>
      <c r="AC99" s="189">
        <v>516393.76</v>
      </c>
      <c r="AD99" s="189">
        <v>516393.76</v>
      </c>
      <c r="AE99" s="189">
        <v>516393.76</v>
      </c>
      <c r="AF99" s="189">
        <v>670927.53</v>
      </c>
      <c r="AG99" s="189">
        <v>516393.76</v>
      </c>
      <c r="AH99" s="189">
        <v>516393.76</v>
      </c>
      <c r="AI99" s="189">
        <v>516393.76</v>
      </c>
      <c r="AJ99" s="189">
        <v>0</v>
      </c>
      <c r="AK99" s="189">
        <v>1933584.68</v>
      </c>
      <c r="AL99" s="189">
        <v>1954632.56</v>
      </c>
      <c r="AM99" s="189">
        <v>2958588.14</v>
      </c>
      <c r="AN99" s="189">
        <v>3321081.57</v>
      </c>
      <c r="AO99" s="189">
        <v>3436279.22</v>
      </c>
      <c r="AP99" s="189">
        <v>3436279.22</v>
      </c>
      <c r="AQ99" s="189">
        <v>3945075.18</v>
      </c>
      <c r="AR99" s="189">
        <v>13762772.810000001</v>
      </c>
      <c r="AS99" s="189">
        <v>4357578.3</v>
      </c>
      <c r="AT99" s="189">
        <v>6406020.79</v>
      </c>
      <c r="AU99" s="189">
        <v>8406020.7899999991</v>
      </c>
      <c r="AV99" s="189">
        <v>0</v>
      </c>
      <c r="AW99" s="189">
        <v>32670</v>
      </c>
      <c r="AX99" s="189">
        <v>0</v>
      </c>
      <c r="AY99" s="189">
        <v>0</v>
      </c>
      <c r="AZ99" s="189">
        <v>1829997.45</v>
      </c>
      <c r="BA99" s="189">
        <v>0</v>
      </c>
      <c r="BB99" s="189">
        <v>0</v>
      </c>
      <c r="BC99" s="189">
        <v>44662530.840000004</v>
      </c>
      <c r="BD99" s="189">
        <v>1462530.84</v>
      </c>
      <c r="BE99" s="189">
        <v>5651146.6799999997</v>
      </c>
      <c r="BF99" s="189">
        <v>2534304.2400000002</v>
      </c>
      <c r="BG99" s="189">
        <v>43034304.240000002</v>
      </c>
      <c r="BH99" s="189">
        <v>1206804.24</v>
      </c>
      <c r="BI99" s="189">
        <v>5509043.1600000001</v>
      </c>
      <c r="BJ99" s="189">
        <v>1658006.28</v>
      </c>
      <c r="BK99" s="189">
        <v>1658006.28</v>
      </c>
      <c r="BL99" s="189">
        <v>42158006.280000001</v>
      </c>
      <c r="BM99" s="189">
        <v>2693090.34</v>
      </c>
      <c r="BN99" s="189">
        <v>804023.42</v>
      </c>
      <c r="BO99" s="189">
        <v>30278460.93</v>
      </c>
      <c r="BP99" s="189">
        <v>27000000</v>
      </c>
      <c r="BQ99" s="189">
        <v>27000000</v>
      </c>
      <c r="BR99" s="189">
        <v>0</v>
      </c>
      <c r="BS99" s="189">
        <v>16335774.5</v>
      </c>
      <c r="BT99" s="189">
        <v>0</v>
      </c>
      <c r="BU99" s="189">
        <v>3900000</v>
      </c>
      <c r="BV99" s="189">
        <v>46772213.710000001</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-5055540.18</v>
      </c>
      <c r="AX101" s="189">
        <v>-5055540.18</v>
      </c>
      <c r="AY101" s="189">
        <v>-5055540.18</v>
      </c>
      <c r="AZ101" s="189">
        <v>-5055540.18</v>
      </c>
      <c r="BA101" s="189">
        <v>-5715237.9800000004</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c r="BU101" s="189"/>
      <c r="BV101" s="189"/>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5819655925.1800003</v>
      </c>
      <c r="C102" s="189">
        <v>5616764912.0200005</v>
      </c>
      <c r="D102" s="189">
        <v>5601755847.1300001</v>
      </c>
      <c r="E102" s="189">
        <v>5376551846.6099997</v>
      </c>
      <c r="F102" s="189">
        <v>5526518028.3599997</v>
      </c>
      <c r="G102" s="189">
        <v>5424553112.3900003</v>
      </c>
      <c r="H102" s="189">
        <v>5377300918.21</v>
      </c>
      <c r="I102" s="189">
        <v>5264125997.2299995</v>
      </c>
      <c r="J102" s="189">
        <v>5491950513.3900003</v>
      </c>
      <c r="K102" s="189">
        <v>6091662505.5299997</v>
      </c>
      <c r="L102" s="189">
        <v>5853221822.8999996</v>
      </c>
      <c r="M102" s="189">
        <v>5728747482.5600004</v>
      </c>
      <c r="N102" s="189">
        <v>4346577496.8199997</v>
      </c>
      <c r="O102" s="189">
        <v>4247511083.4099998</v>
      </c>
      <c r="P102" s="189">
        <v>3997929558.0500002</v>
      </c>
      <c r="Q102" s="189">
        <v>3804904626.4899998</v>
      </c>
      <c r="R102" s="189">
        <v>3771979221.8899999</v>
      </c>
      <c r="S102" s="189">
        <v>3605337390.3099999</v>
      </c>
      <c r="T102" s="189">
        <v>3511412183.9299998</v>
      </c>
      <c r="U102" s="189">
        <v>3325319389.3600001</v>
      </c>
      <c r="V102" s="189">
        <v>3163753910.1199999</v>
      </c>
      <c r="W102" s="189">
        <v>3011991372.1500001</v>
      </c>
      <c r="X102" s="189">
        <v>2890608925.1900001</v>
      </c>
      <c r="Y102" s="189">
        <v>2710056138.5300002</v>
      </c>
      <c r="Z102" s="189">
        <v>2509014103.5500002</v>
      </c>
      <c r="AA102" s="189">
        <v>2544541574.6199999</v>
      </c>
      <c r="AB102" s="189">
        <v>1848290173.3399999</v>
      </c>
      <c r="AC102" s="189">
        <v>1758755261.75</v>
      </c>
      <c r="AD102" s="189">
        <v>1675939973.8199999</v>
      </c>
      <c r="AE102" s="189">
        <v>1601650167.97</v>
      </c>
      <c r="AF102" s="189">
        <v>1558807269.8599999</v>
      </c>
      <c r="AG102" s="189">
        <v>1496704216.4300001</v>
      </c>
      <c r="AH102" s="189">
        <v>1426732452.04</v>
      </c>
      <c r="AI102" s="189">
        <v>1372965586.9000001</v>
      </c>
      <c r="AJ102" s="189">
        <v>1370786577.3099999</v>
      </c>
      <c r="AK102" s="189">
        <v>1319737714.21</v>
      </c>
      <c r="AL102" s="189">
        <v>1268531088.5799999</v>
      </c>
      <c r="AM102" s="189">
        <v>1214667293.8599999</v>
      </c>
      <c r="AN102" s="189">
        <v>1141702217.72</v>
      </c>
      <c r="AO102" s="189">
        <v>1096249332.8</v>
      </c>
      <c r="AP102" s="189">
        <v>1046149196.41</v>
      </c>
      <c r="AQ102" s="189">
        <v>995193048.97000003</v>
      </c>
      <c r="AR102" s="189">
        <v>886866388.24000001</v>
      </c>
      <c r="AS102" s="189">
        <v>853397039.85000002</v>
      </c>
      <c r="AT102" s="189">
        <v>837991898.32000005</v>
      </c>
      <c r="AU102" s="189">
        <v>808045059.13999999</v>
      </c>
      <c r="AV102" s="189">
        <v>784504171.82000005</v>
      </c>
      <c r="AW102" s="189">
        <v>798685222.84000003</v>
      </c>
      <c r="AX102" s="189">
        <v>791975536.38999999</v>
      </c>
      <c r="AY102" s="189">
        <v>775169078.15999997</v>
      </c>
      <c r="AZ102" s="189">
        <v>1203667521.9100001</v>
      </c>
      <c r="BA102" s="189">
        <v>1185394106.6800001</v>
      </c>
      <c r="BB102" s="189">
        <v>1195118561.1500001</v>
      </c>
      <c r="BC102" s="189">
        <v>1182557005.8699999</v>
      </c>
      <c r="BD102" s="189">
        <v>1206518294.0699999</v>
      </c>
      <c r="BE102" s="189">
        <v>1195009854.5799999</v>
      </c>
      <c r="BF102" s="189">
        <v>1209340155.4300001</v>
      </c>
      <c r="BG102" s="189">
        <v>1192174770.3900001</v>
      </c>
      <c r="BH102" s="189">
        <v>1202091747.1500001</v>
      </c>
      <c r="BI102" s="189">
        <v>1187049077.6199999</v>
      </c>
      <c r="BJ102" s="189">
        <v>1182761908.8699999</v>
      </c>
      <c r="BK102" s="189">
        <v>1161040430.5</v>
      </c>
      <c r="BL102" s="189">
        <v>1117771489.26</v>
      </c>
      <c r="BM102" s="189">
        <v>1145733355.8800001</v>
      </c>
      <c r="BN102" s="189">
        <v>1145522696.27</v>
      </c>
      <c r="BO102" s="189">
        <v>1124554378.02</v>
      </c>
      <c r="BP102" s="189">
        <v>1082733752.55</v>
      </c>
      <c r="BQ102" s="189">
        <v>1070350371.54</v>
      </c>
      <c r="BR102" s="189">
        <v>1068422859.79</v>
      </c>
      <c r="BS102" s="189">
        <v>286771149.86000001</v>
      </c>
      <c r="BT102" s="189">
        <v>263989975.31999999</v>
      </c>
      <c r="BU102" s="189">
        <v>228462592.30000001</v>
      </c>
      <c r="BV102" s="189">
        <v>205969812.19</v>
      </c>
      <c r="BW102" s="189">
        <v>0</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0</v>
      </c>
      <c r="C103" s="189">
        <v>0</v>
      </c>
      <c r="D103" s="189">
        <v>0</v>
      </c>
      <c r="E103" s="189">
        <v>0</v>
      </c>
      <c r="F103" s="189">
        <v>0</v>
      </c>
      <c r="G103" s="189">
        <v>0</v>
      </c>
      <c r="H103" s="189">
        <v>0</v>
      </c>
      <c r="I103" s="189">
        <v>0</v>
      </c>
      <c r="J103" s="189">
        <v>0</v>
      </c>
      <c r="K103" s="189">
        <v>0</v>
      </c>
      <c r="L103" s="189">
        <v>0</v>
      </c>
      <c r="M103" s="189">
        <v>0</v>
      </c>
      <c r="N103" s="189">
        <v>0</v>
      </c>
      <c r="O103" s="189">
        <v>0</v>
      </c>
      <c r="P103" s="189">
        <v>0</v>
      </c>
      <c r="Q103" s="189">
        <v>301834.08</v>
      </c>
      <c r="R103" s="189">
        <v>4238277.1900000004</v>
      </c>
      <c r="S103" s="189">
        <v>30725748.559999999</v>
      </c>
      <c r="T103" s="189">
        <v>40690516.5</v>
      </c>
      <c r="U103" s="189">
        <v>40071776.880000003</v>
      </c>
      <c r="V103" s="189">
        <v>26900765.609999999</v>
      </c>
      <c r="W103" s="189">
        <v>19995516.460000001</v>
      </c>
      <c r="X103" s="189">
        <v>20328799.870000001</v>
      </c>
      <c r="Y103" s="189">
        <v>21427636.280000001</v>
      </c>
      <c r="Z103" s="189">
        <v>18387007.43</v>
      </c>
      <c r="AA103" s="189">
        <v>15324077.050000001</v>
      </c>
      <c r="AB103" s="189">
        <v>20553519.800000001</v>
      </c>
      <c r="AC103" s="189">
        <v>22966172.690000001</v>
      </c>
      <c r="AD103" s="189">
        <v>19312477.359999999</v>
      </c>
      <c r="AE103" s="189">
        <v>17664026.66</v>
      </c>
      <c r="AF103" s="189">
        <v>20654307.469999999</v>
      </c>
      <c r="AG103" s="189">
        <v>21216314.329999998</v>
      </c>
      <c r="AH103" s="189">
        <v>41923907.57</v>
      </c>
      <c r="AI103" s="189">
        <v>38617962.939999998</v>
      </c>
      <c r="AJ103" s="189">
        <v>41019179.880000003</v>
      </c>
      <c r="AK103" s="189">
        <v>48851888.939999998</v>
      </c>
      <c r="AL103" s="189">
        <v>40083852.270000003</v>
      </c>
      <c r="AM103" s="189">
        <v>42121242.560000002</v>
      </c>
      <c r="AN103" s="189">
        <v>43168934.630000003</v>
      </c>
      <c r="AO103" s="189">
        <v>48259053.07</v>
      </c>
      <c r="AP103" s="189">
        <v>53014128.789999999</v>
      </c>
      <c r="AQ103" s="189">
        <v>94487314.719999999</v>
      </c>
      <c r="AR103" s="189">
        <v>42109056.390000001</v>
      </c>
      <c r="AS103" s="189">
        <v>50078628.390000001</v>
      </c>
      <c r="AT103" s="189">
        <v>47110715.869999997</v>
      </c>
      <c r="AU103" s="189">
        <v>41387277.469999999</v>
      </c>
      <c r="AV103" s="189">
        <v>48857368.93</v>
      </c>
      <c r="AW103" s="189">
        <v>57075336.390000001</v>
      </c>
      <c r="AX103" s="189">
        <v>49215246</v>
      </c>
      <c r="AY103" s="189">
        <v>51849717.170000002</v>
      </c>
      <c r="AZ103" s="189">
        <v>49826537.299999997</v>
      </c>
      <c r="BA103" s="189">
        <v>66395735.969999999</v>
      </c>
      <c r="BB103" s="189">
        <v>61276723.359999999</v>
      </c>
      <c r="BC103" s="189">
        <v>59766506.600000001</v>
      </c>
      <c r="BD103" s="189">
        <v>61298628.200000003</v>
      </c>
      <c r="BE103" s="189">
        <v>53872084.219999999</v>
      </c>
      <c r="BF103" s="189">
        <v>76882757.650000006</v>
      </c>
      <c r="BG103" s="189">
        <v>74211727.670000002</v>
      </c>
      <c r="BH103" s="189">
        <v>50743924.539999999</v>
      </c>
      <c r="BI103" s="189">
        <v>51891205.700000003</v>
      </c>
      <c r="BJ103" s="189">
        <v>53757256.450000003</v>
      </c>
      <c r="BK103" s="189">
        <v>49186490.240000002</v>
      </c>
      <c r="BL103" s="189">
        <v>40368315</v>
      </c>
      <c r="BM103" s="189">
        <v>39797006.439999998</v>
      </c>
      <c r="BN103" s="189">
        <v>33381068.760000002</v>
      </c>
      <c r="BO103" s="189">
        <v>20415806.98</v>
      </c>
      <c r="BP103" s="189">
        <v>4111114.37</v>
      </c>
      <c r="BQ103" s="189">
        <v>4173607.68</v>
      </c>
      <c r="BR103" s="189">
        <v>3431184.64</v>
      </c>
      <c r="BS103" s="189">
        <v>3392349.18</v>
      </c>
      <c r="BT103" s="189">
        <v>2678678.7200000002</v>
      </c>
      <c r="BU103" s="189">
        <v>4525995.51</v>
      </c>
      <c r="BV103" s="189">
        <v>8197176.29</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5819655925.1800003</v>
      </c>
      <c r="C107" s="33">
        <f>C102+C103</f>
        <v>5616764912.0200005</v>
      </c>
      <c r="D107" s="33">
        <f>D102+D103</f>
        <v>5601755847.1300001</v>
      </c>
      <c r="E107" s="33">
        <f>E102+E103</f>
        <v>5376551846.6099997</v>
      </c>
      <c r="F107" s="33">
        <f t="shared" ref="F107:BQ107" si="20">F102+F103</f>
        <v>5526518028.3599997</v>
      </c>
      <c r="G107" s="33">
        <f t="shared" si="20"/>
        <v>5424553112.3900003</v>
      </c>
      <c r="H107" s="33">
        <f t="shared" si="20"/>
        <v>5377300918.21</v>
      </c>
      <c r="I107" s="33">
        <f t="shared" si="20"/>
        <v>5264125997.2299995</v>
      </c>
      <c r="J107" s="33">
        <f t="shared" si="20"/>
        <v>5491950513.3900003</v>
      </c>
      <c r="K107" s="33">
        <f t="shared" si="20"/>
        <v>6091662505.5299997</v>
      </c>
      <c r="L107" s="33">
        <f t="shared" si="20"/>
        <v>5853221822.8999996</v>
      </c>
      <c r="M107" s="33">
        <f t="shared" si="20"/>
        <v>5728747482.5600004</v>
      </c>
      <c r="N107" s="33">
        <f t="shared" si="20"/>
        <v>4346577496.8199997</v>
      </c>
      <c r="O107" s="33">
        <f t="shared" si="20"/>
        <v>4247511083.4099998</v>
      </c>
      <c r="P107" s="33">
        <f t="shared" si="20"/>
        <v>3997929558.0500002</v>
      </c>
      <c r="Q107" s="33">
        <f t="shared" si="20"/>
        <v>3805206460.5699997</v>
      </c>
      <c r="R107" s="33">
        <f t="shared" si="20"/>
        <v>3776217499.0799999</v>
      </c>
      <c r="S107" s="33">
        <f t="shared" si="20"/>
        <v>3636063138.8699999</v>
      </c>
      <c r="T107" s="33">
        <f t="shared" si="20"/>
        <v>3552102700.4299998</v>
      </c>
      <c r="U107" s="33">
        <f t="shared" si="20"/>
        <v>3365391166.2400002</v>
      </c>
      <c r="V107" s="33">
        <f t="shared" si="20"/>
        <v>3190654675.73</v>
      </c>
      <c r="W107" s="33">
        <f t="shared" si="20"/>
        <v>3031986888.6100001</v>
      </c>
      <c r="X107" s="33">
        <f t="shared" si="20"/>
        <v>2910937725.0599999</v>
      </c>
      <c r="Y107" s="33">
        <f t="shared" si="20"/>
        <v>2731483774.8100004</v>
      </c>
      <c r="Z107" s="33">
        <f t="shared" si="20"/>
        <v>2527401110.98</v>
      </c>
      <c r="AA107" s="33">
        <f t="shared" si="20"/>
        <v>2559865651.6700001</v>
      </c>
      <c r="AB107" s="33">
        <f t="shared" si="20"/>
        <v>1868843693.1399999</v>
      </c>
      <c r="AC107" s="33">
        <f t="shared" si="20"/>
        <v>1781721434.4400001</v>
      </c>
      <c r="AD107" s="33">
        <f t="shared" si="20"/>
        <v>1695252451.1799998</v>
      </c>
      <c r="AE107" s="33">
        <f t="shared" si="20"/>
        <v>1619314194.6300001</v>
      </c>
      <c r="AF107" s="33">
        <f t="shared" si="20"/>
        <v>1579461577.3299999</v>
      </c>
      <c r="AG107" s="33">
        <f t="shared" si="20"/>
        <v>1517920530.76</v>
      </c>
      <c r="AH107" s="33">
        <f t="shared" si="20"/>
        <v>1468656359.6099999</v>
      </c>
      <c r="AI107" s="33">
        <f t="shared" si="20"/>
        <v>1411583549.8400002</v>
      </c>
      <c r="AJ107" s="33">
        <f t="shared" si="20"/>
        <v>1411805757.1900001</v>
      </c>
      <c r="AK107" s="33">
        <f t="shared" si="20"/>
        <v>1368589603.1500001</v>
      </c>
      <c r="AL107" s="33">
        <f t="shared" si="20"/>
        <v>1308614940.8499999</v>
      </c>
      <c r="AM107" s="33">
        <f t="shared" si="20"/>
        <v>1256788536.4199998</v>
      </c>
      <c r="AN107" s="33">
        <f t="shared" si="20"/>
        <v>1184871152.3500001</v>
      </c>
      <c r="AO107" s="33">
        <f t="shared" si="20"/>
        <v>1144508385.8699999</v>
      </c>
      <c r="AP107" s="33">
        <f t="shared" si="20"/>
        <v>1099163325.2</v>
      </c>
      <c r="AQ107" s="33">
        <f t="shared" si="20"/>
        <v>1089680363.6900001</v>
      </c>
      <c r="AR107" s="33">
        <f t="shared" si="20"/>
        <v>928975444.63</v>
      </c>
      <c r="AS107" s="33">
        <f t="shared" si="20"/>
        <v>903475668.24000001</v>
      </c>
      <c r="AT107" s="33">
        <f t="shared" si="20"/>
        <v>885102614.19000006</v>
      </c>
      <c r="AU107" s="33">
        <f t="shared" si="20"/>
        <v>849432336.61000001</v>
      </c>
      <c r="AV107" s="33">
        <f t="shared" si="20"/>
        <v>833361540.75</v>
      </c>
      <c r="AW107" s="33">
        <f t="shared" si="20"/>
        <v>855760559.23000002</v>
      </c>
      <c r="AX107" s="33">
        <f t="shared" si="20"/>
        <v>841190782.38999999</v>
      </c>
      <c r="AY107" s="33">
        <f t="shared" si="20"/>
        <v>827018795.32999992</v>
      </c>
      <c r="AZ107" s="33">
        <f t="shared" si="20"/>
        <v>1253494059.21</v>
      </c>
      <c r="BA107" s="33">
        <f t="shared" si="20"/>
        <v>1251789842.6500001</v>
      </c>
      <c r="BB107" s="33">
        <f t="shared" si="20"/>
        <v>1256395284.51</v>
      </c>
      <c r="BC107" s="33">
        <f t="shared" si="20"/>
        <v>1242323512.4699998</v>
      </c>
      <c r="BD107" s="33">
        <f t="shared" si="20"/>
        <v>1267816922.27</v>
      </c>
      <c r="BE107" s="33">
        <f t="shared" si="20"/>
        <v>1248881938.8</v>
      </c>
      <c r="BF107" s="33">
        <f t="shared" si="20"/>
        <v>1286222913.0800002</v>
      </c>
      <c r="BG107" s="33">
        <f t="shared" si="20"/>
        <v>1266386498.0600002</v>
      </c>
      <c r="BH107" s="33">
        <f t="shared" si="20"/>
        <v>1252835671.6900001</v>
      </c>
      <c r="BI107" s="33">
        <f t="shared" si="20"/>
        <v>1238940283.3199999</v>
      </c>
      <c r="BJ107" s="33">
        <f t="shared" si="20"/>
        <v>1236519165.3199999</v>
      </c>
      <c r="BK107" s="33">
        <f t="shared" si="20"/>
        <v>1210226920.74</v>
      </c>
      <c r="BL107" s="33">
        <f t="shared" si="20"/>
        <v>1158139804.26</v>
      </c>
      <c r="BM107" s="33">
        <f t="shared" si="20"/>
        <v>1185530362.3200002</v>
      </c>
      <c r="BN107" s="33">
        <f t="shared" si="20"/>
        <v>1178903765.03</v>
      </c>
      <c r="BO107" s="33">
        <f t="shared" si="20"/>
        <v>1144970185</v>
      </c>
      <c r="BP107" s="33">
        <f t="shared" si="20"/>
        <v>1086844866.9199998</v>
      </c>
      <c r="BQ107" s="33">
        <f t="shared" si="20"/>
        <v>1074523979.22</v>
      </c>
      <c r="BR107" s="33">
        <f t="shared" ref="BR107:CK107" si="21">BR102+BR103</f>
        <v>1071854044.4299999</v>
      </c>
      <c r="BS107" s="33">
        <f t="shared" si="21"/>
        <v>290163499.04000002</v>
      </c>
      <c r="BT107" s="33">
        <f t="shared" si="21"/>
        <v>266668654.03999999</v>
      </c>
      <c r="BU107" s="33">
        <f t="shared" si="21"/>
        <v>232988587.81</v>
      </c>
      <c r="BV107" s="33">
        <f t="shared" si="21"/>
        <v>214166988.47999999</v>
      </c>
      <c r="BW107" s="33">
        <f t="shared" si="21"/>
        <v>0</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6933696115.8000002</v>
      </c>
      <c r="C108" s="38">
        <f t="shared" ref="C108:BN108" si="22">SUM(C89+C107)</f>
        <v>6686773083.6300001</v>
      </c>
      <c r="D108" s="38">
        <f t="shared" si="22"/>
        <v>6690622090.6300001</v>
      </c>
      <c r="E108" s="38">
        <f>SUM(E107+E89)</f>
        <v>6477736918.9899998</v>
      </c>
      <c r="F108" s="38">
        <f t="shared" si="22"/>
        <v>5529499963.6799994</v>
      </c>
      <c r="G108" s="38">
        <f t="shared" si="22"/>
        <v>5428226853.2700005</v>
      </c>
      <c r="H108" s="38">
        <f t="shared" si="22"/>
        <v>5377300918.21</v>
      </c>
      <c r="I108" s="38">
        <f t="shared" si="22"/>
        <v>5264125997.2299995</v>
      </c>
      <c r="J108" s="38">
        <f t="shared" si="22"/>
        <v>5491950513.3900003</v>
      </c>
      <c r="K108" s="38">
        <f t="shared" si="22"/>
        <v>6091662505.5299997</v>
      </c>
      <c r="L108" s="38">
        <f t="shared" si="22"/>
        <v>5853221822.8999996</v>
      </c>
      <c r="M108" s="38">
        <f t="shared" si="22"/>
        <v>5728747482.5600004</v>
      </c>
      <c r="N108" s="38">
        <f t="shared" si="22"/>
        <v>4346577496.8199997</v>
      </c>
      <c r="O108" s="38">
        <f t="shared" si="22"/>
        <v>4247511083.4099998</v>
      </c>
      <c r="P108" s="38">
        <f t="shared" si="22"/>
        <v>3997929558.0500002</v>
      </c>
      <c r="Q108" s="38">
        <f t="shared" si="22"/>
        <v>3805206460.5699997</v>
      </c>
      <c r="R108" s="38">
        <f t="shared" si="22"/>
        <v>3802974277.7599998</v>
      </c>
      <c r="S108" s="38">
        <f t="shared" si="22"/>
        <v>3659102906.1799998</v>
      </c>
      <c r="T108" s="38">
        <f t="shared" si="22"/>
        <v>3567593456.3699999</v>
      </c>
      <c r="U108" s="38">
        <f t="shared" si="22"/>
        <v>3380552910.8100004</v>
      </c>
      <c r="V108" s="38">
        <f t="shared" si="22"/>
        <v>3206453816.6500001</v>
      </c>
      <c r="W108" s="38">
        <f t="shared" si="22"/>
        <v>3034625218.6100001</v>
      </c>
      <c r="X108" s="38">
        <f t="shared" si="22"/>
        <v>2913576055.0599999</v>
      </c>
      <c r="Y108" s="38">
        <f t="shared" si="22"/>
        <v>2734122104.8100004</v>
      </c>
      <c r="Z108" s="38">
        <f t="shared" si="22"/>
        <v>2540083777.2600002</v>
      </c>
      <c r="AA108" s="38">
        <f t="shared" si="22"/>
        <v>2572405817.9500003</v>
      </c>
      <c r="AB108" s="38">
        <f t="shared" si="22"/>
        <v>1881129523.1399999</v>
      </c>
      <c r="AC108" s="38">
        <f t="shared" si="22"/>
        <v>1794155819.4400001</v>
      </c>
      <c r="AD108" s="38">
        <f t="shared" si="22"/>
        <v>1709827795.2299998</v>
      </c>
      <c r="AE108" s="38">
        <f t="shared" si="22"/>
        <v>1635225106.3800001</v>
      </c>
      <c r="AF108" s="38">
        <f t="shared" si="22"/>
        <v>1595574813.24</v>
      </c>
      <c r="AG108" s="38">
        <f t="shared" si="22"/>
        <v>1536253493.8699999</v>
      </c>
      <c r="AH108" s="38">
        <f t="shared" si="22"/>
        <v>1490143201.02</v>
      </c>
      <c r="AI108" s="38">
        <f t="shared" si="22"/>
        <v>1431183475.2500002</v>
      </c>
      <c r="AJ108" s="38">
        <f t="shared" si="22"/>
        <v>1432405682.6000001</v>
      </c>
      <c r="AK108" s="38">
        <f t="shared" si="22"/>
        <v>1386189528.5600002</v>
      </c>
      <c r="AL108" s="38">
        <f t="shared" si="22"/>
        <v>1323554842.76</v>
      </c>
      <c r="AM108" s="38">
        <f t="shared" si="22"/>
        <v>1268629438.3299999</v>
      </c>
      <c r="AN108" s="38">
        <f t="shared" si="22"/>
        <v>1289712054.2600002</v>
      </c>
      <c r="AO108" s="38">
        <f t="shared" si="22"/>
        <v>1252349287.78</v>
      </c>
      <c r="AP108" s="38">
        <f t="shared" si="22"/>
        <v>1174524227.1100001</v>
      </c>
      <c r="AQ108" s="38">
        <f t="shared" si="22"/>
        <v>1251276884.8700001</v>
      </c>
      <c r="AR108" s="38">
        <f t="shared" si="22"/>
        <v>1125971965.8099999</v>
      </c>
      <c r="AS108" s="38">
        <f t="shared" si="22"/>
        <v>1103686826.01</v>
      </c>
      <c r="AT108" s="38">
        <f t="shared" si="22"/>
        <v>1119771198.78</v>
      </c>
      <c r="AU108" s="38">
        <f t="shared" si="22"/>
        <v>1119727336.6100001</v>
      </c>
      <c r="AV108" s="38">
        <f t="shared" si="22"/>
        <v>1121344814.76</v>
      </c>
      <c r="AW108" s="38">
        <f t="shared" si="22"/>
        <v>1085260559.23</v>
      </c>
      <c r="AX108" s="38">
        <f t="shared" si="22"/>
        <v>1078690782.3899999</v>
      </c>
      <c r="AY108" s="38">
        <f t="shared" si="22"/>
        <v>1200518795.3299999</v>
      </c>
      <c r="AZ108" s="38">
        <f t="shared" si="22"/>
        <v>1553494059.21</v>
      </c>
      <c r="BA108" s="38">
        <f t="shared" si="22"/>
        <v>1465321667.95</v>
      </c>
      <c r="BB108" s="38">
        <f t="shared" si="22"/>
        <v>1361395284.51</v>
      </c>
      <c r="BC108" s="38">
        <f t="shared" si="22"/>
        <v>1356323512.4699998</v>
      </c>
      <c r="BD108" s="38">
        <f t="shared" si="22"/>
        <v>1368616922.27</v>
      </c>
      <c r="BE108" s="38">
        <f t="shared" si="22"/>
        <v>1374240097.8</v>
      </c>
      <c r="BF108" s="38">
        <f t="shared" si="22"/>
        <v>1373896177.3800001</v>
      </c>
      <c r="BG108" s="38">
        <f t="shared" si="22"/>
        <v>1354059762.3600001</v>
      </c>
      <c r="BH108" s="38">
        <f t="shared" si="22"/>
        <v>1327418935.99</v>
      </c>
      <c r="BI108" s="38">
        <f t="shared" si="22"/>
        <v>1310783547.6199999</v>
      </c>
      <c r="BJ108" s="38">
        <f t="shared" si="22"/>
        <v>1315183970.5599999</v>
      </c>
      <c r="BK108" s="38">
        <f t="shared" si="22"/>
        <v>1302925185.04</v>
      </c>
      <c r="BL108" s="38">
        <f t="shared" si="22"/>
        <v>1239363068.5599999</v>
      </c>
      <c r="BM108" s="38">
        <f t="shared" si="22"/>
        <v>1265953626.6200001</v>
      </c>
      <c r="BN108" s="38">
        <f t="shared" si="22"/>
        <v>1316947029.3299999</v>
      </c>
      <c r="BO108" s="38">
        <f t="shared" ref="BO108:CK108" si="23">SUM(BO89+BO107)</f>
        <v>1299470185</v>
      </c>
      <c r="BP108" s="38">
        <f t="shared" si="23"/>
        <v>1226024866.9199998</v>
      </c>
      <c r="BQ108" s="38">
        <f t="shared" si="23"/>
        <v>1214003979.22</v>
      </c>
      <c r="BR108" s="38">
        <f t="shared" si="23"/>
        <v>1290734044.4299998</v>
      </c>
      <c r="BS108" s="38">
        <f t="shared" si="23"/>
        <v>516522874.04000002</v>
      </c>
      <c r="BT108" s="38">
        <f t="shared" si="23"/>
        <v>619564510.51999998</v>
      </c>
      <c r="BU108" s="38">
        <f t="shared" si="23"/>
        <v>598644394.67000008</v>
      </c>
      <c r="BV108" s="38">
        <f t="shared" si="23"/>
        <v>548153204.46000004</v>
      </c>
      <c r="BW108" s="38">
        <f t="shared" si="23"/>
        <v>0</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21" workbookViewId="0">
      <selection activeCell="AG55" sqref="AG55"/>
    </sheetView>
  </sheetViews>
  <sheetFormatPr defaultRowHeight="14.4" x14ac:dyDescent="0.25"/>
  <cols>
    <col min="1" max="1" width="57.21875" style="17" bestFit="1" customWidth="1"/>
    <col min="2" max="2" width="19.33203125" hidden="1" customWidth="1"/>
    <col min="3" max="4" width="20.21875" hidden="1" customWidth="1"/>
    <col min="5" max="5" width="19.33203125" bestFit="1" customWidth="1"/>
    <col min="6" max="8" width="20.21875" hidden="1" customWidth="1"/>
    <col min="9" max="9" width="20.21875" bestFit="1" customWidth="1"/>
    <col min="10" max="10" width="19.33203125" hidden="1" customWidth="1"/>
    <col min="11" max="12" width="20.21875" hidden="1" customWidth="1"/>
    <col min="13" max="13" width="21.44140625" bestFit="1" customWidth="1"/>
    <col min="14" max="15" width="19.33203125" hidden="1" customWidth="1"/>
    <col min="16" max="16" width="20.21875" hidden="1" customWidth="1"/>
    <col min="17" max="17" width="21.44140625" bestFit="1" customWidth="1"/>
    <col min="18" max="19" width="19.33203125" hidden="1" customWidth="1"/>
    <col min="20" max="20" width="20.21875" hidden="1" customWidth="1"/>
    <col min="21" max="21" width="19.33203125" bestFit="1" customWidth="1"/>
    <col min="22" max="23" width="19.33203125" hidden="1" customWidth="1"/>
    <col min="24" max="24" width="20.21875" hidden="1" customWidth="1"/>
    <col min="25" max="25" width="19.33203125" bestFit="1" customWidth="1"/>
    <col min="26" max="27" width="19.33203125" hidden="1" customWidth="1"/>
    <col min="28" max="28" width="19" hidden="1" customWidth="1"/>
    <col min="29" max="29" width="19.33203125" bestFit="1" customWidth="1"/>
    <col min="30" max="31" width="19.33203125" hidden="1" customWidth="1"/>
    <col min="32" max="32" width="19" hidden="1" customWidth="1"/>
    <col min="33" max="33" width="19.33203125" bestFit="1" customWidth="1"/>
    <col min="34" max="34" width="19.33203125" hidden="1" customWidth="1"/>
    <col min="35" max="36" width="19" hidden="1" customWidth="1"/>
    <col min="37" max="37" width="19.33203125" bestFit="1" customWidth="1"/>
    <col min="38" max="38" width="19.33203125" hidden="1" customWidth="1"/>
    <col min="39" max="40" width="19" hidden="1" customWidth="1"/>
    <col min="41" max="41" width="19.33203125" bestFit="1" customWidth="1"/>
    <col min="42" max="42" width="19.33203125" hidden="1" customWidth="1"/>
    <col min="43" max="44" width="19" hidden="1" customWidth="1"/>
    <col min="45" max="45" width="19.33203125" bestFit="1" customWidth="1"/>
    <col min="46" max="48" width="19" hidden="1" customWidth="1"/>
    <col min="49" max="49" width="19" bestFit="1" customWidth="1"/>
    <col min="50" max="52" width="19" hidden="1" customWidth="1"/>
    <col min="53" max="53" width="19" bestFit="1" customWidth="1"/>
    <col min="54" max="56" width="19" hidden="1" customWidth="1"/>
    <col min="57" max="57" width="19" bestFit="1" customWidth="1"/>
    <col min="58"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9" hidden="1" customWidth="1"/>
    <col min="71" max="74" width="17.77734375" bestFit="1" customWidth="1"/>
    <col min="75" max="75" width="9.5546875" hidden="1" customWidth="1"/>
    <col min="76"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9">
        <v>5420192240.8800001</v>
      </c>
      <c r="C4" s="189">
        <v>3665189282.5100002</v>
      </c>
      <c r="D4" s="189">
        <v>1860297290.99</v>
      </c>
      <c r="E4" s="189">
        <v>6488246212.1400003</v>
      </c>
      <c r="F4" s="189">
        <v>3894561232.4000001</v>
      </c>
      <c r="G4" s="189">
        <v>2651881094.0700002</v>
      </c>
      <c r="H4" s="189">
        <v>1340165773.9200001</v>
      </c>
      <c r="I4" s="189">
        <v>5321198258.4899998</v>
      </c>
      <c r="J4" s="189">
        <v>4287852830.3699999</v>
      </c>
      <c r="K4" s="189">
        <v>3065730831.52</v>
      </c>
      <c r="L4" s="189">
        <v>1541097064.8199999</v>
      </c>
      <c r="M4" s="189">
        <v>5845865322.6400003</v>
      </c>
      <c r="N4" s="189">
        <v>4617561352.0799999</v>
      </c>
      <c r="O4" s="189">
        <v>3215056319.77</v>
      </c>
      <c r="P4" s="189">
        <v>1594897366.8599999</v>
      </c>
      <c r="Q4" s="189">
        <v>5334659318.1000004</v>
      </c>
      <c r="R4" s="189">
        <v>4168265729.0900002</v>
      </c>
      <c r="S4" s="189">
        <v>2819379057.3400002</v>
      </c>
      <c r="T4" s="189">
        <v>1345701240.8900001</v>
      </c>
      <c r="U4" s="189">
        <v>4468503687.0100002</v>
      </c>
      <c r="V4" s="189">
        <v>4012363480.3899999</v>
      </c>
      <c r="W4" s="189">
        <v>2746693074.4099998</v>
      </c>
      <c r="X4" s="189">
        <v>1325026458.9300001</v>
      </c>
      <c r="Y4" s="189">
        <v>4504122570.4099998</v>
      </c>
      <c r="Z4" s="189">
        <v>3540725102.4299998</v>
      </c>
      <c r="AA4" s="189">
        <v>2339090706.9299998</v>
      </c>
      <c r="AB4" s="189">
        <v>1054933573.1</v>
      </c>
      <c r="AC4" s="189">
        <v>3576607562.8699999</v>
      </c>
      <c r="AD4" s="189">
        <v>2866766635.29</v>
      </c>
      <c r="AE4" s="189">
        <v>1922161683.6400001</v>
      </c>
      <c r="AF4" s="189">
        <v>843584272.85000002</v>
      </c>
      <c r="AG4" s="189">
        <v>3093956633.8400002</v>
      </c>
      <c r="AH4" s="189">
        <v>2429911851.9899998</v>
      </c>
      <c r="AI4" s="189">
        <v>1577163658.76</v>
      </c>
      <c r="AJ4" s="189">
        <v>667913696.38999999</v>
      </c>
      <c r="AK4" s="189">
        <v>2697115334.0700002</v>
      </c>
      <c r="AL4" s="189">
        <v>2181544628.0999999</v>
      </c>
      <c r="AM4" s="189">
        <v>1424803943.8</v>
      </c>
      <c r="AN4" s="189">
        <v>582376592.78999996</v>
      </c>
      <c r="AO4" s="189">
        <v>2493498067.6100001</v>
      </c>
      <c r="AP4" s="189">
        <v>2097820988.5799999</v>
      </c>
      <c r="AQ4" s="189">
        <v>1384626050.21</v>
      </c>
      <c r="AR4" s="189">
        <v>526135808.88</v>
      </c>
      <c r="AS4" s="189">
        <v>2260798925.3600001</v>
      </c>
      <c r="AT4" s="189">
        <v>1779982978.72</v>
      </c>
      <c r="AU4" s="189">
        <v>1161985620.8</v>
      </c>
      <c r="AV4" s="189">
        <v>475691864.44999999</v>
      </c>
      <c r="AW4" s="189">
        <v>2159134465.3499999</v>
      </c>
      <c r="AX4" s="189">
        <v>1746067860.55</v>
      </c>
      <c r="AY4" s="189">
        <v>1096306129.48</v>
      </c>
      <c r="AZ4" s="189">
        <v>447802819.93000001</v>
      </c>
      <c r="BA4" s="189">
        <v>1948870048.5599999</v>
      </c>
      <c r="BB4" s="189">
        <v>1541480316.0799999</v>
      </c>
      <c r="BC4" s="189">
        <v>969805968.16999996</v>
      </c>
      <c r="BD4" s="189">
        <v>382578384.36000001</v>
      </c>
      <c r="BE4" s="189">
        <v>1668957522.3699999</v>
      </c>
      <c r="BF4" s="189">
        <v>1285500262.4200001</v>
      </c>
      <c r="BG4" s="189">
        <v>774355804.61000001</v>
      </c>
      <c r="BH4" s="189">
        <v>286183658.49000001</v>
      </c>
      <c r="BI4" s="189">
        <v>1486376396.5599999</v>
      </c>
      <c r="BJ4" s="189">
        <v>1141838235.2</v>
      </c>
      <c r="BK4" s="189">
        <v>736124241.46000004</v>
      </c>
      <c r="BL4" s="189">
        <v>228125275.19999999</v>
      </c>
      <c r="BM4" s="189">
        <v>1363884564.2</v>
      </c>
      <c r="BN4" s="189">
        <v>1040814054.48</v>
      </c>
      <c r="BO4" s="189">
        <v>686272256.01999998</v>
      </c>
      <c r="BP4" s="189">
        <v>223232689.66</v>
      </c>
      <c r="BQ4" s="189">
        <v>1305853059.24</v>
      </c>
      <c r="BR4" s="189">
        <v>638897219.44000006</v>
      </c>
      <c r="BS4" s="189">
        <v>1187217478.3199999</v>
      </c>
      <c r="BT4" s="189">
        <v>1082865772.29</v>
      </c>
      <c r="BU4" s="189">
        <v>982009491.25</v>
      </c>
      <c r="BV4" s="189">
        <v>899768289.63999999</v>
      </c>
      <c r="BW4" s="189">
        <v>0</v>
      </c>
      <c r="BX4" s="189"/>
      <c r="BY4" s="189"/>
      <c r="BZ4" s="189"/>
      <c r="CA4" s="189"/>
      <c r="CB4" s="189"/>
      <c r="CC4" s="189"/>
      <c r="CD4" s="189"/>
      <c r="CE4" s="189"/>
      <c r="CF4" s="189"/>
      <c r="CG4" s="189"/>
      <c r="CH4" s="189"/>
      <c r="CI4" s="189"/>
      <c r="CJ4" s="189"/>
      <c r="CK4" s="189"/>
    </row>
    <row r="5" spans="1:89" x14ac:dyDescent="0.25">
      <c r="A5" s="19" t="s">
        <v>385</v>
      </c>
      <c r="B5" s="189">
        <v>2016723126.9000001</v>
      </c>
      <c r="C5" s="189">
        <v>1297448542.8299999</v>
      </c>
      <c r="D5" s="189">
        <v>619031984.34000003</v>
      </c>
      <c r="E5" s="189">
        <v>2275570034.3000002</v>
      </c>
      <c r="F5" s="189">
        <v>1189227793.3399999</v>
      </c>
      <c r="G5" s="189">
        <v>797774483.53999996</v>
      </c>
      <c r="H5" s="189">
        <v>370371507.20999998</v>
      </c>
      <c r="I5" s="189">
        <v>2061394524.6800001</v>
      </c>
      <c r="J5" s="189">
        <v>1673475318.98</v>
      </c>
      <c r="K5" s="189">
        <v>1200051250.8900001</v>
      </c>
      <c r="L5" s="189">
        <v>617981098.01999998</v>
      </c>
      <c r="M5" s="189">
        <v>2386308497.6300001</v>
      </c>
      <c r="N5" s="189">
        <v>1844309552.8099999</v>
      </c>
      <c r="O5" s="189">
        <v>1263571654.3</v>
      </c>
      <c r="P5" s="189">
        <v>622849948.12</v>
      </c>
      <c r="Q5" s="189">
        <v>2036991589.78</v>
      </c>
      <c r="R5" s="189">
        <v>1587796996.1099999</v>
      </c>
      <c r="S5" s="189">
        <v>1028397908.3</v>
      </c>
      <c r="T5" s="189">
        <v>491360185.73000002</v>
      </c>
      <c r="U5" s="189">
        <v>1655189245.2</v>
      </c>
      <c r="V5" s="189">
        <v>1746064380.22</v>
      </c>
      <c r="W5" s="189">
        <v>1170805288.22</v>
      </c>
      <c r="X5" s="189">
        <v>575765912.85000002</v>
      </c>
      <c r="Y5" s="189">
        <v>2026284289.9200001</v>
      </c>
      <c r="Z5" s="189">
        <v>1600833142.96</v>
      </c>
      <c r="AA5" s="189">
        <v>1067581427.03</v>
      </c>
      <c r="AB5" s="189">
        <v>528393933.55000001</v>
      </c>
      <c r="AC5" s="189">
        <v>1519290854</v>
      </c>
      <c r="AD5" s="189">
        <v>1295421349.95</v>
      </c>
      <c r="AE5" s="189">
        <v>887275860.91999996</v>
      </c>
      <c r="AF5" s="189">
        <v>426499884.14999998</v>
      </c>
      <c r="AG5" s="189">
        <v>1398717078.0999999</v>
      </c>
      <c r="AH5" s="189">
        <v>1135606768.6400001</v>
      </c>
      <c r="AI5" s="189">
        <v>747682978.33000004</v>
      </c>
      <c r="AJ5" s="189">
        <v>342547696.07999998</v>
      </c>
      <c r="AK5" s="189">
        <v>1214789438.05</v>
      </c>
      <c r="AL5" s="189">
        <v>1018272015.98</v>
      </c>
      <c r="AM5" s="189">
        <v>679582414.24000001</v>
      </c>
      <c r="AN5" s="189">
        <v>311262192.52999997</v>
      </c>
      <c r="AO5" s="189">
        <v>1211140032.72</v>
      </c>
      <c r="AP5" s="189">
        <v>1068324221.09</v>
      </c>
      <c r="AQ5" s="189">
        <v>686070308.13999999</v>
      </c>
      <c r="AR5" s="189">
        <v>281219677.25999999</v>
      </c>
      <c r="AS5" s="189">
        <v>1227440965.48</v>
      </c>
      <c r="AT5" s="189">
        <v>947013822.67999995</v>
      </c>
      <c r="AU5" s="189">
        <v>611840186.25999999</v>
      </c>
      <c r="AV5" s="189">
        <v>269980522.58999997</v>
      </c>
      <c r="AW5" s="189">
        <v>1204725887.3199999</v>
      </c>
      <c r="AX5" s="189">
        <v>962951387.10000002</v>
      </c>
      <c r="AY5" s="189">
        <v>597117167.48000002</v>
      </c>
      <c r="AZ5" s="189">
        <v>256410377.24000001</v>
      </c>
      <c r="BA5" s="189">
        <v>1178868883.04</v>
      </c>
      <c r="BB5" s="189">
        <v>936172938.35000002</v>
      </c>
      <c r="BC5" s="189">
        <v>584316729.75999999</v>
      </c>
      <c r="BD5" s="189">
        <v>231227648.68000001</v>
      </c>
      <c r="BE5" s="189">
        <v>1011576898.9299999</v>
      </c>
      <c r="BF5" s="189">
        <v>770915558.69000006</v>
      </c>
      <c r="BG5" s="189">
        <v>461976639.87</v>
      </c>
      <c r="BH5" s="189">
        <v>162602074.06999999</v>
      </c>
      <c r="BI5" s="189">
        <v>886419074.60000002</v>
      </c>
      <c r="BJ5" s="189">
        <v>678874036.90999997</v>
      </c>
      <c r="BK5" s="189">
        <v>436111523.74000001</v>
      </c>
      <c r="BL5" s="189">
        <v>135293823.31999999</v>
      </c>
      <c r="BM5" s="189">
        <v>813612864.95000005</v>
      </c>
      <c r="BN5" s="189">
        <v>622844547.99000001</v>
      </c>
      <c r="BO5" s="189">
        <v>416238818.20999998</v>
      </c>
      <c r="BP5" s="189">
        <v>127007375.92</v>
      </c>
      <c r="BQ5" s="189">
        <v>806010835.77999997</v>
      </c>
      <c r="BR5" s="189">
        <v>396734690.39999998</v>
      </c>
      <c r="BS5" s="189">
        <v>745112400.61000001</v>
      </c>
      <c r="BT5" s="189">
        <v>684553298.67999995</v>
      </c>
      <c r="BU5" s="189">
        <v>614343901.25999999</v>
      </c>
      <c r="BV5" s="189">
        <v>507100280.88999999</v>
      </c>
      <c r="BW5" s="189">
        <v>0</v>
      </c>
      <c r="BX5" s="189"/>
      <c r="BY5" s="189"/>
      <c r="BZ5" s="189"/>
      <c r="CA5" s="189"/>
      <c r="CB5" s="189"/>
      <c r="CC5" s="189"/>
      <c r="CD5" s="189"/>
      <c r="CE5" s="189"/>
      <c r="CF5" s="189"/>
      <c r="CG5" s="189"/>
      <c r="CH5" s="189"/>
      <c r="CI5" s="189"/>
      <c r="CJ5" s="189"/>
      <c r="CK5" s="189"/>
    </row>
    <row r="6" spans="1:89" s="3" customFormat="1" x14ac:dyDescent="0.25">
      <c r="A6" s="20" t="s">
        <v>386</v>
      </c>
      <c r="B6" s="27">
        <f>B4-B5</f>
        <v>3403469113.98</v>
      </c>
      <c r="C6" s="27">
        <f t="shared" ref="C6:BN6" si="0">C4-C5</f>
        <v>2367740739.6800003</v>
      </c>
      <c r="D6" s="27">
        <f t="shared" si="0"/>
        <v>1241265306.6500001</v>
      </c>
      <c r="E6" s="27">
        <f t="shared" si="0"/>
        <v>4212676177.8400002</v>
      </c>
      <c r="F6" s="27">
        <f t="shared" si="0"/>
        <v>2705333439.0600004</v>
      </c>
      <c r="G6" s="27">
        <f t="shared" si="0"/>
        <v>1854106610.5300002</v>
      </c>
      <c r="H6" s="27">
        <f t="shared" si="0"/>
        <v>969794266.71000004</v>
      </c>
      <c r="I6" s="27">
        <f t="shared" si="0"/>
        <v>3259803733.8099995</v>
      </c>
      <c r="J6" s="27">
        <f t="shared" si="0"/>
        <v>2614377511.3899999</v>
      </c>
      <c r="K6" s="27">
        <f t="shared" si="0"/>
        <v>1865679580.6299999</v>
      </c>
      <c r="L6" s="27">
        <f t="shared" si="0"/>
        <v>923115966.79999995</v>
      </c>
      <c r="M6" s="27">
        <f t="shared" si="0"/>
        <v>3459556825.0100002</v>
      </c>
      <c r="N6" s="27">
        <f t="shared" si="0"/>
        <v>2773251799.27</v>
      </c>
      <c r="O6" s="27">
        <f t="shared" si="0"/>
        <v>1951484665.47</v>
      </c>
      <c r="P6" s="27">
        <f t="shared" si="0"/>
        <v>972047418.73999989</v>
      </c>
      <c r="Q6" s="27">
        <f t="shared" si="0"/>
        <v>3297667728.3200006</v>
      </c>
      <c r="R6" s="27">
        <f t="shared" si="0"/>
        <v>2580468732.9800005</v>
      </c>
      <c r="S6" s="27">
        <f t="shared" si="0"/>
        <v>1790981149.0400002</v>
      </c>
      <c r="T6" s="27">
        <f t="shared" si="0"/>
        <v>854341055.16000009</v>
      </c>
      <c r="U6" s="27">
        <f t="shared" si="0"/>
        <v>2813314441.8100004</v>
      </c>
      <c r="V6" s="27">
        <f t="shared" si="0"/>
        <v>2266299100.1700001</v>
      </c>
      <c r="W6" s="27">
        <f t="shared" si="0"/>
        <v>1575887786.1899998</v>
      </c>
      <c r="X6" s="27">
        <f t="shared" si="0"/>
        <v>749260546.08000004</v>
      </c>
      <c r="Y6" s="27">
        <f t="shared" si="0"/>
        <v>2477838280.4899998</v>
      </c>
      <c r="Z6" s="27">
        <f t="shared" si="0"/>
        <v>1939891959.4699998</v>
      </c>
      <c r="AA6" s="27">
        <f t="shared" si="0"/>
        <v>1271509279.8999999</v>
      </c>
      <c r="AB6" s="27">
        <f t="shared" si="0"/>
        <v>526539639.55000001</v>
      </c>
      <c r="AC6" s="27">
        <f t="shared" si="0"/>
        <v>2057316708.8699999</v>
      </c>
      <c r="AD6" s="27">
        <f t="shared" si="0"/>
        <v>1571345285.3399999</v>
      </c>
      <c r="AE6" s="27">
        <f t="shared" si="0"/>
        <v>1034885822.7200001</v>
      </c>
      <c r="AF6" s="27">
        <f t="shared" si="0"/>
        <v>417084388.70000005</v>
      </c>
      <c r="AG6" s="27">
        <f t="shared" si="0"/>
        <v>1695239555.7400002</v>
      </c>
      <c r="AH6" s="27">
        <f t="shared" si="0"/>
        <v>1294305083.3499997</v>
      </c>
      <c r="AI6" s="27">
        <f t="shared" si="0"/>
        <v>829480680.42999995</v>
      </c>
      <c r="AJ6" s="27">
        <f t="shared" si="0"/>
        <v>325366000.31</v>
      </c>
      <c r="AK6" s="27">
        <f t="shared" si="0"/>
        <v>1482325896.0200002</v>
      </c>
      <c r="AL6" s="27">
        <f t="shared" si="0"/>
        <v>1163272612.1199999</v>
      </c>
      <c r="AM6" s="27">
        <f t="shared" si="0"/>
        <v>745221529.55999994</v>
      </c>
      <c r="AN6" s="27">
        <f t="shared" si="0"/>
        <v>271114400.25999999</v>
      </c>
      <c r="AO6" s="27">
        <f t="shared" si="0"/>
        <v>1282358034.8900001</v>
      </c>
      <c r="AP6" s="27">
        <f t="shared" si="0"/>
        <v>1029496767.4899999</v>
      </c>
      <c r="AQ6" s="27">
        <f t="shared" si="0"/>
        <v>698555742.07000005</v>
      </c>
      <c r="AR6" s="27">
        <f t="shared" si="0"/>
        <v>244916131.62</v>
      </c>
      <c r="AS6" s="27">
        <f t="shared" si="0"/>
        <v>1033357959.8800001</v>
      </c>
      <c r="AT6" s="27">
        <f t="shared" si="0"/>
        <v>832969156.04000008</v>
      </c>
      <c r="AU6" s="27">
        <f t="shared" si="0"/>
        <v>550145434.53999996</v>
      </c>
      <c r="AV6" s="27">
        <f t="shared" si="0"/>
        <v>205711341.86000001</v>
      </c>
      <c r="AW6" s="27">
        <f t="shared" si="0"/>
        <v>954408578.02999997</v>
      </c>
      <c r="AX6" s="27">
        <f t="shared" si="0"/>
        <v>783116473.44999993</v>
      </c>
      <c r="AY6" s="27">
        <f t="shared" si="0"/>
        <v>499188962</v>
      </c>
      <c r="AZ6" s="27">
        <f t="shared" si="0"/>
        <v>191392442.69</v>
      </c>
      <c r="BA6" s="27">
        <f t="shared" si="0"/>
        <v>770001165.51999998</v>
      </c>
      <c r="BB6" s="27">
        <f t="shared" si="0"/>
        <v>605307377.7299999</v>
      </c>
      <c r="BC6" s="27">
        <f t="shared" si="0"/>
        <v>385489238.40999997</v>
      </c>
      <c r="BD6" s="27">
        <f t="shared" si="0"/>
        <v>151350735.68000001</v>
      </c>
      <c r="BE6" s="27">
        <f t="shared" si="0"/>
        <v>657380623.43999994</v>
      </c>
      <c r="BF6" s="27">
        <f t="shared" si="0"/>
        <v>514584703.73000002</v>
      </c>
      <c r="BG6" s="27">
        <f t="shared" si="0"/>
        <v>312379164.74000001</v>
      </c>
      <c r="BH6" s="27">
        <f t="shared" si="0"/>
        <v>123581584.42000002</v>
      </c>
      <c r="BI6" s="27">
        <f t="shared" si="0"/>
        <v>599957321.95999992</v>
      </c>
      <c r="BJ6" s="27">
        <f t="shared" si="0"/>
        <v>462964198.29000008</v>
      </c>
      <c r="BK6" s="27">
        <f t="shared" si="0"/>
        <v>300012717.72000003</v>
      </c>
      <c r="BL6" s="27">
        <f t="shared" si="0"/>
        <v>92831451.879999995</v>
      </c>
      <c r="BM6" s="27">
        <f t="shared" si="0"/>
        <v>550271699.25</v>
      </c>
      <c r="BN6" s="27">
        <f t="shared" si="0"/>
        <v>417969506.49000001</v>
      </c>
      <c r="BO6" s="27">
        <f t="shared" ref="BO6:CK6" si="1">BO4-BO5</f>
        <v>270033437.81</v>
      </c>
      <c r="BP6" s="27">
        <f t="shared" si="1"/>
        <v>96225313.739999995</v>
      </c>
      <c r="BQ6" s="27">
        <f t="shared" si="1"/>
        <v>499842223.46000004</v>
      </c>
      <c r="BR6" s="27">
        <f t="shared" si="1"/>
        <v>242162529.04000008</v>
      </c>
      <c r="BS6" s="27">
        <f t="shared" si="1"/>
        <v>442105077.70999992</v>
      </c>
      <c r="BT6" s="27">
        <f t="shared" si="1"/>
        <v>398312473.61000001</v>
      </c>
      <c r="BU6" s="27">
        <f t="shared" si="1"/>
        <v>367665589.99000001</v>
      </c>
      <c r="BV6" s="27">
        <f t="shared" si="1"/>
        <v>392668008.75</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62.792405928159965</v>
      </c>
      <c r="C7" s="57">
        <f t="shared" ref="C7:D7" si="2">C6/C4*100</f>
        <v>64.600776581408113</v>
      </c>
      <c r="D7" s="57">
        <f t="shared" si="2"/>
        <v>66.724029146407688</v>
      </c>
      <c r="E7" s="57">
        <f>E6/E4</f>
        <v>0.64927810075360026</v>
      </c>
      <c r="F7" s="57">
        <f t="shared" ref="F7:BQ7" si="3">F6/F4</f>
        <v>0.69464396054516642</v>
      </c>
      <c r="G7" s="57">
        <f t="shared" si="3"/>
        <v>0.69916657073202038</v>
      </c>
      <c r="H7" s="57">
        <f t="shared" si="3"/>
        <v>0.72363754214774556</v>
      </c>
      <c r="I7" s="57">
        <f t="shared" si="3"/>
        <v>0.61260708123569074</v>
      </c>
      <c r="J7" s="57">
        <f t="shared" si="3"/>
        <v>0.60971717426327909</v>
      </c>
      <c r="K7" s="57">
        <f t="shared" si="3"/>
        <v>0.60855948651727831</v>
      </c>
      <c r="L7" s="57">
        <f t="shared" si="3"/>
        <v>0.59899923753849982</v>
      </c>
      <c r="M7" s="57">
        <f t="shared" si="3"/>
        <v>0.59179550572466144</v>
      </c>
      <c r="N7" s="57">
        <f t="shared" si="3"/>
        <v>0.60058797010261211</v>
      </c>
      <c r="O7" s="57">
        <f t="shared" si="3"/>
        <v>0.60698304209165643</v>
      </c>
      <c r="P7" s="57">
        <f t="shared" si="3"/>
        <v>0.60947333598885189</v>
      </c>
      <c r="Q7" s="57">
        <f t="shared" si="3"/>
        <v>0.61815901104149651</v>
      </c>
      <c r="R7" s="57">
        <f t="shared" si="3"/>
        <v>0.61907491045283203</v>
      </c>
      <c r="S7" s="57">
        <f t="shared" si="3"/>
        <v>0.63523957318805413</v>
      </c>
      <c r="T7" s="57">
        <f t="shared" si="3"/>
        <v>0.6348668108494635</v>
      </c>
      <c r="U7" s="57">
        <f t="shared" si="3"/>
        <v>0.62958758431560502</v>
      </c>
      <c r="V7" s="57">
        <f t="shared" si="3"/>
        <v>0.56482896209336375</v>
      </c>
      <c r="W7" s="57">
        <f t="shared" si="3"/>
        <v>0.57374003701833576</v>
      </c>
      <c r="X7" s="57">
        <f t="shared" si="3"/>
        <v>0.56546836557894187</v>
      </c>
      <c r="Y7" s="57">
        <f t="shared" si="3"/>
        <v>0.55012674316819221</v>
      </c>
      <c r="Z7" s="57">
        <f t="shared" si="3"/>
        <v>0.54787985606074074</v>
      </c>
      <c r="AA7" s="57">
        <f t="shared" si="3"/>
        <v>0.54359126652630974</v>
      </c>
      <c r="AB7" s="57">
        <f t="shared" si="3"/>
        <v>0.4991211323408018</v>
      </c>
      <c r="AC7" s="57">
        <f t="shared" si="3"/>
        <v>0.57521454973917641</v>
      </c>
      <c r="AD7" s="57">
        <f t="shared" si="3"/>
        <v>0.5481245895625696</v>
      </c>
      <c r="AE7" s="57">
        <f t="shared" si="3"/>
        <v>0.53839686407661369</v>
      </c>
      <c r="AF7" s="57">
        <f t="shared" si="3"/>
        <v>0.49441935100438145</v>
      </c>
      <c r="AG7" s="57">
        <f t="shared" si="3"/>
        <v>0.54791962408212191</v>
      </c>
      <c r="AH7" s="57">
        <f t="shared" si="3"/>
        <v>0.53265515878282421</v>
      </c>
      <c r="AI7" s="57">
        <f t="shared" si="3"/>
        <v>0.52593190048657068</v>
      </c>
      <c r="AJ7" s="57">
        <f t="shared" si="3"/>
        <v>0.48713778751441605</v>
      </c>
      <c r="AK7" s="57">
        <f t="shared" si="3"/>
        <v>0.5495967774515379</v>
      </c>
      <c r="AL7" s="57">
        <f t="shared" si="3"/>
        <v>0.53323347005426314</v>
      </c>
      <c r="AM7" s="57">
        <f t="shared" si="3"/>
        <v>0.52303443768724356</v>
      </c>
      <c r="AN7" s="57">
        <f t="shared" si="3"/>
        <v>0.46553107322045401</v>
      </c>
      <c r="AO7" s="57">
        <f t="shared" si="3"/>
        <v>0.51428074140002478</v>
      </c>
      <c r="AP7" s="57">
        <f t="shared" si="3"/>
        <v>0.49074576577044304</v>
      </c>
      <c r="AQ7" s="57">
        <f t="shared" si="3"/>
        <v>0.50450859418978378</v>
      </c>
      <c r="AR7" s="57">
        <f t="shared" si="3"/>
        <v>0.46549983385726934</v>
      </c>
      <c r="AS7" s="57">
        <f t="shared" si="3"/>
        <v>0.45707645571153682</v>
      </c>
      <c r="AT7" s="57">
        <f t="shared" si="3"/>
        <v>0.46796467494256311</v>
      </c>
      <c r="AU7" s="57">
        <f t="shared" si="3"/>
        <v>0.47345287643167022</v>
      </c>
      <c r="AV7" s="57">
        <f t="shared" si="3"/>
        <v>0.4324466261323297</v>
      </c>
      <c r="AW7" s="57">
        <f t="shared" si="3"/>
        <v>0.44203295040046914</v>
      </c>
      <c r="AX7" s="57">
        <f t="shared" si="3"/>
        <v>0.4485028853364974</v>
      </c>
      <c r="AY7" s="57">
        <f t="shared" si="3"/>
        <v>0.45533719877747592</v>
      </c>
      <c r="AZ7" s="57">
        <f t="shared" si="3"/>
        <v>0.42740338866092498</v>
      </c>
      <c r="BA7" s="57">
        <f t="shared" si="3"/>
        <v>0.39510133889581089</v>
      </c>
      <c r="BB7" s="57">
        <f t="shared" si="3"/>
        <v>0.39267927810411662</v>
      </c>
      <c r="BC7" s="57">
        <f t="shared" si="3"/>
        <v>0.39749109725258619</v>
      </c>
      <c r="BD7" s="57">
        <f t="shared" si="3"/>
        <v>0.39560712749934518</v>
      </c>
      <c r="BE7" s="57">
        <f t="shared" si="3"/>
        <v>0.39388697113542342</v>
      </c>
      <c r="BF7" s="57">
        <f t="shared" si="3"/>
        <v>0.40029918217307553</v>
      </c>
      <c r="BG7" s="57">
        <f t="shared" si="3"/>
        <v>0.40340520840717148</v>
      </c>
      <c r="BH7" s="57">
        <f t="shared" si="3"/>
        <v>0.43182613945204795</v>
      </c>
      <c r="BI7" s="57">
        <f t="shared" si="3"/>
        <v>0.40363754655181089</v>
      </c>
      <c r="BJ7" s="57">
        <f t="shared" si="3"/>
        <v>0.40545515469527871</v>
      </c>
      <c r="BK7" s="57">
        <f t="shared" si="3"/>
        <v>0.40755717693112042</v>
      </c>
      <c r="BL7" s="57">
        <f t="shared" si="3"/>
        <v>0.40693190089793257</v>
      </c>
      <c r="BM7" s="57">
        <f t="shared" si="3"/>
        <v>0.4034591443395118</v>
      </c>
      <c r="BN7" s="57">
        <f t="shared" si="3"/>
        <v>0.4015794220792121</v>
      </c>
      <c r="BO7" s="57">
        <f t="shared" si="3"/>
        <v>0.39347858731175406</v>
      </c>
      <c r="BP7" s="57">
        <f t="shared" si="3"/>
        <v>0.43105386530332235</v>
      </c>
      <c r="BQ7" s="57">
        <f t="shared" si="3"/>
        <v>0.38277064936456612</v>
      </c>
      <c r="BR7" s="57">
        <f t="shared" ref="BR7:CK7" si="4">BR6/BR4</f>
        <v>0.37903205972982323</v>
      </c>
      <c r="BS7" s="57">
        <f t="shared" si="4"/>
        <v>0.372387608659208</v>
      </c>
      <c r="BT7" s="57">
        <f t="shared" si="4"/>
        <v>0.3678318068615884</v>
      </c>
      <c r="BU7" s="57">
        <f t="shared" si="4"/>
        <v>0.37440125911817657</v>
      </c>
      <c r="BV7" s="57">
        <f t="shared" si="4"/>
        <v>0.4364101438906095</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37597086.119999997</v>
      </c>
      <c r="C8" s="189">
        <v>28402386.030000001</v>
      </c>
      <c r="D8" s="189">
        <v>16625079.82</v>
      </c>
      <c r="E8" s="189">
        <v>57631247.090000004</v>
      </c>
      <c r="F8" s="189">
        <v>40695499.689999998</v>
      </c>
      <c r="G8" s="189">
        <v>27560181.59</v>
      </c>
      <c r="H8" s="189">
        <v>15002220.710000001</v>
      </c>
      <c r="I8" s="189">
        <v>54876964.950000003</v>
      </c>
      <c r="J8" s="189">
        <v>39067898.759999998</v>
      </c>
      <c r="K8" s="189">
        <v>28660758.109999999</v>
      </c>
      <c r="L8" s="189">
        <v>14162463.960000001</v>
      </c>
      <c r="M8" s="189">
        <v>53271692.960000001</v>
      </c>
      <c r="N8" s="189">
        <v>39032129.200000003</v>
      </c>
      <c r="O8" s="189">
        <v>26720531.32</v>
      </c>
      <c r="P8" s="189">
        <v>12397289.550000001</v>
      </c>
      <c r="Q8" s="189">
        <v>49016624.950000003</v>
      </c>
      <c r="R8" s="189">
        <v>36938026.619999997</v>
      </c>
      <c r="S8" s="189">
        <v>25580343.379999999</v>
      </c>
      <c r="T8" s="189">
        <v>13484998.689999999</v>
      </c>
      <c r="U8" s="189">
        <v>42391244.020000003</v>
      </c>
      <c r="V8" s="189">
        <v>32973704.579999998</v>
      </c>
      <c r="W8" s="189">
        <v>23220510.48</v>
      </c>
      <c r="X8" s="189">
        <v>10855615.199999999</v>
      </c>
      <c r="Y8" s="189">
        <v>42712762.039999999</v>
      </c>
      <c r="Z8" s="189">
        <v>32243777.530000001</v>
      </c>
      <c r="AA8" s="189">
        <v>21627404.109999999</v>
      </c>
      <c r="AB8" s="189">
        <v>9982834.8900000006</v>
      </c>
      <c r="AC8" s="189">
        <v>37305340.57</v>
      </c>
      <c r="AD8" s="189">
        <v>28815053.899999999</v>
      </c>
      <c r="AE8" s="189">
        <v>19917063.800000001</v>
      </c>
      <c r="AF8" s="189">
        <v>8951172.3200000003</v>
      </c>
      <c r="AG8" s="189">
        <v>24898578.940000001</v>
      </c>
      <c r="AH8" s="189">
        <v>19135700.510000002</v>
      </c>
      <c r="AI8" s="189">
        <v>13190818.609999999</v>
      </c>
      <c r="AJ8" s="189">
        <v>5680096.5499999998</v>
      </c>
      <c r="AK8" s="189">
        <v>24131689.260000002</v>
      </c>
      <c r="AL8" s="189">
        <v>19607593.059999999</v>
      </c>
      <c r="AM8" s="189">
        <v>13508124.689999999</v>
      </c>
      <c r="AN8" s="189">
        <v>5270095.57</v>
      </c>
      <c r="AO8" s="189">
        <v>26137711.710000001</v>
      </c>
      <c r="AP8" s="189">
        <v>21600078.949999999</v>
      </c>
      <c r="AQ8" s="189">
        <v>14157745.9</v>
      </c>
      <c r="AR8" s="189">
        <v>6272272.1900000004</v>
      </c>
      <c r="AS8" s="189">
        <v>19311737.25</v>
      </c>
      <c r="AT8" s="189">
        <v>14822084.77</v>
      </c>
      <c r="AU8" s="189">
        <v>8949459.5399999991</v>
      </c>
      <c r="AV8" s="189">
        <v>3697421.15</v>
      </c>
      <c r="AW8" s="189">
        <v>21317311.010000002</v>
      </c>
      <c r="AX8" s="189">
        <v>17881438.190000001</v>
      </c>
      <c r="AY8" s="189">
        <v>13268491</v>
      </c>
      <c r="AZ8" s="189">
        <v>9252617.6999999993</v>
      </c>
      <c r="BA8" s="189">
        <v>38234251.119999997</v>
      </c>
      <c r="BB8" s="189">
        <v>29892040.010000002</v>
      </c>
      <c r="BC8" s="189">
        <v>19869030.59</v>
      </c>
      <c r="BD8" s="189">
        <v>6311405.9299999997</v>
      </c>
      <c r="BE8" s="189">
        <v>34714682.539999999</v>
      </c>
      <c r="BF8" s="189">
        <v>26974898.289999999</v>
      </c>
      <c r="BG8" s="189">
        <v>17093531.870000001</v>
      </c>
      <c r="BH8" s="189">
        <v>7311398.4100000001</v>
      </c>
      <c r="BI8" s="189">
        <v>31680543.07</v>
      </c>
      <c r="BJ8" s="189">
        <v>24007668.27</v>
      </c>
      <c r="BK8" s="189">
        <v>15994048.609999999</v>
      </c>
      <c r="BL8" s="189">
        <v>5594164.9100000001</v>
      </c>
      <c r="BM8" s="189">
        <v>34640288.57</v>
      </c>
      <c r="BN8" s="189">
        <v>25653875.440000001</v>
      </c>
      <c r="BO8" s="189">
        <v>16083630.449999999</v>
      </c>
      <c r="BP8" s="189">
        <v>6834317.6399999997</v>
      </c>
      <c r="BQ8" s="189">
        <v>30470571.870000001</v>
      </c>
      <c r="BR8" s="189">
        <v>13894448.5</v>
      </c>
      <c r="BS8" s="189">
        <v>27050067.059999999</v>
      </c>
      <c r="BT8" s="189">
        <v>19777621.059999999</v>
      </c>
      <c r="BU8" s="189">
        <v>25906031.09</v>
      </c>
      <c r="BV8" s="189">
        <v>29190402.43</v>
      </c>
      <c r="BW8" s="189">
        <v>0</v>
      </c>
      <c r="BX8" s="189"/>
      <c r="BY8" s="189"/>
      <c r="BZ8" s="189"/>
      <c r="CA8" s="189"/>
      <c r="CB8" s="189"/>
      <c r="CC8" s="189"/>
      <c r="CD8" s="189"/>
      <c r="CE8" s="189"/>
      <c r="CF8" s="189"/>
      <c r="CG8" s="189"/>
      <c r="CH8" s="189"/>
      <c r="CI8" s="189"/>
      <c r="CJ8" s="189"/>
      <c r="CK8" s="189"/>
    </row>
    <row r="9" spans="1:89" x14ac:dyDescent="0.25">
      <c r="A9" s="17" t="s">
        <v>389</v>
      </c>
      <c r="B9" s="189">
        <v>2268375535.3000002</v>
      </c>
      <c r="C9" s="189">
        <v>1607473370.3299999</v>
      </c>
      <c r="D9" s="189">
        <v>818079509.74000001</v>
      </c>
      <c r="E9" s="189">
        <v>2778065991.1100001</v>
      </c>
      <c r="F9" s="189">
        <v>1875297848.8900001</v>
      </c>
      <c r="G9" s="189">
        <v>1295889672.6900001</v>
      </c>
      <c r="H9" s="189">
        <v>706730088.50999999</v>
      </c>
      <c r="I9" s="189">
        <v>2384214186.8200002</v>
      </c>
      <c r="J9" s="189">
        <v>1661155606.9100001</v>
      </c>
      <c r="K9" s="189">
        <v>1155967860.71</v>
      </c>
      <c r="L9" s="189">
        <v>631962452.01999998</v>
      </c>
      <c r="M9" s="189">
        <v>2034998469.6900001</v>
      </c>
      <c r="N9" s="189">
        <v>1574003241.1600001</v>
      </c>
      <c r="O9" s="189">
        <v>1017477417.76</v>
      </c>
      <c r="P9" s="189">
        <v>667823715.38999999</v>
      </c>
      <c r="Q9" s="189">
        <v>1747278260.3199999</v>
      </c>
      <c r="R9" s="189">
        <v>1395129285.1500001</v>
      </c>
      <c r="S9" s="189">
        <v>894848752.08000004</v>
      </c>
      <c r="T9" s="189">
        <v>547664695.61000001</v>
      </c>
      <c r="U9" s="189">
        <v>1438307206.55</v>
      </c>
      <c r="V9" s="189">
        <v>1182353561.9300001</v>
      </c>
      <c r="W9" s="189">
        <v>727343712.22000003</v>
      </c>
      <c r="X9" s="189">
        <v>459726534.89999998</v>
      </c>
      <c r="Y9" s="189">
        <v>1395073220.5699999</v>
      </c>
      <c r="Z9" s="189">
        <v>1120207259.3800001</v>
      </c>
      <c r="AA9" s="189">
        <v>705415262.29999995</v>
      </c>
      <c r="AB9" s="189">
        <v>337397055.14999998</v>
      </c>
      <c r="AC9" s="189">
        <v>1283194817.6300001</v>
      </c>
      <c r="AD9" s="189">
        <v>1028410742.29</v>
      </c>
      <c r="AE9" s="189">
        <v>649123569.12</v>
      </c>
      <c r="AF9" s="189">
        <v>269648723.47000003</v>
      </c>
      <c r="AG9" s="189">
        <v>1076041149.3299999</v>
      </c>
      <c r="AH9" s="189">
        <v>866458368.76999998</v>
      </c>
      <c r="AI9" s="189">
        <v>522477061.02999997</v>
      </c>
      <c r="AJ9" s="189">
        <v>203903451.74000001</v>
      </c>
      <c r="AK9" s="189">
        <v>818990007.95000005</v>
      </c>
      <c r="AL9" s="189">
        <v>728187846.59000003</v>
      </c>
      <c r="AM9" s="189">
        <v>430395928.45999998</v>
      </c>
      <c r="AN9" s="189">
        <v>158771464.91999999</v>
      </c>
      <c r="AO9" s="189">
        <v>758888567.30999994</v>
      </c>
      <c r="AP9" s="189">
        <v>592271100.03999996</v>
      </c>
      <c r="AQ9" s="189">
        <v>388294205.88</v>
      </c>
      <c r="AR9" s="189">
        <v>133450087.68000001</v>
      </c>
      <c r="AS9" s="189">
        <v>599626161.64999998</v>
      </c>
      <c r="AT9" s="189">
        <v>513167609.55000001</v>
      </c>
      <c r="AU9" s="189">
        <v>319151835.13999999</v>
      </c>
      <c r="AV9" s="189">
        <v>110600964.11</v>
      </c>
      <c r="AW9" s="189">
        <v>559905648.10000002</v>
      </c>
      <c r="AX9" s="189">
        <v>492837895.23000002</v>
      </c>
      <c r="AY9" s="189">
        <v>312647475.35000002</v>
      </c>
      <c r="AZ9" s="189">
        <v>102642756.54000001</v>
      </c>
      <c r="BA9" s="189">
        <v>477646870.35000002</v>
      </c>
      <c r="BB9" s="189">
        <v>354316129.05000001</v>
      </c>
      <c r="BC9" s="189">
        <v>223205696.31</v>
      </c>
      <c r="BD9" s="189">
        <v>83902892.150000006</v>
      </c>
      <c r="BE9" s="189">
        <v>375851298.36000001</v>
      </c>
      <c r="BF9" s="189">
        <v>264241262.43000001</v>
      </c>
      <c r="BG9" s="189">
        <v>154601101.72999999</v>
      </c>
      <c r="BH9" s="189">
        <v>61933351.310000002</v>
      </c>
      <c r="BI9" s="189">
        <v>327390198.94</v>
      </c>
      <c r="BJ9" s="189">
        <v>230515852.44</v>
      </c>
      <c r="BK9" s="189">
        <v>149856564.33000001</v>
      </c>
      <c r="BL9" s="189">
        <v>49797596.770000003</v>
      </c>
      <c r="BM9" s="189">
        <v>281034821.10000002</v>
      </c>
      <c r="BN9" s="189">
        <v>201595738.36000001</v>
      </c>
      <c r="BO9" s="189">
        <v>127626346.87</v>
      </c>
      <c r="BP9" s="189">
        <v>50893780.240000002</v>
      </c>
      <c r="BQ9" s="189">
        <v>243708385.56999999</v>
      </c>
      <c r="BR9" s="189">
        <v>109564117.09999999</v>
      </c>
      <c r="BS9" s="189">
        <v>202884690.81999999</v>
      </c>
      <c r="BT9" s="189">
        <v>193919735.22999999</v>
      </c>
      <c r="BU9" s="189">
        <v>163410738.56999999</v>
      </c>
      <c r="BV9" s="189">
        <v>163881237.71000001</v>
      </c>
      <c r="BW9" s="189">
        <v>0</v>
      </c>
      <c r="BX9" s="189"/>
      <c r="BY9" s="189"/>
      <c r="BZ9" s="189"/>
      <c r="CA9" s="189"/>
      <c r="CB9" s="189"/>
      <c r="CC9" s="189"/>
      <c r="CD9" s="189"/>
      <c r="CE9" s="189"/>
      <c r="CF9" s="189"/>
      <c r="CG9" s="189"/>
      <c r="CH9" s="189"/>
      <c r="CI9" s="189"/>
      <c r="CJ9" s="189"/>
      <c r="CK9" s="189"/>
    </row>
    <row r="10" spans="1:89" x14ac:dyDescent="0.25">
      <c r="A10" s="17" t="s">
        <v>390</v>
      </c>
      <c r="B10" s="189">
        <v>640837848.47000003</v>
      </c>
      <c r="C10" s="189">
        <v>491189183.36000001</v>
      </c>
      <c r="D10" s="189">
        <v>256844705.72999999</v>
      </c>
      <c r="E10" s="189">
        <v>1003691077.95</v>
      </c>
      <c r="F10" s="189">
        <v>497681651.75</v>
      </c>
      <c r="G10" s="189">
        <v>324774256.07999998</v>
      </c>
      <c r="H10" s="189">
        <v>152028105.13999999</v>
      </c>
      <c r="I10" s="189">
        <v>647196144.54999995</v>
      </c>
      <c r="J10" s="189">
        <v>450662144.95999998</v>
      </c>
      <c r="K10" s="189">
        <v>296989810.05000001</v>
      </c>
      <c r="L10" s="189">
        <v>141564699.69</v>
      </c>
      <c r="M10" s="189">
        <v>604774459.76999998</v>
      </c>
      <c r="N10" s="189">
        <v>401102970.16000003</v>
      </c>
      <c r="O10" s="189">
        <v>264256600.13999999</v>
      </c>
      <c r="P10" s="189">
        <v>117978193.59999999</v>
      </c>
      <c r="Q10" s="189">
        <v>611824015.36000001</v>
      </c>
      <c r="R10" s="189">
        <v>401885687.93000001</v>
      </c>
      <c r="S10" s="189">
        <v>274193719.16000003</v>
      </c>
      <c r="T10" s="189">
        <v>150386571.44999999</v>
      </c>
      <c r="U10" s="189">
        <v>572366023.16999996</v>
      </c>
      <c r="V10" s="189">
        <v>406171144.13</v>
      </c>
      <c r="W10" s="189">
        <v>290064445.01999998</v>
      </c>
      <c r="X10" s="189">
        <v>161774246.66999999</v>
      </c>
      <c r="Y10" s="189">
        <v>502759913.19999999</v>
      </c>
      <c r="Z10" s="189">
        <v>326590893.66000003</v>
      </c>
      <c r="AA10" s="189">
        <v>187904064.43000001</v>
      </c>
      <c r="AB10" s="189">
        <v>92791249.519999996</v>
      </c>
      <c r="AC10" s="189">
        <v>393324923.93000001</v>
      </c>
      <c r="AD10" s="189">
        <v>240112770.53</v>
      </c>
      <c r="AE10" s="189">
        <v>155539518.38</v>
      </c>
      <c r="AF10" s="189">
        <v>80692131.560000002</v>
      </c>
      <c r="AG10" s="189">
        <v>301433154.27999997</v>
      </c>
      <c r="AH10" s="189">
        <v>212428691.47999999</v>
      </c>
      <c r="AI10" s="189">
        <v>138695131.99000001</v>
      </c>
      <c r="AJ10" s="189">
        <v>73281148.170000002</v>
      </c>
      <c r="AK10" s="189">
        <v>314683115.16000003</v>
      </c>
      <c r="AL10" s="189">
        <v>211774044.63999999</v>
      </c>
      <c r="AM10" s="189">
        <v>141575646.06</v>
      </c>
      <c r="AN10" s="189">
        <v>71988519.480000004</v>
      </c>
      <c r="AO10" s="189">
        <v>268449382.42000002</v>
      </c>
      <c r="AP10" s="189">
        <v>193018421.96000001</v>
      </c>
      <c r="AQ10" s="189">
        <v>129188367.98</v>
      </c>
      <c r="AR10" s="189">
        <v>65217903.090000004</v>
      </c>
      <c r="AS10" s="189">
        <v>222983537.19999999</v>
      </c>
      <c r="AT10" s="189">
        <v>151656388.49000001</v>
      </c>
      <c r="AU10" s="189">
        <v>98693882.849999994</v>
      </c>
      <c r="AV10" s="189">
        <v>50622277.539999999</v>
      </c>
      <c r="AW10" s="189">
        <v>221336976.97</v>
      </c>
      <c r="AX10" s="189">
        <v>169369286.53</v>
      </c>
      <c r="AY10" s="189">
        <v>104977869.40000001</v>
      </c>
      <c r="AZ10" s="189">
        <v>52737577.25</v>
      </c>
      <c r="BA10" s="189">
        <v>206139122.38</v>
      </c>
      <c r="BB10" s="189">
        <v>165694892.28999999</v>
      </c>
      <c r="BC10" s="189">
        <v>106565794.78</v>
      </c>
      <c r="BD10" s="189">
        <v>49481383.380000003</v>
      </c>
      <c r="BE10" s="189">
        <v>182952843.63</v>
      </c>
      <c r="BF10" s="189">
        <v>142699468.62</v>
      </c>
      <c r="BG10" s="189">
        <v>86949708.040000007</v>
      </c>
      <c r="BH10" s="189">
        <v>39159524.25</v>
      </c>
      <c r="BI10" s="189">
        <v>154767759.16999999</v>
      </c>
      <c r="BJ10" s="189">
        <v>120323654.14</v>
      </c>
      <c r="BK10" s="189">
        <v>75323159.329999998</v>
      </c>
      <c r="BL10" s="189">
        <v>29057854.199999999</v>
      </c>
      <c r="BM10" s="189">
        <v>167888786.83000001</v>
      </c>
      <c r="BN10" s="189">
        <v>116453950.64</v>
      </c>
      <c r="BO10" s="189">
        <v>76322327.260000005</v>
      </c>
      <c r="BP10" s="189">
        <v>26146654.390000001</v>
      </c>
      <c r="BQ10" s="189">
        <v>136925890.11000001</v>
      </c>
      <c r="BR10" s="189">
        <v>70250054.329999998</v>
      </c>
      <c r="BS10" s="189">
        <v>134467139.52000001</v>
      </c>
      <c r="BT10" s="189">
        <v>117955874.05</v>
      </c>
      <c r="BU10" s="189">
        <v>128256471.02</v>
      </c>
      <c r="BV10" s="189">
        <v>128461529.56</v>
      </c>
      <c r="BW10" s="189">
        <v>0</v>
      </c>
      <c r="BX10" s="189"/>
      <c r="BY10" s="189"/>
      <c r="BZ10" s="189"/>
      <c r="CA10" s="189"/>
      <c r="CB10" s="189"/>
      <c r="CC10" s="189"/>
      <c r="CD10" s="189"/>
      <c r="CE10" s="189"/>
      <c r="CF10" s="189"/>
      <c r="CG10" s="189"/>
      <c r="CH10" s="189"/>
      <c r="CI10" s="189"/>
      <c r="CJ10" s="189"/>
      <c r="CK10" s="189"/>
    </row>
    <row r="11" spans="1:89" x14ac:dyDescent="0.25">
      <c r="A11" s="17" t="s">
        <v>391</v>
      </c>
      <c r="B11" s="189">
        <v>17185465.190000001</v>
      </c>
      <c r="C11" s="189">
        <v>17429686.640000001</v>
      </c>
      <c r="D11" s="189">
        <v>9618106.1400000006</v>
      </c>
      <c r="E11" s="189">
        <v>48974963.369999997</v>
      </c>
      <c r="F11" s="189">
        <v>17069716.469999999</v>
      </c>
      <c r="G11" s="189">
        <v>19152823.43</v>
      </c>
      <c r="H11" s="189">
        <v>15228849.810000001</v>
      </c>
      <c r="I11" s="189">
        <v>-9598363.3800000008</v>
      </c>
      <c r="J11" s="189">
        <v>17868086.050000001</v>
      </c>
      <c r="K11" s="189">
        <v>14645528.58</v>
      </c>
      <c r="L11" s="189">
        <v>8183316.7000000002</v>
      </c>
      <c r="M11" s="189">
        <v>26923060.969999999</v>
      </c>
      <c r="N11" s="189">
        <v>24968562.370000001</v>
      </c>
      <c r="O11" s="189">
        <v>19180615.370000001</v>
      </c>
      <c r="P11" s="189">
        <v>10902360.699999999</v>
      </c>
      <c r="Q11" s="189">
        <v>16639525.1</v>
      </c>
      <c r="R11" s="189">
        <v>17201522.670000002</v>
      </c>
      <c r="S11" s="189">
        <v>16636046.630000001</v>
      </c>
      <c r="T11" s="189">
        <v>4523743.53</v>
      </c>
      <c r="U11" s="189">
        <v>8766809.0700000003</v>
      </c>
      <c r="V11" s="189">
        <v>10502293.15</v>
      </c>
      <c r="W11" s="189">
        <v>15994343.539999999</v>
      </c>
      <c r="X11" s="189">
        <v>8484194.5800000001</v>
      </c>
      <c r="Y11" s="189">
        <v>13233786.460000001</v>
      </c>
      <c r="Z11" s="189">
        <v>6574925.1299999999</v>
      </c>
      <c r="AA11" s="189">
        <v>9054413.2799999993</v>
      </c>
      <c r="AB11" s="189">
        <v>2271812.19</v>
      </c>
      <c r="AC11" s="189">
        <v>7636468.6500000004</v>
      </c>
      <c r="AD11" s="189">
        <v>10446783.470000001</v>
      </c>
      <c r="AE11" s="189">
        <v>-6328274.1299999999</v>
      </c>
      <c r="AF11" s="189">
        <v>3883249.32</v>
      </c>
      <c r="AG11" s="189">
        <v>94771112.780000001</v>
      </c>
      <c r="AH11" s="189">
        <v>5376475.1600000001</v>
      </c>
      <c r="AI11" s="189">
        <v>9186376.5399999991</v>
      </c>
      <c r="AJ11" s="189">
        <v>4846375.04</v>
      </c>
      <c r="AK11" s="189">
        <v>58403338.18</v>
      </c>
      <c r="AL11" s="189">
        <v>11848644.449999999</v>
      </c>
      <c r="AM11" s="189">
        <v>6110726.2999999998</v>
      </c>
      <c r="AN11" s="189">
        <v>-2942662.98</v>
      </c>
      <c r="AO11" s="189">
        <v>8867556.3200000003</v>
      </c>
      <c r="AP11" s="189">
        <v>31776082.809999999</v>
      </c>
      <c r="AQ11" s="189">
        <v>18999681.800000001</v>
      </c>
      <c r="AR11" s="189">
        <v>1119480.95</v>
      </c>
      <c r="AS11" s="189">
        <v>11759899.789999999</v>
      </c>
      <c r="AT11" s="189">
        <v>21492227.600000001</v>
      </c>
      <c r="AU11" s="189">
        <v>23724164.690000001</v>
      </c>
      <c r="AV11" s="189">
        <v>5974591.1500000004</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59892.29</v>
      </c>
      <c r="BT11" s="189">
        <v>2674009.56</v>
      </c>
      <c r="BU11" s="189">
        <v>871179.94</v>
      </c>
      <c r="BV11" s="189">
        <v>223850.61</v>
      </c>
      <c r="BW11" s="189">
        <v>0</v>
      </c>
      <c r="BX11" s="189"/>
      <c r="BY11" s="189"/>
      <c r="BZ11" s="189"/>
      <c r="CA11" s="189"/>
      <c r="CB11" s="189"/>
      <c r="CC11" s="189"/>
      <c r="CD11" s="189"/>
      <c r="CE11" s="189"/>
      <c r="CF11" s="189"/>
      <c r="CG11" s="189"/>
      <c r="CH11" s="189"/>
      <c r="CI11" s="189"/>
      <c r="CJ11" s="189"/>
      <c r="CK11" s="189"/>
    </row>
    <row r="12" spans="1:89" s="7" customFormat="1" x14ac:dyDescent="0.25">
      <c r="A12" s="21" t="s">
        <v>392</v>
      </c>
      <c r="B12" s="29">
        <f>B55</f>
        <v>463</v>
      </c>
      <c r="C12" s="29">
        <f t="shared" ref="C12:BN12" si="5">C55</f>
        <v>603</v>
      </c>
      <c r="D12" s="29">
        <f t="shared" si="5"/>
        <v>653</v>
      </c>
      <c r="E12" s="29">
        <f t="shared" si="5"/>
        <v>1190314.6299999999</v>
      </c>
      <c r="F12" s="29">
        <f t="shared" si="5"/>
        <v>1204</v>
      </c>
      <c r="G12" s="29">
        <f t="shared" si="5"/>
        <v>868</v>
      </c>
      <c r="H12" s="29">
        <f t="shared" si="5"/>
        <v>644</v>
      </c>
      <c r="I12" s="29">
        <f t="shared" si="5"/>
        <v>2574350.66</v>
      </c>
      <c r="J12" s="29">
        <f t="shared" si="5"/>
        <v>0</v>
      </c>
      <c r="K12" s="29">
        <f t="shared" si="5"/>
        <v>0</v>
      </c>
      <c r="L12" s="29">
        <f t="shared" si="5"/>
        <v>0</v>
      </c>
      <c r="M12" s="29">
        <f t="shared" si="5"/>
        <v>2297648.79</v>
      </c>
      <c r="N12" s="29">
        <f t="shared" si="5"/>
        <v>0</v>
      </c>
      <c r="O12" s="29">
        <f t="shared" si="5"/>
        <v>0</v>
      </c>
      <c r="P12" s="29">
        <f t="shared" si="5"/>
        <v>0</v>
      </c>
      <c r="Q12" s="29">
        <f t="shared" si="5"/>
        <v>2037783.13</v>
      </c>
      <c r="R12" s="29">
        <f t="shared" si="5"/>
        <v>0</v>
      </c>
      <c r="S12" s="29">
        <f t="shared" si="5"/>
        <v>0</v>
      </c>
      <c r="T12" s="29">
        <f t="shared" si="5"/>
        <v>0</v>
      </c>
      <c r="U12" s="29">
        <f t="shared" si="5"/>
        <v>2160833.6</v>
      </c>
      <c r="V12" s="29">
        <f t="shared" si="5"/>
        <v>0</v>
      </c>
      <c r="W12" s="29">
        <f t="shared" si="5"/>
        <v>0</v>
      </c>
      <c r="X12" s="29">
        <f t="shared" si="5"/>
        <v>0</v>
      </c>
      <c r="Y12" s="29">
        <f t="shared" si="5"/>
        <v>1780094.6</v>
      </c>
      <c r="Z12" s="29">
        <f t="shared" si="5"/>
        <v>0</v>
      </c>
      <c r="AA12" s="29">
        <f t="shared" si="5"/>
        <v>0</v>
      </c>
      <c r="AB12" s="29">
        <f t="shared" si="5"/>
        <v>0</v>
      </c>
      <c r="AC12" s="29">
        <f t="shared" si="5"/>
        <v>1885668.95</v>
      </c>
      <c r="AD12" s="29">
        <f t="shared" si="5"/>
        <v>0</v>
      </c>
      <c r="AE12" s="29">
        <f t="shared" si="5"/>
        <v>0</v>
      </c>
      <c r="AF12" s="29">
        <f t="shared" si="5"/>
        <v>0</v>
      </c>
      <c r="AG12" s="29">
        <f t="shared" si="5"/>
        <v>1632645.61</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1317973.8899999999</v>
      </c>
      <c r="C13" s="189">
        <v>957169.71</v>
      </c>
      <c r="D13" s="189">
        <v>285390.94</v>
      </c>
      <c r="E13" s="189">
        <v>1523203.61</v>
      </c>
      <c r="F13" s="189">
        <v>1304932.71</v>
      </c>
      <c r="G13" s="189">
        <v>1045656.28</v>
      </c>
      <c r="H13" s="189">
        <v>18054323.829999998</v>
      </c>
      <c r="I13" s="189">
        <v>56458565.530000001</v>
      </c>
      <c r="J13" s="189">
        <v>12320461.560000001</v>
      </c>
      <c r="K13" s="189">
        <v>10677714.66</v>
      </c>
      <c r="L13" s="189">
        <v>4591168.49</v>
      </c>
      <c r="M13" s="189">
        <v>37598997.240000002</v>
      </c>
      <c r="N13" s="189">
        <v>30166614.050000001</v>
      </c>
      <c r="O13" s="189">
        <v>18220847.969999999</v>
      </c>
      <c r="P13" s="189">
        <v>4235020.78</v>
      </c>
      <c r="Q13" s="189">
        <v>27656603.039999999</v>
      </c>
      <c r="R13" s="189">
        <v>11990259.92</v>
      </c>
      <c r="S13" s="189">
        <v>9857173.5299999993</v>
      </c>
      <c r="T13" s="189">
        <v>1818532.1</v>
      </c>
      <c r="U13" s="189">
        <v>29059265.059999999</v>
      </c>
      <c r="V13" s="189">
        <v>7345179.4800000004</v>
      </c>
      <c r="W13" s="189">
        <v>4260851.83</v>
      </c>
      <c r="X13" s="189">
        <v>871320.52</v>
      </c>
      <c r="Y13" s="189">
        <v>15044976.67</v>
      </c>
      <c r="Z13" s="189">
        <v>7794563.8600000003</v>
      </c>
      <c r="AA13" s="189">
        <v>6222197.21</v>
      </c>
      <c r="AB13" s="189">
        <v>579749.49</v>
      </c>
      <c r="AC13" s="189">
        <v>18701745.879999999</v>
      </c>
      <c r="AD13" s="189">
        <v>9028290.75</v>
      </c>
      <c r="AE13" s="189">
        <v>3470515.71</v>
      </c>
      <c r="AF13" s="189">
        <v>725825.52</v>
      </c>
      <c r="AG13" s="189">
        <v>10746902.17</v>
      </c>
      <c r="AH13" s="189">
        <v>6784299.6600000001</v>
      </c>
      <c r="AI13" s="189">
        <v>4353826</v>
      </c>
      <c r="AJ13" s="189">
        <v>774902.15</v>
      </c>
      <c r="AK13" s="189">
        <v>10532574.33</v>
      </c>
      <c r="AL13" s="189">
        <v>7482861.1100000003</v>
      </c>
      <c r="AM13" s="189">
        <v>4238488.8</v>
      </c>
      <c r="AN13" s="189">
        <v>3538947.34</v>
      </c>
      <c r="AO13" s="189">
        <v>13053555.1</v>
      </c>
      <c r="AP13" s="189">
        <v>4813807.93</v>
      </c>
      <c r="AQ13" s="189">
        <v>4321530.2</v>
      </c>
      <c r="AR13" s="189">
        <v>726093.23</v>
      </c>
      <c r="AS13" s="189">
        <v>10973422.9</v>
      </c>
      <c r="AT13" s="189">
        <v>16473164.359999999</v>
      </c>
      <c r="AU13" s="189">
        <v>1371041.39</v>
      </c>
      <c r="AV13" s="189">
        <v>95489.33</v>
      </c>
      <c r="AW13" s="189">
        <v>1080101.9099999999</v>
      </c>
      <c r="AX13" s="189">
        <v>529613.9</v>
      </c>
      <c r="AY13" s="189">
        <v>325499.17</v>
      </c>
      <c r="AZ13" s="189">
        <v>79231.27</v>
      </c>
      <c r="BA13" s="189">
        <v>690598.29</v>
      </c>
      <c r="BB13" s="189">
        <v>498674.17</v>
      </c>
      <c r="BC13" s="189">
        <v>386932.45</v>
      </c>
      <c r="BD13" s="189">
        <v>142363.98000000001</v>
      </c>
      <c r="BE13" s="189">
        <v>753830.01</v>
      </c>
      <c r="BF13" s="189">
        <v>616432.22</v>
      </c>
      <c r="BG13" s="189">
        <v>593245.39</v>
      </c>
      <c r="BH13" s="189">
        <v>286566.89</v>
      </c>
      <c r="BI13" s="189">
        <v>409789.3</v>
      </c>
      <c r="BJ13" s="189">
        <v>382097.39</v>
      </c>
      <c r="BK13" s="189">
        <v>361763.64</v>
      </c>
      <c r="BL13" s="189">
        <v>22443.439999999999</v>
      </c>
      <c r="BM13" s="189">
        <v>1517406.54</v>
      </c>
      <c r="BN13" s="189">
        <v>404638.13</v>
      </c>
      <c r="BO13" s="189">
        <v>151331.51999999999</v>
      </c>
      <c r="BP13" s="189">
        <v>71205.84</v>
      </c>
      <c r="BQ13" s="189">
        <v>719529.49</v>
      </c>
      <c r="BR13" s="189">
        <v>289834.74</v>
      </c>
      <c r="BS13" s="189">
        <v>795146.13</v>
      </c>
      <c r="BT13" s="189">
        <v>486752.12</v>
      </c>
      <c r="BU13" s="189">
        <v>637448.64</v>
      </c>
      <c r="BV13" s="189">
        <v>6949311.4400000004</v>
      </c>
      <c r="BW13" s="189">
        <v>0</v>
      </c>
      <c r="BX13" s="189"/>
      <c r="BY13" s="189"/>
      <c r="BZ13" s="189"/>
      <c r="CA13" s="189"/>
      <c r="CB13" s="189"/>
      <c r="CC13" s="189"/>
      <c r="CD13" s="189"/>
      <c r="CE13" s="189"/>
      <c r="CF13" s="189"/>
      <c r="CG13" s="189"/>
      <c r="CH13" s="189"/>
      <c r="CI13" s="189"/>
      <c r="CJ13" s="189"/>
      <c r="CK13" s="189"/>
    </row>
    <row r="14" spans="1:89" x14ac:dyDescent="0.25">
      <c r="A14" s="17" t="s">
        <v>394</v>
      </c>
      <c r="B14" s="189">
        <v>2004948.74</v>
      </c>
      <c r="C14" s="189">
        <v>1969853.96</v>
      </c>
      <c r="D14" s="189">
        <v>288690.26</v>
      </c>
      <c r="E14" s="189">
        <v>12579645.470000001</v>
      </c>
      <c r="F14" s="189">
        <v>26602424.100000001</v>
      </c>
      <c r="G14" s="189">
        <v>26526733.420000002</v>
      </c>
      <c r="H14" s="189">
        <v>200864.22</v>
      </c>
      <c r="I14" s="189">
        <v>39087577.140000001</v>
      </c>
      <c r="J14" s="189">
        <v>1610436.25</v>
      </c>
      <c r="K14" s="189">
        <v>295946.3</v>
      </c>
      <c r="L14" s="189">
        <v>177509.32</v>
      </c>
      <c r="M14" s="189">
        <v>1974935.64</v>
      </c>
      <c r="N14" s="189">
        <v>1332111.99</v>
      </c>
      <c r="O14" s="189">
        <v>1198656.07</v>
      </c>
      <c r="P14" s="189">
        <v>452185</v>
      </c>
      <c r="Q14" s="189">
        <v>8656698.6099999994</v>
      </c>
      <c r="R14" s="189">
        <v>1716209.43</v>
      </c>
      <c r="S14" s="189">
        <v>1136026.98</v>
      </c>
      <c r="T14" s="189">
        <v>905478.94</v>
      </c>
      <c r="U14" s="189">
        <v>4351023.33</v>
      </c>
      <c r="V14" s="189">
        <v>2667406.2000000002</v>
      </c>
      <c r="W14" s="189">
        <v>1726687.41</v>
      </c>
      <c r="X14" s="189">
        <v>194843.19</v>
      </c>
      <c r="Y14" s="189">
        <v>958674.17</v>
      </c>
      <c r="Z14" s="189">
        <v>554793.44999999995</v>
      </c>
      <c r="AA14" s="189">
        <v>428047.27</v>
      </c>
      <c r="AB14" s="189">
        <v>330974.49</v>
      </c>
      <c r="AC14" s="189">
        <v>2158750.35</v>
      </c>
      <c r="AD14" s="189">
        <v>1077383.6299999999</v>
      </c>
      <c r="AE14" s="189">
        <v>798910.85</v>
      </c>
      <c r="AF14" s="189">
        <v>355502.13</v>
      </c>
      <c r="AG14" s="189">
        <v>485355.83</v>
      </c>
      <c r="AH14" s="189">
        <v>333868.67</v>
      </c>
      <c r="AI14" s="189">
        <v>198440.95</v>
      </c>
      <c r="AJ14" s="189">
        <v>28964.1</v>
      </c>
      <c r="AK14" s="189">
        <v>1769670.82</v>
      </c>
      <c r="AL14" s="189">
        <v>593428.62</v>
      </c>
      <c r="AM14" s="189">
        <v>337615.03</v>
      </c>
      <c r="AN14" s="189">
        <v>117850.83</v>
      </c>
      <c r="AO14" s="189">
        <v>4896219.6500000004</v>
      </c>
      <c r="AP14" s="189">
        <v>4129873.77</v>
      </c>
      <c r="AQ14" s="189">
        <v>3940779.07</v>
      </c>
      <c r="AR14" s="189">
        <v>75741.88</v>
      </c>
      <c r="AS14" s="189">
        <v>1039680.57</v>
      </c>
      <c r="AT14" s="189">
        <v>427923.3</v>
      </c>
      <c r="AU14" s="189">
        <v>224989.4</v>
      </c>
      <c r="AV14" s="189">
        <v>39079.67</v>
      </c>
      <c r="AW14" s="189">
        <v>16776329.67</v>
      </c>
      <c r="AX14" s="189">
        <v>615209.1</v>
      </c>
      <c r="AY14" s="189">
        <v>221319.21</v>
      </c>
      <c r="AZ14" s="189">
        <v>59603.12</v>
      </c>
      <c r="BA14" s="189">
        <v>832166.25</v>
      </c>
      <c r="BB14" s="189">
        <v>423443.26</v>
      </c>
      <c r="BC14" s="189">
        <v>203748.81</v>
      </c>
      <c r="BD14" s="189">
        <v>49210.64</v>
      </c>
      <c r="BE14" s="189">
        <v>4258407.33</v>
      </c>
      <c r="BF14" s="189">
        <v>4062173.46</v>
      </c>
      <c r="BG14" s="189">
        <v>126088.68</v>
      </c>
      <c r="BH14" s="189">
        <v>72796.14</v>
      </c>
      <c r="BI14" s="189">
        <v>1764745.72</v>
      </c>
      <c r="BJ14" s="189">
        <v>1398903.32</v>
      </c>
      <c r="BK14" s="189">
        <v>92333.13</v>
      </c>
      <c r="BL14" s="189">
        <v>58468.800000000003</v>
      </c>
      <c r="BM14" s="189">
        <v>743063.44</v>
      </c>
      <c r="BN14" s="189">
        <v>538649.81999999995</v>
      </c>
      <c r="BO14" s="189">
        <v>493192.83</v>
      </c>
      <c r="BP14" s="189">
        <v>246608.54</v>
      </c>
      <c r="BQ14" s="189">
        <v>589618.49</v>
      </c>
      <c r="BR14" s="189">
        <v>141161.51</v>
      </c>
      <c r="BS14" s="189">
        <v>10238389.039999999</v>
      </c>
      <c r="BT14" s="189">
        <v>3654853.57</v>
      </c>
      <c r="BU14" s="189">
        <v>1245661.03</v>
      </c>
      <c r="BV14" s="189">
        <v>911306.78</v>
      </c>
      <c r="BW14" s="189">
        <v>0</v>
      </c>
      <c r="BX14" s="189"/>
      <c r="BY14" s="189"/>
      <c r="BZ14" s="189"/>
      <c r="CA14" s="189"/>
      <c r="CB14" s="189"/>
      <c r="CC14" s="189"/>
      <c r="CD14" s="189"/>
      <c r="CE14" s="189"/>
      <c r="CF14" s="189"/>
      <c r="CG14" s="189"/>
      <c r="CH14" s="189"/>
      <c r="CI14" s="189"/>
      <c r="CJ14" s="189"/>
      <c r="CK14" s="189"/>
    </row>
    <row r="15" spans="1:89" s="2" customFormat="1" x14ac:dyDescent="0.25">
      <c r="A15" s="20" t="s">
        <v>397</v>
      </c>
      <c r="B15" s="28">
        <f>B6-(B8+B9+B10+B11+B12)+B13-B14</f>
        <v>438785741.04999959</v>
      </c>
      <c r="C15" s="28">
        <f t="shared" ref="C15:BN15" si="7">C6-(C8+C9+C10+C11+C12)+C13-C14</f>
        <v>222232826.07000041</v>
      </c>
      <c r="D15" s="28">
        <f t="shared" si="7"/>
        <v>140093952.90000004</v>
      </c>
      <c r="E15" s="28">
        <f t="shared" si="7"/>
        <v>312066141.82999957</v>
      </c>
      <c r="F15" s="28">
        <f t="shared" si="7"/>
        <v>249290026.87000069</v>
      </c>
      <c r="G15" s="28">
        <f t="shared" si="7"/>
        <v>161247731.60000026</v>
      </c>
      <c r="H15" s="28">
        <f t="shared" si="7"/>
        <v>98657818.15000008</v>
      </c>
      <c r="I15" s="28">
        <f t="shared" si="7"/>
        <v>197911438.60000002</v>
      </c>
      <c r="J15" s="28">
        <f t="shared" si="7"/>
        <v>456333800.01999956</v>
      </c>
      <c r="K15" s="28">
        <f t="shared" si="7"/>
        <v>379797391.54000008</v>
      </c>
      <c r="L15" s="28">
        <f t="shared" si="7"/>
        <v>131656693.59999983</v>
      </c>
      <c r="M15" s="28">
        <f t="shared" si="7"/>
        <v>772915554.43000042</v>
      </c>
      <c r="N15" s="28">
        <f t="shared" si="7"/>
        <v>762979398.43999982</v>
      </c>
      <c r="O15" s="28">
        <f t="shared" si="7"/>
        <v>640871692.78000009</v>
      </c>
      <c r="P15" s="28">
        <f t="shared" si="7"/>
        <v>166728695.27999988</v>
      </c>
      <c r="Q15" s="28">
        <f t="shared" si="7"/>
        <v>889871423.89000046</v>
      </c>
      <c r="R15" s="28">
        <f t="shared" si="7"/>
        <v>739588261.10000038</v>
      </c>
      <c r="S15" s="28">
        <f t="shared" si="7"/>
        <v>588443434.33999991</v>
      </c>
      <c r="T15" s="28">
        <f t="shared" si="7"/>
        <v>139194099.04000011</v>
      </c>
      <c r="U15" s="28">
        <f t="shared" si="7"/>
        <v>774030567.13000071</v>
      </c>
      <c r="V15" s="28">
        <f t="shared" si="7"/>
        <v>638976169.66000009</v>
      </c>
      <c r="W15" s="28">
        <f t="shared" si="7"/>
        <v>521798939.34999979</v>
      </c>
      <c r="X15" s="28">
        <f t="shared" si="7"/>
        <v>109096432.06000002</v>
      </c>
      <c r="Y15" s="28">
        <f t="shared" si="7"/>
        <v>536364806.11999983</v>
      </c>
      <c r="Z15" s="28">
        <f t="shared" si="7"/>
        <v>461514874.17999953</v>
      </c>
      <c r="AA15" s="28">
        <f t="shared" si="7"/>
        <v>353302285.71999997</v>
      </c>
      <c r="AB15" s="28">
        <f t="shared" si="7"/>
        <v>84345462.800000072</v>
      </c>
      <c r="AC15" s="28">
        <f t="shared" si="7"/>
        <v>350512484.6699996</v>
      </c>
      <c r="AD15" s="28">
        <f t="shared" si="7"/>
        <v>271510842.26999986</v>
      </c>
      <c r="AE15" s="28">
        <f t="shared" si="7"/>
        <v>219305550.41000021</v>
      </c>
      <c r="AF15" s="28">
        <f t="shared" si="7"/>
        <v>54279435.420000032</v>
      </c>
      <c r="AG15" s="28">
        <f t="shared" si="7"/>
        <v>206724461.1400004</v>
      </c>
      <c r="AH15" s="28">
        <f t="shared" si="7"/>
        <v>197356278.4199996</v>
      </c>
      <c r="AI15" s="28">
        <f t="shared" si="7"/>
        <v>150086677.31</v>
      </c>
      <c r="AJ15" s="28">
        <f t="shared" si="7"/>
        <v>38400866.85999994</v>
      </c>
      <c r="AK15" s="28">
        <f t="shared" si="7"/>
        <v>274880648.98000002</v>
      </c>
      <c r="AL15" s="28">
        <f t="shared" si="7"/>
        <v>198743915.86999989</v>
      </c>
      <c r="AM15" s="28">
        <f t="shared" si="7"/>
        <v>157531977.81999996</v>
      </c>
      <c r="AN15" s="28">
        <f t="shared" si="7"/>
        <v>41448079.780000016</v>
      </c>
      <c r="AO15" s="28">
        <f t="shared" si="7"/>
        <v>228172152.57999998</v>
      </c>
      <c r="AP15" s="28">
        <f t="shared" si="7"/>
        <v>191515017.8899999</v>
      </c>
      <c r="AQ15" s="28">
        <f t="shared" si="7"/>
        <v>148296491.6400001</v>
      </c>
      <c r="AR15" s="28">
        <f t="shared" si="7"/>
        <v>39506739.060000002</v>
      </c>
      <c r="AS15" s="28">
        <f t="shared" si="7"/>
        <v>189610366.32000026</v>
      </c>
      <c r="AT15" s="28">
        <f t="shared" si="7"/>
        <v>147876086.69000012</v>
      </c>
      <c r="AU15" s="28">
        <f t="shared" si="7"/>
        <v>100772144.30999999</v>
      </c>
      <c r="AV15" s="28">
        <f t="shared" si="7"/>
        <v>34872497.569999993</v>
      </c>
      <c r="AW15" s="28">
        <f t="shared" si="7"/>
        <v>136152414.18999994</v>
      </c>
      <c r="AX15" s="28">
        <f t="shared" si="7"/>
        <v>102942258.29999989</v>
      </c>
      <c r="AY15" s="28">
        <f t="shared" si="7"/>
        <v>68399306.210000008</v>
      </c>
      <c r="AZ15" s="28">
        <f t="shared" si="7"/>
        <v>26779119.349999987</v>
      </c>
      <c r="BA15" s="28">
        <f t="shared" si="7"/>
        <v>47839353.709999956</v>
      </c>
      <c r="BB15" s="28">
        <f t="shared" si="7"/>
        <v>55479547.28999988</v>
      </c>
      <c r="BC15" s="28">
        <f t="shared" si="7"/>
        <v>36031900.36999996</v>
      </c>
      <c r="BD15" s="28">
        <f t="shared" si="7"/>
        <v>11748207.559999999</v>
      </c>
      <c r="BE15" s="28">
        <f t="shared" si="7"/>
        <v>60357221.589999966</v>
      </c>
      <c r="BF15" s="28">
        <f t="shared" si="7"/>
        <v>77223333.149999991</v>
      </c>
      <c r="BG15" s="28">
        <f t="shared" si="7"/>
        <v>54201979.810000025</v>
      </c>
      <c r="BH15" s="28">
        <f t="shared" si="7"/>
        <v>15391081.200000018</v>
      </c>
      <c r="BI15" s="28">
        <f t="shared" si="7"/>
        <v>84763864.35999997</v>
      </c>
      <c r="BJ15" s="28">
        <f t="shared" si="7"/>
        <v>87100217.510000065</v>
      </c>
      <c r="BK15" s="28">
        <f t="shared" si="7"/>
        <v>59108375.960000046</v>
      </c>
      <c r="BL15" s="28">
        <f t="shared" si="7"/>
        <v>8345810.6399999848</v>
      </c>
      <c r="BM15" s="28">
        <f t="shared" si="7"/>
        <v>67482145.850000009</v>
      </c>
      <c r="BN15" s="28">
        <f t="shared" si="7"/>
        <v>74131930.360000014</v>
      </c>
      <c r="BO15" s="28">
        <f t="shared" ref="BO15:CJ15" si="8">BO6-(BO8+BO9+BO10+BO11+BO12)+BO13-BO14</f>
        <v>49659271.920000024</v>
      </c>
      <c r="BP15" s="28">
        <f t="shared" si="8"/>
        <v>12175158.769999985</v>
      </c>
      <c r="BQ15" s="28">
        <f t="shared" si="8"/>
        <v>88867286.910000026</v>
      </c>
      <c r="BR15" s="28">
        <f t="shared" si="8"/>
        <v>48602582.340000078</v>
      </c>
      <c r="BS15" s="28">
        <f t="shared" si="8"/>
        <v>68200045.109999925</v>
      </c>
      <c r="BT15" s="28">
        <f t="shared" si="8"/>
        <v>60817132.260000035</v>
      </c>
      <c r="BU15" s="28">
        <f t="shared" si="8"/>
        <v>48612956.980000004</v>
      </c>
      <c r="BV15" s="28">
        <f t="shared" si="8"/>
        <v>76948993.099999934</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52696368.684131674</v>
      </c>
      <c r="C16" s="26">
        <f t="shared" ref="C16:BN16" si="9">C15*C41</f>
        <v>36996178.415835656</v>
      </c>
      <c r="D16" s="26">
        <f t="shared" si="9"/>
        <v>18700446.745157298</v>
      </c>
      <c r="E16" s="26">
        <f t="shared" si="9"/>
        <v>55157624.801254734</v>
      </c>
      <c r="F16" s="26">
        <f t="shared" si="9"/>
        <v>40864114.561987683</v>
      </c>
      <c r="G16" s="26">
        <f t="shared" si="9"/>
        <v>27132945.99826932</v>
      </c>
      <c r="H16" s="26">
        <f t="shared" si="9"/>
        <v>9834336.5607349258</v>
      </c>
      <c r="I16" s="26">
        <f t="shared" si="9"/>
        <v>59905050.809510805</v>
      </c>
      <c r="J16" s="26">
        <f t="shared" si="9"/>
        <v>83289394.011453614</v>
      </c>
      <c r="K16" s="26">
        <f t="shared" si="9"/>
        <v>62197068.713125721</v>
      </c>
      <c r="L16" s="26">
        <f t="shared" si="9"/>
        <v>18853659.6866877</v>
      </c>
      <c r="M16" s="26">
        <f t="shared" si="9"/>
        <v>116753447.86786012</v>
      </c>
      <c r="N16" s="26">
        <f t="shared" si="9"/>
        <v>132399916.53099738</v>
      </c>
      <c r="O16" s="26">
        <f t="shared" si="9"/>
        <v>91581572.379519939</v>
      </c>
      <c r="P16" s="26">
        <f t="shared" si="9"/>
        <v>22782858.585298449</v>
      </c>
      <c r="Q16" s="26">
        <f t="shared" si="9"/>
        <v>184386464.53124791</v>
      </c>
      <c r="R16" s="26">
        <f t="shared" si="9"/>
        <v>126086597.23434007</v>
      </c>
      <c r="S16" s="26">
        <f t="shared" si="9"/>
        <v>93487270.272389546</v>
      </c>
      <c r="T16" s="26">
        <f t="shared" si="9"/>
        <v>19137673.283835437</v>
      </c>
      <c r="U16" s="26">
        <f t="shared" si="9"/>
        <v>113384995.17740761</v>
      </c>
      <c r="V16" s="26">
        <f t="shared" si="9"/>
        <v>110174858.3293321</v>
      </c>
      <c r="W16" s="26">
        <f t="shared" si="9"/>
        <v>92265208.044339091</v>
      </c>
      <c r="X16" s="26">
        <f t="shared" si="9"/>
        <v>17927863.678638484</v>
      </c>
      <c r="Y16" s="26">
        <f t="shared" si="9"/>
        <v>70211125.57728824</v>
      </c>
      <c r="Z16" s="26">
        <f t="shared" si="9"/>
        <v>99223405.043522388</v>
      </c>
      <c r="AA16" s="26">
        <f t="shared" si="9"/>
        <v>80453305.823245034</v>
      </c>
      <c r="AB16" s="26">
        <f t="shared" si="9"/>
        <v>19018618.637257826</v>
      </c>
      <c r="AC16" s="26">
        <f t="shared" si="9"/>
        <v>67935280.308203429</v>
      </c>
      <c r="AD16" s="26">
        <f t="shared" si="9"/>
        <v>53863996.153534651</v>
      </c>
      <c r="AE16" s="26">
        <f t="shared" si="9"/>
        <v>51025917.507687792</v>
      </c>
      <c r="AF16" s="26">
        <f t="shared" si="9"/>
        <v>12951987.574091105</v>
      </c>
      <c r="AG16" s="26">
        <f t="shared" si="9"/>
        <v>36238247.330907173</v>
      </c>
      <c r="AH16" s="26">
        <f t="shared" si="9"/>
        <v>22722539.657075953</v>
      </c>
      <c r="AI16" s="26">
        <f t="shared" si="9"/>
        <v>19592636.782086879</v>
      </c>
      <c r="AJ16" s="26">
        <f t="shared" si="9"/>
        <v>6112093.4950639233</v>
      </c>
      <c r="AK16" s="26">
        <f t="shared" si="9"/>
        <v>51981836.591623232</v>
      </c>
      <c r="AL16" s="26">
        <f t="shared" si="9"/>
        <v>22290533.616163559</v>
      </c>
      <c r="AM16" s="26">
        <f t="shared" si="9"/>
        <v>21742202.645417567</v>
      </c>
      <c r="AN16" s="26">
        <f t="shared" si="9"/>
        <v>11145276.257224724</v>
      </c>
      <c r="AO16" s="26">
        <f t="shared" si="9"/>
        <v>43775493.906697847</v>
      </c>
      <c r="AP16" s="26">
        <f t="shared" si="9"/>
        <v>27634655.721158683</v>
      </c>
      <c r="AQ16" s="26">
        <f t="shared" si="9"/>
        <v>29991618.129566595</v>
      </c>
      <c r="AR16" s="26">
        <f t="shared" si="9"/>
        <v>13062939.190055899</v>
      </c>
      <c r="AS16" s="26">
        <f t="shared" si="9"/>
        <v>40792934.361518346</v>
      </c>
      <c r="AT16" s="26">
        <f t="shared" si="9"/>
        <v>31464396.451665957</v>
      </c>
      <c r="AU16" s="26">
        <f t="shared" si="9"/>
        <v>23909296.436814059</v>
      </c>
      <c r="AV16" s="26">
        <f t="shared" si="9"/>
        <v>10534298.835800603</v>
      </c>
      <c r="AW16" s="26">
        <f t="shared" si="9"/>
        <v>34750433.2783067</v>
      </c>
      <c r="AX16" s="26">
        <f t="shared" si="9"/>
        <v>16742343.450614979</v>
      </c>
      <c r="AY16" s="26">
        <f t="shared" si="9"/>
        <v>10931544.143611981</v>
      </c>
      <c r="AZ16" s="26">
        <f t="shared" si="9"/>
        <v>6277132.5857156944</v>
      </c>
      <c r="BA16" s="26">
        <f t="shared" si="9"/>
        <v>7265073.2659966443</v>
      </c>
      <c r="BB16" s="26">
        <f t="shared" si="9"/>
        <v>10323205.267963964</v>
      </c>
      <c r="BC16" s="26">
        <f t="shared" si="9"/>
        <v>4020944.7914417209</v>
      </c>
      <c r="BD16" s="26">
        <f t="shared" si="9"/>
        <v>983309.58701451239</v>
      </c>
      <c r="BE16" s="26">
        <f t="shared" si="9"/>
        <v>11319795.882623496</v>
      </c>
      <c r="BF16" s="26">
        <f t="shared" si="9"/>
        <v>7977087.3810851043</v>
      </c>
      <c r="BG16" s="26">
        <f t="shared" si="9"/>
        <v>5536225.3707969757</v>
      </c>
      <c r="BH16" s="26">
        <f t="shared" si="9"/>
        <v>1631030.8856635825</v>
      </c>
      <c r="BI16" s="26">
        <f t="shared" si="9"/>
        <v>5982674.4486441584</v>
      </c>
      <c r="BJ16" s="26">
        <f t="shared" si="9"/>
        <v>6952459.3773561483</v>
      </c>
      <c r="BK16" s="26">
        <f t="shared" si="9"/>
        <v>4192079.0283334958</v>
      </c>
      <c r="BL16" s="26">
        <f t="shared" si="9"/>
        <v>342517.60437024187</v>
      </c>
      <c r="BM16" s="26">
        <f t="shared" si="9"/>
        <v>13368288.495364958</v>
      </c>
      <c r="BN16" s="26">
        <f t="shared" si="9"/>
        <v>11314879.684954517</v>
      </c>
      <c r="BO16" s="26">
        <f t="shared" ref="BO16:CK16" si="10">BO15*BO41</f>
        <v>6380102.5856812242</v>
      </c>
      <c r="BP16" s="26">
        <f t="shared" si="10"/>
        <v>1758614.6781508652</v>
      </c>
      <c r="BQ16" s="26">
        <f t="shared" si="10"/>
        <v>14179364.339440517</v>
      </c>
      <c r="BR16" s="26">
        <f t="shared" si="10"/>
        <v>5242920.6305018263</v>
      </c>
      <c r="BS16" s="26">
        <f t="shared" si="10"/>
        <v>12585468.254875375</v>
      </c>
      <c r="BT16" s="26">
        <f t="shared" si="10"/>
        <v>8188440.0467115548</v>
      </c>
      <c r="BU16" s="26">
        <f t="shared" si="10"/>
        <v>7905266.3368924344</v>
      </c>
      <c r="BV16" s="26">
        <f t="shared" si="10"/>
        <v>43712.470449937144</v>
      </c>
      <c r="BW16" s="26" t="e">
        <f t="shared" si="10"/>
        <v>#DIV/0!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386089372.36586791</v>
      </c>
      <c r="C17" s="27">
        <f t="shared" ref="C17:BN17" si="11">C15-C16</f>
        <v>185236647.65416476</v>
      </c>
      <c r="D17" s="27">
        <f t="shared" si="11"/>
        <v>121393506.15484273</v>
      </c>
      <c r="E17" s="27">
        <f t="shared" si="11"/>
        <v>256908517.02874482</v>
      </c>
      <c r="F17" s="27">
        <f t="shared" si="11"/>
        <v>208425912.30801302</v>
      </c>
      <c r="G17" s="27">
        <f t="shared" si="11"/>
        <v>134114785.60173094</v>
      </c>
      <c r="H17" s="27">
        <f t="shared" si="11"/>
        <v>88823481.589265153</v>
      </c>
      <c r="I17" s="27">
        <f t="shared" si="11"/>
        <v>138006387.79048923</v>
      </c>
      <c r="J17" s="27">
        <f t="shared" si="11"/>
        <v>373044406.00854594</v>
      </c>
      <c r="K17" s="27">
        <f t="shared" si="11"/>
        <v>317600322.82687438</v>
      </c>
      <c r="L17" s="27">
        <f t="shared" si="11"/>
        <v>112803033.91331214</v>
      </c>
      <c r="M17" s="27">
        <f t="shared" si="11"/>
        <v>656162106.56214035</v>
      </c>
      <c r="N17" s="27">
        <f t="shared" si="11"/>
        <v>630579481.90900242</v>
      </c>
      <c r="O17" s="27">
        <f t="shared" si="11"/>
        <v>549290120.40048015</v>
      </c>
      <c r="P17" s="27">
        <f t="shared" si="11"/>
        <v>143945836.69470143</v>
      </c>
      <c r="Q17" s="27">
        <f t="shared" si="11"/>
        <v>705484959.35875249</v>
      </c>
      <c r="R17" s="27">
        <f t="shared" si="11"/>
        <v>613501663.86566031</v>
      </c>
      <c r="S17" s="27">
        <f t="shared" si="11"/>
        <v>494956164.06761038</v>
      </c>
      <c r="T17" s="27">
        <f t="shared" si="11"/>
        <v>120056425.75616467</v>
      </c>
      <c r="U17" s="27">
        <f t="shared" si="11"/>
        <v>660645571.95259309</v>
      </c>
      <c r="V17" s="27">
        <f t="shared" si="11"/>
        <v>528801311.33066797</v>
      </c>
      <c r="W17" s="27">
        <f t="shared" si="11"/>
        <v>429533731.30566072</v>
      </c>
      <c r="X17" s="27">
        <f t="shared" si="11"/>
        <v>91168568.381361529</v>
      </c>
      <c r="Y17" s="27">
        <f t="shared" si="11"/>
        <v>466153680.54271162</v>
      </c>
      <c r="Z17" s="27">
        <f t="shared" si="11"/>
        <v>362291469.13647711</v>
      </c>
      <c r="AA17" s="27">
        <f t="shared" si="11"/>
        <v>272848979.89675492</v>
      </c>
      <c r="AB17" s="27">
        <f t="shared" si="11"/>
        <v>65326844.162742242</v>
      </c>
      <c r="AC17" s="27">
        <f t="shared" si="11"/>
        <v>282577204.36179614</v>
      </c>
      <c r="AD17" s="27">
        <f t="shared" si="11"/>
        <v>217646846.11646521</v>
      </c>
      <c r="AE17" s="27">
        <f t="shared" si="11"/>
        <v>168279632.9023124</v>
      </c>
      <c r="AF17" s="27">
        <f t="shared" si="11"/>
        <v>41327447.845908925</v>
      </c>
      <c r="AG17" s="27">
        <f t="shared" si="11"/>
        <v>170486213.80909324</v>
      </c>
      <c r="AH17" s="27">
        <f t="shared" si="11"/>
        <v>174633738.76292366</v>
      </c>
      <c r="AI17" s="27">
        <f t="shared" si="11"/>
        <v>130494040.52791312</v>
      </c>
      <c r="AJ17" s="27">
        <f t="shared" si="11"/>
        <v>32288773.364936016</v>
      </c>
      <c r="AK17" s="27">
        <f t="shared" si="11"/>
        <v>222898812.38837677</v>
      </c>
      <c r="AL17" s="27">
        <f t="shared" si="11"/>
        <v>176453382.25383633</v>
      </c>
      <c r="AM17" s="27">
        <f t="shared" si="11"/>
        <v>135789775.17458239</v>
      </c>
      <c r="AN17" s="27">
        <f t="shared" si="11"/>
        <v>30302803.522775292</v>
      </c>
      <c r="AO17" s="27">
        <f t="shared" si="11"/>
        <v>184396658.67330214</v>
      </c>
      <c r="AP17" s="27">
        <f t="shared" si="11"/>
        <v>163880362.16884121</v>
      </c>
      <c r="AQ17" s="27">
        <f t="shared" si="11"/>
        <v>118304873.51043351</v>
      </c>
      <c r="AR17" s="27">
        <f t="shared" si="11"/>
        <v>26443799.869944103</v>
      </c>
      <c r="AS17" s="27">
        <f t="shared" si="11"/>
        <v>148817431.95848191</v>
      </c>
      <c r="AT17" s="27">
        <f t="shared" si="11"/>
        <v>116411690.23833416</v>
      </c>
      <c r="AU17" s="27">
        <f t="shared" si="11"/>
        <v>76862847.873185933</v>
      </c>
      <c r="AV17" s="27">
        <f t="shared" si="11"/>
        <v>24338198.73419939</v>
      </c>
      <c r="AW17" s="27">
        <f t="shared" si="11"/>
        <v>101401980.91169325</v>
      </c>
      <c r="AX17" s="27">
        <f t="shared" si="11"/>
        <v>86199914.849384919</v>
      </c>
      <c r="AY17" s="27">
        <f t="shared" si="11"/>
        <v>57467762.066388026</v>
      </c>
      <c r="AZ17" s="27">
        <f t="shared" si="11"/>
        <v>20501986.76428429</v>
      </c>
      <c r="BA17" s="27">
        <f t="shared" si="11"/>
        <v>40574280.444003314</v>
      </c>
      <c r="BB17" s="27">
        <f t="shared" si="11"/>
        <v>45156342.022035912</v>
      </c>
      <c r="BC17" s="27">
        <f t="shared" si="11"/>
        <v>32010955.57855824</v>
      </c>
      <c r="BD17" s="27">
        <f t="shared" si="11"/>
        <v>10764897.972985486</v>
      </c>
      <c r="BE17" s="27">
        <f t="shared" si="11"/>
        <v>49037425.707376473</v>
      </c>
      <c r="BF17" s="27">
        <f t="shared" si="11"/>
        <v>69246245.768914893</v>
      </c>
      <c r="BG17" s="27">
        <f t="shared" si="11"/>
        <v>48665754.439203046</v>
      </c>
      <c r="BH17" s="27">
        <f t="shared" si="11"/>
        <v>13760050.314336436</v>
      </c>
      <c r="BI17" s="27">
        <f t="shared" si="11"/>
        <v>78781189.911355808</v>
      </c>
      <c r="BJ17" s="27">
        <f t="shared" si="11"/>
        <v>80147758.132643923</v>
      </c>
      <c r="BK17" s="27">
        <f t="shared" si="11"/>
        <v>54916296.931666553</v>
      </c>
      <c r="BL17" s="27">
        <f t="shared" si="11"/>
        <v>8003293.0356297428</v>
      </c>
      <c r="BM17" s="27">
        <f t="shared" si="11"/>
        <v>54113857.354635052</v>
      </c>
      <c r="BN17" s="27">
        <f t="shared" si="11"/>
        <v>62817050.675045498</v>
      </c>
      <c r="BO17" s="27">
        <f t="shared" ref="BO17:CJ17" si="12">BO15-BO16</f>
        <v>43279169.334318802</v>
      </c>
      <c r="BP17" s="27">
        <f t="shared" si="12"/>
        <v>10416544.091849118</v>
      </c>
      <c r="BQ17" s="27">
        <f t="shared" si="12"/>
        <v>74687922.570559502</v>
      </c>
      <c r="BR17" s="27">
        <f t="shared" si="12"/>
        <v>43359661.709498249</v>
      </c>
      <c r="BS17" s="27">
        <f t="shared" si="12"/>
        <v>55614576.855124548</v>
      </c>
      <c r="BT17" s="27">
        <f t="shared" si="12"/>
        <v>52628692.213288479</v>
      </c>
      <c r="BU17" s="27">
        <f t="shared" si="12"/>
        <v>40707690.643107571</v>
      </c>
      <c r="BV17" s="27">
        <f t="shared" si="12"/>
        <v>76905280.629549995</v>
      </c>
      <c r="BW17" s="27" t="e">
        <f t="shared" si="12"/>
        <v>#DIV/0!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7.1231675041692615</v>
      </c>
      <c r="C18" s="57">
        <f t="shared" ref="C18:D18" si="13">C17/C4*100</f>
        <v>5.0539449227929296</v>
      </c>
      <c r="D18" s="57">
        <f t="shared" si="13"/>
        <v>6.5254895947432345</v>
      </c>
      <c r="E18" s="57">
        <f>E17/E4</f>
        <v>3.9595987671992086E-2</v>
      </c>
      <c r="F18" s="57">
        <f t="shared" ref="F18:BQ18" si="14">F17/F4</f>
        <v>5.3517174302988635E-2</v>
      </c>
      <c r="G18" s="57">
        <f t="shared" si="14"/>
        <v>5.0573453652062873E-2</v>
      </c>
      <c r="H18" s="57">
        <f t="shared" si="14"/>
        <v>6.6277980916834983E-2</v>
      </c>
      <c r="I18" s="57">
        <f t="shared" si="14"/>
        <v>2.5935208779394623E-2</v>
      </c>
      <c r="J18" s="57">
        <f t="shared" si="14"/>
        <v>8.7000282138031265E-2</v>
      </c>
      <c r="K18" s="57">
        <f t="shared" si="14"/>
        <v>0.10359693667868651</v>
      </c>
      <c r="L18" s="57">
        <f t="shared" si="14"/>
        <v>7.3196579559047778E-2</v>
      </c>
      <c r="M18" s="57">
        <f t="shared" si="14"/>
        <v>0.11224379460487069</v>
      </c>
      <c r="N18" s="57">
        <f t="shared" si="14"/>
        <v>0.13656114858657054</v>
      </c>
      <c r="O18" s="57">
        <f t="shared" si="14"/>
        <v>0.1708492995978918</v>
      </c>
      <c r="P18" s="57">
        <f t="shared" si="14"/>
        <v>9.025398103082892E-2</v>
      </c>
      <c r="Q18" s="57">
        <f t="shared" si="14"/>
        <v>0.13224555070744778</v>
      </c>
      <c r="R18" s="57">
        <f t="shared" si="14"/>
        <v>0.14718391382393886</v>
      </c>
      <c r="S18" s="57">
        <f t="shared" si="14"/>
        <v>0.17555502612500312</v>
      </c>
      <c r="T18" s="57">
        <f t="shared" si="14"/>
        <v>8.921476930255598E-2</v>
      </c>
      <c r="U18" s="57">
        <f t="shared" si="14"/>
        <v>0.14784492040883809</v>
      </c>
      <c r="V18" s="57">
        <f t="shared" si="14"/>
        <v>0.13179297287375089</v>
      </c>
      <c r="W18" s="57">
        <f t="shared" si="14"/>
        <v>0.15638213650716187</v>
      </c>
      <c r="X18" s="57">
        <f t="shared" si="14"/>
        <v>6.8805092733757914E-2</v>
      </c>
      <c r="Y18" s="57">
        <f t="shared" si="14"/>
        <v>0.10349489234709675</v>
      </c>
      <c r="Z18" s="57">
        <f t="shared" si="14"/>
        <v>0.10232126433307021</v>
      </c>
      <c r="AA18" s="57">
        <f t="shared" si="14"/>
        <v>0.11664745582049814</v>
      </c>
      <c r="AB18" s="57">
        <f t="shared" si="14"/>
        <v>6.1925078344766765E-2</v>
      </c>
      <c r="AC18" s="57">
        <f t="shared" si="14"/>
        <v>7.9007047710609304E-2</v>
      </c>
      <c r="AD18" s="57">
        <f t="shared" si="14"/>
        <v>7.5920670848203947E-2</v>
      </c>
      <c r="AE18" s="57">
        <f t="shared" si="14"/>
        <v>8.754707490768468E-2</v>
      </c>
      <c r="AF18" s="57">
        <f t="shared" si="14"/>
        <v>4.8990301474310993E-2</v>
      </c>
      <c r="AG18" s="57">
        <f t="shared" si="14"/>
        <v>5.510297460035754E-2</v>
      </c>
      <c r="AH18" s="57">
        <f t="shared" si="14"/>
        <v>7.1868343133478549E-2</v>
      </c>
      <c r="AI18" s="57">
        <f t="shared" si="14"/>
        <v>8.273969527709657E-2</v>
      </c>
      <c r="AJ18" s="57">
        <f t="shared" si="14"/>
        <v>4.834273281032158E-2</v>
      </c>
      <c r="AK18" s="57">
        <f t="shared" si="14"/>
        <v>8.2643411489570259E-2</v>
      </c>
      <c r="AL18" s="57">
        <f t="shared" si="14"/>
        <v>8.0884608080430187E-2</v>
      </c>
      <c r="AM18" s="57">
        <f t="shared" si="14"/>
        <v>9.5304182561726E-2</v>
      </c>
      <c r="AN18" s="57">
        <f t="shared" si="14"/>
        <v>5.2033003898050253E-2</v>
      </c>
      <c r="AO18" s="57">
        <f t="shared" si="14"/>
        <v>7.3950993212537355E-2</v>
      </c>
      <c r="AP18" s="57">
        <f t="shared" si="14"/>
        <v>7.8119326225146918E-2</v>
      </c>
      <c r="AQ18" s="57">
        <f t="shared" si="14"/>
        <v>8.5441750494648527E-2</v>
      </c>
      <c r="AR18" s="57">
        <f t="shared" si="14"/>
        <v>5.0260406958872003E-2</v>
      </c>
      <c r="AS18" s="57">
        <f t="shared" si="14"/>
        <v>6.5825151582104918E-2</v>
      </c>
      <c r="AT18" s="57">
        <f t="shared" si="14"/>
        <v>6.5400451369510698E-2</v>
      </c>
      <c r="AU18" s="57">
        <f t="shared" si="14"/>
        <v>6.6147847699068479E-2</v>
      </c>
      <c r="AV18" s="57">
        <f t="shared" si="14"/>
        <v>5.1163790161388348E-2</v>
      </c>
      <c r="AW18" s="57">
        <f t="shared" si="14"/>
        <v>4.6964180572818461E-2</v>
      </c>
      <c r="AX18" s="57">
        <f t="shared" si="14"/>
        <v>4.9368021024241586E-2</v>
      </c>
      <c r="AY18" s="57">
        <f t="shared" si="14"/>
        <v>5.2419447927054955E-2</v>
      </c>
      <c r="AZ18" s="57">
        <f t="shared" si="14"/>
        <v>4.5783514198256131E-2</v>
      </c>
      <c r="BA18" s="57">
        <f t="shared" si="14"/>
        <v>2.0819387354217504E-2</v>
      </c>
      <c r="BB18" s="57">
        <f t="shared" si="14"/>
        <v>2.9294141190767162E-2</v>
      </c>
      <c r="BC18" s="57">
        <f t="shared" si="14"/>
        <v>3.3007587733206188E-2</v>
      </c>
      <c r="BD18" s="57">
        <f t="shared" si="14"/>
        <v>2.8137757942058462E-2</v>
      </c>
      <c r="BE18" s="57">
        <f t="shared" si="14"/>
        <v>2.9382069375702848E-2</v>
      </c>
      <c r="BF18" s="57">
        <f t="shared" si="14"/>
        <v>5.3867158018743901E-2</v>
      </c>
      <c r="BG18" s="57">
        <f t="shared" si="14"/>
        <v>6.284676133307128E-2</v>
      </c>
      <c r="BH18" s="57">
        <f t="shared" si="14"/>
        <v>4.8081188097667871E-2</v>
      </c>
      <c r="BI18" s="57">
        <f t="shared" si="14"/>
        <v>5.3002180399045161E-2</v>
      </c>
      <c r="BJ18" s="57">
        <f t="shared" si="14"/>
        <v>7.019186751843666E-2</v>
      </c>
      <c r="BK18" s="57">
        <f t="shared" si="14"/>
        <v>7.4601940594630767E-2</v>
      </c>
      <c r="BL18" s="57">
        <f t="shared" si="14"/>
        <v>3.5082886052907401E-2</v>
      </c>
      <c r="BM18" s="57">
        <f t="shared" si="14"/>
        <v>3.9676273766157087E-2</v>
      </c>
      <c r="BN18" s="57">
        <f t="shared" si="14"/>
        <v>6.0353768672377753E-2</v>
      </c>
      <c r="BO18" s="57">
        <f t="shared" si="14"/>
        <v>6.3064139566582619E-2</v>
      </c>
      <c r="BP18" s="57">
        <f t="shared" si="14"/>
        <v>4.6662270242383813E-2</v>
      </c>
      <c r="BQ18" s="57">
        <f t="shared" si="14"/>
        <v>5.7194737219536398E-2</v>
      </c>
      <c r="BR18" s="57">
        <f t="shared" ref="BR18:CK18" si="15">BR17/BR4</f>
        <v>6.7866411670258073E-2</v>
      </c>
      <c r="BS18" s="57">
        <f t="shared" si="15"/>
        <v>4.6844472786757879E-2</v>
      </c>
      <c r="BT18" s="57">
        <f t="shared" si="15"/>
        <v>4.8601307345777015E-2</v>
      </c>
      <c r="BU18" s="57">
        <f t="shared" si="15"/>
        <v>4.1453459468391435E-2</v>
      </c>
      <c r="BV18" s="57">
        <f t="shared" si="15"/>
        <v>8.5472317167701067E-2</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57280052.119999997</v>
      </c>
      <c r="C20" s="189">
        <v>34067239.159999996</v>
      </c>
      <c r="D20" s="189">
        <v>29133383.170000002</v>
      </c>
      <c r="E20" s="189">
        <v>13640047.91</v>
      </c>
      <c r="F20" s="189">
        <v>-9779217.0399999991</v>
      </c>
      <c r="G20" s="189">
        <v>1888578.09</v>
      </c>
      <c r="H20" s="189">
        <v>3529220.26</v>
      </c>
      <c r="I20" s="189">
        <v>-6260016.5599999996</v>
      </c>
      <c r="J20" s="189">
        <v>1384562.93</v>
      </c>
      <c r="K20" s="189">
        <v>6836638.21</v>
      </c>
      <c r="L20" s="189">
        <v>6712552.8799999999</v>
      </c>
      <c r="M20" s="189">
        <v>1744569118.03</v>
      </c>
      <c r="N20" s="189">
        <v>144572480.52000001</v>
      </c>
      <c r="O20" s="189">
        <v>87983530.760000005</v>
      </c>
      <c r="P20" s="189">
        <v>41125567.539999999</v>
      </c>
      <c r="Q20" s="189">
        <v>180202438.43000001</v>
      </c>
      <c r="R20" s="189">
        <v>114779536.18000001</v>
      </c>
      <c r="S20" s="189">
        <v>73413259.120000005</v>
      </c>
      <c r="T20" s="189">
        <v>41448239.780000001</v>
      </c>
      <c r="U20" s="189">
        <v>141164887.13999999</v>
      </c>
      <c r="V20" s="189">
        <v>105608623.76000001</v>
      </c>
      <c r="W20" s="189">
        <v>68271588.920000002</v>
      </c>
      <c r="X20" s="189">
        <v>36033744.43</v>
      </c>
      <c r="Y20" s="189">
        <v>166077661.78</v>
      </c>
      <c r="Z20" s="189">
        <v>85105430.769999996</v>
      </c>
      <c r="AA20" s="189">
        <v>52546544.939999998</v>
      </c>
      <c r="AB20" s="189">
        <v>29535114.41</v>
      </c>
      <c r="AC20" s="189">
        <v>87553913.620000005</v>
      </c>
      <c r="AD20" s="189">
        <v>70370262.439999998</v>
      </c>
      <c r="AE20" s="189">
        <v>43742157.560000002</v>
      </c>
      <c r="AF20" s="189">
        <v>23212054.02</v>
      </c>
      <c r="AG20" s="189">
        <v>88817271.540000007</v>
      </c>
      <c r="AH20" s="189">
        <v>29440902.550000001</v>
      </c>
      <c r="AI20" s="189">
        <v>23366795.699999999</v>
      </c>
      <c r="AJ20" s="189">
        <v>10880707.460000001</v>
      </c>
      <c r="AK20" s="189">
        <v>21083492.84</v>
      </c>
      <c r="AL20" s="189">
        <v>12959844.82</v>
      </c>
      <c r="AM20" s="189">
        <v>9606338.4199999999</v>
      </c>
      <c r="AN20" s="189">
        <v>7002111.2999999998</v>
      </c>
      <c r="AO20" s="189">
        <v>13298216.779999999</v>
      </c>
      <c r="AP20" s="189">
        <v>4629247.9000000004</v>
      </c>
      <c r="AQ20" s="189">
        <v>3692387.72</v>
      </c>
      <c r="AR20" s="189">
        <v>9109826.0700000003</v>
      </c>
      <c r="AS20" s="189">
        <v>-2102286.02</v>
      </c>
      <c r="AT20" s="189">
        <v>0</v>
      </c>
      <c r="AU20" s="189">
        <v>0</v>
      </c>
      <c r="AV20" s="189">
        <v>60612.02</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c r="BY20" s="189"/>
      <c r="BZ20" s="189"/>
      <c r="CA20" s="189"/>
      <c r="CB20" s="189"/>
      <c r="CC20" s="189"/>
      <c r="CD20" s="189"/>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-2857566</v>
      </c>
      <c r="C22" s="189">
        <v>-2857566</v>
      </c>
      <c r="D22" s="189">
        <v>-1321595.3</v>
      </c>
      <c r="E22" s="189">
        <v>-2119167.87</v>
      </c>
      <c r="F22" s="189">
        <v>-399266.21</v>
      </c>
      <c r="G22" s="189">
        <v>-666741.01</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c r="BY22" s="189"/>
      <c r="BZ22" s="189"/>
      <c r="CA22" s="189"/>
      <c r="CB22" s="189"/>
      <c r="CC22" s="189"/>
      <c r="CD22" s="189"/>
      <c r="CE22" s="189"/>
      <c r="CF22" s="189"/>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35735087.560000002</v>
      </c>
      <c r="F23" s="29">
        <f t="shared" si="16"/>
        <v>34414</v>
      </c>
      <c r="G23" s="29">
        <f t="shared" si="16"/>
        <v>23309</v>
      </c>
      <c r="H23" s="29">
        <f t="shared" si="16"/>
        <v>16814</v>
      </c>
      <c r="I23" s="29">
        <f t="shared" si="16"/>
        <v>72349678.969999999</v>
      </c>
      <c r="J23" s="29">
        <f t="shared" si="16"/>
        <v>0</v>
      </c>
      <c r="K23" s="29">
        <f t="shared" si="16"/>
        <v>0</v>
      </c>
      <c r="L23" s="29">
        <f t="shared" si="16"/>
        <v>0</v>
      </c>
      <c r="M23" s="29">
        <f t="shared" si="16"/>
        <v>51388727.25</v>
      </c>
      <c r="N23" s="29">
        <f t="shared" si="16"/>
        <v>0</v>
      </c>
      <c r="O23" s="29">
        <f t="shared" si="16"/>
        <v>0</v>
      </c>
      <c r="P23" s="29">
        <f t="shared" si="16"/>
        <v>0</v>
      </c>
      <c r="Q23" s="29">
        <f t="shared" si="16"/>
        <v>26600690.32</v>
      </c>
      <c r="R23" s="29">
        <f t="shared" si="16"/>
        <v>0</v>
      </c>
      <c r="S23" s="29">
        <f t="shared" si="16"/>
        <v>0</v>
      </c>
      <c r="T23" s="29">
        <f t="shared" si="16"/>
        <v>0</v>
      </c>
      <c r="U23" s="29">
        <f t="shared" si="16"/>
        <v>24591620.98</v>
      </c>
      <c r="V23" s="29">
        <f t="shared" si="16"/>
        <v>0</v>
      </c>
      <c r="W23" s="29">
        <f t="shared" si="16"/>
        <v>0</v>
      </c>
      <c r="X23" s="29">
        <f t="shared" si="16"/>
        <v>0</v>
      </c>
      <c r="Y23" s="29">
        <f t="shared" si="16"/>
        <v>20053586.050000001</v>
      </c>
      <c r="Z23" s="29">
        <f t="shared" si="16"/>
        <v>0</v>
      </c>
      <c r="AA23" s="29">
        <f t="shared" si="16"/>
        <v>0</v>
      </c>
      <c r="AB23" s="29">
        <f t="shared" si="16"/>
        <v>0</v>
      </c>
      <c r="AC23" s="29">
        <f t="shared" si="16"/>
        <v>13554928.050000001</v>
      </c>
      <c r="AD23" s="29">
        <f t="shared" si="16"/>
        <v>0</v>
      </c>
      <c r="AE23" s="29">
        <f t="shared" si="16"/>
        <v>0</v>
      </c>
      <c r="AF23" s="29">
        <f t="shared" si="16"/>
        <v>0</v>
      </c>
      <c r="AG23" s="29">
        <f t="shared" si="16"/>
        <v>7441222.1100000003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37171271.780000009</v>
      </c>
      <c r="C24" s="26">
        <f t="shared" ref="C24:BN24" si="18">C67</f>
        <v>29829490.950000003</v>
      </c>
      <c r="D24" s="26">
        <f t="shared" si="18"/>
        <v>14718422.549999997</v>
      </c>
      <c r="E24" s="26">
        <f>E67</f>
        <v>131899183.71000001</v>
      </c>
      <c r="F24" s="26">
        <f t="shared" si="18"/>
        <v>52866331.990000002</v>
      </c>
      <c r="G24" s="26">
        <f t="shared" si="18"/>
        <v>35484685.969999999</v>
      </c>
      <c r="H24" s="26">
        <f t="shared" si="18"/>
        <v>8378301.3800000008</v>
      </c>
      <c r="I24" s="26">
        <f t="shared" si="18"/>
        <v>27651524.219999999</v>
      </c>
      <c r="J24" s="26">
        <f t="shared" si="18"/>
        <v>22401578.080000002</v>
      </c>
      <c r="K24" s="26">
        <f t="shared" si="18"/>
        <v>17616536.98</v>
      </c>
      <c r="L24" s="26">
        <f t="shared" si="18"/>
        <v>0</v>
      </c>
      <c r="M24" s="26">
        <f t="shared" si="18"/>
        <v>42809130.019999981</v>
      </c>
      <c r="N24" s="26">
        <f t="shared" si="18"/>
        <v>18505814.959999979</v>
      </c>
      <c r="O24" s="26">
        <f t="shared" si="18"/>
        <v>11089170.469999999</v>
      </c>
      <c r="P24" s="26">
        <f t="shared" si="18"/>
        <v>5712280.9399999976</v>
      </c>
      <c r="Q24" s="26">
        <f t="shared" si="18"/>
        <v>45460673.859999985</v>
      </c>
      <c r="R24" s="26">
        <f t="shared" si="18"/>
        <v>19223439.059999987</v>
      </c>
      <c r="S24" s="26">
        <f t="shared" si="18"/>
        <v>14473439.060000002</v>
      </c>
      <c r="T24" s="26">
        <f t="shared" si="18"/>
        <v>4814541.5300000012</v>
      </c>
      <c r="U24" s="26">
        <f t="shared" si="18"/>
        <v>20632036.830000013</v>
      </c>
      <c r="V24" s="26">
        <f t="shared" si="18"/>
        <v>0</v>
      </c>
      <c r="W24" s="26">
        <f t="shared" si="18"/>
        <v>0</v>
      </c>
      <c r="X24" s="26">
        <f t="shared" si="18"/>
        <v>0</v>
      </c>
      <c r="Y24" s="26">
        <f t="shared" si="18"/>
        <v>1815515.3199999928</v>
      </c>
      <c r="Z24" s="26">
        <f t="shared" si="18"/>
        <v>53572389.700000003</v>
      </c>
      <c r="AA24" s="26">
        <f t="shared" si="18"/>
        <v>55650419.320000008</v>
      </c>
      <c r="AB24" s="26">
        <f t="shared" si="18"/>
        <v>-253860.30000000075</v>
      </c>
      <c r="AC24" s="26">
        <f t="shared" si="18"/>
        <v>1183381.6999999881</v>
      </c>
      <c r="AD24" s="26">
        <f t="shared" si="18"/>
        <v>378472.68999999762</v>
      </c>
      <c r="AE24" s="26">
        <f t="shared" si="18"/>
        <v>-3912.3100000023842</v>
      </c>
      <c r="AF24" s="26">
        <f t="shared" si="18"/>
        <v>-3904.519999999553</v>
      </c>
      <c r="AG24" s="26">
        <f t="shared" si="18"/>
        <v>12486.959999993443</v>
      </c>
      <c r="AH24" s="26">
        <f t="shared" si="18"/>
        <v>512486.96999999881</v>
      </c>
      <c r="AI24" s="26">
        <f t="shared" si="18"/>
        <v>0</v>
      </c>
      <c r="AJ24" s="26">
        <f t="shared" si="18"/>
        <v>0</v>
      </c>
      <c r="AK24" s="26">
        <f t="shared" si="18"/>
        <v>656875.12000000104</v>
      </c>
      <c r="AL24" s="26">
        <f t="shared" si="18"/>
        <v>0</v>
      </c>
      <c r="AM24" s="26">
        <f t="shared" si="18"/>
        <v>0</v>
      </c>
      <c r="AN24" s="26">
        <f t="shared" si="18"/>
        <v>0</v>
      </c>
      <c r="AO24" s="26">
        <f t="shared" si="18"/>
        <v>-122723.46999999881</v>
      </c>
      <c r="AP24" s="26">
        <f t="shared" si="18"/>
        <v>-927180.15000000037</v>
      </c>
      <c r="AQ24" s="26">
        <f t="shared" si="18"/>
        <v>-927180.14000000013</v>
      </c>
      <c r="AR24" s="26">
        <f t="shared" si="18"/>
        <v>-1267835.2800000003</v>
      </c>
      <c r="AS24" s="26">
        <f t="shared" si="18"/>
        <v>18181249</v>
      </c>
      <c r="AT24" s="26">
        <f t="shared" si="18"/>
        <v>3236559.9</v>
      </c>
      <c r="AU24" s="26">
        <f t="shared" si="18"/>
        <v>4649050.3899999997</v>
      </c>
      <c r="AV24" s="26">
        <f t="shared" si="18"/>
        <v>1495173.8699999999</v>
      </c>
      <c r="AW24" s="26">
        <f t="shared" si="18"/>
        <v>-16137098.34</v>
      </c>
      <c r="AX24" s="26">
        <f t="shared" si="18"/>
        <v>-4141922.58</v>
      </c>
      <c r="AY24" s="26">
        <f t="shared" si="18"/>
        <v>4005997.32</v>
      </c>
      <c r="AZ24" s="26">
        <f t="shared" si="18"/>
        <v>548355.6</v>
      </c>
      <c r="BA24" s="26">
        <f t="shared" si="18"/>
        <v>-3964347.8</v>
      </c>
      <c r="BB24" s="26">
        <f t="shared" si="18"/>
        <v>2102341.77</v>
      </c>
      <c r="BC24" s="26">
        <f t="shared" si="18"/>
        <v>1646595.15</v>
      </c>
      <c r="BD24" s="26">
        <f t="shared" si="18"/>
        <v>2885327.62</v>
      </c>
      <c r="BE24" s="26">
        <f t="shared" si="18"/>
        <v>-918242.19</v>
      </c>
      <c r="BF24" s="26">
        <f t="shared" si="18"/>
        <v>-2764685.08</v>
      </c>
      <c r="BG24" s="26">
        <f t="shared" si="18"/>
        <v>-1671095.51</v>
      </c>
      <c r="BH24" s="26">
        <f t="shared" si="18"/>
        <v>3191947.73</v>
      </c>
      <c r="BI24" s="26">
        <f t="shared" si="18"/>
        <v>9725621.0500000007</v>
      </c>
      <c r="BJ24" s="26">
        <f t="shared" si="18"/>
        <v>73489.41</v>
      </c>
      <c r="BK24" s="26">
        <f t="shared" si="18"/>
        <v>2562863.19</v>
      </c>
      <c r="BL24" s="26">
        <f t="shared" si="18"/>
        <v>3824593.08</v>
      </c>
      <c r="BM24" s="26">
        <f t="shared" si="18"/>
        <v>17809033.329999998</v>
      </c>
      <c r="BN24" s="26">
        <f t="shared" si="18"/>
        <v>10451253.470000001</v>
      </c>
      <c r="BO24" s="26">
        <f t="shared" ref="BO24:CJ24" si="19">BO67</f>
        <v>9260567.6899999995</v>
      </c>
      <c r="BP24" s="26">
        <f t="shared" si="19"/>
        <v>1019848.52</v>
      </c>
      <c r="BQ24" s="26">
        <f t="shared" si="19"/>
        <v>-2039196.13</v>
      </c>
      <c r="BR24" s="26">
        <f t="shared" si="19"/>
        <v>432184.41</v>
      </c>
      <c r="BS24" s="26">
        <f t="shared" si="19"/>
        <v>-33688.050000000003</v>
      </c>
      <c r="BT24" s="26">
        <f t="shared" si="19"/>
        <v>-260326.38</v>
      </c>
      <c r="BU24" s="26">
        <f t="shared" si="19"/>
        <v>7112492.3799999999</v>
      </c>
      <c r="BV24" s="26">
        <f t="shared" si="19"/>
        <v>-4932436.7300000004</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-4345082.42</v>
      </c>
      <c r="F25" s="29">
        <f t="shared" si="20"/>
        <v>-2684</v>
      </c>
      <c r="G25" s="29">
        <f t="shared" si="20"/>
        <v>377</v>
      </c>
      <c r="H25" s="29">
        <f t="shared" si="20"/>
        <v>-1008</v>
      </c>
      <c r="I25" s="29">
        <f t="shared" si="20"/>
        <v>-34263963.299999997</v>
      </c>
      <c r="J25" s="29">
        <f t="shared" si="20"/>
        <v>0</v>
      </c>
      <c r="K25" s="29">
        <f t="shared" si="20"/>
        <v>0</v>
      </c>
      <c r="L25" s="29">
        <f t="shared" si="20"/>
        <v>0</v>
      </c>
      <c r="M25" s="29">
        <f t="shared" si="20"/>
        <v>-222358.58</v>
      </c>
      <c r="N25" s="29">
        <f t="shared" si="20"/>
        <v>0</v>
      </c>
      <c r="O25" s="29">
        <f t="shared" si="20"/>
        <v>0</v>
      </c>
      <c r="P25" s="29">
        <f t="shared" si="20"/>
        <v>0</v>
      </c>
      <c r="Q25" s="29">
        <f t="shared" si="20"/>
        <v>-33240.78</v>
      </c>
      <c r="R25" s="29">
        <f t="shared" si="20"/>
        <v>0</v>
      </c>
      <c r="S25" s="29">
        <f t="shared" si="20"/>
        <v>0</v>
      </c>
      <c r="T25" s="29">
        <f t="shared" si="20"/>
        <v>0</v>
      </c>
      <c r="U25" s="29">
        <f t="shared" si="20"/>
        <v>-223292.98</v>
      </c>
      <c r="V25" s="29">
        <f t="shared" si="20"/>
        <v>0</v>
      </c>
      <c r="W25" s="29">
        <f t="shared" si="20"/>
        <v>0</v>
      </c>
      <c r="X25" s="29">
        <f t="shared" si="20"/>
        <v>0</v>
      </c>
      <c r="Y25" s="29">
        <f t="shared" si="20"/>
        <v>-311206.77</v>
      </c>
      <c r="Z25" s="29">
        <f t="shared" si="20"/>
        <v>0</v>
      </c>
      <c r="AA25" s="29">
        <f t="shared" si="20"/>
        <v>0</v>
      </c>
      <c r="AB25" s="29">
        <f t="shared" si="20"/>
        <v>0</v>
      </c>
      <c r="AC25" s="29">
        <f t="shared" si="20"/>
        <v>229707.89</v>
      </c>
      <c r="AD25" s="29">
        <f t="shared" si="20"/>
        <v>0</v>
      </c>
      <c r="AE25" s="29">
        <f t="shared" si="20"/>
        <v>0</v>
      </c>
      <c r="AF25" s="29">
        <f t="shared" si="20"/>
        <v>0</v>
      </c>
      <c r="AG25" s="29">
        <f t="shared" si="20"/>
        <v>21737.01</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105287615.7</v>
      </c>
      <c r="C26" s="189">
        <v>44298471.009999998</v>
      </c>
      <c r="D26" s="189">
        <v>74524561.200000003</v>
      </c>
      <c r="E26" s="189">
        <v>39471772.520000003</v>
      </c>
      <c r="F26" s="189">
        <v>25467495.850000001</v>
      </c>
      <c r="G26" s="189">
        <v>9416566.2400000002</v>
      </c>
      <c r="H26" s="189">
        <v>3172270.62</v>
      </c>
      <c r="I26" s="189">
        <v>-7424785.96</v>
      </c>
      <c r="J26" s="189">
        <v>-13285391.289999999</v>
      </c>
      <c r="K26" s="189">
        <v>-16300475.720000001</v>
      </c>
      <c r="L26" s="189">
        <v>-6367526.5899999999</v>
      </c>
      <c r="M26" s="189">
        <v>49003808.479999997</v>
      </c>
      <c r="N26" s="189">
        <v>33128575.16</v>
      </c>
      <c r="O26" s="189">
        <v>91048328.540000007</v>
      </c>
      <c r="P26" s="189">
        <v>-879685.43</v>
      </c>
      <c r="Q26" s="189">
        <v>-7971639.21</v>
      </c>
      <c r="R26" s="189">
        <v>7528320.3499999996</v>
      </c>
      <c r="S26" s="189">
        <v>3932696.72</v>
      </c>
      <c r="T26" s="189">
        <v>-281783.76</v>
      </c>
      <c r="U26" s="189">
        <v>3897058.6</v>
      </c>
      <c r="V26" s="189">
        <v>18063153.420000002</v>
      </c>
      <c r="W26" s="189">
        <v>15236224.15</v>
      </c>
      <c r="X26" s="189">
        <v>8555919.7799999993</v>
      </c>
      <c r="Y26" s="189">
        <v>7749869.9500000002</v>
      </c>
      <c r="Z26" s="189">
        <v>115828.61</v>
      </c>
      <c r="AA26" s="189">
        <v>31013.19</v>
      </c>
      <c r="AB26" s="189">
        <v>58804.19</v>
      </c>
      <c r="AC26" s="189">
        <v>-415622.86</v>
      </c>
      <c r="AD26" s="189">
        <v>-302180.96000000002</v>
      </c>
      <c r="AE26" s="189">
        <v>-92223</v>
      </c>
      <c r="AF26" s="189">
        <v>-28320.67</v>
      </c>
      <c r="AG26" s="189">
        <v>-402178.99</v>
      </c>
      <c r="AH26" s="189">
        <v>-112477.2</v>
      </c>
      <c r="AI26" s="189">
        <v>-53660.04</v>
      </c>
      <c r="AJ26" s="189">
        <v>0</v>
      </c>
      <c r="AK26" s="189">
        <v>-7654.48</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c r="BY26" s="189"/>
      <c r="BZ26" s="189"/>
      <c r="CA26" s="189"/>
      <c r="CB26" s="189"/>
      <c r="CC26" s="189"/>
      <c r="CD26" s="189"/>
      <c r="CE26" s="189"/>
      <c r="CF26" s="189"/>
      <c r="CG26" s="189"/>
      <c r="CH26" s="189"/>
      <c r="CI26" s="189"/>
      <c r="CJ26" s="189"/>
      <c r="CK26" s="189"/>
    </row>
    <row r="27" spans="1:89" x14ac:dyDescent="0.25">
      <c r="A27" s="17" t="s">
        <v>405</v>
      </c>
      <c r="B27" s="26">
        <f>SUM(B22:B26)</f>
        <v>139623853.48000002</v>
      </c>
      <c r="C27" s="26">
        <f t="shared" ref="C27:BN27" si="22">SUM(C22:C26)</f>
        <v>71299537.960000008</v>
      </c>
      <c r="D27" s="26">
        <f t="shared" si="22"/>
        <v>87957045.450000003</v>
      </c>
      <c r="E27" s="26">
        <f t="shared" si="22"/>
        <v>200641793.50000003</v>
      </c>
      <c r="F27" s="26">
        <f t="shared" si="22"/>
        <v>77966291.629999995</v>
      </c>
      <c r="G27" s="26">
        <f t="shared" si="22"/>
        <v>44258197.200000003</v>
      </c>
      <c r="H27" s="26">
        <f t="shared" si="22"/>
        <v>11566378</v>
      </c>
      <c r="I27" s="26">
        <f t="shared" si="22"/>
        <v>58312453.93</v>
      </c>
      <c r="J27" s="26">
        <f t="shared" si="22"/>
        <v>9116186.7900000028</v>
      </c>
      <c r="K27" s="26">
        <f t="shared" si="22"/>
        <v>1316061.2599999998</v>
      </c>
      <c r="L27" s="26">
        <f t="shared" si="22"/>
        <v>-6367526.5899999999</v>
      </c>
      <c r="M27" s="26">
        <f t="shared" si="22"/>
        <v>142979307.16999999</v>
      </c>
      <c r="N27" s="26">
        <f t="shared" si="22"/>
        <v>51634390.119999975</v>
      </c>
      <c r="O27" s="26">
        <f t="shared" si="22"/>
        <v>102137499.01000001</v>
      </c>
      <c r="P27" s="26">
        <f t="shared" si="22"/>
        <v>4832595.5099999979</v>
      </c>
      <c r="Q27" s="26">
        <f t="shared" si="22"/>
        <v>64056484.189999975</v>
      </c>
      <c r="R27" s="26">
        <f t="shared" si="22"/>
        <v>26751759.409999989</v>
      </c>
      <c r="S27" s="26">
        <f t="shared" si="22"/>
        <v>18406135.780000001</v>
      </c>
      <c r="T27" s="26">
        <f t="shared" si="22"/>
        <v>4532757.7700000014</v>
      </c>
      <c r="U27" s="26">
        <f t="shared" si="22"/>
        <v>48897423.430000022</v>
      </c>
      <c r="V27" s="26">
        <f t="shared" si="22"/>
        <v>18063153.420000002</v>
      </c>
      <c r="W27" s="26">
        <f t="shared" si="22"/>
        <v>15236224.15</v>
      </c>
      <c r="X27" s="26">
        <f t="shared" si="22"/>
        <v>8555919.7799999993</v>
      </c>
      <c r="Y27" s="26">
        <f t="shared" si="22"/>
        <v>29307764.549999993</v>
      </c>
      <c r="Z27" s="26">
        <f t="shared" si="22"/>
        <v>53688218.310000002</v>
      </c>
      <c r="AA27" s="26">
        <f t="shared" si="22"/>
        <v>55681432.510000005</v>
      </c>
      <c r="AB27" s="26">
        <f t="shared" si="22"/>
        <v>-195056.11000000074</v>
      </c>
      <c r="AC27" s="26">
        <f t="shared" si="22"/>
        <v>14552394.77999999</v>
      </c>
      <c r="AD27" s="26">
        <f t="shared" si="22"/>
        <v>76291.729999997595</v>
      </c>
      <c r="AE27" s="26">
        <f t="shared" si="22"/>
        <v>-96135.310000002384</v>
      </c>
      <c r="AF27" s="26">
        <f t="shared" si="22"/>
        <v>-32225.189999999551</v>
      </c>
      <c r="AG27" s="26">
        <f t="shared" si="22"/>
        <v>7073267.0899999933</v>
      </c>
      <c r="AH27" s="26">
        <f t="shared" si="22"/>
        <v>400009.7699999988</v>
      </c>
      <c r="AI27" s="26">
        <f t="shared" si="22"/>
        <v>-53660.04</v>
      </c>
      <c r="AJ27" s="26">
        <f t="shared" si="22"/>
        <v>0</v>
      </c>
      <c r="AK27" s="26">
        <f t="shared" si="22"/>
        <v>649220.64000000106</v>
      </c>
      <c r="AL27" s="26">
        <f t="shared" si="22"/>
        <v>0</v>
      </c>
      <c r="AM27" s="26">
        <f t="shared" si="22"/>
        <v>0</v>
      </c>
      <c r="AN27" s="26">
        <f t="shared" si="22"/>
        <v>0</v>
      </c>
      <c r="AO27" s="26">
        <f t="shared" si="22"/>
        <v>-122723.46999999881</v>
      </c>
      <c r="AP27" s="26">
        <f t="shared" si="22"/>
        <v>-927180.15000000037</v>
      </c>
      <c r="AQ27" s="26">
        <f t="shared" si="22"/>
        <v>-927180.14000000013</v>
      </c>
      <c r="AR27" s="26">
        <f t="shared" si="22"/>
        <v>-1267835.2800000003</v>
      </c>
      <c r="AS27" s="26">
        <f t="shared" si="22"/>
        <v>18181249</v>
      </c>
      <c r="AT27" s="26">
        <f t="shared" si="22"/>
        <v>3236559.9</v>
      </c>
      <c r="AU27" s="26">
        <f t="shared" si="22"/>
        <v>4649050.3899999997</v>
      </c>
      <c r="AV27" s="26">
        <f t="shared" si="22"/>
        <v>1495173.8699999999</v>
      </c>
      <c r="AW27" s="26">
        <f t="shared" si="22"/>
        <v>-16137098.34</v>
      </c>
      <c r="AX27" s="26">
        <f t="shared" si="22"/>
        <v>-4141922.58</v>
      </c>
      <c r="AY27" s="26">
        <f t="shared" si="22"/>
        <v>4005997.32</v>
      </c>
      <c r="AZ27" s="26">
        <f t="shared" si="22"/>
        <v>548355.6</v>
      </c>
      <c r="BA27" s="26">
        <f t="shared" si="22"/>
        <v>-3964347.8</v>
      </c>
      <c r="BB27" s="26">
        <f t="shared" si="22"/>
        <v>2102341.77</v>
      </c>
      <c r="BC27" s="26">
        <f t="shared" si="22"/>
        <v>1646595.15</v>
      </c>
      <c r="BD27" s="26">
        <f t="shared" si="22"/>
        <v>2885327.62</v>
      </c>
      <c r="BE27" s="26">
        <f t="shared" si="22"/>
        <v>-918242.19</v>
      </c>
      <c r="BF27" s="26">
        <f t="shared" si="22"/>
        <v>-2764685.08</v>
      </c>
      <c r="BG27" s="26">
        <f t="shared" si="22"/>
        <v>-1671095.51</v>
      </c>
      <c r="BH27" s="26">
        <f t="shared" si="22"/>
        <v>3191947.73</v>
      </c>
      <c r="BI27" s="26">
        <f t="shared" si="22"/>
        <v>9725621.0500000007</v>
      </c>
      <c r="BJ27" s="26">
        <f t="shared" si="22"/>
        <v>73489.41</v>
      </c>
      <c r="BK27" s="26">
        <f t="shared" si="22"/>
        <v>2562863.19</v>
      </c>
      <c r="BL27" s="26">
        <f t="shared" si="22"/>
        <v>3824593.08</v>
      </c>
      <c r="BM27" s="26">
        <f t="shared" si="22"/>
        <v>17809033.329999998</v>
      </c>
      <c r="BN27" s="26">
        <f t="shared" si="22"/>
        <v>10451253.470000001</v>
      </c>
      <c r="BO27" s="26">
        <f t="shared" ref="BO27:CJ27" si="23">SUM(BO22:BO26)</f>
        <v>9260567.6899999995</v>
      </c>
      <c r="BP27" s="26">
        <f t="shared" si="23"/>
        <v>1019848.52</v>
      </c>
      <c r="BQ27" s="26">
        <f t="shared" si="23"/>
        <v>-2039196.13</v>
      </c>
      <c r="BR27" s="26">
        <f t="shared" si="23"/>
        <v>432184.41</v>
      </c>
      <c r="BS27" s="26">
        <f t="shared" si="23"/>
        <v>-33688.050000000003</v>
      </c>
      <c r="BT27" s="26">
        <f t="shared" si="23"/>
        <v>-260326.38</v>
      </c>
      <c r="BU27" s="26">
        <f t="shared" si="23"/>
        <v>7112492.3799999999</v>
      </c>
      <c r="BV27" s="26">
        <f t="shared" si="23"/>
        <v>-4932436.7300000004</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4123641.3948891535</v>
      </c>
      <c r="C28" s="26">
        <f t="shared" ref="C28:BN28" si="24">SUM(C22:C25)*C41</f>
        <v>4494998.8170760693</v>
      </c>
      <c r="D28" s="26">
        <f t="shared" si="24"/>
        <v>1793035.6819297734</v>
      </c>
      <c r="E28" s="26">
        <f t="shared" si="24"/>
        <v>28486767.242016144</v>
      </c>
      <c r="F28" s="26">
        <f t="shared" si="24"/>
        <v>8605706.5020055994</v>
      </c>
      <c r="G28" s="26">
        <f t="shared" si="24"/>
        <v>5862755.9094872065</v>
      </c>
      <c r="H28" s="26">
        <f t="shared" si="24"/>
        <v>836735.2800804748</v>
      </c>
      <c r="I28" s="26">
        <f t="shared" si="24"/>
        <v>19897751.860854041</v>
      </c>
      <c r="J28" s="26">
        <f t="shared" si="24"/>
        <v>4088704.065098159</v>
      </c>
      <c r="K28" s="26">
        <f t="shared" si="24"/>
        <v>2884951.2541135554</v>
      </c>
      <c r="L28" s="26">
        <f t="shared" si="24"/>
        <v>0</v>
      </c>
      <c r="M28" s="26">
        <f t="shared" si="24"/>
        <v>14195552.702067859</v>
      </c>
      <c r="N28" s="26">
        <f t="shared" si="24"/>
        <v>3211316.5323359114</v>
      </c>
      <c r="O28" s="26">
        <f t="shared" si="24"/>
        <v>1584659.8928746337</v>
      </c>
      <c r="P28" s="26">
        <f t="shared" si="24"/>
        <v>780562.03005102603</v>
      </c>
      <c r="Q28" s="26">
        <f t="shared" si="24"/>
        <v>14924640.418825435</v>
      </c>
      <c r="R28" s="26">
        <f t="shared" si="24"/>
        <v>3277253.2308883858</v>
      </c>
      <c r="S28" s="26">
        <f t="shared" si="24"/>
        <v>2299426.3003219697</v>
      </c>
      <c r="T28" s="26">
        <f t="shared" si="24"/>
        <v>661947.04695146065</v>
      </c>
      <c r="U28" s="26">
        <f t="shared" si="24"/>
        <v>6591943.9953773534</v>
      </c>
      <c r="V28" s="26">
        <f t="shared" si="24"/>
        <v>0</v>
      </c>
      <c r="W28" s="26">
        <f t="shared" si="24"/>
        <v>0</v>
      </c>
      <c r="X28" s="26">
        <f t="shared" si="24"/>
        <v>0</v>
      </c>
      <c r="Y28" s="26">
        <f t="shared" si="24"/>
        <v>2821967.4886795389</v>
      </c>
      <c r="Z28" s="26">
        <f t="shared" si="24"/>
        <v>11517797.626343302</v>
      </c>
      <c r="AA28" s="26">
        <f t="shared" si="24"/>
        <v>12672604.694927206</v>
      </c>
      <c r="AB28" s="26">
        <f t="shared" si="24"/>
        <v>-57241.635442658015</v>
      </c>
      <c r="AC28" s="26">
        <f t="shared" si="24"/>
        <v>2901056.3631959716</v>
      </c>
      <c r="AD28" s="26">
        <f t="shared" si="24"/>
        <v>75083.747477403434</v>
      </c>
      <c r="AE28" s="26">
        <f t="shared" si="24"/>
        <v>-910.27886413001931</v>
      </c>
      <c r="AF28" s="26">
        <f t="shared" si="24"/>
        <v>-931.68423973972835</v>
      </c>
      <c r="AG28" s="26">
        <f t="shared" si="24"/>
        <v>1310425.783489841</v>
      </c>
      <c r="AH28" s="26">
        <f t="shared" si="24"/>
        <v>59004.991342497829</v>
      </c>
      <c r="AI28" s="26">
        <f t="shared" si="24"/>
        <v>0</v>
      </c>
      <c r="AJ28" s="26">
        <f t="shared" si="24"/>
        <v>0</v>
      </c>
      <c r="AK28" s="26">
        <f t="shared" si="24"/>
        <v>124219.63959866576</v>
      </c>
      <c r="AL28" s="26">
        <f t="shared" si="24"/>
        <v>0</v>
      </c>
      <c r="AM28" s="26">
        <f t="shared" si="24"/>
        <v>0</v>
      </c>
      <c r="AN28" s="26">
        <f t="shared" si="24"/>
        <v>0</v>
      </c>
      <c r="AO28" s="26">
        <f t="shared" si="24"/>
        <v>-23544.856164295401</v>
      </c>
      <c r="AP28" s="26">
        <f t="shared" si="24"/>
        <v>-133787.44141860932</v>
      </c>
      <c r="AQ28" s="26">
        <f t="shared" si="24"/>
        <v>-187513.75968962928</v>
      </c>
      <c r="AR28" s="26">
        <f t="shared" si="24"/>
        <v>-419210.88805873966</v>
      </c>
      <c r="AS28" s="26">
        <f t="shared" si="24"/>
        <v>3911529.2663679086</v>
      </c>
      <c r="AT28" s="26">
        <f t="shared" si="24"/>
        <v>688660.39203924127</v>
      </c>
      <c r="AU28" s="26">
        <f t="shared" si="24"/>
        <v>1103038.1926006672</v>
      </c>
      <c r="AV28" s="26">
        <f t="shared" si="24"/>
        <v>451662.75591371371</v>
      </c>
      <c r="AW28" s="26">
        <f t="shared" si="24"/>
        <v>-4118701.5485975211</v>
      </c>
      <c r="AX28" s="26">
        <f t="shared" si="24"/>
        <v>-673634.82718755724</v>
      </c>
      <c r="AY28" s="26">
        <f t="shared" si="24"/>
        <v>640236.5604165867</v>
      </c>
      <c r="AZ28" s="26">
        <f t="shared" si="24"/>
        <v>128536.74388361402</v>
      </c>
      <c r="BA28" s="26">
        <f t="shared" si="24"/>
        <v>-602041.51990607311</v>
      </c>
      <c r="BB28" s="26">
        <f t="shared" si="24"/>
        <v>391187.5041387839</v>
      </c>
      <c r="BC28" s="26">
        <f t="shared" si="24"/>
        <v>183750.18036845516</v>
      </c>
      <c r="BD28" s="26">
        <f t="shared" si="24"/>
        <v>241498.14309407439</v>
      </c>
      <c r="BE28" s="26">
        <f t="shared" si="24"/>
        <v>-172213.26442460564</v>
      </c>
      <c r="BF28" s="26">
        <f t="shared" si="24"/>
        <v>-285588.99965511612</v>
      </c>
      <c r="BG28" s="26">
        <f t="shared" si="24"/>
        <v>-170686.77918993725</v>
      </c>
      <c r="BH28" s="26">
        <f t="shared" si="24"/>
        <v>338258.58400732471</v>
      </c>
      <c r="BI28" s="26">
        <f t="shared" si="24"/>
        <v>686439.02672856848</v>
      </c>
      <c r="BJ28" s="26">
        <f t="shared" si="24"/>
        <v>5866.0259675265461</v>
      </c>
      <c r="BK28" s="26">
        <f t="shared" si="24"/>
        <v>181763.15719716949</v>
      </c>
      <c r="BL28" s="26">
        <f t="shared" si="24"/>
        <v>156963.8368229988</v>
      </c>
      <c r="BM28" s="26">
        <f t="shared" si="24"/>
        <v>3527989.4019406028</v>
      </c>
      <c r="BN28" s="26">
        <f t="shared" si="24"/>
        <v>1595192.1796146978</v>
      </c>
      <c r="BO28" s="26">
        <f t="shared" ref="BO28:CJ28" si="25">SUM(BO22:BO25)*BO41</f>
        <v>1189775.2338984548</v>
      </c>
      <c r="BP28" s="26">
        <f t="shared" si="25"/>
        <v>147309.83066781302</v>
      </c>
      <c r="BQ28" s="26">
        <f t="shared" si="25"/>
        <v>-325367.25146262371</v>
      </c>
      <c r="BR28" s="26">
        <f t="shared" si="25"/>
        <v>46621.155713889093</v>
      </c>
      <c r="BS28" s="26">
        <f t="shared" si="25"/>
        <v>-6216.7097273882564</v>
      </c>
      <c r="BT28" s="26">
        <f t="shared" si="25"/>
        <v>-35050.435230887502</v>
      </c>
      <c r="BU28" s="26">
        <f t="shared" si="25"/>
        <v>1156608.2393661039</v>
      </c>
      <c r="BV28" s="26">
        <f t="shared" si="25"/>
        <v>-2801.9729189453137</v>
      </c>
      <c r="BW28" s="26" t="e">
        <f t="shared" si="25"/>
        <v>#DIV/0!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135500212.08511087</v>
      </c>
      <c r="C29" s="28">
        <f t="shared" ref="C29:BN29" si="26">C27-C28</f>
        <v>66804539.142923936</v>
      </c>
      <c r="D29" s="28">
        <f t="shared" si="26"/>
        <v>86164009.768070236</v>
      </c>
      <c r="E29" s="28">
        <f t="shared" si="26"/>
        <v>172155026.25798389</v>
      </c>
      <c r="F29" s="28">
        <f t="shared" si="26"/>
        <v>69360585.127994388</v>
      </c>
      <c r="G29" s="28">
        <f t="shared" si="26"/>
        <v>38395441.2905128</v>
      </c>
      <c r="H29" s="28">
        <f t="shared" si="26"/>
        <v>10729642.719919525</v>
      </c>
      <c r="I29" s="28">
        <f t="shared" si="26"/>
        <v>38414702.069145963</v>
      </c>
      <c r="J29" s="28">
        <f t="shared" si="26"/>
        <v>5027482.7249018438</v>
      </c>
      <c r="K29" s="28">
        <f t="shared" si="26"/>
        <v>-1568889.9941135556</v>
      </c>
      <c r="L29" s="28">
        <f t="shared" si="26"/>
        <v>-6367526.5899999999</v>
      </c>
      <c r="M29" s="28">
        <f t="shared" si="26"/>
        <v>128783754.46793213</v>
      </c>
      <c r="N29" s="28">
        <f t="shared" si="26"/>
        <v>48423073.58766406</v>
      </c>
      <c r="O29" s="28">
        <f t="shared" si="26"/>
        <v>100552839.11712538</v>
      </c>
      <c r="P29" s="28">
        <f t="shared" si="26"/>
        <v>4052033.4799489719</v>
      </c>
      <c r="Q29" s="28">
        <f t="shared" si="26"/>
        <v>49131843.771174543</v>
      </c>
      <c r="R29" s="28">
        <f t="shared" si="26"/>
        <v>23474506.179111604</v>
      </c>
      <c r="S29" s="28">
        <f t="shared" si="26"/>
        <v>16106709.479678031</v>
      </c>
      <c r="T29" s="28">
        <f t="shared" si="26"/>
        <v>3870810.7230485408</v>
      </c>
      <c r="U29" s="28">
        <f t="shared" si="26"/>
        <v>42305479.434622668</v>
      </c>
      <c r="V29" s="28">
        <f t="shared" si="26"/>
        <v>18063153.420000002</v>
      </c>
      <c r="W29" s="28">
        <f t="shared" si="26"/>
        <v>15236224.15</v>
      </c>
      <c r="X29" s="28">
        <f t="shared" si="26"/>
        <v>8555919.7799999993</v>
      </c>
      <c r="Y29" s="28">
        <f t="shared" si="26"/>
        <v>26485797.061320454</v>
      </c>
      <c r="Z29" s="28">
        <f t="shared" si="26"/>
        <v>42170420.6836567</v>
      </c>
      <c r="AA29" s="28">
        <f t="shared" si="26"/>
        <v>43008827.815072797</v>
      </c>
      <c r="AB29" s="28">
        <f t="shared" si="26"/>
        <v>-137814.47455734274</v>
      </c>
      <c r="AC29" s="28">
        <f t="shared" si="26"/>
        <v>11651338.416804019</v>
      </c>
      <c r="AD29" s="28">
        <f t="shared" si="26"/>
        <v>1207.9825225941604</v>
      </c>
      <c r="AE29" s="28">
        <f t="shared" si="26"/>
        <v>-95225.03113587237</v>
      </c>
      <c r="AF29" s="28">
        <f t="shared" si="26"/>
        <v>-31293.505760259824</v>
      </c>
      <c r="AG29" s="28">
        <f t="shared" si="26"/>
        <v>5762841.3065101523</v>
      </c>
      <c r="AH29" s="28">
        <f t="shared" si="26"/>
        <v>341004.77865750098</v>
      </c>
      <c r="AI29" s="28">
        <f t="shared" si="26"/>
        <v>-53660.04</v>
      </c>
      <c r="AJ29" s="28">
        <f t="shared" si="26"/>
        <v>0</v>
      </c>
      <c r="AK29" s="28">
        <f t="shared" si="26"/>
        <v>525001.0004013353</v>
      </c>
      <c r="AL29" s="28">
        <f t="shared" si="26"/>
        <v>0</v>
      </c>
      <c r="AM29" s="28">
        <f t="shared" si="26"/>
        <v>0</v>
      </c>
      <c r="AN29" s="28">
        <f t="shared" si="26"/>
        <v>0</v>
      </c>
      <c r="AO29" s="28">
        <f t="shared" si="26"/>
        <v>-99178.613835703407</v>
      </c>
      <c r="AP29" s="28">
        <f t="shared" si="26"/>
        <v>-793392.70858139102</v>
      </c>
      <c r="AQ29" s="28">
        <f t="shared" si="26"/>
        <v>-739666.38031037082</v>
      </c>
      <c r="AR29" s="28">
        <f t="shared" si="26"/>
        <v>-848624.39194126055</v>
      </c>
      <c r="AS29" s="28">
        <f t="shared" si="26"/>
        <v>14269719.733632091</v>
      </c>
      <c r="AT29" s="28">
        <f t="shared" si="26"/>
        <v>2547899.5079607586</v>
      </c>
      <c r="AU29" s="28">
        <f t="shared" si="26"/>
        <v>3546012.1973993322</v>
      </c>
      <c r="AV29" s="28">
        <f t="shared" si="26"/>
        <v>1043511.1140862862</v>
      </c>
      <c r="AW29" s="28">
        <f t="shared" si="26"/>
        <v>-12018396.791402478</v>
      </c>
      <c r="AX29" s="28">
        <f t="shared" si="26"/>
        <v>-3468287.7528124428</v>
      </c>
      <c r="AY29" s="28">
        <f t="shared" si="26"/>
        <v>3365760.7595834131</v>
      </c>
      <c r="AZ29" s="28">
        <f t="shared" si="26"/>
        <v>419818.85611638596</v>
      </c>
      <c r="BA29" s="28">
        <f t="shared" si="26"/>
        <v>-3362306.2800939269</v>
      </c>
      <c r="BB29" s="28">
        <f t="shared" si="26"/>
        <v>1711154.265861216</v>
      </c>
      <c r="BC29" s="28">
        <f t="shared" si="26"/>
        <v>1462844.9696315448</v>
      </c>
      <c r="BD29" s="28">
        <f t="shared" si="26"/>
        <v>2643829.4769059257</v>
      </c>
      <c r="BE29" s="28">
        <f t="shared" si="26"/>
        <v>-746028.9255753943</v>
      </c>
      <c r="BF29" s="28">
        <f t="shared" si="26"/>
        <v>-2479096.0803448837</v>
      </c>
      <c r="BG29" s="28">
        <f t="shared" si="26"/>
        <v>-1500408.7308100627</v>
      </c>
      <c r="BH29" s="28">
        <f t="shared" si="26"/>
        <v>2853689.1459926753</v>
      </c>
      <c r="BI29" s="28">
        <f t="shared" si="26"/>
        <v>9039182.0232714321</v>
      </c>
      <c r="BJ29" s="28">
        <f t="shared" si="26"/>
        <v>67623.384032473463</v>
      </c>
      <c r="BK29" s="28">
        <f t="shared" si="26"/>
        <v>2381100.0328028305</v>
      </c>
      <c r="BL29" s="28">
        <f t="shared" si="26"/>
        <v>3667629.2431770014</v>
      </c>
      <c r="BM29" s="28">
        <f t="shared" si="26"/>
        <v>14281043.928059395</v>
      </c>
      <c r="BN29" s="28">
        <f t="shared" si="26"/>
        <v>8856061.2903853022</v>
      </c>
      <c r="BO29" s="28">
        <f t="shared" ref="BO29:CK29" si="27">BO27-BO28</f>
        <v>8070792.4561015442</v>
      </c>
      <c r="BP29" s="28">
        <f t="shared" si="27"/>
        <v>872538.68933218694</v>
      </c>
      <c r="BQ29" s="28">
        <f t="shared" si="27"/>
        <v>-1713828.8785373762</v>
      </c>
      <c r="BR29" s="28">
        <f t="shared" si="27"/>
        <v>385563.25428611087</v>
      </c>
      <c r="BS29" s="28">
        <f t="shared" si="27"/>
        <v>-27471.340272611746</v>
      </c>
      <c r="BT29" s="28">
        <f t="shared" si="27"/>
        <v>-225275.94476911251</v>
      </c>
      <c r="BU29" s="28">
        <f t="shared" si="27"/>
        <v>5955884.140633896</v>
      </c>
      <c r="BV29" s="28">
        <f t="shared" si="27"/>
        <v>-4929634.7570810551</v>
      </c>
      <c r="BW29" s="28" t="e">
        <f t="shared" si="27"/>
        <v>#DIV/0!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635689646.64999962</v>
      </c>
      <c r="C31" s="26">
        <f t="shared" ref="C31:BN31" si="28">C15+C20+C27</f>
        <v>327599603.19000041</v>
      </c>
      <c r="D31" s="26">
        <f t="shared" si="28"/>
        <v>257184381.52000004</v>
      </c>
      <c r="E31" s="26">
        <f t="shared" si="28"/>
        <v>526347983.23999965</v>
      </c>
      <c r="F31" s="26">
        <f t="shared" si="28"/>
        <v>317477101.46000069</v>
      </c>
      <c r="G31" s="26">
        <f t="shared" si="28"/>
        <v>207394506.89000028</v>
      </c>
      <c r="H31" s="26">
        <f t="shared" si="28"/>
        <v>113753416.41000009</v>
      </c>
      <c r="I31" s="26">
        <f t="shared" si="28"/>
        <v>249963875.97000003</v>
      </c>
      <c r="J31" s="26">
        <f t="shared" si="28"/>
        <v>466834549.73999959</v>
      </c>
      <c r="K31" s="26">
        <f t="shared" si="28"/>
        <v>387950091.01000005</v>
      </c>
      <c r="L31" s="26">
        <f t="shared" si="28"/>
        <v>132001719.88999984</v>
      </c>
      <c r="M31" s="26">
        <f t="shared" si="28"/>
        <v>2660463979.6300006</v>
      </c>
      <c r="N31" s="26">
        <f t="shared" si="28"/>
        <v>959186269.0799998</v>
      </c>
      <c r="O31" s="26">
        <f t="shared" si="28"/>
        <v>830992722.55000007</v>
      </c>
      <c r="P31" s="26">
        <f t="shared" si="28"/>
        <v>212686858.32999986</v>
      </c>
      <c r="Q31" s="26">
        <f t="shared" si="28"/>
        <v>1134130346.5100005</v>
      </c>
      <c r="R31" s="26">
        <f t="shared" si="28"/>
        <v>881119556.69000041</v>
      </c>
      <c r="S31" s="26">
        <f t="shared" si="28"/>
        <v>680262829.23999989</v>
      </c>
      <c r="T31" s="26">
        <f t="shared" si="28"/>
        <v>185175096.59000012</v>
      </c>
      <c r="U31" s="26">
        <f t="shared" si="28"/>
        <v>964092877.70000076</v>
      </c>
      <c r="V31" s="26">
        <f t="shared" si="28"/>
        <v>762647946.84000003</v>
      </c>
      <c r="W31" s="26">
        <f t="shared" si="28"/>
        <v>605306752.41999972</v>
      </c>
      <c r="X31" s="26">
        <f t="shared" si="28"/>
        <v>153686096.27000001</v>
      </c>
      <c r="Y31" s="26">
        <f t="shared" si="28"/>
        <v>731750232.44999981</v>
      </c>
      <c r="Z31" s="26">
        <f t="shared" si="28"/>
        <v>600308523.25999951</v>
      </c>
      <c r="AA31" s="26">
        <f t="shared" si="28"/>
        <v>461530263.16999996</v>
      </c>
      <c r="AB31" s="26">
        <f t="shared" si="28"/>
        <v>113685521.10000007</v>
      </c>
      <c r="AC31" s="26">
        <f t="shared" si="28"/>
        <v>452618793.06999958</v>
      </c>
      <c r="AD31" s="26">
        <f t="shared" si="28"/>
        <v>341957396.43999988</v>
      </c>
      <c r="AE31" s="26">
        <f t="shared" si="28"/>
        <v>262951572.66000021</v>
      </c>
      <c r="AF31" s="26">
        <f t="shared" si="28"/>
        <v>77459264.25000003</v>
      </c>
      <c r="AG31" s="26">
        <f t="shared" si="28"/>
        <v>302614999.7700004</v>
      </c>
      <c r="AH31" s="26">
        <f t="shared" si="28"/>
        <v>227197190.73999962</v>
      </c>
      <c r="AI31" s="26">
        <f t="shared" si="28"/>
        <v>173399812.97</v>
      </c>
      <c r="AJ31" s="26">
        <f t="shared" si="28"/>
        <v>49281574.319999941</v>
      </c>
      <c r="AK31" s="26">
        <f t="shared" si="28"/>
        <v>296613362.45999998</v>
      </c>
      <c r="AL31" s="26">
        <f t="shared" si="28"/>
        <v>211703760.68999988</v>
      </c>
      <c r="AM31" s="26">
        <f t="shared" si="28"/>
        <v>167138316.23999995</v>
      </c>
      <c r="AN31" s="26">
        <f t="shared" si="28"/>
        <v>48450191.080000013</v>
      </c>
      <c r="AO31" s="26">
        <f t="shared" si="28"/>
        <v>241347645.88999999</v>
      </c>
      <c r="AP31" s="26">
        <f t="shared" si="28"/>
        <v>195217085.6399999</v>
      </c>
      <c r="AQ31" s="26">
        <f t="shared" si="28"/>
        <v>151061699.22000012</v>
      </c>
      <c r="AR31" s="26">
        <f t="shared" si="28"/>
        <v>47348729.850000001</v>
      </c>
      <c r="AS31" s="26">
        <f t="shared" si="28"/>
        <v>205689329.30000025</v>
      </c>
      <c r="AT31" s="26">
        <f t="shared" si="28"/>
        <v>151112646.59000012</v>
      </c>
      <c r="AU31" s="26">
        <f t="shared" si="28"/>
        <v>105421194.69999999</v>
      </c>
      <c r="AV31" s="26">
        <f t="shared" si="28"/>
        <v>36428283.459999993</v>
      </c>
      <c r="AW31" s="26">
        <f t="shared" si="28"/>
        <v>120015315.84999993</v>
      </c>
      <c r="AX31" s="26">
        <f t="shared" si="28"/>
        <v>98800335.719999894</v>
      </c>
      <c r="AY31" s="26">
        <f t="shared" si="28"/>
        <v>72405303.530000001</v>
      </c>
      <c r="AZ31" s="26">
        <f t="shared" si="28"/>
        <v>27327474.949999988</v>
      </c>
      <c r="BA31" s="26">
        <f t="shared" si="28"/>
        <v>43875005.909999959</v>
      </c>
      <c r="BB31" s="26">
        <f t="shared" si="28"/>
        <v>57581889.059999883</v>
      </c>
      <c r="BC31" s="26">
        <f t="shared" si="28"/>
        <v>37678495.519999959</v>
      </c>
      <c r="BD31" s="26">
        <f t="shared" si="28"/>
        <v>14633535.18</v>
      </c>
      <c r="BE31" s="26">
        <f t="shared" si="28"/>
        <v>59438979.399999969</v>
      </c>
      <c r="BF31" s="26">
        <f t="shared" si="28"/>
        <v>74458648.069999993</v>
      </c>
      <c r="BG31" s="26">
        <f t="shared" si="28"/>
        <v>52530884.300000027</v>
      </c>
      <c r="BH31" s="26">
        <f t="shared" si="28"/>
        <v>18583028.930000018</v>
      </c>
      <c r="BI31" s="26">
        <f t="shared" si="28"/>
        <v>94489485.409999967</v>
      </c>
      <c r="BJ31" s="26">
        <f t="shared" si="28"/>
        <v>87173706.920000061</v>
      </c>
      <c r="BK31" s="26">
        <f t="shared" si="28"/>
        <v>61671239.150000043</v>
      </c>
      <c r="BL31" s="26">
        <f t="shared" si="28"/>
        <v>12170403.719999984</v>
      </c>
      <c r="BM31" s="26">
        <f t="shared" si="28"/>
        <v>85291179.180000007</v>
      </c>
      <c r="BN31" s="26">
        <f t="shared" si="28"/>
        <v>84583183.830000013</v>
      </c>
      <c r="BO31" s="26">
        <f t="shared" ref="BO31:CJ31" si="29">BO15+BO20+BO27</f>
        <v>58919839.610000022</v>
      </c>
      <c r="BP31" s="26">
        <f t="shared" si="29"/>
        <v>13195007.289999984</v>
      </c>
      <c r="BQ31" s="26">
        <f t="shared" si="29"/>
        <v>86828090.780000031</v>
      </c>
      <c r="BR31" s="26">
        <f t="shared" si="29"/>
        <v>49034766.750000075</v>
      </c>
      <c r="BS31" s="26">
        <f t="shared" si="29"/>
        <v>68166357.059999928</v>
      </c>
      <c r="BT31" s="26">
        <f t="shared" si="29"/>
        <v>60556805.880000032</v>
      </c>
      <c r="BU31" s="26">
        <f t="shared" si="29"/>
        <v>55725449.360000007</v>
      </c>
      <c r="BV31" s="26">
        <f t="shared" si="29"/>
        <v>72016556.36999993</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11.728175282336327</v>
      </c>
      <c r="C32" s="57">
        <f t="shared" ref="C32:D32" si="30">C31/C4*100</f>
        <v>8.9381360126005056</v>
      </c>
      <c r="D32" s="57">
        <f t="shared" si="30"/>
        <v>13.82490759759874</v>
      </c>
      <c r="E32" s="57">
        <f>E31/E4</f>
        <v>8.1123306056906819E-2</v>
      </c>
      <c r="F32" s="57">
        <f t="shared" ref="F32:BQ32" si="31">F31/F4</f>
        <v>8.1518066481742618E-2</v>
      </c>
      <c r="G32" s="57">
        <f t="shared" si="31"/>
        <v>7.820656339146019E-2</v>
      </c>
      <c r="H32" s="57">
        <f t="shared" si="31"/>
        <v>8.4880108583335973E-2</v>
      </c>
      <c r="I32" s="57">
        <f t="shared" si="31"/>
        <v>4.6975110459600213E-2</v>
      </c>
      <c r="J32" s="57">
        <f t="shared" si="31"/>
        <v>0.10887373429272205</v>
      </c>
      <c r="K32" s="57">
        <f t="shared" si="31"/>
        <v>0.12654408111153484</v>
      </c>
      <c r="L32" s="57">
        <f t="shared" si="31"/>
        <v>8.5654384076980658E-2</v>
      </c>
      <c r="M32" s="57">
        <f t="shared" si="31"/>
        <v>0.45510182544344552</v>
      </c>
      <c r="N32" s="57">
        <f t="shared" si="31"/>
        <v>0.20772572272330075</v>
      </c>
      <c r="O32" s="57">
        <f t="shared" si="31"/>
        <v>0.2584691028396815</v>
      </c>
      <c r="P32" s="57">
        <f t="shared" si="31"/>
        <v>0.13335457362296185</v>
      </c>
      <c r="Q32" s="57">
        <f t="shared" si="31"/>
        <v>0.21259658375221868</v>
      </c>
      <c r="R32" s="57">
        <f t="shared" si="31"/>
        <v>0.21138756834544786</v>
      </c>
      <c r="S32" s="57">
        <f t="shared" si="31"/>
        <v>0.24128108189957526</v>
      </c>
      <c r="T32" s="57">
        <f t="shared" si="31"/>
        <v>0.13760490884851362</v>
      </c>
      <c r="U32" s="57">
        <f t="shared" si="31"/>
        <v>0.21575295562642852</v>
      </c>
      <c r="V32" s="57">
        <f t="shared" si="31"/>
        <v>0.19007449114901001</v>
      </c>
      <c r="W32" s="57">
        <f t="shared" si="31"/>
        <v>0.22037655319388821</v>
      </c>
      <c r="X32" s="57">
        <f t="shared" si="31"/>
        <v>0.11598719047022374</v>
      </c>
      <c r="Y32" s="57">
        <f t="shared" si="31"/>
        <v>0.16246232668206237</v>
      </c>
      <c r="Z32" s="57">
        <f t="shared" si="31"/>
        <v>0.16954395099693217</v>
      </c>
      <c r="AA32" s="57">
        <f t="shared" si="31"/>
        <v>0.19731182796914587</v>
      </c>
      <c r="AB32" s="57">
        <f t="shared" si="31"/>
        <v>0.10776557311179963</v>
      </c>
      <c r="AC32" s="57">
        <f t="shared" si="31"/>
        <v>0.12654975003933666</v>
      </c>
      <c r="AD32" s="57">
        <f t="shared" si="31"/>
        <v>0.11928330413452287</v>
      </c>
      <c r="AE32" s="57">
        <f t="shared" si="31"/>
        <v>0.13679992421971937</v>
      </c>
      <c r="AF32" s="57">
        <f t="shared" si="31"/>
        <v>9.182160780251207E-2</v>
      </c>
      <c r="AG32" s="57">
        <f t="shared" si="31"/>
        <v>9.7808416724450356E-2</v>
      </c>
      <c r="AH32" s="57">
        <f t="shared" si="31"/>
        <v>9.3500178022480229E-2</v>
      </c>
      <c r="AI32" s="57">
        <f t="shared" si="31"/>
        <v>0.1099440834861302</v>
      </c>
      <c r="AJ32" s="57">
        <f t="shared" si="31"/>
        <v>7.3784344573799621E-2</v>
      </c>
      <c r="AK32" s="57">
        <f t="shared" si="31"/>
        <v>0.109974296876806</v>
      </c>
      <c r="AL32" s="57">
        <f t="shared" si="31"/>
        <v>9.7043057457129211E-2</v>
      </c>
      <c r="AM32" s="57">
        <f t="shared" si="31"/>
        <v>0.1173061858561652</v>
      </c>
      <c r="AN32" s="57">
        <f t="shared" si="31"/>
        <v>8.3193918986147752E-2</v>
      </c>
      <c r="AO32" s="57">
        <f t="shared" si="31"/>
        <v>9.6790789223001064E-2</v>
      </c>
      <c r="AP32" s="57">
        <f t="shared" si="31"/>
        <v>9.3057075271298986E-2</v>
      </c>
      <c r="AQ32" s="57">
        <f t="shared" si="31"/>
        <v>0.10909927571931011</v>
      </c>
      <c r="AR32" s="57">
        <f t="shared" si="31"/>
        <v>8.9993361126269975E-2</v>
      </c>
      <c r="AS32" s="57">
        <f t="shared" si="31"/>
        <v>9.0980815229840556E-2</v>
      </c>
      <c r="AT32" s="57">
        <f t="shared" si="31"/>
        <v>8.489555709047647E-2</v>
      </c>
      <c r="AU32" s="57">
        <f t="shared" si="31"/>
        <v>9.0725042386858412E-2</v>
      </c>
      <c r="AV32" s="57">
        <f t="shared" si="31"/>
        <v>7.6579580569700864E-2</v>
      </c>
      <c r="AW32" s="57">
        <f t="shared" si="31"/>
        <v>5.5584919687040067E-2</v>
      </c>
      <c r="AX32" s="57">
        <f t="shared" si="31"/>
        <v>5.6584476441183924E-2</v>
      </c>
      <c r="AY32" s="57">
        <f t="shared" si="31"/>
        <v>6.6044785833992634E-2</v>
      </c>
      <c r="AZ32" s="57">
        <f t="shared" si="31"/>
        <v>6.1025687498510582E-2</v>
      </c>
      <c r="BA32" s="57">
        <f t="shared" si="31"/>
        <v>2.2513048493109509E-2</v>
      </c>
      <c r="BB32" s="57">
        <f t="shared" si="31"/>
        <v>3.7354929842004864E-2</v>
      </c>
      <c r="BC32" s="57">
        <f t="shared" si="31"/>
        <v>3.8851581405606683E-2</v>
      </c>
      <c r="BD32" s="57">
        <f t="shared" si="31"/>
        <v>3.8249769924873965E-2</v>
      </c>
      <c r="BE32" s="57">
        <f t="shared" si="31"/>
        <v>3.5614435120909345E-2</v>
      </c>
      <c r="BF32" s="57">
        <f t="shared" si="31"/>
        <v>5.7921923664044167E-2</v>
      </c>
      <c r="BG32" s="57">
        <f t="shared" si="31"/>
        <v>6.7838174631436918E-2</v>
      </c>
      <c r="BH32" s="57">
        <f t="shared" si="31"/>
        <v>6.4933927492751495E-2</v>
      </c>
      <c r="BI32" s="57">
        <f t="shared" si="31"/>
        <v>6.3570361873803979E-2</v>
      </c>
      <c r="BJ32" s="57">
        <f t="shared" si="31"/>
        <v>7.6345058549148206E-2</v>
      </c>
      <c r="BK32" s="57">
        <f t="shared" si="31"/>
        <v>8.3778302189428944E-2</v>
      </c>
      <c r="BL32" s="57">
        <f t="shared" si="31"/>
        <v>5.3349650578306387E-2</v>
      </c>
      <c r="BM32" s="57">
        <f t="shared" si="31"/>
        <v>6.2535482414546123E-2</v>
      </c>
      <c r="BN32" s="57">
        <f t="shared" si="31"/>
        <v>8.1266373629301655E-2</v>
      </c>
      <c r="BO32" s="57">
        <f t="shared" si="31"/>
        <v>8.5854905386533537E-2</v>
      </c>
      <c r="BP32" s="57">
        <f t="shared" si="31"/>
        <v>5.9108759161111045E-2</v>
      </c>
      <c r="BQ32" s="57">
        <f t="shared" si="31"/>
        <v>6.649147097035063E-2</v>
      </c>
      <c r="BR32" s="57">
        <f t="shared" ref="BR32:CK32" si="32">BR31/BR4</f>
        <v>7.6749068955065336E-2</v>
      </c>
      <c r="BS32" s="57">
        <f t="shared" si="32"/>
        <v>5.7416908279063025E-2</v>
      </c>
      <c r="BT32" s="57">
        <f t="shared" si="32"/>
        <v>5.5922726001337165E-2</v>
      </c>
      <c r="BU32" s="57">
        <f t="shared" si="32"/>
        <v>5.6746344975817979E-2</v>
      </c>
      <c r="BV32" s="57">
        <f t="shared" si="32"/>
        <v>8.0039002484532953E-2</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578869636.57097876</v>
      </c>
      <c r="C33" s="26">
        <f t="shared" ref="C33:BN33" si="33">C17+C20+C29</f>
        <v>286108425.95708871</v>
      </c>
      <c r="D33" s="26">
        <f t="shared" si="33"/>
        <v>236690899.09291297</v>
      </c>
      <c r="E33" s="26">
        <f t="shared" si="33"/>
        <v>442703591.19672871</v>
      </c>
      <c r="F33" s="26">
        <f t="shared" si="33"/>
        <v>268007280.39600742</v>
      </c>
      <c r="G33" s="26">
        <f t="shared" si="33"/>
        <v>174398804.98224375</v>
      </c>
      <c r="H33" s="26">
        <f t="shared" si="33"/>
        <v>103082344.56918469</v>
      </c>
      <c r="I33" s="26">
        <f t="shared" si="33"/>
        <v>170161073.29963517</v>
      </c>
      <c r="J33" s="26">
        <f t="shared" si="33"/>
        <v>379456451.6634478</v>
      </c>
      <c r="K33" s="26">
        <f t="shared" si="33"/>
        <v>322868071.04276079</v>
      </c>
      <c r="L33" s="26">
        <f t="shared" si="33"/>
        <v>113148060.20331213</v>
      </c>
      <c r="M33" s="26">
        <f t="shared" si="33"/>
        <v>2529514979.0600724</v>
      </c>
      <c r="N33" s="26">
        <f t="shared" si="33"/>
        <v>823575036.01666641</v>
      </c>
      <c r="O33" s="26">
        <f t="shared" si="33"/>
        <v>737826490.27760553</v>
      </c>
      <c r="P33" s="26">
        <f t="shared" si="33"/>
        <v>189123437.71465039</v>
      </c>
      <c r="Q33" s="26">
        <f t="shared" si="33"/>
        <v>934819241.55992711</v>
      </c>
      <c r="R33" s="26">
        <f t="shared" si="33"/>
        <v>751755706.22477186</v>
      </c>
      <c r="S33" s="26">
        <f t="shared" si="33"/>
        <v>584476132.66728842</v>
      </c>
      <c r="T33" s="26">
        <f t="shared" si="33"/>
        <v>165375476.25921321</v>
      </c>
      <c r="U33" s="26">
        <f t="shared" si="33"/>
        <v>844115938.52721572</v>
      </c>
      <c r="V33" s="26">
        <f t="shared" si="33"/>
        <v>652473088.51066792</v>
      </c>
      <c r="W33" s="26">
        <f t="shared" si="33"/>
        <v>513041544.37566072</v>
      </c>
      <c r="X33" s="26">
        <f t="shared" si="33"/>
        <v>135758232.59136152</v>
      </c>
      <c r="Y33" s="26">
        <f t="shared" si="33"/>
        <v>658717139.38403201</v>
      </c>
      <c r="Z33" s="26">
        <f t="shared" si="33"/>
        <v>489567320.59013379</v>
      </c>
      <c r="AA33" s="26">
        <f t="shared" si="33"/>
        <v>368404352.65182769</v>
      </c>
      <c r="AB33" s="26">
        <f t="shared" si="33"/>
        <v>94724144.098184898</v>
      </c>
      <c r="AC33" s="26">
        <f t="shared" si="33"/>
        <v>381782456.39860016</v>
      </c>
      <c r="AD33" s="26">
        <f t="shared" si="33"/>
        <v>288018316.53898782</v>
      </c>
      <c r="AE33" s="26">
        <f t="shared" si="33"/>
        <v>211926565.43117651</v>
      </c>
      <c r="AF33" s="26">
        <f t="shared" si="33"/>
        <v>64508208.360148661</v>
      </c>
      <c r="AG33" s="26">
        <f t="shared" si="33"/>
        <v>265066326.65560341</v>
      </c>
      <c r="AH33" s="26">
        <f t="shared" si="33"/>
        <v>204415646.09158117</v>
      </c>
      <c r="AI33" s="26">
        <f t="shared" si="33"/>
        <v>153807176.18791312</v>
      </c>
      <c r="AJ33" s="26">
        <f t="shared" si="33"/>
        <v>43169480.824936017</v>
      </c>
      <c r="AK33" s="26">
        <f t="shared" si="33"/>
        <v>244507306.22877812</v>
      </c>
      <c r="AL33" s="26">
        <f t="shared" si="33"/>
        <v>189413227.07383633</v>
      </c>
      <c r="AM33" s="26">
        <f t="shared" si="33"/>
        <v>145396113.59458238</v>
      </c>
      <c r="AN33" s="26">
        <f t="shared" si="33"/>
        <v>37304914.822775289</v>
      </c>
      <c r="AO33" s="26">
        <f t="shared" si="33"/>
        <v>197595696.83946645</v>
      </c>
      <c r="AP33" s="26">
        <f t="shared" si="33"/>
        <v>167716217.36025983</v>
      </c>
      <c r="AQ33" s="26">
        <f t="shared" si="33"/>
        <v>121257594.85012314</v>
      </c>
      <c r="AR33" s="26">
        <f t="shared" si="33"/>
        <v>34705001.548002839</v>
      </c>
      <c r="AS33" s="26">
        <f t="shared" si="33"/>
        <v>160984865.67211398</v>
      </c>
      <c r="AT33" s="26">
        <f t="shared" si="33"/>
        <v>118959589.74629492</v>
      </c>
      <c r="AU33" s="26">
        <f t="shared" si="33"/>
        <v>80408860.070585266</v>
      </c>
      <c r="AV33" s="26">
        <f t="shared" si="33"/>
        <v>25442321.868285675</v>
      </c>
      <c r="AW33" s="26">
        <f t="shared" si="33"/>
        <v>89383584.120290771</v>
      </c>
      <c r="AX33" s="26">
        <f t="shared" si="33"/>
        <v>82731627.096572474</v>
      </c>
      <c r="AY33" s="26">
        <f t="shared" si="33"/>
        <v>60833522.825971439</v>
      </c>
      <c r="AZ33" s="26">
        <f t="shared" si="33"/>
        <v>20921805.620400675</v>
      </c>
      <c r="BA33" s="26">
        <f t="shared" si="33"/>
        <v>37211974.163909391</v>
      </c>
      <c r="BB33" s="26">
        <f t="shared" si="33"/>
        <v>46867496.287897125</v>
      </c>
      <c r="BC33" s="26">
        <f t="shared" si="33"/>
        <v>33473800.548189785</v>
      </c>
      <c r="BD33" s="26">
        <f t="shared" si="33"/>
        <v>13408727.449891411</v>
      </c>
      <c r="BE33" s="26">
        <f t="shared" si="33"/>
        <v>48291396.781801075</v>
      </c>
      <c r="BF33" s="26">
        <f t="shared" si="33"/>
        <v>66767149.688570008</v>
      </c>
      <c r="BG33" s="26">
        <f t="shared" si="33"/>
        <v>47165345.708392985</v>
      </c>
      <c r="BH33" s="26">
        <f t="shared" si="33"/>
        <v>16613739.460329112</v>
      </c>
      <c r="BI33" s="26">
        <f t="shared" si="33"/>
        <v>87820371.934627235</v>
      </c>
      <c r="BJ33" s="26">
        <f t="shared" si="33"/>
        <v>80215381.516676396</v>
      </c>
      <c r="BK33" s="26">
        <f t="shared" si="33"/>
        <v>57297396.964469381</v>
      </c>
      <c r="BL33" s="26">
        <f t="shared" si="33"/>
        <v>11670922.278806744</v>
      </c>
      <c r="BM33" s="26">
        <f t="shared" si="33"/>
        <v>68394901.282694444</v>
      </c>
      <c r="BN33" s="26">
        <f t="shared" si="33"/>
        <v>71673111.965430796</v>
      </c>
      <c r="BO33" s="26">
        <f t="shared" ref="BO33:CJ33" si="34">BO17+BO20+BO29</f>
        <v>51349961.790420346</v>
      </c>
      <c r="BP33" s="26">
        <f t="shared" si="34"/>
        <v>11289082.781181306</v>
      </c>
      <c r="BQ33" s="26">
        <f t="shared" si="34"/>
        <v>72974093.69202213</v>
      </c>
      <c r="BR33" s="26">
        <f t="shared" si="34"/>
        <v>43745224.963784359</v>
      </c>
      <c r="BS33" s="26">
        <f t="shared" si="34"/>
        <v>55587105.514851935</v>
      </c>
      <c r="BT33" s="26">
        <f t="shared" si="34"/>
        <v>52403416.268519364</v>
      </c>
      <c r="BU33" s="26">
        <f t="shared" si="34"/>
        <v>46663574.783741467</v>
      </c>
      <c r="BV33" s="26">
        <f t="shared" si="34"/>
        <v>71975645.872468933</v>
      </c>
      <c r="BW33" s="26" t="e">
        <f t="shared" si="34"/>
        <v>#DIV/0!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10.679872795009866</v>
      </c>
      <c r="C34" s="57">
        <f t="shared" ref="C34:D34" si="35">C33/C4*100</f>
        <v>7.8061023293497014</v>
      </c>
      <c r="D34" s="57">
        <f t="shared" si="35"/>
        <v>12.723283543941111</v>
      </c>
      <c r="E34" s="57">
        <f>E33/E4</f>
        <v>6.8231626347409063E-2</v>
      </c>
      <c r="F34" s="57">
        <f t="shared" ref="F34:BQ34" si="36">F33/F4</f>
        <v>6.8815782935026423E-2</v>
      </c>
      <c r="G34" s="57">
        <f t="shared" si="36"/>
        <v>6.5764187305466057E-2</v>
      </c>
      <c r="H34" s="57">
        <f t="shared" si="36"/>
        <v>7.6917607190987766E-2</v>
      </c>
      <c r="I34" s="57">
        <f t="shared" si="36"/>
        <v>3.1977961548067167E-2</v>
      </c>
      <c r="J34" s="57">
        <f t="shared" si="36"/>
        <v>8.8495679930018584E-2</v>
      </c>
      <c r="K34" s="57">
        <f t="shared" si="36"/>
        <v>0.10531520501513882</v>
      </c>
      <c r="L34" s="57">
        <f t="shared" si="36"/>
        <v>7.3420463114390405E-2</v>
      </c>
      <c r="M34" s="57">
        <f t="shared" si="36"/>
        <v>0.43270154877905059</v>
      </c>
      <c r="N34" s="57">
        <f t="shared" si="36"/>
        <v>0.17835713988850058</v>
      </c>
      <c r="O34" s="57">
        <f t="shared" si="36"/>
        <v>0.22949100012356502</v>
      </c>
      <c r="P34" s="57">
        <f t="shared" si="36"/>
        <v>0.11858031848594283</v>
      </c>
      <c r="Q34" s="57">
        <f t="shared" si="36"/>
        <v>0.17523504048106181</v>
      </c>
      <c r="R34" s="57">
        <f t="shared" si="36"/>
        <v>0.18035215484903652</v>
      </c>
      <c r="S34" s="57">
        <f t="shared" si="36"/>
        <v>0.20730668731671867</v>
      </c>
      <c r="T34" s="57">
        <f t="shared" si="36"/>
        <v>0.12289167256012903</v>
      </c>
      <c r="U34" s="57">
        <f t="shared" si="36"/>
        <v>0.18890348932262763</v>
      </c>
      <c r="V34" s="57">
        <f t="shared" si="36"/>
        <v>0.16261564828300348</v>
      </c>
      <c r="W34" s="57">
        <f t="shared" si="36"/>
        <v>0.186785174199292</v>
      </c>
      <c r="X34" s="57">
        <f t="shared" si="36"/>
        <v>0.10245699750100877</v>
      </c>
      <c r="Y34" s="57">
        <f t="shared" si="36"/>
        <v>0.14624760518541363</v>
      </c>
      <c r="Z34" s="57">
        <f t="shared" si="36"/>
        <v>0.1382675317702986</v>
      </c>
      <c r="AA34" s="57">
        <f t="shared" si="36"/>
        <v>0.15749895955738694</v>
      </c>
      <c r="AB34" s="57">
        <f t="shared" si="36"/>
        <v>8.9791572202817499E-2</v>
      </c>
      <c r="AC34" s="57">
        <f t="shared" si="36"/>
        <v>0.10674429600888168</v>
      </c>
      <c r="AD34" s="57">
        <f t="shared" si="36"/>
        <v>0.10046800217132153</v>
      </c>
      <c r="AE34" s="57">
        <f t="shared" si="36"/>
        <v>0.11025428674129582</v>
      </c>
      <c r="AF34" s="57">
        <f t="shared" si="36"/>
        <v>7.6469192748474857E-2</v>
      </c>
      <c r="AG34" s="57">
        <f t="shared" si="36"/>
        <v>8.567228246073437E-2</v>
      </c>
      <c r="AH34" s="57">
        <f t="shared" si="36"/>
        <v>8.4124716674052594E-2</v>
      </c>
      <c r="AI34" s="57">
        <f t="shared" si="36"/>
        <v>9.7521379809651226E-2</v>
      </c>
      <c r="AJ34" s="57">
        <f t="shared" si="36"/>
        <v>6.4633321727436202E-2</v>
      </c>
      <c r="AK34" s="57">
        <f t="shared" si="36"/>
        <v>9.0655117020825279E-2</v>
      </c>
      <c r="AL34" s="57">
        <f t="shared" si="36"/>
        <v>8.6825281790730249E-2</v>
      </c>
      <c r="AM34" s="57">
        <f t="shared" si="36"/>
        <v>0.10204640029757783</v>
      </c>
      <c r="AN34" s="57">
        <f t="shared" si="36"/>
        <v>6.4056343068422603E-2</v>
      </c>
      <c r="AO34" s="57">
        <f t="shared" si="36"/>
        <v>7.9244375364148772E-2</v>
      </c>
      <c r="AP34" s="57">
        <f t="shared" si="36"/>
        <v>7.9947821226531698E-2</v>
      </c>
      <c r="AQ34" s="57">
        <f t="shared" si="36"/>
        <v>8.7574255035670123E-2</v>
      </c>
      <c r="AR34" s="57">
        <f t="shared" si="36"/>
        <v>6.5962059533412762E-2</v>
      </c>
      <c r="AS34" s="57">
        <f t="shared" si="36"/>
        <v>7.1207069264896894E-2</v>
      </c>
      <c r="AT34" s="57">
        <f t="shared" si="36"/>
        <v>6.6831869275424033E-2</v>
      </c>
      <c r="AU34" s="57">
        <f t="shared" si="36"/>
        <v>6.9199531070983172E-2</v>
      </c>
      <c r="AV34" s="57">
        <f t="shared" si="36"/>
        <v>5.3484879119600579E-2</v>
      </c>
      <c r="AW34" s="57">
        <f t="shared" si="36"/>
        <v>4.1397877508199343E-2</v>
      </c>
      <c r="AX34" s="57">
        <f t="shared" si="36"/>
        <v>4.7381679123578019E-2</v>
      </c>
      <c r="AY34" s="57">
        <f t="shared" si="36"/>
        <v>5.5489540001774869E-2</v>
      </c>
      <c r="AZ34" s="57">
        <f t="shared" si="36"/>
        <v>4.6721022488583584E-2</v>
      </c>
      <c r="BA34" s="57">
        <f t="shared" si="36"/>
        <v>1.9094128000686827E-2</v>
      </c>
      <c r="BB34" s="57">
        <f t="shared" si="36"/>
        <v>3.0404213274082957E-2</v>
      </c>
      <c r="BC34" s="57">
        <f t="shared" si="36"/>
        <v>3.4515977058126403E-2</v>
      </c>
      <c r="BD34" s="57">
        <f t="shared" si="36"/>
        <v>3.5048314275053283E-2</v>
      </c>
      <c r="BE34" s="57">
        <f t="shared" si="36"/>
        <v>2.8935066431903533E-2</v>
      </c>
      <c r="BF34" s="57">
        <f t="shared" si="36"/>
        <v>5.1938651154281736E-2</v>
      </c>
      <c r="BG34" s="57">
        <f t="shared" si="36"/>
        <v>6.0909139477746344E-2</v>
      </c>
      <c r="BH34" s="57">
        <f t="shared" si="36"/>
        <v>5.8052718830937856E-2</v>
      </c>
      <c r="BI34" s="57">
        <f t="shared" si="36"/>
        <v>5.9083535057388288E-2</v>
      </c>
      <c r="BJ34" s="57">
        <f t="shared" si="36"/>
        <v>7.0251090779620093E-2</v>
      </c>
      <c r="BK34" s="57">
        <f t="shared" si="36"/>
        <v>7.7836584828164287E-2</v>
      </c>
      <c r="BL34" s="57">
        <f t="shared" si="36"/>
        <v>5.116014553220688E-2</v>
      </c>
      <c r="BM34" s="57">
        <f t="shared" si="36"/>
        <v>5.0147133472994578E-2</v>
      </c>
      <c r="BN34" s="57">
        <f t="shared" si="36"/>
        <v>6.8862552015825071E-2</v>
      </c>
      <c r="BO34" s="57">
        <f t="shared" si="36"/>
        <v>7.4824475767418838E-2</v>
      </c>
      <c r="BP34" s="57">
        <f t="shared" si="36"/>
        <v>5.0570921303575295E-2</v>
      </c>
      <c r="BQ34" s="57">
        <f t="shared" si="36"/>
        <v>5.5882316295596604E-2</v>
      </c>
      <c r="BR34" s="57">
        <f t="shared" ref="BR34:CK34" si="37">BR33/BR4</f>
        <v>6.8469894112432511E-2</v>
      </c>
      <c r="BS34" s="57">
        <f t="shared" si="37"/>
        <v>4.6821333521396419E-2</v>
      </c>
      <c r="BT34" s="57">
        <f t="shared" si="37"/>
        <v>4.8393270532227438E-2</v>
      </c>
      <c r="BU34" s="57">
        <f t="shared" si="37"/>
        <v>4.7518455981869788E-2</v>
      </c>
      <c r="BV34" s="57">
        <f t="shared" si="37"/>
        <v>7.9993534670205604E-2</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52685216.299999997</v>
      </c>
      <c r="C35" s="26">
        <f t="shared" ref="C35:BN35" si="38">C23+C68</f>
        <v>38730684.909999996</v>
      </c>
      <c r="D35" s="26">
        <f t="shared" si="38"/>
        <v>20803415.440000001</v>
      </c>
      <c r="E35" s="26">
        <f t="shared" si="38"/>
        <v>65567176.120000005</v>
      </c>
      <c r="F35" s="26">
        <f t="shared" si="38"/>
        <v>-26755959.030000001</v>
      </c>
      <c r="G35" s="26">
        <f t="shared" si="38"/>
        <v>-19240671.77</v>
      </c>
      <c r="H35" s="26">
        <f t="shared" si="38"/>
        <v>-10036320.720000001</v>
      </c>
      <c r="I35" s="26">
        <f t="shared" si="38"/>
        <v>3656430.2099999934</v>
      </c>
      <c r="J35" s="26">
        <f t="shared" si="38"/>
        <v>-47112705.520000003</v>
      </c>
      <c r="K35" s="26">
        <f t="shared" si="38"/>
        <v>-37828286.710000001</v>
      </c>
      <c r="L35" s="26">
        <f t="shared" si="38"/>
        <v>-9293664.2799999993</v>
      </c>
      <c r="M35" s="26">
        <f t="shared" si="38"/>
        <v>2520007.3699999973</v>
      </c>
      <c r="N35" s="26">
        <f t="shared" si="38"/>
        <v>-37303243.57</v>
      </c>
      <c r="O35" s="26">
        <f t="shared" si="38"/>
        <v>-22875302.559999999</v>
      </c>
      <c r="P35" s="26">
        <f t="shared" si="38"/>
        <v>-6157131.9299999997</v>
      </c>
      <c r="Q35" s="26">
        <f t="shared" si="38"/>
        <v>2071023.9100000001</v>
      </c>
      <c r="R35" s="26">
        <f t="shared" si="38"/>
        <v>-17433615.379999999</v>
      </c>
      <c r="S35" s="26">
        <f t="shared" si="38"/>
        <v>-10954862.470000001</v>
      </c>
      <c r="T35" s="26">
        <f t="shared" si="38"/>
        <v>-4923192.1500000004</v>
      </c>
      <c r="U35" s="26">
        <f t="shared" si="38"/>
        <v>1937540.620000001</v>
      </c>
      <c r="V35" s="26">
        <f t="shared" si="38"/>
        <v>-18071415.809999999</v>
      </c>
      <c r="W35" s="26">
        <f t="shared" si="38"/>
        <v>-8077285.25</v>
      </c>
      <c r="X35" s="26">
        <f t="shared" si="38"/>
        <v>-5095724.32</v>
      </c>
      <c r="Y35" s="26">
        <f t="shared" si="38"/>
        <v>2723108.1000000015</v>
      </c>
      <c r="Z35" s="26">
        <f t="shared" si="38"/>
        <v>-12485382.470000001</v>
      </c>
      <c r="AA35" s="26">
        <f t="shared" si="38"/>
        <v>-6802301.1500000004</v>
      </c>
      <c r="AB35" s="26">
        <f t="shared" si="38"/>
        <v>-2148747.29</v>
      </c>
      <c r="AC35" s="26">
        <f t="shared" si="38"/>
        <v>2431573.8100000005</v>
      </c>
      <c r="AD35" s="26">
        <f t="shared" si="38"/>
        <v>-7332285.9800000004</v>
      </c>
      <c r="AE35" s="26">
        <f t="shared" si="38"/>
        <v>-5188601.41</v>
      </c>
      <c r="AF35" s="26">
        <f t="shared" si="38"/>
        <v>-3068874.66</v>
      </c>
      <c r="AG35" s="26">
        <f t="shared" si="38"/>
        <v>2303243.75</v>
      </c>
      <c r="AH35" s="26">
        <f t="shared" si="38"/>
        <v>-3311253.56</v>
      </c>
      <c r="AI35" s="26">
        <f t="shared" si="38"/>
        <v>-2164756.4</v>
      </c>
      <c r="AJ35" s="26">
        <f t="shared" si="38"/>
        <v>-300842.32</v>
      </c>
      <c r="AK35" s="26">
        <f t="shared" si="38"/>
        <v>2089948.56</v>
      </c>
      <c r="AL35" s="26">
        <f t="shared" si="38"/>
        <v>2384973.77</v>
      </c>
      <c r="AM35" s="26">
        <f t="shared" si="38"/>
        <v>1836623.55</v>
      </c>
      <c r="AN35" s="26">
        <f t="shared" si="38"/>
        <v>1448975.78</v>
      </c>
      <c r="AO35" s="26">
        <f t="shared" si="38"/>
        <v>10419445.65</v>
      </c>
      <c r="AP35" s="26">
        <f t="shared" si="38"/>
        <v>9537556.6199999992</v>
      </c>
      <c r="AQ35" s="26">
        <f t="shared" si="38"/>
        <v>7559957.2999999998</v>
      </c>
      <c r="AR35" s="26">
        <f t="shared" si="38"/>
        <v>3698691.22</v>
      </c>
      <c r="AS35" s="26">
        <f t="shared" si="38"/>
        <v>15786582.43</v>
      </c>
      <c r="AT35" s="26">
        <f t="shared" si="38"/>
        <v>11313105.310000001</v>
      </c>
      <c r="AU35" s="26">
        <f t="shared" si="38"/>
        <v>7797467.2800000003</v>
      </c>
      <c r="AV35" s="26">
        <f t="shared" si="38"/>
        <v>4669956</v>
      </c>
      <c r="AW35" s="26">
        <f t="shared" si="38"/>
        <v>17029234.75</v>
      </c>
      <c r="AX35" s="26">
        <f t="shared" si="38"/>
        <v>12633457.890000001</v>
      </c>
      <c r="AY35" s="26">
        <f t="shared" si="38"/>
        <v>7418134.0899999999</v>
      </c>
      <c r="AZ35" s="26">
        <f t="shared" si="38"/>
        <v>3752935.72</v>
      </c>
      <c r="BA35" s="26">
        <f t="shared" si="38"/>
        <v>8595587.2200000007</v>
      </c>
      <c r="BB35" s="26">
        <f t="shared" si="38"/>
        <v>5651901.9500000002</v>
      </c>
      <c r="BC35" s="26">
        <f t="shared" si="38"/>
        <v>3542176.4</v>
      </c>
      <c r="BD35" s="26">
        <f t="shared" si="38"/>
        <v>1868923.27</v>
      </c>
      <c r="BE35" s="26">
        <f t="shared" si="38"/>
        <v>4157397.68</v>
      </c>
      <c r="BF35" s="26">
        <f t="shared" si="38"/>
        <v>1868302.69</v>
      </c>
      <c r="BG35" s="26">
        <f t="shared" si="38"/>
        <v>1126001.0900000001</v>
      </c>
      <c r="BH35" s="26">
        <f t="shared" si="38"/>
        <v>1062932.76</v>
      </c>
      <c r="BI35" s="26">
        <f t="shared" si="38"/>
        <v>3065421.17</v>
      </c>
      <c r="BJ35" s="26">
        <f t="shared" si="38"/>
        <v>-63518.03</v>
      </c>
      <c r="BK35" s="26">
        <f t="shared" si="38"/>
        <v>-359461.89</v>
      </c>
      <c r="BL35" s="26">
        <f t="shared" si="38"/>
        <v>-628775.14</v>
      </c>
      <c r="BM35" s="26">
        <f t="shared" si="38"/>
        <v>1342564.65</v>
      </c>
      <c r="BN35" s="26">
        <f t="shared" si="38"/>
        <v>2069078.8</v>
      </c>
      <c r="BO35" s="26">
        <f t="shared" ref="BO35:CJ35" si="39">BO23+BO68</f>
        <v>1598934.97</v>
      </c>
      <c r="BP35" s="26">
        <f t="shared" si="39"/>
        <v>1306289.3999999999</v>
      </c>
      <c r="BQ35" s="26">
        <f t="shared" si="39"/>
        <v>7550751.4699999997</v>
      </c>
      <c r="BR35" s="26">
        <f t="shared" si="39"/>
        <v>4171982.81</v>
      </c>
      <c r="BS35" s="26">
        <f t="shared" si="39"/>
        <v>16309960.49</v>
      </c>
      <c r="BT35" s="26">
        <f t="shared" si="39"/>
        <v>17264956.09</v>
      </c>
      <c r="BU35" s="26">
        <f t="shared" si="39"/>
        <v>18665807.760000002</v>
      </c>
      <c r="BV35" s="26">
        <f t="shared" si="39"/>
        <v>21123333.699999999</v>
      </c>
      <c r="BW35" s="26">
        <f t="shared" si="39"/>
        <v>0</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6327278.4929254623</v>
      </c>
      <c r="C36" s="26">
        <f t="shared" ref="C36:BN36" si="40">C35*C41</f>
        <v>6447685.3147092368</v>
      </c>
      <c r="D36" s="26">
        <f t="shared" si="40"/>
        <v>2776944.718169224</v>
      </c>
      <c r="E36" s="26">
        <f t="shared" si="40"/>
        <v>11588984.56108347</v>
      </c>
      <c r="F36" s="26">
        <f t="shared" si="40"/>
        <v>-4385889.7555814832</v>
      </c>
      <c r="G36" s="26">
        <f t="shared" si="40"/>
        <v>-3237602.8048622431</v>
      </c>
      <c r="H36" s="26">
        <f t="shared" si="40"/>
        <v>-1000433.1906255257</v>
      </c>
      <c r="I36" s="26">
        <f t="shared" si="40"/>
        <v>1106750.7722693086</v>
      </c>
      <c r="J36" s="26">
        <f t="shared" si="40"/>
        <v>-8598943.7837584913</v>
      </c>
      <c r="K36" s="26">
        <f t="shared" si="40"/>
        <v>-6194904.4417117694</v>
      </c>
      <c r="L36" s="26">
        <f t="shared" si="40"/>
        <v>-1330882.4548624824</v>
      </c>
      <c r="M36" s="26">
        <f t="shared" si="40"/>
        <v>380661.95901167381</v>
      </c>
      <c r="N36" s="26">
        <f t="shared" si="40"/>
        <v>-6473236.8201575503</v>
      </c>
      <c r="O36" s="26">
        <f t="shared" si="40"/>
        <v>-3268916.6969046006</v>
      </c>
      <c r="P36" s="26">
        <f t="shared" si="40"/>
        <v>-841349.26994203369</v>
      </c>
      <c r="Q36" s="26">
        <f t="shared" si="40"/>
        <v>429128.03633503942</v>
      </c>
      <c r="R36" s="26">
        <f t="shared" si="40"/>
        <v>-2972120.2409123192</v>
      </c>
      <c r="S36" s="26">
        <f t="shared" si="40"/>
        <v>-1740422.4922288849</v>
      </c>
      <c r="T36" s="26">
        <f t="shared" si="40"/>
        <v>-676885.32437835506</v>
      </c>
      <c r="U36" s="26">
        <f t="shared" si="40"/>
        <v>283823.46018879407</v>
      </c>
      <c r="V36" s="26">
        <f t="shared" si="40"/>
        <v>-3115946.683483711</v>
      </c>
      <c r="W36" s="26">
        <f t="shared" si="40"/>
        <v>-1428236.7169106852</v>
      </c>
      <c r="X36" s="26">
        <f t="shared" si="40"/>
        <v>-837382.57271915011</v>
      </c>
      <c r="Y36" s="26">
        <f t="shared" si="40"/>
        <v>356459.78742098116</v>
      </c>
      <c r="Z36" s="26">
        <f t="shared" si="40"/>
        <v>-2684295.2009839928</v>
      </c>
      <c r="AA36" s="26">
        <f t="shared" si="40"/>
        <v>-1549006.7198616522</v>
      </c>
      <c r="AB36" s="26">
        <f t="shared" si="40"/>
        <v>-484509.82305062667</v>
      </c>
      <c r="AC36" s="26">
        <f t="shared" si="40"/>
        <v>471280.35547138617</v>
      </c>
      <c r="AD36" s="26">
        <f t="shared" si="40"/>
        <v>-1454624.1340542405</v>
      </c>
      <c r="AE36" s="26">
        <f t="shared" si="40"/>
        <v>-1207234.1399110344</v>
      </c>
      <c r="AF36" s="26">
        <f t="shared" si="40"/>
        <v>-732285.18600466754</v>
      </c>
      <c r="AG36" s="26">
        <f t="shared" si="40"/>
        <v>403752.4936119708</v>
      </c>
      <c r="AH36" s="26">
        <f t="shared" si="40"/>
        <v>-381239.9125788809</v>
      </c>
      <c r="AI36" s="26">
        <f t="shared" si="40"/>
        <v>-282591.94371592667</v>
      </c>
      <c r="AJ36" s="26">
        <f t="shared" si="40"/>
        <v>-47883.720797649257</v>
      </c>
      <c r="AK36" s="26">
        <f t="shared" si="40"/>
        <v>395223.76323668659</v>
      </c>
      <c r="AL36" s="26">
        <f t="shared" si="40"/>
        <v>267491.65005195572</v>
      </c>
      <c r="AM36" s="26">
        <f t="shared" si="40"/>
        <v>253486.5743453929</v>
      </c>
      <c r="AN36" s="26">
        <f t="shared" si="40"/>
        <v>389625.65802433586</v>
      </c>
      <c r="AO36" s="26">
        <f t="shared" si="40"/>
        <v>1999001.0805671141</v>
      </c>
      <c r="AP36" s="26">
        <f t="shared" si="40"/>
        <v>1376221.5439738641</v>
      </c>
      <c r="AQ36" s="26">
        <f t="shared" si="40"/>
        <v>1528932.6801327502</v>
      </c>
      <c r="AR36" s="26">
        <f t="shared" si="40"/>
        <v>1222975.6147748649</v>
      </c>
      <c r="AS36" s="26">
        <f t="shared" si="40"/>
        <v>3396338.6778804036</v>
      </c>
      <c r="AT36" s="26">
        <f t="shared" si="40"/>
        <v>2407150.7337051984</v>
      </c>
      <c r="AU36" s="26">
        <f t="shared" si="40"/>
        <v>1850034.629414727</v>
      </c>
      <c r="AV36" s="26">
        <f t="shared" si="40"/>
        <v>1410702.2863874573</v>
      </c>
      <c r="AW36" s="26">
        <f t="shared" si="40"/>
        <v>4346403.1797091793</v>
      </c>
      <c r="AX36" s="26">
        <f t="shared" si="40"/>
        <v>2054682.8334274252</v>
      </c>
      <c r="AY36" s="26">
        <f t="shared" si="40"/>
        <v>1185562.6140285654</v>
      </c>
      <c r="AZ36" s="26">
        <f t="shared" si="40"/>
        <v>879703.1295993086</v>
      </c>
      <c r="BA36" s="26">
        <f t="shared" si="40"/>
        <v>1305359.8360905715</v>
      </c>
      <c r="BB36" s="26">
        <f t="shared" si="40"/>
        <v>1051662.2221027487</v>
      </c>
      <c r="BC36" s="26">
        <f t="shared" si="40"/>
        <v>395285.7218101761</v>
      </c>
      <c r="BD36" s="26">
        <f t="shared" si="40"/>
        <v>156426.43010858691</v>
      </c>
      <c r="BE36" s="26">
        <f t="shared" si="40"/>
        <v>779706.08819889021</v>
      </c>
      <c r="BF36" s="26">
        <f t="shared" si="40"/>
        <v>192993.66142998915</v>
      </c>
      <c r="BG36" s="26">
        <f t="shared" si="40"/>
        <v>115010.48160703793</v>
      </c>
      <c r="BH36" s="26">
        <f t="shared" si="40"/>
        <v>112641.60967090695</v>
      </c>
      <c r="BI36" s="26">
        <f t="shared" si="40"/>
        <v>216358.90537272676</v>
      </c>
      <c r="BJ36" s="26">
        <f t="shared" si="40"/>
        <v>-5070.096676325611</v>
      </c>
      <c r="BK36" s="26">
        <f t="shared" si="40"/>
        <v>-25493.724469335273</v>
      </c>
      <c r="BL36" s="26">
        <f t="shared" si="40"/>
        <v>-25805.348806759393</v>
      </c>
      <c r="BM36" s="26">
        <f t="shared" si="40"/>
        <v>265963.55730556068</v>
      </c>
      <c r="BN36" s="26">
        <f t="shared" si="40"/>
        <v>315806.93456921424</v>
      </c>
      <c r="BO36" s="26">
        <f t="shared" ref="BO36:CJ36" si="41">BO35*BO41</f>
        <v>205427.27957967867</v>
      </c>
      <c r="BP36" s="26">
        <f t="shared" si="41"/>
        <v>188684.16881867812</v>
      </c>
      <c r="BQ36" s="26">
        <f t="shared" si="41"/>
        <v>1204772.4179778949</v>
      </c>
      <c r="BR36" s="26">
        <f t="shared" si="41"/>
        <v>450045.52621571562</v>
      </c>
      <c r="BS36" s="26">
        <f t="shared" si="41"/>
        <v>3009799.9151479863</v>
      </c>
      <c r="BT36" s="26">
        <f t="shared" si="41"/>
        <v>2324559.7514806669</v>
      </c>
      <c r="BU36" s="26">
        <f t="shared" si="41"/>
        <v>3035367.3362585395</v>
      </c>
      <c r="BV36" s="26">
        <f t="shared" si="41"/>
        <v>11999.547530991827</v>
      </c>
      <c r="BW36" s="26" t="e">
        <f t="shared" si="41"/>
        <v>#DIV/0!</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46357937.807074532</v>
      </c>
      <c r="C37" s="26">
        <f t="shared" ref="C37:BN37" si="42">C35-C36</f>
        <v>32282999.595290758</v>
      </c>
      <c r="D37" s="26">
        <f t="shared" si="42"/>
        <v>18026470.721830778</v>
      </c>
      <c r="E37" s="26">
        <f t="shared" si="42"/>
        <v>53978191.558916539</v>
      </c>
      <c r="F37" s="26">
        <f t="shared" si="42"/>
        <v>-22370069.274418518</v>
      </c>
      <c r="G37" s="26">
        <f t="shared" si="42"/>
        <v>-16003068.965137757</v>
      </c>
      <c r="H37" s="26">
        <f t="shared" si="42"/>
        <v>-9035887.5293744747</v>
      </c>
      <c r="I37" s="26">
        <f t="shared" si="42"/>
        <v>2549679.4377306849</v>
      </c>
      <c r="J37" s="26">
        <f t="shared" si="42"/>
        <v>-38513761.736241512</v>
      </c>
      <c r="K37" s="26">
        <f t="shared" si="42"/>
        <v>-31633382.268288232</v>
      </c>
      <c r="L37" s="26">
        <f t="shared" si="42"/>
        <v>-7962781.8251375165</v>
      </c>
      <c r="M37" s="26">
        <f t="shared" si="42"/>
        <v>2139345.4109883234</v>
      </c>
      <c r="N37" s="26">
        <f t="shared" si="42"/>
        <v>-30830006.74984245</v>
      </c>
      <c r="O37" s="26">
        <f t="shared" si="42"/>
        <v>-19606385.863095399</v>
      </c>
      <c r="P37" s="26">
        <f t="shared" si="42"/>
        <v>-5315782.6600579657</v>
      </c>
      <c r="Q37" s="26">
        <f t="shared" si="42"/>
        <v>1641895.8736649607</v>
      </c>
      <c r="R37" s="26">
        <f t="shared" si="42"/>
        <v>-14461495.139087681</v>
      </c>
      <c r="S37" s="26">
        <f t="shared" si="42"/>
        <v>-9214439.9777711164</v>
      </c>
      <c r="T37" s="26">
        <f t="shared" si="42"/>
        <v>-4246306.825621645</v>
      </c>
      <c r="U37" s="26">
        <f t="shared" si="42"/>
        <v>1653717.1598112071</v>
      </c>
      <c r="V37" s="26">
        <f t="shared" si="42"/>
        <v>-14955469.126516288</v>
      </c>
      <c r="W37" s="26">
        <f t="shared" si="42"/>
        <v>-6649048.5330893146</v>
      </c>
      <c r="X37" s="26">
        <f t="shared" si="42"/>
        <v>-4258341.7472808501</v>
      </c>
      <c r="Y37" s="26">
        <f t="shared" si="42"/>
        <v>2366648.3125790204</v>
      </c>
      <c r="Z37" s="26">
        <f t="shared" si="42"/>
        <v>-9801087.2690160088</v>
      </c>
      <c r="AA37" s="26">
        <f t="shared" si="42"/>
        <v>-5253294.4301383477</v>
      </c>
      <c r="AB37" s="26">
        <f t="shared" si="42"/>
        <v>-1664237.4669493735</v>
      </c>
      <c r="AC37" s="26">
        <f t="shared" si="42"/>
        <v>1960293.4545286144</v>
      </c>
      <c r="AD37" s="26">
        <f t="shared" si="42"/>
        <v>-5877661.8459457597</v>
      </c>
      <c r="AE37" s="26">
        <f t="shared" si="42"/>
        <v>-3981367.270088966</v>
      </c>
      <c r="AF37" s="26">
        <f t="shared" si="42"/>
        <v>-2336589.4739953326</v>
      </c>
      <c r="AG37" s="26">
        <f t="shared" si="42"/>
        <v>1899491.2563880291</v>
      </c>
      <c r="AH37" s="26">
        <f t="shared" si="42"/>
        <v>-2930013.6474211193</v>
      </c>
      <c r="AI37" s="26">
        <f t="shared" si="42"/>
        <v>-1882164.4562840732</v>
      </c>
      <c r="AJ37" s="26">
        <f t="shared" si="42"/>
        <v>-252958.59920235074</v>
      </c>
      <c r="AK37" s="26">
        <f t="shared" si="42"/>
        <v>1694724.7967633135</v>
      </c>
      <c r="AL37" s="26">
        <f t="shared" si="42"/>
        <v>2117482.1199480444</v>
      </c>
      <c r="AM37" s="26">
        <f t="shared" si="42"/>
        <v>1583136.9756546072</v>
      </c>
      <c r="AN37" s="26">
        <f t="shared" si="42"/>
        <v>1059350.121975664</v>
      </c>
      <c r="AO37" s="26">
        <f t="shared" si="42"/>
        <v>8420444.5694328863</v>
      </c>
      <c r="AP37" s="26">
        <f t="shared" si="42"/>
        <v>8161335.0760261351</v>
      </c>
      <c r="AQ37" s="26">
        <f t="shared" si="42"/>
        <v>6031024.6198672494</v>
      </c>
      <c r="AR37" s="26">
        <f t="shared" si="42"/>
        <v>2475715.6052251356</v>
      </c>
      <c r="AS37" s="26">
        <f t="shared" si="42"/>
        <v>12390243.752119597</v>
      </c>
      <c r="AT37" s="26">
        <f t="shared" si="42"/>
        <v>8905954.5762948021</v>
      </c>
      <c r="AU37" s="26">
        <f t="shared" si="42"/>
        <v>5947432.6505852733</v>
      </c>
      <c r="AV37" s="26">
        <f t="shared" si="42"/>
        <v>3259253.7136125425</v>
      </c>
      <c r="AW37" s="26">
        <f t="shared" si="42"/>
        <v>12682831.570290821</v>
      </c>
      <c r="AX37" s="26">
        <f t="shared" si="42"/>
        <v>10578775.056572575</v>
      </c>
      <c r="AY37" s="26">
        <f t="shared" si="42"/>
        <v>6232571.4759714343</v>
      </c>
      <c r="AZ37" s="26">
        <f t="shared" si="42"/>
        <v>2873232.5904006916</v>
      </c>
      <c r="BA37" s="26">
        <f t="shared" si="42"/>
        <v>7290227.3839094294</v>
      </c>
      <c r="BB37" s="26">
        <f t="shared" si="42"/>
        <v>4600239.727897251</v>
      </c>
      <c r="BC37" s="26">
        <f t="shared" si="42"/>
        <v>3146890.6781898239</v>
      </c>
      <c r="BD37" s="26">
        <f t="shared" si="42"/>
        <v>1712496.8398914132</v>
      </c>
      <c r="BE37" s="26">
        <f t="shared" si="42"/>
        <v>3377691.5918011097</v>
      </c>
      <c r="BF37" s="26">
        <f t="shared" si="42"/>
        <v>1675309.0285700108</v>
      </c>
      <c r="BG37" s="26">
        <f t="shared" si="42"/>
        <v>1010990.6083929621</v>
      </c>
      <c r="BH37" s="26">
        <f t="shared" si="42"/>
        <v>950291.1503290931</v>
      </c>
      <c r="BI37" s="26">
        <f t="shared" si="42"/>
        <v>2849062.2646272732</v>
      </c>
      <c r="BJ37" s="26">
        <f t="shared" si="42"/>
        <v>-58447.933323674384</v>
      </c>
      <c r="BK37" s="26">
        <f t="shared" si="42"/>
        <v>-333968.16553066473</v>
      </c>
      <c r="BL37" s="26">
        <f t="shared" si="42"/>
        <v>-602969.79119324067</v>
      </c>
      <c r="BM37" s="26">
        <f t="shared" si="42"/>
        <v>1076601.0926944392</v>
      </c>
      <c r="BN37" s="26">
        <f t="shared" si="42"/>
        <v>1753271.8654307858</v>
      </c>
      <c r="BO37" s="26">
        <f t="shared" ref="BO37:CJ37" si="43">BO35-BO36</f>
        <v>1393507.6904203212</v>
      </c>
      <c r="BP37" s="26">
        <f t="shared" si="43"/>
        <v>1117605.2311813217</v>
      </c>
      <c r="BQ37" s="26">
        <f t="shared" si="43"/>
        <v>6345979.0520221051</v>
      </c>
      <c r="BR37" s="26">
        <f t="shared" si="43"/>
        <v>3721937.2837842843</v>
      </c>
      <c r="BS37" s="26">
        <f t="shared" si="43"/>
        <v>13300160.574852014</v>
      </c>
      <c r="BT37" s="26">
        <f t="shared" si="43"/>
        <v>14940396.338519333</v>
      </c>
      <c r="BU37" s="26">
        <f t="shared" si="43"/>
        <v>15630440.423741462</v>
      </c>
      <c r="BV37" s="26">
        <f t="shared" si="43"/>
        <v>21111334.152469009</v>
      </c>
      <c r="BW37" s="26" t="e">
        <f t="shared" si="43"/>
        <v>#DIV/0!</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583004430.34999967</v>
      </c>
      <c r="C38" s="28">
        <f t="shared" ref="C38:BN38" si="44">C31-C35</f>
        <v>288868918.28000045</v>
      </c>
      <c r="D38" s="28">
        <f t="shared" si="44"/>
        <v>236380966.08000004</v>
      </c>
      <c r="E38" s="28">
        <f t="shared" si="44"/>
        <v>460780807.11999965</v>
      </c>
      <c r="F38" s="28">
        <f t="shared" si="44"/>
        <v>344233060.49000072</v>
      </c>
      <c r="G38" s="28">
        <f t="shared" si="44"/>
        <v>226635178.66000029</v>
      </c>
      <c r="H38" s="28">
        <f t="shared" si="44"/>
        <v>123789737.13000008</v>
      </c>
      <c r="I38" s="28">
        <f t="shared" si="44"/>
        <v>246307445.76000005</v>
      </c>
      <c r="J38" s="28">
        <f t="shared" si="44"/>
        <v>513947255.25999957</v>
      </c>
      <c r="K38" s="28">
        <f t="shared" si="44"/>
        <v>425778377.72000003</v>
      </c>
      <c r="L38" s="28">
        <f t="shared" si="44"/>
        <v>141295384.16999984</v>
      </c>
      <c r="M38" s="28">
        <f t="shared" si="44"/>
        <v>2657943972.2600007</v>
      </c>
      <c r="N38" s="28">
        <f t="shared" si="44"/>
        <v>996489512.64999986</v>
      </c>
      <c r="O38" s="28">
        <f t="shared" si="44"/>
        <v>853868025.11000001</v>
      </c>
      <c r="P38" s="28">
        <f t="shared" si="44"/>
        <v>218843990.25999987</v>
      </c>
      <c r="Q38" s="28">
        <f t="shared" si="44"/>
        <v>1132059322.6000004</v>
      </c>
      <c r="R38" s="28">
        <f t="shared" si="44"/>
        <v>898553172.07000041</v>
      </c>
      <c r="S38" s="28">
        <f t="shared" si="44"/>
        <v>691217691.70999992</v>
      </c>
      <c r="T38" s="28">
        <f t="shared" si="44"/>
        <v>190098288.74000013</v>
      </c>
      <c r="U38" s="28">
        <f t="shared" si="44"/>
        <v>962155337.08000076</v>
      </c>
      <c r="V38" s="28">
        <f t="shared" si="44"/>
        <v>780719362.64999998</v>
      </c>
      <c r="W38" s="28">
        <f t="shared" si="44"/>
        <v>613384037.66999972</v>
      </c>
      <c r="X38" s="28">
        <f t="shared" si="44"/>
        <v>158781820.59</v>
      </c>
      <c r="Y38" s="28">
        <f t="shared" si="44"/>
        <v>729027124.34999979</v>
      </c>
      <c r="Z38" s="28">
        <f t="shared" si="44"/>
        <v>612793905.72999954</v>
      </c>
      <c r="AA38" s="28">
        <f t="shared" si="44"/>
        <v>468332564.31999993</v>
      </c>
      <c r="AB38" s="28">
        <f t="shared" si="44"/>
        <v>115834268.39000008</v>
      </c>
      <c r="AC38" s="28">
        <f t="shared" si="44"/>
        <v>450187219.25999957</v>
      </c>
      <c r="AD38" s="28">
        <f t="shared" si="44"/>
        <v>349289682.4199999</v>
      </c>
      <c r="AE38" s="28">
        <f t="shared" si="44"/>
        <v>268140174.0700002</v>
      </c>
      <c r="AF38" s="28">
        <f t="shared" si="44"/>
        <v>80528138.910000026</v>
      </c>
      <c r="AG38" s="28">
        <f t="shared" si="44"/>
        <v>300311756.0200004</v>
      </c>
      <c r="AH38" s="28">
        <f t="shared" si="44"/>
        <v>230508444.29999962</v>
      </c>
      <c r="AI38" s="28">
        <f t="shared" si="44"/>
        <v>175564569.37</v>
      </c>
      <c r="AJ38" s="28">
        <f t="shared" si="44"/>
        <v>49582416.639999941</v>
      </c>
      <c r="AK38" s="28">
        <f t="shared" si="44"/>
        <v>294523413.89999998</v>
      </c>
      <c r="AL38" s="28">
        <f t="shared" si="44"/>
        <v>209318786.91999987</v>
      </c>
      <c r="AM38" s="28">
        <f t="shared" si="44"/>
        <v>165301692.68999994</v>
      </c>
      <c r="AN38" s="28">
        <f t="shared" si="44"/>
        <v>47001215.300000012</v>
      </c>
      <c r="AO38" s="28">
        <f t="shared" si="44"/>
        <v>230928200.23999998</v>
      </c>
      <c r="AP38" s="28">
        <f t="shared" si="44"/>
        <v>185679529.01999989</v>
      </c>
      <c r="AQ38" s="28">
        <f t="shared" si="44"/>
        <v>143501741.92000011</v>
      </c>
      <c r="AR38" s="28">
        <f t="shared" si="44"/>
        <v>43650038.630000003</v>
      </c>
      <c r="AS38" s="28">
        <f t="shared" si="44"/>
        <v>189902746.87000024</v>
      </c>
      <c r="AT38" s="28">
        <f t="shared" si="44"/>
        <v>139799541.28000012</v>
      </c>
      <c r="AU38" s="28">
        <f t="shared" si="44"/>
        <v>97623727.419999987</v>
      </c>
      <c r="AV38" s="28">
        <f t="shared" si="44"/>
        <v>31758327.459999993</v>
      </c>
      <c r="AW38" s="28">
        <f t="shared" si="44"/>
        <v>102986081.09999993</v>
      </c>
      <c r="AX38" s="28">
        <f t="shared" si="44"/>
        <v>86166877.829999894</v>
      </c>
      <c r="AY38" s="28">
        <f t="shared" si="44"/>
        <v>64987169.439999998</v>
      </c>
      <c r="AZ38" s="28">
        <f t="shared" si="44"/>
        <v>23574539.229999989</v>
      </c>
      <c r="BA38" s="28">
        <f t="shared" si="44"/>
        <v>35279418.68999996</v>
      </c>
      <c r="BB38" s="28">
        <f t="shared" si="44"/>
        <v>51929987.10999988</v>
      </c>
      <c r="BC38" s="28">
        <f t="shared" si="44"/>
        <v>34136319.11999996</v>
      </c>
      <c r="BD38" s="28">
        <f t="shared" si="44"/>
        <v>12764611.91</v>
      </c>
      <c r="BE38" s="28">
        <f t="shared" si="44"/>
        <v>55281581.719999969</v>
      </c>
      <c r="BF38" s="28">
        <f t="shared" si="44"/>
        <v>72590345.379999995</v>
      </c>
      <c r="BG38" s="28">
        <f t="shared" si="44"/>
        <v>51404883.210000023</v>
      </c>
      <c r="BH38" s="28">
        <f t="shared" si="44"/>
        <v>17520096.170000017</v>
      </c>
      <c r="BI38" s="28">
        <f t="shared" si="44"/>
        <v>91424064.239999965</v>
      </c>
      <c r="BJ38" s="28">
        <f t="shared" si="44"/>
        <v>87237224.950000063</v>
      </c>
      <c r="BK38" s="28">
        <f t="shared" si="44"/>
        <v>62030701.040000044</v>
      </c>
      <c r="BL38" s="28">
        <f t="shared" si="44"/>
        <v>12799178.859999985</v>
      </c>
      <c r="BM38" s="28">
        <f t="shared" si="44"/>
        <v>83948614.530000001</v>
      </c>
      <c r="BN38" s="28">
        <f t="shared" si="44"/>
        <v>82514105.030000016</v>
      </c>
      <c r="BO38" s="28">
        <f t="shared" ref="BO38:CJ38" si="45">BO31-BO35</f>
        <v>57320904.640000023</v>
      </c>
      <c r="BP38" s="28">
        <f t="shared" si="45"/>
        <v>11888717.889999984</v>
      </c>
      <c r="BQ38" s="28">
        <f t="shared" si="45"/>
        <v>79277339.310000032</v>
      </c>
      <c r="BR38" s="28">
        <f t="shared" si="45"/>
        <v>44862783.940000072</v>
      </c>
      <c r="BS38" s="28">
        <f t="shared" si="45"/>
        <v>51856396.569999926</v>
      </c>
      <c r="BT38" s="28">
        <f t="shared" si="45"/>
        <v>43291849.790000036</v>
      </c>
      <c r="BU38" s="28">
        <f t="shared" si="45"/>
        <v>37059641.600000009</v>
      </c>
      <c r="BV38" s="28">
        <f t="shared" si="45"/>
        <v>50893222.669999927</v>
      </c>
      <c r="BW38" s="28">
        <f t="shared" si="45"/>
        <v>0</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10.756157797372616</v>
      </c>
      <c r="C39" s="57">
        <f t="shared" ref="C39:D39" si="46">C38/C4*100</f>
        <v>7.8814188303578367</v>
      </c>
      <c r="D39" s="57">
        <f t="shared" si="46"/>
        <v>12.706623141627244</v>
      </c>
      <c r="E39" s="57">
        <f>E38/E4</f>
        <v>7.1017774611857959E-2</v>
      </c>
      <c r="F39" s="57">
        <f t="shared" ref="F39:BQ39" si="47">F38/F4</f>
        <v>8.8388149511227268E-2</v>
      </c>
      <c r="G39" s="57">
        <f t="shared" si="47"/>
        <v>8.546204396825717E-2</v>
      </c>
      <c r="H39" s="57">
        <f t="shared" si="47"/>
        <v>9.2368973703837925E-2</v>
      </c>
      <c r="I39" s="57">
        <f t="shared" si="47"/>
        <v>4.6287966317927587E-2</v>
      </c>
      <c r="J39" s="57">
        <f t="shared" si="47"/>
        <v>0.11986121622920788</v>
      </c>
      <c r="K39" s="57">
        <f t="shared" si="47"/>
        <v>0.13888315743261048</v>
      </c>
      <c r="L39" s="57">
        <f t="shared" si="47"/>
        <v>9.1684934969688714E-2</v>
      </c>
      <c r="M39" s="57">
        <f t="shared" si="47"/>
        <v>0.45467075027648257</v>
      </c>
      <c r="N39" s="57">
        <f t="shared" si="47"/>
        <v>0.21580428210252733</v>
      </c>
      <c r="O39" s="57">
        <f t="shared" si="47"/>
        <v>0.26558415784488787</v>
      </c>
      <c r="P39" s="57">
        <f t="shared" si="47"/>
        <v>0.13721509283751299</v>
      </c>
      <c r="Q39" s="57">
        <f t="shared" si="47"/>
        <v>0.2122083632892974</v>
      </c>
      <c r="R39" s="57">
        <f t="shared" si="47"/>
        <v>0.21557003091215327</v>
      </c>
      <c r="S39" s="57">
        <f t="shared" si="47"/>
        <v>0.24516664047371592</v>
      </c>
      <c r="T39" s="57">
        <f t="shared" si="47"/>
        <v>0.14126336735357078</v>
      </c>
      <c r="U39" s="57">
        <f t="shared" si="47"/>
        <v>0.21531935620350928</v>
      </c>
      <c r="V39" s="57">
        <f t="shared" si="47"/>
        <v>0.19457842403004685</v>
      </c>
      <c r="W39" s="57">
        <f t="shared" si="47"/>
        <v>0.22331728411328119</v>
      </c>
      <c r="X39" s="57">
        <f t="shared" si="47"/>
        <v>0.11983294334984167</v>
      </c>
      <c r="Y39" s="57">
        <f t="shared" si="47"/>
        <v>0.16185774542179879</v>
      </c>
      <c r="Z39" s="57">
        <f t="shared" si="47"/>
        <v>0.17307017291724766</v>
      </c>
      <c r="AA39" s="57">
        <f t="shared" si="47"/>
        <v>0.2002199243203677</v>
      </c>
      <c r="AB39" s="57">
        <f t="shared" si="47"/>
        <v>0.10980242864923954</v>
      </c>
      <c r="AC39" s="57">
        <f t="shared" si="47"/>
        <v>0.12586989524194625</v>
      </c>
      <c r="AD39" s="57">
        <f t="shared" si="47"/>
        <v>0.12184098912001814</v>
      </c>
      <c r="AE39" s="57">
        <f t="shared" si="47"/>
        <v>0.13949928164327091</v>
      </c>
      <c r="AF39" s="57">
        <f t="shared" si="47"/>
        <v>9.545950713132717E-2</v>
      </c>
      <c r="AG39" s="57">
        <f t="shared" si="47"/>
        <v>9.7063983617402774E-2</v>
      </c>
      <c r="AH39" s="57">
        <f t="shared" si="47"/>
        <v>9.4862883240485668E-2</v>
      </c>
      <c r="AI39" s="57">
        <f t="shared" si="47"/>
        <v>0.11131664643353033</v>
      </c>
      <c r="AJ39" s="57">
        <f t="shared" si="47"/>
        <v>7.4234765521335233E-2</v>
      </c>
      <c r="AK39" s="57">
        <f t="shared" si="47"/>
        <v>0.10919941397372812</v>
      </c>
      <c r="AL39" s="57">
        <f t="shared" si="47"/>
        <v>9.5949807408847052E-2</v>
      </c>
      <c r="AM39" s="57">
        <f t="shared" si="47"/>
        <v>0.11601714987476437</v>
      </c>
      <c r="AN39" s="57">
        <f t="shared" si="47"/>
        <v>8.0705879806794112E-2</v>
      </c>
      <c r="AO39" s="57">
        <f t="shared" si="47"/>
        <v>9.2612143253571075E-2</v>
      </c>
      <c r="AP39" s="57">
        <f t="shared" si="47"/>
        <v>8.8510664175252177E-2</v>
      </c>
      <c r="AQ39" s="57">
        <f t="shared" si="47"/>
        <v>0.10363934861563225</v>
      </c>
      <c r="AR39" s="57">
        <f t="shared" si="47"/>
        <v>8.2963443835763734E-2</v>
      </c>
      <c r="AS39" s="57">
        <f t="shared" si="47"/>
        <v>8.3998070213060161E-2</v>
      </c>
      <c r="AT39" s="57">
        <f t="shared" si="47"/>
        <v>7.8539819173176081E-2</v>
      </c>
      <c r="AU39" s="57">
        <f t="shared" si="47"/>
        <v>8.401457442544627E-2</v>
      </c>
      <c r="AV39" s="57">
        <f t="shared" si="47"/>
        <v>6.6762393543810777E-2</v>
      </c>
      <c r="AW39" s="57">
        <f t="shared" si="47"/>
        <v>4.7697854280375117E-2</v>
      </c>
      <c r="AX39" s="57">
        <f t="shared" si="47"/>
        <v>4.9349100213583845E-2</v>
      </c>
      <c r="AY39" s="57">
        <f t="shared" si="47"/>
        <v>5.9278305294913125E-2</v>
      </c>
      <c r="AZ39" s="57">
        <f t="shared" si="47"/>
        <v>5.2644910172037623E-2</v>
      </c>
      <c r="BA39" s="57">
        <f t="shared" si="47"/>
        <v>1.8102499300077787E-2</v>
      </c>
      <c r="BB39" s="57">
        <f t="shared" si="47"/>
        <v>3.3688388082734888E-2</v>
      </c>
      <c r="BC39" s="57">
        <f t="shared" si="47"/>
        <v>3.5199122546558832E-2</v>
      </c>
      <c r="BD39" s="57">
        <f t="shared" si="47"/>
        <v>3.3364697096918861E-2</v>
      </c>
      <c r="BE39" s="57">
        <f t="shared" si="47"/>
        <v>3.3123420446014386E-2</v>
      </c>
      <c r="BF39" s="57">
        <f t="shared" si="47"/>
        <v>5.646855741853065E-2</v>
      </c>
      <c r="BG39" s="57">
        <f t="shared" si="47"/>
        <v>6.638406131131129E-2</v>
      </c>
      <c r="BH39" s="57">
        <f t="shared" si="47"/>
        <v>6.1219764477265612E-2</v>
      </c>
      <c r="BI39" s="57">
        <f t="shared" si="47"/>
        <v>6.1508016712043832E-2</v>
      </c>
      <c r="BJ39" s="57">
        <f t="shared" si="47"/>
        <v>7.6400686420103919E-2</v>
      </c>
      <c r="BK39" s="57">
        <f t="shared" si="47"/>
        <v>8.4266619065513693E-2</v>
      </c>
      <c r="BL39" s="57">
        <f t="shared" si="47"/>
        <v>5.6105921839562936E-2</v>
      </c>
      <c r="BM39" s="57">
        <f t="shared" si="47"/>
        <v>6.1551114173097846E-2</v>
      </c>
      <c r="BN39" s="57">
        <f t="shared" si="47"/>
        <v>7.9278430834818808E-2</v>
      </c>
      <c r="BO39" s="57">
        <f t="shared" si="47"/>
        <v>8.3525021064423624E-2</v>
      </c>
      <c r="BP39" s="57">
        <f t="shared" si="47"/>
        <v>5.3257065119393515E-2</v>
      </c>
      <c r="BQ39" s="57">
        <f t="shared" si="47"/>
        <v>6.0709234281029333E-2</v>
      </c>
      <c r="BR39" s="57">
        <f t="shared" ref="BR39:CK39" si="48">BR38/BR4</f>
        <v>7.0219094049779648E-2</v>
      </c>
      <c r="BS39" s="57">
        <f t="shared" si="48"/>
        <v>4.3678936266488042E-2</v>
      </c>
      <c r="BT39" s="57">
        <f t="shared" si="48"/>
        <v>3.997896221103029E-2</v>
      </c>
      <c r="BU39" s="57">
        <f t="shared" si="48"/>
        <v>3.773857781438221E-2</v>
      </c>
      <c r="BV39" s="57">
        <f t="shared" si="48"/>
        <v>5.656258756391877E-2</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70016442.040000007</v>
      </c>
      <c r="C40" s="26">
        <f t="shared" ref="C40:BN40" si="49">C60</f>
        <v>48089412.479999997</v>
      </c>
      <c r="D40" s="26">
        <f t="shared" si="49"/>
        <v>31553322.440000001</v>
      </c>
      <c r="E40" s="26">
        <f t="shared" si="49"/>
        <v>81442910.549999997</v>
      </c>
      <c r="F40" s="26">
        <f t="shared" si="49"/>
        <v>56427364.530000001</v>
      </c>
      <c r="G40" s="26">
        <f t="shared" si="49"/>
        <v>38135606.640000001</v>
      </c>
      <c r="H40" s="26">
        <f t="shared" si="49"/>
        <v>12339518.15</v>
      </c>
      <c r="I40" s="26">
        <f t="shared" si="49"/>
        <v>74553851.75</v>
      </c>
      <c r="J40" s="26">
        <f t="shared" si="49"/>
        <v>93804919.650000006</v>
      </c>
      <c r="K40" s="26">
        <f t="shared" si="49"/>
        <v>69727090.299999997</v>
      </c>
      <c r="L40" s="26">
        <f t="shared" si="49"/>
        <v>20233951.010000002</v>
      </c>
      <c r="M40" s="26">
        <f t="shared" si="49"/>
        <v>401498095.38999999</v>
      </c>
      <c r="N40" s="26">
        <f t="shared" si="49"/>
        <v>172920957.72</v>
      </c>
      <c r="O40" s="26">
        <f t="shared" si="49"/>
        <v>122019083.11</v>
      </c>
      <c r="P40" s="26">
        <f t="shared" si="49"/>
        <v>29904220.59</v>
      </c>
      <c r="Q40" s="26">
        <f t="shared" si="49"/>
        <v>234569186.66</v>
      </c>
      <c r="R40" s="26">
        <f t="shared" si="49"/>
        <v>153187277.11000001</v>
      </c>
      <c r="S40" s="26">
        <f t="shared" si="49"/>
        <v>109815236.93000001</v>
      </c>
      <c r="T40" s="26">
        <f t="shared" si="49"/>
        <v>26136445.199999999</v>
      </c>
      <c r="U40" s="26">
        <f t="shared" si="49"/>
        <v>140942726.15000001</v>
      </c>
      <c r="V40" s="26">
        <f t="shared" si="49"/>
        <v>134614793.56999999</v>
      </c>
      <c r="W40" s="26">
        <f t="shared" si="49"/>
        <v>108459411.43000001</v>
      </c>
      <c r="X40" s="26">
        <f t="shared" si="49"/>
        <v>26092684.98</v>
      </c>
      <c r="Y40" s="26">
        <f t="shared" si="49"/>
        <v>95430972.340000004</v>
      </c>
      <c r="Z40" s="26">
        <f t="shared" si="49"/>
        <v>131747645.23999999</v>
      </c>
      <c r="AA40" s="26">
        <f t="shared" si="49"/>
        <v>106647775.98999999</v>
      </c>
      <c r="AB40" s="26">
        <f t="shared" si="49"/>
        <v>26118865.23</v>
      </c>
      <c r="AC40" s="26">
        <f t="shared" si="49"/>
        <v>87253938.930000007</v>
      </c>
      <c r="AD40" s="26">
        <f t="shared" si="49"/>
        <v>69294242.370000005</v>
      </c>
      <c r="AE40" s="26">
        <f t="shared" si="49"/>
        <v>62388290.57</v>
      </c>
      <c r="AF40" s="26">
        <f t="shared" si="49"/>
        <v>19215370.359999999</v>
      </c>
      <c r="AG40" s="26">
        <f t="shared" si="49"/>
        <v>52643850.810000002</v>
      </c>
      <c r="AH40" s="26">
        <f t="shared" si="49"/>
        <v>26539501.600000001</v>
      </c>
      <c r="AI40" s="26">
        <f t="shared" si="49"/>
        <v>22918575.460000001</v>
      </c>
      <c r="AJ40" s="26">
        <f t="shared" si="49"/>
        <v>7891810.5499999998</v>
      </c>
      <c r="AK40" s="26">
        <f t="shared" si="49"/>
        <v>55696419.630000003</v>
      </c>
      <c r="AL40" s="26">
        <f t="shared" si="49"/>
        <v>23476580.079999998</v>
      </c>
      <c r="AM40" s="26">
        <f t="shared" si="49"/>
        <v>22814560.890000001</v>
      </c>
      <c r="AN40" s="26">
        <f t="shared" si="49"/>
        <v>12638499.34</v>
      </c>
      <c r="AO40" s="26">
        <f t="shared" si="49"/>
        <v>44304249.700000003</v>
      </c>
      <c r="AP40" s="26">
        <f t="shared" si="49"/>
        <v>26792623.969999999</v>
      </c>
      <c r="AQ40" s="26">
        <f t="shared" si="49"/>
        <v>29021923.559999999</v>
      </c>
      <c r="AR40" s="26">
        <f t="shared" si="49"/>
        <v>14432924.960000001</v>
      </c>
      <c r="AS40" s="26">
        <f t="shared" si="49"/>
        <v>40855837.359999999</v>
      </c>
      <c r="AT40" s="26">
        <f t="shared" si="49"/>
        <v>29745906.109999999</v>
      </c>
      <c r="AU40" s="26">
        <f t="shared" si="49"/>
        <v>23162300</v>
      </c>
      <c r="AV40" s="26">
        <f t="shared" si="49"/>
        <v>9593569.0099999998</v>
      </c>
      <c r="AW40" s="26">
        <f t="shared" si="49"/>
        <v>26285328.550000001</v>
      </c>
      <c r="AX40" s="26">
        <f t="shared" si="49"/>
        <v>14014025.789999999</v>
      </c>
      <c r="AY40" s="26">
        <f t="shared" si="49"/>
        <v>10386218.09</v>
      </c>
      <c r="AZ40" s="26">
        <f t="shared" si="49"/>
        <v>5525966.2000000002</v>
      </c>
      <c r="BA40" s="26">
        <f t="shared" si="49"/>
        <v>5357671.91</v>
      </c>
      <c r="BB40" s="26">
        <f t="shared" si="49"/>
        <v>9662730.5500000007</v>
      </c>
      <c r="BC40" s="26">
        <f t="shared" si="49"/>
        <v>3809409.25</v>
      </c>
      <c r="BD40" s="26">
        <f t="shared" si="49"/>
        <v>1068381.3</v>
      </c>
      <c r="BE40" s="26">
        <f t="shared" si="49"/>
        <v>10367876.529999999</v>
      </c>
      <c r="BF40" s="26">
        <f t="shared" si="49"/>
        <v>7498504.7199999997</v>
      </c>
      <c r="BG40" s="26">
        <f t="shared" si="49"/>
        <v>5250528.1100000003</v>
      </c>
      <c r="BH40" s="26">
        <f t="shared" si="49"/>
        <v>1856647.86</v>
      </c>
      <c r="BI40" s="26">
        <f t="shared" si="49"/>
        <v>6452754.5700000003</v>
      </c>
      <c r="BJ40" s="26">
        <f t="shared" si="49"/>
        <v>6963395.5</v>
      </c>
      <c r="BK40" s="26">
        <f t="shared" si="49"/>
        <v>4399335.91</v>
      </c>
      <c r="BL40" s="26">
        <f t="shared" si="49"/>
        <v>525286.79</v>
      </c>
      <c r="BM40" s="26">
        <f t="shared" si="49"/>
        <v>16630314.34</v>
      </c>
      <c r="BN40" s="26">
        <f t="shared" si="49"/>
        <v>12594264.93</v>
      </c>
      <c r="BO40" s="26">
        <f t="shared" ref="BO40:CJ40" si="50">BO60</f>
        <v>7364450.54</v>
      </c>
      <c r="BP40" s="26">
        <f t="shared" si="50"/>
        <v>1717240.34</v>
      </c>
      <c r="BQ40" s="26">
        <f t="shared" si="50"/>
        <v>12649224.67</v>
      </c>
      <c r="BR40" s="26">
        <f t="shared" si="50"/>
        <v>4839496.26</v>
      </c>
      <c r="BS40" s="26">
        <f t="shared" si="50"/>
        <v>9569451.6300000008</v>
      </c>
      <c r="BT40" s="26">
        <f t="shared" si="50"/>
        <v>5828829.8600000003</v>
      </c>
      <c r="BU40" s="26">
        <f t="shared" si="50"/>
        <v>6026507.2400000002</v>
      </c>
      <c r="BV40" s="26">
        <f t="shared" si="50"/>
        <v>28910.95</v>
      </c>
      <c r="BW40" s="26">
        <f t="shared" si="50"/>
        <v>0</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0.12009590046848612</v>
      </c>
      <c r="C41" s="57">
        <f t="shared" ref="C41:BN41" si="51">C40/C38</f>
        <v>0.16647485913796709</v>
      </c>
      <c r="D41" s="57">
        <f t="shared" si="51"/>
        <v>0.13348503884750684</v>
      </c>
      <c r="E41" s="57">
        <f t="shared" si="51"/>
        <v>0.17674978925237675</v>
      </c>
      <c r="F41" s="57">
        <f t="shared" si="51"/>
        <v>0.16392197905011829</v>
      </c>
      <c r="G41" s="57">
        <f t="shared" si="51"/>
        <v>0.16826869890843957</v>
      </c>
      <c r="H41" s="57">
        <f t="shared" si="51"/>
        <v>9.9681269514624041E-2</v>
      </c>
      <c r="I41" s="57">
        <f t="shared" si="51"/>
        <v>0.30268614706290553</v>
      </c>
      <c r="J41" s="57">
        <f t="shared" si="51"/>
        <v>0.18251857304412542</v>
      </c>
      <c r="K41" s="57">
        <f t="shared" si="51"/>
        <v>0.16376381222875028</v>
      </c>
      <c r="L41" s="57">
        <f t="shared" si="51"/>
        <v>0.14320319894990682</v>
      </c>
      <c r="M41" s="57">
        <f t="shared" si="51"/>
        <v>0.15105589116260174</v>
      </c>
      <c r="N41" s="57">
        <f t="shared" si="51"/>
        <v>0.17353013305694023</v>
      </c>
      <c r="O41" s="57">
        <f t="shared" si="51"/>
        <v>0.14290157204830434</v>
      </c>
      <c r="P41" s="57">
        <f t="shared" si="51"/>
        <v>0.13664629563038025</v>
      </c>
      <c r="Q41" s="57">
        <f t="shared" si="51"/>
        <v>0.2072057373471074</v>
      </c>
      <c r="R41" s="57">
        <f t="shared" si="51"/>
        <v>0.17048215049656093</v>
      </c>
      <c r="S41" s="57">
        <f t="shared" si="51"/>
        <v>0.15887214440117794</v>
      </c>
      <c r="T41" s="57">
        <f t="shared" si="51"/>
        <v>0.13748911351720347</v>
      </c>
      <c r="U41" s="57">
        <f t="shared" si="51"/>
        <v>0.14648645672718538</v>
      </c>
      <c r="V41" s="57">
        <f t="shared" si="51"/>
        <v>0.17242404890929855</v>
      </c>
      <c r="W41" s="57">
        <f t="shared" si="51"/>
        <v>0.17682137905315221</v>
      </c>
      <c r="X41" s="57">
        <f t="shared" si="51"/>
        <v>0.1643304307951946</v>
      </c>
      <c r="Y41" s="57">
        <f t="shared" si="51"/>
        <v>0.13090181304994133</v>
      </c>
      <c r="Z41" s="57">
        <f t="shared" si="51"/>
        <v>0.21499503178487672</v>
      </c>
      <c r="AA41" s="57">
        <f t="shared" si="51"/>
        <v>0.22771804507091725</v>
      </c>
      <c r="AB41" s="57">
        <f t="shared" si="51"/>
        <v>0.22548478609163325</v>
      </c>
      <c r="AC41" s="57">
        <f t="shared" si="51"/>
        <v>0.19381700589684592</v>
      </c>
      <c r="AD41" s="57">
        <f t="shared" si="51"/>
        <v>0.19838617015511451</v>
      </c>
      <c r="AE41" s="57">
        <f t="shared" si="51"/>
        <v>0.23267043361325268</v>
      </c>
      <c r="AF41" s="57">
        <f t="shared" si="51"/>
        <v>0.23861684400126904</v>
      </c>
      <c r="AG41" s="57">
        <f t="shared" si="51"/>
        <v>0.17529733603400457</v>
      </c>
      <c r="AH41" s="57">
        <f t="shared" si="51"/>
        <v>0.11513461765183604</v>
      </c>
      <c r="AI41" s="57">
        <f t="shared" si="51"/>
        <v>0.13054214493414903</v>
      </c>
      <c r="AJ41" s="57">
        <f t="shared" si="51"/>
        <v>0.15916550835550416</v>
      </c>
      <c r="AK41" s="57">
        <f t="shared" si="51"/>
        <v>0.18910693344370474</v>
      </c>
      <c r="AL41" s="57">
        <f t="shared" si="51"/>
        <v>0.11215706160657513</v>
      </c>
      <c r="AM41" s="57">
        <f t="shared" si="51"/>
        <v>0.13801770882519332</v>
      </c>
      <c r="AN41" s="57">
        <f t="shared" si="51"/>
        <v>0.26889728827926707</v>
      </c>
      <c r="AO41" s="57">
        <f t="shared" si="51"/>
        <v>0.19185292075179777</v>
      </c>
      <c r="AP41" s="57">
        <f t="shared" si="51"/>
        <v>0.14429498023508081</v>
      </c>
      <c r="AQ41" s="57">
        <f t="shared" si="51"/>
        <v>0.20224091479098039</v>
      </c>
      <c r="AR41" s="57">
        <f t="shared" si="51"/>
        <v>0.33065090920859969</v>
      </c>
      <c r="AS41" s="57">
        <f t="shared" si="51"/>
        <v>0.21514084463437624</v>
      </c>
      <c r="AT41" s="57">
        <f t="shared" si="51"/>
        <v>0.2127754199881304</v>
      </c>
      <c r="AU41" s="57">
        <f t="shared" si="51"/>
        <v>0.23726096730921159</v>
      </c>
      <c r="AV41" s="57">
        <f t="shared" si="51"/>
        <v>0.30208042353877795</v>
      </c>
      <c r="AW41" s="57">
        <f t="shared" si="51"/>
        <v>0.25523185530748405</v>
      </c>
      <c r="AX41" s="57">
        <f t="shared" si="51"/>
        <v>0.16263819860861745</v>
      </c>
      <c r="AY41" s="57">
        <f t="shared" si="51"/>
        <v>0.15981951790636414</v>
      </c>
      <c r="AZ41" s="57">
        <f t="shared" si="51"/>
        <v>0.23440399602669149</v>
      </c>
      <c r="BA41" s="57">
        <f t="shared" si="51"/>
        <v>0.15186395096466387</v>
      </c>
      <c r="BB41" s="57">
        <f t="shared" si="51"/>
        <v>0.18607226937168447</v>
      </c>
      <c r="BC41" s="57">
        <f t="shared" si="51"/>
        <v>0.111594025020938</v>
      </c>
      <c r="BD41" s="57">
        <f t="shared" si="51"/>
        <v>8.3698690374049922E-2</v>
      </c>
      <c r="BE41" s="57">
        <f t="shared" si="51"/>
        <v>0.18754666938643458</v>
      </c>
      <c r="BF41" s="57">
        <f t="shared" si="51"/>
        <v>0.10329892605891883</v>
      </c>
      <c r="BG41" s="57">
        <f t="shared" si="51"/>
        <v>0.10214064855571137</v>
      </c>
      <c r="BH41" s="57">
        <f t="shared" si="51"/>
        <v>0.10597246967052455</v>
      </c>
      <c r="BI41" s="57">
        <f t="shared" si="51"/>
        <v>7.0580482541890574E-2</v>
      </c>
      <c r="BJ41" s="57">
        <f t="shared" si="51"/>
        <v>7.9821377903653679E-2</v>
      </c>
      <c r="BK41" s="57">
        <f t="shared" si="51"/>
        <v>7.0921911831419104E-2</v>
      </c>
      <c r="BL41" s="57">
        <f t="shared" si="51"/>
        <v>4.1040663291426235E-2</v>
      </c>
      <c r="BM41" s="57">
        <f t="shared" si="51"/>
        <v>0.19810111736932795</v>
      </c>
      <c r="BN41" s="57">
        <f t="shared" si="51"/>
        <v>0.15263166128289277</v>
      </c>
      <c r="BO41" s="57">
        <f t="shared" ref="BO41:CJ41" si="52">BO40/BO38</f>
        <v>0.12847757002880403</v>
      </c>
      <c r="BP41" s="57">
        <f t="shared" si="52"/>
        <v>0.14444285379539798</v>
      </c>
      <c r="BQ41" s="57">
        <f t="shared" si="52"/>
        <v>0.15955662463062037</v>
      </c>
      <c r="BR41" s="57">
        <f t="shared" si="52"/>
        <v>0.10787329351812829</v>
      </c>
      <c r="BS41" s="57">
        <f t="shared" si="52"/>
        <v>0.18453753563617531</v>
      </c>
      <c r="BT41" s="57">
        <f t="shared" si="52"/>
        <v>0.13464035120408274</v>
      </c>
      <c r="BU41" s="57">
        <f t="shared" si="52"/>
        <v>0.16261644688976157</v>
      </c>
      <c r="BV41" s="57">
        <f t="shared" si="52"/>
        <v>5.6807072697013866E-4</v>
      </c>
      <c r="BW41" s="57" t="e">
        <f t="shared" si="52"/>
        <v>#DIV/0!</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512987988.30999964</v>
      </c>
      <c r="C42" s="28">
        <f t="shared" ref="C42:BN42" si="53">C38-C40</f>
        <v>240779505.80000046</v>
      </c>
      <c r="D42" s="28">
        <f t="shared" si="53"/>
        <v>204827643.64000005</v>
      </c>
      <c r="E42" s="28">
        <f t="shared" si="53"/>
        <v>379337896.56999964</v>
      </c>
      <c r="F42" s="28">
        <f t="shared" si="53"/>
        <v>287805695.96000075</v>
      </c>
      <c r="G42" s="28">
        <f t="shared" si="53"/>
        <v>188499572.02000028</v>
      </c>
      <c r="H42" s="28">
        <f t="shared" si="53"/>
        <v>111450218.98000008</v>
      </c>
      <c r="I42" s="28">
        <f t="shared" si="53"/>
        <v>171753594.01000005</v>
      </c>
      <c r="J42" s="28">
        <f t="shared" si="53"/>
        <v>420142335.60999954</v>
      </c>
      <c r="K42" s="28">
        <f t="shared" si="53"/>
        <v>356051287.42000002</v>
      </c>
      <c r="L42" s="28">
        <f t="shared" si="53"/>
        <v>121061433.15999983</v>
      </c>
      <c r="M42" s="28">
        <f t="shared" si="53"/>
        <v>2256445876.8700008</v>
      </c>
      <c r="N42" s="28">
        <f t="shared" si="53"/>
        <v>823568554.92999983</v>
      </c>
      <c r="O42" s="28">
        <f t="shared" si="53"/>
        <v>731848942</v>
      </c>
      <c r="P42" s="28">
        <f t="shared" si="53"/>
        <v>188939769.66999987</v>
      </c>
      <c r="Q42" s="28">
        <f t="shared" si="53"/>
        <v>897490135.94000041</v>
      </c>
      <c r="R42" s="28">
        <f t="shared" si="53"/>
        <v>745365894.9600004</v>
      </c>
      <c r="S42" s="28">
        <f t="shared" si="53"/>
        <v>581402454.77999997</v>
      </c>
      <c r="T42" s="28">
        <f t="shared" si="53"/>
        <v>163961843.54000014</v>
      </c>
      <c r="U42" s="28">
        <f t="shared" si="53"/>
        <v>821212610.93000078</v>
      </c>
      <c r="V42" s="28">
        <f t="shared" si="53"/>
        <v>646104569.07999992</v>
      </c>
      <c r="W42" s="28">
        <f t="shared" si="53"/>
        <v>504924626.23999971</v>
      </c>
      <c r="X42" s="28">
        <f t="shared" si="53"/>
        <v>132689135.61</v>
      </c>
      <c r="Y42" s="28">
        <f t="shared" si="53"/>
        <v>633596152.00999975</v>
      </c>
      <c r="Z42" s="28">
        <f t="shared" si="53"/>
        <v>481046260.48999953</v>
      </c>
      <c r="AA42" s="28">
        <f t="shared" si="53"/>
        <v>361684788.32999992</v>
      </c>
      <c r="AB42" s="28">
        <f t="shared" si="53"/>
        <v>89715403.160000071</v>
      </c>
      <c r="AC42" s="28">
        <f t="shared" si="53"/>
        <v>362933280.32999957</v>
      </c>
      <c r="AD42" s="28">
        <f t="shared" si="53"/>
        <v>279995440.04999989</v>
      </c>
      <c r="AE42" s="28">
        <f t="shared" si="53"/>
        <v>205751883.50000021</v>
      </c>
      <c r="AF42" s="28">
        <f t="shared" si="53"/>
        <v>61312768.550000027</v>
      </c>
      <c r="AG42" s="28">
        <f t="shared" si="53"/>
        <v>247667905.2100004</v>
      </c>
      <c r="AH42" s="28">
        <f t="shared" si="53"/>
        <v>203968942.69999963</v>
      </c>
      <c r="AI42" s="28">
        <f t="shared" si="53"/>
        <v>152645993.91</v>
      </c>
      <c r="AJ42" s="28">
        <f t="shared" si="53"/>
        <v>41690606.089999944</v>
      </c>
      <c r="AK42" s="28">
        <f t="shared" si="53"/>
        <v>238826994.26999998</v>
      </c>
      <c r="AL42" s="28">
        <f t="shared" si="53"/>
        <v>185842206.83999985</v>
      </c>
      <c r="AM42" s="28">
        <f t="shared" si="53"/>
        <v>142487131.79999995</v>
      </c>
      <c r="AN42" s="28">
        <f t="shared" si="53"/>
        <v>34362715.960000008</v>
      </c>
      <c r="AO42" s="28">
        <f t="shared" si="53"/>
        <v>186623950.53999996</v>
      </c>
      <c r="AP42" s="28">
        <f t="shared" si="53"/>
        <v>158886905.04999989</v>
      </c>
      <c r="AQ42" s="28">
        <f t="shared" si="53"/>
        <v>114479818.3600001</v>
      </c>
      <c r="AR42" s="28">
        <f t="shared" si="53"/>
        <v>29217113.670000002</v>
      </c>
      <c r="AS42" s="28">
        <f t="shared" si="53"/>
        <v>149046909.51000023</v>
      </c>
      <c r="AT42" s="28">
        <f t="shared" si="53"/>
        <v>110053635.17000012</v>
      </c>
      <c r="AU42" s="28">
        <f t="shared" si="53"/>
        <v>74461427.419999987</v>
      </c>
      <c r="AV42" s="28">
        <f t="shared" si="53"/>
        <v>22164758.449999996</v>
      </c>
      <c r="AW42" s="28">
        <f t="shared" si="53"/>
        <v>76700752.549999937</v>
      </c>
      <c r="AX42" s="28">
        <f t="shared" si="53"/>
        <v>72152852.039999902</v>
      </c>
      <c r="AY42" s="28">
        <f t="shared" si="53"/>
        <v>54600951.349999994</v>
      </c>
      <c r="AZ42" s="28">
        <f t="shared" si="53"/>
        <v>18048573.02999999</v>
      </c>
      <c r="BA42" s="28">
        <f t="shared" si="53"/>
        <v>29921746.77999996</v>
      </c>
      <c r="BB42" s="28">
        <f t="shared" si="53"/>
        <v>42267256.559999883</v>
      </c>
      <c r="BC42" s="28">
        <f t="shared" si="53"/>
        <v>30326909.86999996</v>
      </c>
      <c r="BD42" s="28">
        <f t="shared" si="53"/>
        <v>11696230.609999999</v>
      </c>
      <c r="BE42" s="28">
        <f t="shared" si="53"/>
        <v>44913705.189999968</v>
      </c>
      <c r="BF42" s="28">
        <f t="shared" si="53"/>
        <v>65091840.659999996</v>
      </c>
      <c r="BG42" s="28">
        <f t="shared" si="53"/>
        <v>46154355.100000024</v>
      </c>
      <c r="BH42" s="28">
        <f t="shared" si="53"/>
        <v>15663448.310000017</v>
      </c>
      <c r="BI42" s="28">
        <f t="shared" si="53"/>
        <v>84971309.669999957</v>
      </c>
      <c r="BJ42" s="28">
        <f t="shared" si="53"/>
        <v>80273829.450000063</v>
      </c>
      <c r="BK42" s="28">
        <f t="shared" si="53"/>
        <v>57631365.13000004</v>
      </c>
      <c r="BL42" s="28">
        <f t="shared" si="53"/>
        <v>12273892.069999985</v>
      </c>
      <c r="BM42" s="28">
        <f t="shared" si="53"/>
        <v>67318300.189999998</v>
      </c>
      <c r="BN42" s="28">
        <f t="shared" si="53"/>
        <v>69919840.100000024</v>
      </c>
      <c r="BO42" s="28">
        <f t="shared" ref="BO42:CK42" si="54">BO38-BO40</f>
        <v>49956454.100000024</v>
      </c>
      <c r="BP42" s="28">
        <f t="shared" si="54"/>
        <v>10171477.549999984</v>
      </c>
      <c r="BQ42" s="28">
        <f t="shared" si="54"/>
        <v>66628114.64000003</v>
      </c>
      <c r="BR42" s="28">
        <f t="shared" si="54"/>
        <v>40023287.680000074</v>
      </c>
      <c r="BS42" s="28">
        <f t="shared" si="54"/>
        <v>42286944.939999923</v>
      </c>
      <c r="BT42" s="28">
        <f t="shared" si="54"/>
        <v>37463019.930000037</v>
      </c>
      <c r="BU42" s="28">
        <f t="shared" si="54"/>
        <v>31033134.360000007</v>
      </c>
      <c r="BV42" s="28">
        <f t="shared" si="54"/>
        <v>50864311.719999924</v>
      </c>
      <c r="BW42" s="28">
        <f t="shared" si="54"/>
        <v>0</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9.4643873411160229</v>
      </c>
      <c r="C43" s="57">
        <f t="shared" ref="C43:D43" si="55">C42/C4*100</f>
        <v>6.5693607407666939</v>
      </c>
      <c r="D43" s="57">
        <f t="shared" si="55"/>
        <v>11.010479057946501</v>
      </c>
      <c r="E43" s="57">
        <f>E42/E4</f>
        <v>5.8465397916039268E-2</v>
      </c>
      <c r="F43" s="57">
        <f t="shared" ref="F43:BQ43" si="56">F42/F4</f>
        <v>7.3899389118769157E-2</v>
      </c>
      <c r="G43" s="57">
        <f t="shared" si="56"/>
        <v>7.1081457023662684E-2</v>
      </c>
      <c r="H43" s="57">
        <f t="shared" si="56"/>
        <v>8.3161517141276425E-2</v>
      </c>
      <c r="I43" s="57">
        <f t="shared" si="56"/>
        <v>3.2277240137776539E-2</v>
      </c>
      <c r="J43" s="57">
        <f t="shared" si="56"/>
        <v>9.7984318079719482E-2</v>
      </c>
      <c r="K43" s="57">
        <f t="shared" si="56"/>
        <v>0.1161391221170805</v>
      </c>
      <c r="L43" s="57">
        <f t="shared" si="56"/>
        <v>7.8555358986515111E-2</v>
      </c>
      <c r="M43" s="57">
        <f t="shared" si="56"/>
        <v>0.38599005490789973</v>
      </c>
      <c r="N43" s="57">
        <f t="shared" si="56"/>
        <v>0.1783557363150183</v>
      </c>
      <c r="O43" s="57">
        <f t="shared" si="56"/>
        <v>0.2276317641777284</v>
      </c>
      <c r="P43" s="57">
        <f t="shared" si="56"/>
        <v>0.1184651586966881</v>
      </c>
      <c r="Q43" s="57">
        <f t="shared" si="56"/>
        <v>0.16823757290271568</v>
      </c>
      <c r="R43" s="57">
        <f t="shared" si="56"/>
        <v>0.17881918845963926</v>
      </c>
      <c r="S43" s="57">
        <f t="shared" si="56"/>
        <v>0.20621649056602406</v>
      </c>
      <c r="T43" s="57">
        <f t="shared" si="56"/>
        <v>0.12184119220367329</v>
      </c>
      <c r="U43" s="57">
        <f t="shared" si="56"/>
        <v>0.1837779866484785</v>
      </c>
      <c r="V43" s="57">
        <f t="shared" si="56"/>
        <v>0.16102842432839581</v>
      </c>
      <c r="W43" s="57">
        <f t="shared" si="56"/>
        <v>0.18383001396996621</v>
      </c>
      <c r="X43" s="57">
        <f t="shared" si="56"/>
        <v>0.10014074414570603</v>
      </c>
      <c r="Y43" s="57">
        <f t="shared" si="56"/>
        <v>0.14067027308990948</v>
      </c>
      <c r="Z43" s="57">
        <f t="shared" si="56"/>
        <v>0.1358609455898899</v>
      </c>
      <c r="AA43" s="57">
        <f t="shared" si="56"/>
        <v>0.15462623456988656</v>
      </c>
      <c r="AB43" s="57">
        <f t="shared" si="56"/>
        <v>8.5043651512923937E-2</v>
      </c>
      <c r="AC43" s="57">
        <f t="shared" si="56"/>
        <v>0.10147416901360258</v>
      </c>
      <c r="AD43" s="57">
        <f t="shared" si="56"/>
        <v>9.7669421920586766E-2</v>
      </c>
      <c r="AE43" s="57">
        <f t="shared" si="56"/>
        <v>0.10704192329459382</v>
      </c>
      <c r="AF43" s="57">
        <f t="shared" si="56"/>
        <v>7.268126080973325E-2</v>
      </c>
      <c r="AG43" s="57">
        <f t="shared" si="56"/>
        <v>8.0048925864423803E-2</v>
      </c>
      <c r="AH43" s="57">
        <f t="shared" si="56"/>
        <v>8.3940881449241583E-2</v>
      </c>
      <c r="AI43" s="57">
        <f t="shared" si="56"/>
        <v>9.6785132641220989E-2</v>
      </c>
      <c r="AJ43" s="57">
        <f t="shared" si="56"/>
        <v>6.2419151329480262E-2</v>
      </c>
      <c r="AK43" s="57">
        <f t="shared" si="56"/>
        <v>8.8549047663306762E-2</v>
      </c>
      <c r="AL43" s="57">
        <f t="shared" si="56"/>
        <v>8.5188358948153978E-2</v>
      </c>
      <c r="AM43" s="57">
        <f t="shared" si="56"/>
        <v>0.10000472866462033</v>
      </c>
      <c r="AN43" s="57">
        <f t="shared" si="56"/>
        <v>5.9004287578554707E-2</v>
      </c>
      <c r="AO43" s="57">
        <f t="shared" si="56"/>
        <v>7.4844233073289551E-2</v>
      </c>
      <c r="AP43" s="57">
        <f t="shared" si="56"/>
        <v>7.5739019637490287E-2</v>
      </c>
      <c r="AQ43" s="57">
        <f t="shared" si="56"/>
        <v>8.2679231943265444E-2</v>
      </c>
      <c r="AR43" s="57">
        <f t="shared" si="56"/>
        <v>5.5531505700391857E-2</v>
      </c>
      <c r="AS43" s="57">
        <f t="shared" si="56"/>
        <v>6.5926654439764754E-2</v>
      </c>
      <c r="AT43" s="57">
        <f t="shared" si="56"/>
        <v>6.1828476162811716E-2</v>
      </c>
      <c r="AU43" s="57">
        <f t="shared" si="56"/>
        <v>6.4081195229193144E-2</v>
      </c>
      <c r="AV43" s="57">
        <f t="shared" si="56"/>
        <v>4.6594781425633849E-2</v>
      </c>
      <c r="AW43" s="57">
        <f t="shared" si="56"/>
        <v>3.5523842438208962E-2</v>
      </c>
      <c r="AX43" s="57">
        <f t="shared" si="56"/>
        <v>4.1323051451890434E-2</v>
      </c>
      <c r="AY43" s="57">
        <f t="shared" si="56"/>
        <v>4.980447512037383E-2</v>
      </c>
      <c r="AZ43" s="57">
        <f t="shared" si="56"/>
        <v>4.0304732857245784E-2</v>
      </c>
      <c r="BA43" s="57">
        <f t="shared" si="56"/>
        <v>1.5353382234032912E-2</v>
      </c>
      <c r="BB43" s="57">
        <f t="shared" si="56"/>
        <v>2.7419913260706402E-2</v>
      </c>
      <c r="BC43" s="57">
        <f t="shared" si="56"/>
        <v>3.1271110784383077E-2</v>
      </c>
      <c r="BD43" s="57">
        <f t="shared" si="56"/>
        <v>3.0572115645179882E-2</v>
      </c>
      <c r="BE43" s="57">
        <f t="shared" si="56"/>
        <v>2.6911233262677858E-2</v>
      </c>
      <c r="BF43" s="57">
        <f t="shared" si="56"/>
        <v>5.0635416081100046E-2</v>
      </c>
      <c r="BG43" s="57">
        <f t="shared" si="56"/>
        <v>5.9603550235211848E-2</v>
      </c>
      <c r="BH43" s="57">
        <f t="shared" si="56"/>
        <v>5.4732154842961928E-2</v>
      </c>
      <c r="BI43" s="57">
        <f t="shared" si="56"/>
        <v>5.7166751212313099E-2</v>
      </c>
      <c r="BJ43" s="57">
        <f t="shared" si="56"/>
        <v>7.0302278357266254E-2</v>
      </c>
      <c r="BK43" s="57">
        <f t="shared" si="56"/>
        <v>7.8290269337817547E-2</v>
      </c>
      <c r="BL43" s="57">
        <f t="shared" si="56"/>
        <v>5.3803297592690362E-2</v>
      </c>
      <c r="BM43" s="57">
        <f t="shared" si="56"/>
        <v>4.9357769680080078E-2</v>
      </c>
      <c r="BN43" s="57">
        <f t="shared" si="56"/>
        <v>6.7178032232599508E-2</v>
      </c>
      <c r="BO43" s="57">
        <f t="shared" si="56"/>
        <v>7.2793929321461809E-2</v>
      </c>
      <c r="BP43" s="57">
        <f t="shared" si="56"/>
        <v>4.5564462648780973E-2</v>
      </c>
      <c r="BQ43" s="57">
        <f t="shared" si="56"/>
        <v>5.1022673775238739E-2</v>
      </c>
      <c r="BR43" s="57">
        <f t="shared" ref="BR43:CK43" si="57">BR42/BR4</f>
        <v>6.2644329106770716E-2</v>
      </c>
      <c r="BS43" s="57">
        <f t="shared" si="57"/>
        <v>3.5618533008660774E-2</v>
      </c>
      <c r="BT43" s="57">
        <f t="shared" si="57"/>
        <v>3.4596180698162421E-2</v>
      </c>
      <c r="BU43" s="57">
        <f t="shared" si="57"/>
        <v>3.1601664379534586E-2</v>
      </c>
      <c r="BV43" s="57">
        <f t="shared" si="57"/>
        <v>5.6530456013682021E-2</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465572474.01440001</v>
      </c>
      <c r="C45" s="26">
        <f t="shared" ref="C45:BN45" si="58">C70*C69</f>
        <v>449341192.96160007</v>
      </c>
      <c r="D45" s="26">
        <f t="shared" si="58"/>
        <v>448140467.77040005</v>
      </c>
      <c r="E45" s="26">
        <f t="shared" si="58"/>
        <v>430124147.7288</v>
      </c>
      <c r="F45" s="26">
        <f t="shared" si="58"/>
        <v>442121442.26879996</v>
      </c>
      <c r="G45" s="26">
        <f t="shared" si="58"/>
        <v>433964248.99120003</v>
      </c>
      <c r="H45" s="26">
        <f t="shared" si="58"/>
        <v>430184073.45679998</v>
      </c>
      <c r="I45" s="26">
        <f t="shared" si="58"/>
        <v>421130079.77839994</v>
      </c>
      <c r="J45" s="26">
        <f t="shared" si="58"/>
        <v>439356041.07120001</v>
      </c>
      <c r="K45" s="26">
        <f t="shared" si="58"/>
        <v>487333000.44239998</v>
      </c>
      <c r="L45" s="26">
        <f t="shared" si="58"/>
        <v>468257745.83199996</v>
      </c>
      <c r="M45" s="26">
        <f t="shared" si="58"/>
        <v>458299798.60480005</v>
      </c>
      <c r="N45" s="26">
        <f t="shared" si="58"/>
        <v>347726199.74559999</v>
      </c>
      <c r="O45" s="26">
        <f t="shared" si="58"/>
        <v>339800886.6728</v>
      </c>
      <c r="P45" s="26">
        <f t="shared" si="58"/>
        <v>319834364.64399999</v>
      </c>
      <c r="Q45" s="26">
        <f t="shared" si="58"/>
        <v>304416516.84560001</v>
      </c>
      <c r="R45" s="26">
        <f t="shared" si="58"/>
        <v>302097399.92640001</v>
      </c>
      <c r="S45" s="26">
        <f t="shared" si="58"/>
        <v>290885051.10960001</v>
      </c>
      <c r="T45" s="26">
        <f t="shared" si="58"/>
        <v>284168216.03439999</v>
      </c>
      <c r="U45" s="26">
        <f t="shared" si="58"/>
        <v>269231293.2992</v>
      </c>
      <c r="V45" s="26">
        <f t="shared" si="58"/>
        <v>255252374.05840001</v>
      </c>
      <c r="W45" s="26">
        <f t="shared" si="58"/>
        <v>242558951.08880001</v>
      </c>
      <c r="X45" s="26">
        <f t="shared" si="58"/>
        <v>232875018.00479999</v>
      </c>
      <c r="Y45" s="26">
        <f t="shared" si="58"/>
        <v>218518701.98480001</v>
      </c>
      <c r="Z45" s="26">
        <f t="shared" si="58"/>
        <v>202192088.8784</v>
      </c>
      <c r="AA45" s="26">
        <f t="shared" si="58"/>
        <v>204789252.1336</v>
      </c>
      <c r="AB45" s="26">
        <f t="shared" si="58"/>
        <v>149507495.45120001</v>
      </c>
      <c r="AC45" s="26">
        <f t="shared" si="58"/>
        <v>142537714.7552</v>
      </c>
      <c r="AD45" s="26">
        <f t="shared" si="58"/>
        <v>135620196.09440002</v>
      </c>
      <c r="AE45" s="26">
        <f t="shared" si="58"/>
        <v>129545135.57040001</v>
      </c>
      <c r="AF45" s="26">
        <f t="shared" si="58"/>
        <v>126356926.1864</v>
      </c>
      <c r="AG45" s="26">
        <f t="shared" si="58"/>
        <v>121433642.46080001</v>
      </c>
      <c r="AH45" s="26">
        <f t="shared" si="58"/>
        <v>117492508.76879999</v>
      </c>
      <c r="AI45" s="26">
        <f t="shared" si="58"/>
        <v>112926683.98719999</v>
      </c>
      <c r="AJ45" s="26">
        <f t="shared" si="58"/>
        <v>112944460.57520001</v>
      </c>
      <c r="AK45" s="26">
        <f t="shared" si="58"/>
        <v>109487168.252</v>
      </c>
      <c r="AL45" s="26">
        <f t="shared" si="58"/>
        <v>104689195.26799999</v>
      </c>
      <c r="AM45" s="26">
        <f t="shared" si="58"/>
        <v>100543082.91360001</v>
      </c>
      <c r="AN45" s="26">
        <f t="shared" si="58"/>
        <v>94789692.187999994</v>
      </c>
      <c r="AO45" s="26">
        <f t="shared" si="58"/>
        <v>91560670.869599998</v>
      </c>
      <c r="AP45" s="26">
        <f t="shared" si="58"/>
        <v>87933066.016000003</v>
      </c>
      <c r="AQ45" s="26">
        <f t="shared" si="58"/>
        <v>87174429.095200002</v>
      </c>
      <c r="AR45" s="26">
        <f t="shared" si="58"/>
        <v>74318035.5704</v>
      </c>
      <c r="AS45" s="26">
        <f t="shared" si="58"/>
        <v>72278053.45920001</v>
      </c>
      <c r="AT45" s="26">
        <f t="shared" si="58"/>
        <v>70808209.135200009</v>
      </c>
      <c r="AU45" s="26">
        <f t="shared" si="58"/>
        <v>67954586.928800002</v>
      </c>
      <c r="AV45" s="26">
        <f t="shared" si="58"/>
        <v>66668923.259999998</v>
      </c>
      <c r="AW45" s="26">
        <f t="shared" si="58"/>
        <v>68460844.738399997</v>
      </c>
      <c r="AX45" s="26">
        <f t="shared" si="58"/>
        <v>67295262.591199994</v>
      </c>
      <c r="AY45" s="26">
        <f t="shared" si="58"/>
        <v>66161503.626400001</v>
      </c>
      <c r="AZ45" s="26">
        <f t="shared" si="58"/>
        <v>100279524.7368</v>
      </c>
      <c r="BA45" s="26">
        <f t="shared" si="58"/>
        <v>100143187.41200002</v>
      </c>
      <c r="BB45" s="26">
        <f t="shared" si="58"/>
        <v>100511622.7608</v>
      </c>
      <c r="BC45" s="26">
        <f t="shared" si="58"/>
        <v>99385880.997600004</v>
      </c>
      <c r="BD45" s="26">
        <f t="shared" si="58"/>
        <v>101425353.7816</v>
      </c>
      <c r="BE45" s="26">
        <f t="shared" si="58"/>
        <v>99910555.104000002</v>
      </c>
      <c r="BF45" s="26">
        <f t="shared" si="58"/>
        <v>102897833.0464</v>
      </c>
      <c r="BG45" s="26">
        <f t="shared" si="58"/>
        <v>101310919.8448</v>
      </c>
      <c r="BH45" s="26">
        <f t="shared" si="58"/>
        <v>100226853.7352</v>
      </c>
      <c r="BI45" s="26">
        <f t="shared" si="58"/>
        <v>99115222.665600002</v>
      </c>
      <c r="BJ45" s="26">
        <f t="shared" si="58"/>
        <v>98921533.225599989</v>
      </c>
      <c r="BK45" s="26">
        <f t="shared" si="58"/>
        <v>96818153.659199998</v>
      </c>
      <c r="BL45" s="26">
        <f t="shared" si="58"/>
        <v>92651184.340800002</v>
      </c>
      <c r="BM45" s="26">
        <f t="shared" si="58"/>
        <v>94842428.985599995</v>
      </c>
      <c r="BN45" s="26">
        <f t="shared" si="58"/>
        <v>94312301.202399999</v>
      </c>
      <c r="BO45" s="26">
        <f t="shared" ref="BO45:CJ45" si="59">BO70*BO69</f>
        <v>91597614.799999997</v>
      </c>
      <c r="BP45" s="26">
        <f t="shared" si="59"/>
        <v>86947589.35360001</v>
      </c>
      <c r="BQ45" s="26">
        <f t="shared" si="59"/>
        <v>85961918.337600008</v>
      </c>
      <c r="BR45" s="26">
        <f t="shared" si="59"/>
        <v>85748323.554399997</v>
      </c>
      <c r="BS45" s="26">
        <f t="shared" si="59"/>
        <v>23213079.923200004</v>
      </c>
      <c r="BT45" s="26">
        <f t="shared" si="59"/>
        <v>21333492.323199999</v>
      </c>
      <c r="BU45" s="26">
        <f t="shared" si="59"/>
        <v>18639087.024799999</v>
      </c>
      <c r="BV45" s="26">
        <f t="shared" si="59"/>
        <v>17133359.078400001</v>
      </c>
      <c r="BW45" s="26">
        <f t="shared" si="59"/>
        <v>0</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47415514.295599639</v>
      </c>
      <c r="C47" s="28">
        <f t="shared" ref="C47:BN47" si="62">C42-C45</f>
        <v>-208561687.16159961</v>
      </c>
      <c r="D47" s="28">
        <f t="shared" si="62"/>
        <v>-243312824.1304</v>
      </c>
      <c r="E47" s="28">
        <f t="shared" si="62"/>
        <v>-50786251.158800364</v>
      </c>
      <c r="F47" s="28">
        <f t="shared" si="62"/>
        <v>-154315746.30879921</v>
      </c>
      <c r="G47" s="28">
        <f t="shared" si="62"/>
        <v>-245464676.97119975</v>
      </c>
      <c r="H47" s="28">
        <f t="shared" si="62"/>
        <v>-318733854.47679991</v>
      </c>
      <c r="I47" s="28">
        <f t="shared" si="62"/>
        <v>-249376485.76839989</v>
      </c>
      <c r="J47" s="28">
        <f t="shared" si="62"/>
        <v>-19213705.461200476</v>
      </c>
      <c r="K47" s="28">
        <f t="shared" si="62"/>
        <v>-131281713.02239996</v>
      </c>
      <c r="L47" s="28">
        <f t="shared" si="62"/>
        <v>-347196312.67200011</v>
      </c>
      <c r="M47" s="28">
        <f t="shared" si="62"/>
        <v>1798146078.2652009</v>
      </c>
      <c r="N47" s="28">
        <f t="shared" si="62"/>
        <v>475842355.18439984</v>
      </c>
      <c r="O47" s="28">
        <f t="shared" si="62"/>
        <v>392048055.3272</v>
      </c>
      <c r="P47" s="28">
        <f t="shared" si="62"/>
        <v>-130894594.97400013</v>
      </c>
      <c r="Q47" s="28">
        <f t="shared" si="62"/>
        <v>593073619.09440041</v>
      </c>
      <c r="R47" s="28">
        <f t="shared" si="62"/>
        <v>443268495.03360039</v>
      </c>
      <c r="S47" s="28">
        <f t="shared" si="62"/>
        <v>290517403.67039996</v>
      </c>
      <c r="T47" s="28">
        <f t="shared" si="62"/>
        <v>-120206372.49439985</v>
      </c>
      <c r="U47" s="28">
        <f t="shared" si="62"/>
        <v>551981317.63080072</v>
      </c>
      <c r="V47" s="28">
        <f t="shared" si="62"/>
        <v>390852195.02159989</v>
      </c>
      <c r="W47" s="28">
        <f t="shared" si="62"/>
        <v>262365675.1511997</v>
      </c>
      <c r="X47" s="28">
        <f t="shared" si="62"/>
        <v>-100185882.39479999</v>
      </c>
      <c r="Y47" s="28">
        <f t="shared" si="62"/>
        <v>415077450.02519977</v>
      </c>
      <c r="Z47" s="28">
        <f t="shared" si="62"/>
        <v>278854171.61159956</v>
      </c>
      <c r="AA47" s="28">
        <f t="shared" si="62"/>
        <v>156895536.19639993</v>
      </c>
      <c r="AB47" s="28">
        <f t="shared" si="62"/>
        <v>-59792092.291199937</v>
      </c>
      <c r="AC47" s="28">
        <f t="shared" si="62"/>
        <v>220395565.57479957</v>
      </c>
      <c r="AD47" s="28">
        <f t="shared" si="62"/>
        <v>144375243.95559987</v>
      </c>
      <c r="AE47" s="28">
        <f t="shared" si="62"/>
        <v>76206747.929600194</v>
      </c>
      <c r="AF47" s="28">
        <f t="shared" si="62"/>
        <v>-65044157.636399969</v>
      </c>
      <c r="AG47" s="28">
        <f t="shared" si="62"/>
        <v>126234262.74920039</v>
      </c>
      <c r="AH47" s="28">
        <f t="shared" si="62"/>
        <v>86476433.93119964</v>
      </c>
      <c r="AI47" s="28">
        <f t="shared" si="62"/>
        <v>39719309.922800004</v>
      </c>
      <c r="AJ47" s="28">
        <f t="shared" si="62"/>
        <v>-71253854.485200062</v>
      </c>
      <c r="AK47" s="28">
        <f t="shared" si="62"/>
        <v>129339826.01799998</v>
      </c>
      <c r="AL47" s="28">
        <f t="shared" si="62"/>
        <v>81153011.571999863</v>
      </c>
      <c r="AM47" s="28">
        <f t="shared" si="62"/>
        <v>41944048.88639994</v>
      </c>
      <c r="AN47" s="28">
        <f t="shared" si="62"/>
        <v>-60426976.227999985</v>
      </c>
      <c r="AO47" s="28">
        <f t="shared" si="62"/>
        <v>95063279.670399964</v>
      </c>
      <c r="AP47" s="28">
        <f t="shared" si="62"/>
        <v>70953839.03399989</v>
      </c>
      <c r="AQ47" s="28">
        <f t="shared" si="62"/>
        <v>27305389.264800102</v>
      </c>
      <c r="AR47" s="28">
        <f t="shared" si="62"/>
        <v>-45100921.900399998</v>
      </c>
      <c r="AS47" s="28">
        <f t="shared" si="62"/>
        <v>76768856.050800219</v>
      </c>
      <c r="AT47" s="28">
        <f t="shared" si="62"/>
        <v>39245426.034800112</v>
      </c>
      <c r="AU47" s="28">
        <f t="shared" si="62"/>
        <v>6506840.4911999851</v>
      </c>
      <c r="AV47" s="28">
        <f t="shared" si="62"/>
        <v>-44504164.810000002</v>
      </c>
      <c r="AW47" s="28">
        <f t="shared" si="62"/>
        <v>8239907.8115999401</v>
      </c>
      <c r="AX47" s="28">
        <f t="shared" si="62"/>
        <v>4857589.4487999082</v>
      </c>
      <c r="AY47" s="28">
        <f t="shared" si="62"/>
        <v>-11560552.276400007</v>
      </c>
      <c r="AZ47" s="28">
        <f t="shared" si="62"/>
        <v>-82230951.706800014</v>
      </c>
      <c r="BA47" s="28">
        <f t="shared" si="62"/>
        <v>-70221440.632000059</v>
      </c>
      <c r="BB47" s="28">
        <f t="shared" si="62"/>
        <v>-58244366.200800121</v>
      </c>
      <c r="BC47" s="28">
        <f t="shared" si="62"/>
        <v>-69058971.127600044</v>
      </c>
      <c r="BD47" s="28">
        <f t="shared" si="62"/>
        <v>-89729123.171599999</v>
      </c>
      <c r="BE47" s="28">
        <f t="shared" si="62"/>
        <v>-54996849.914000034</v>
      </c>
      <c r="BF47" s="28">
        <f t="shared" si="62"/>
        <v>-37805992.386399999</v>
      </c>
      <c r="BG47" s="28">
        <f t="shared" si="62"/>
        <v>-55156564.744799972</v>
      </c>
      <c r="BH47" s="28">
        <f t="shared" si="62"/>
        <v>-84563405.425199986</v>
      </c>
      <c r="BI47" s="28">
        <f t="shared" si="62"/>
        <v>-14143912.995600045</v>
      </c>
      <c r="BJ47" s="28">
        <f t="shared" si="62"/>
        <v>-18647703.775599927</v>
      </c>
      <c r="BK47" s="28">
        <f t="shared" si="62"/>
        <v>-39186788.529199958</v>
      </c>
      <c r="BL47" s="28">
        <f t="shared" si="62"/>
        <v>-80377292.270800024</v>
      </c>
      <c r="BM47" s="28">
        <f t="shared" si="62"/>
        <v>-27524128.795599997</v>
      </c>
      <c r="BN47" s="28">
        <f t="shared" si="62"/>
        <v>-24392461.102399975</v>
      </c>
      <c r="BO47" s="28">
        <f t="shared" ref="BO47:CJ47" si="63">BO42-BO45</f>
        <v>-41641160.699999973</v>
      </c>
      <c r="BP47" s="28">
        <f t="shared" si="63"/>
        <v>-76776111.803600028</v>
      </c>
      <c r="BQ47" s="28">
        <f t="shared" si="63"/>
        <v>-19333803.697599977</v>
      </c>
      <c r="BR47" s="28">
        <f t="shared" si="63"/>
        <v>-45725035.874399923</v>
      </c>
      <c r="BS47" s="28">
        <f t="shared" si="63"/>
        <v>19073865.016799919</v>
      </c>
      <c r="BT47" s="28">
        <f t="shared" si="63"/>
        <v>16129527.606800038</v>
      </c>
      <c r="BU47" s="28">
        <f t="shared" si="63"/>
        <v>12394047.335200008</v>
      </c>
      <c r="BV47" s="28">
        <f t="shared" si="63"/>
        <v>33730952.641599923</v>
      </c>
      <c r="BW47" s="28">
        <f t="shared" si="63"/>
        <v>0</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19991231</v>
      </c>
      <c r="BU51" s="189">
        <v>19981231</v>
      </c>
      <c r="BV51" s="189">
        <v>19971231</v>
      </c>
      <c r="BW51" s="189">
        <v>19700101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1" t="s">
        <v>570</v>
      </c>
      <c r="B52" s="42">
        <v>-25636</v>
      </c>
      <c r="C52" s="42">
        <v>-27718</v>
      </c>
      <c r="D52" s="42">
        <v>-35317</v>
      </c>
      <c r="E52" s="42">
        <v>-35735087.560000002</v>
      </c>
      <c r="F52" s="42">
        <v>-34414</v>
      </c>
      <c r="G52" s="42">
        <v>-23309</v>
      </c>
      <c r="H52" s="42">
        <v>-16814</v>
      </c>
      <c r="I52" s="42">
        <v>-72349678.969999999</v>
      </c>
      <c r="J52" s="42"/>
      <c r="K52" s="42"/>
      <c r="M52" s="43">
        <v>-51388727.25</v>
      </c>
      <c r="Q52" s="43">
        <v>-26600690.32</v>
      </c>
      <c r="U52" s="43">
        <v>-24591620.98</v>
      </c>
      <c r="Y52" s="43">
        <v>-20053586.050000001</v>
      </c>
      <c r="AC52" s="43">
        <v>-13554928.050000001</v>
      </c>
      <c r="AG52" s="43">
        <v>-7441222.1100000003</v>
      </c>
    </row>
    <row r="53" spans="1:89" s="43" customFormat="1" x14ac:dyDescent="0.25">
      <c r="A53" s="132" t="s">
        <v>90</v>
      </c>
      <c r="B53" s="42">
        <v>217</v>
      </c>
      <c r="C53" s="42">
        <v>189</v>
      </c>
      <c r="D53" s="42"/>
      <c r="E53" s="42">
        <v>60031779.07</v>
      </c>
      <c r="F53" s="42"/>
      <c r="G53" s="42"/>
      <c r="H53" s="42"/>
      <c r="I53" s="42">
        <v>42133639.380000003</v>
      </c>
      <c r="J53" s="42"/>
      <c r="K53" s="42"/>
      <c r="Y53" s="43">
        <v>631806.73</v>
      </c>
      <c r="AC53" s="43">
        <v>775612.75</v>
      </c>
      <c r="AD53" s="42"/>
      <c r="AE53" s="42"/>
      <c r="AF53" s="42"/>
      <c r="AG53" s="42">
        <v>692335.15</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4345082.42</v>
      </c>
      <c r="F54" s="42">
        <v>2684</v>
      </c>
      <c r="G54" s="42">
        <v>-377</v>
      </c>
      <c r="H54" s="42">
        <v>1008</v>
      </c>
      <c r="I54" s="42">
        <v>34263963.299999997</v>
      </c>
      <c r="J54" s="42"/>
      <c r="K54" s="42"/>
      <c r="M54" s="43">
        <v>222358.58</v>
      </c>
      <c r="Q54" s="43">
        <v>33240.78</v>
      </c>
      <c r="U54" s="43">
        <v>223292.98</v>
      </c>
      <c r="Y54" s="43">
        <v>311206.77</v>
      </c>
      <c r="AC54" s="43">
        <v>-229707.89</v>
      </c>
      <c r="AG54" s="43">
        <v>-21737.01</v>
      </c>
    </row>
    <row r="55" spans="1:89" s="43" customFormat="1" x14ac:dyDescent="0.25">
      <c r="A55" s="132" t="s">
        <v>92</v>
      </c>
      <c r="B55" s="42">
        <v>463</v>
      </c>
      <c r="C55" s="42">
        <v>603</v>
      </c>
      <c r="D55" s="42">
        <v>653</v>
      </c>
      <c r="E55" s="42">
        <v>1190314.6299999999</v>
      </c>
      <c r="F55" s="42">
        <v>1204</v>
      </c>
      <c r="G55" s="42">
        <v>868</v>
      </c>
      <c r="H55" s="42">
        <v>644</v>
      </c>
      <c r="I55" s="42">
        <v>2574350.66</v>
      </c>
      <c r="J55" s="42"/>
      <c r="K55" s="42"/>
      <c r="M55" s="43">
        <v>2297648.79</v>
      </c>
      <c r="Q55" s="43">
        <v>2037783.13</v>
      </c>
      <c r="U55" s="43">
        <v>2160833.6</v>
      </c>
      <c r="Y55" s="43">
        <v>1780094.6</v>
      </c>
      <c r="AC55" s="43">
        <v>1885668.95</v>
      </c>
      <c r="AG55" s="43">
        <v>1632645.61</v>
      </c>
    </row>
    <row r="56" spans="1:89" s="26" customFormat="1" x14ac:dyDescent="0.25">
      <c r="A56" s="133" t="s">
        <v>93</v>
      </c>
      <c r="B56" s="44">
        <f>SUM(B52:B55)</f>
        <v>-21852</v>
      </c>
      <c r="C56" s="44">
        <f t="shared" ref="C56:D56" si="64">SUM(C52:C55)</f>
        <v>-28350</v>
      </c>
      <c r="D56" s="44">
        <f t="shared" si="64"/>
        <v>-35004</v>
      </c>
      <c r="E56" s="44">
        <f>SUM(E52:E55)</f>
        <v>29832088.559999999</v>
      </c>
      <c r="F56" s="44">
        <f t="shared" ref="F56:BQ56" si="65">SUM(F52:F55)</f>
        <v>-30526</v>
      </c>
      <c r="G56" s="44">
        <f t="shared" si="65"/>
        <v>-22818</v>
      </c>
      <c r="H56" s="44">
        <f t="shared" si="65"/>
        <v>-15162</v>
      </c>
      <c r="I56" s="44">
        <f t="shared" si="65"/>
        <v>6622274.370000001</v>
      </c>
      <c r="J56" s="44">
        <f t="shared" si="65"/>
        <v>0</v>
      </c>
      <c r="K56" s="44">
        <f t="shared" si="65"/>
        <v>0</v>
      </c>
      <c r="L56" s="44">
        <f t="shared" si="65"/>
        <v>0</v>
      </c>
      <c r="M56" s="44">
        <f t="shared" si="65"/>
        <v>-48868719.880000003</v>
      </c>
      <c r="N56" s="44">
        <f t="shared" si="65"/>
        <v>0</v>
      </c>
      <c r="O56" s="44">
        <f t="shared" si="65"/>
        <v>0</v>
      </c>
      <c r="P56" s="44">
        <f t="shared" si="65"/>
        <v>0</v>
      </c>
      <c r="Q56" s="44">
        <f t="shared" si="65"/>
        <v>-24529666.41</v>
      </c>
      <c r="R56" s="44">
        <f t="shared" si="65"/>
        <v>0</v>
      </c>
      <c r="S56" s="44">
        <f t="shared" si="65"/>
        <v>0</v>
      </c>
      <c r="T56" s="44">
        <f t="shared" si="65"/>
        <v>0</v>
      </c>
      <c r="U56" s="44">
        <f t="shared" si="65"/>
        <v>-22207494.399999999</v>
      </c>
      <c r="V56" s="44">
        <f t="shared" si="65"/>
        <v>0</v>
      </c>
      <c r="W56" s="44">
        <f t="shared" si="65"/>
        <v>0</v>
      </c>
      <c r="X56" s="44">
        <f t="shared" si="65"/>
        <v>0</v>
      </c>
      <c r="Y56" s="44">
        <f t="shared" si="65"/>
        <v>-17330477.949999999</v>
      </c>
      <c r="Z56" s="44">
        <f t="shared" si="65"/>
        <v>0</v>
      </c>
      <c r="AA56" s="44">
        <f t="shared" si="65"/>
        <v>0</v>
      </c>
      <c r="AB56" s="44">
        <f t="shared" si="65"/>
        <v>0</v>
      </c>
      <c r="AC56" s="44">
        <f t="shared" si="65"/>
        <v>-11123354.240000002</v>
      </c>
      <c r="AD56" s="44">
        <f t="shared" si="65"/>
        <v>0</v>
      </c>
      <c r="AE56" s="44">
        <f t="shared" si="65"/>
        <v>0</v>
      </c>
      <c r="AF56" s="44">
        <f t="shared" si="65"/>
        <v>0</v>
      </c>
      <c r="AG56" s="44">
        <f t="shared" si="65"/>
        <v>-5137978.3599999994</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453796442.82999998</v>
      </c>
      <c r="C59" s="189">
        <v>316823032.86000001</v>
      </c>
      <c r="D59" s="189">
        <v>150679439.31999999</v>
      </c>
      <c r="E59" s="189">
        <v>389801890.38</v>
      </c>
      <c r="F59" s="189">
        <v>302156268.19</v>
      </c>
      <c r="G59" s="189">
        <v>216242281.83000001</v>
      </c>
      <c r="H59" s="189">
        <v>108279600.36</v>
      </c>
      <c r="I59" s="189">
        <v>216016693.93000001</v>
      </c>
      <c r="J59" s="189">
        <v>433427726.89999998</v>
      </c>
      <c r="K59" s="189">
        <v>372351763.13999999</v>
      </c>
      <c r="L59" s="189">
        <v>127428959.75</v>
      </c>
      <c r="M59" s="189">
        <v>2209962075.7600002</v>
      </c>
      <c r="N59" s="189">
        <v>790439979.76999998</v>
      </c>
      <c r="O59" s="189">
        <v>640800613.46000004</v>
      </c>
      <c r="P59" s="189">
        <v>189819455.09999999</v>
      </c>
      <c r="Q59" s="189">
        <v>907532799.05999994</v>
      </c>
      <c r="R59" s="189">
        <v>737837574.61000001</v>
      </c>
      <c r="S59" s="189">
        <v>577469758.05999994</v>
      </c>
      <c r="T59" s="189">
        <v>164243627.30000001</v>
      </c>
      <c r="U59" s="189">
        <v>819699678.90999997</v>
      </c>
      <c r="V59" s="189">
        <v>628041415.65999997</v>
      </c>
      <c r="W59" s="189">
        <v>489688402.08999997</v>
      </c>
      <c r="X59" s="189">
        <v>124133215.83</v>
      </c>
      <c r="Y59" s="189">
        <v>627937583.42999995</v>
      </c>
      <c r="Z59" s="189">
        <v>480930431.88</v>
      </c>
      <c r="AA59" s="189">
        <v>361653775.13999999</v>
      </c>
      <c r="AB59" s="189">
        <v>89656598.969999999</v>
      </c>
      <c r="AC59" s="189">
        <v>365004864.25</v>
      </c>
      <c r="AD59" s="189">
        <v>280297621.00999999</v>
      </c>
      <c r="AE59" s="189">
        <v>205844106.5</v>
      </c>
      <c r="AF59" s="189">
        <v>61341089.219999999</v>
      </c>
      <c r="AG59" s="189">
        <v>249680992.80000001</v>
      </c>
      <c r="AH59" s="189">
        <v>204081419.90000001</v>
      </c>
      <c r="AI59" s="189">
        <v>152699653.94999999</v>
      </c>
      <c r="AJ59" s="189">
        <v>41690606.090000004</v>
      </c>
      <c r="AK59" s="189">
        <v>238834648.75</v>
      </c>
      <c r="AL59" s="189">
        <v>185842206.84</v>
      </c>
      <c r="AM59" s="189">
        <v>142487131.80000001</v>
      </c>
      <c r="AN59" s="189">
        <v>34362715.960000001</v>
      </c>
      <c r="AO59" s="189">
        <v>186623950.53999999</v>
      </c>
      <c r="AP59" s="189">
        <v>158886905.05000001</v>
      </c>
      <c r="AQ59" s="189">
        <v>114479818.36</v>
      </c>
      <c r="AR59" s="189">
        <v>29217113.670000002</v>
      </c>
      <c r="AS59" s="189">
        <v>149046909.50999999</v>
      </c>
      <c r="AT59" s="189">
        <v>110053635.17</v>
      </c>
      <c r="AU59" s="189">
        <v>74461427.420000002</v>
      </c>
      <c r="AV59" s="189">
        <v>22164758.449999999</v>
      </c>
      <c r="AW59" s="189">
        <v>84766032.530000001</v>
      </c>
      <c r="AX59" s="189">
        <v>73308555.049999997</v>
      </c>
      <c r="AY59" s="189">
        <v>54381568.079999998</v>
      </c>
      <c r="AZ59" s="189">
        <v>13889212.5</v>
      </c>
      <c r="BA59" s="189">
        <v>50790553.359999999</v>
      </c>
      <c r="BB59" s="189">
        <v>52016900.799999997</v>
      </c>
      <c r="BC59" s="189">
        <v>37618208.770000003</v>
      </c>
      <c r="BD59" s="189">
        <v>14855965.57</v>
      </c>
      <c r="BE59" s="189">
        <v>57226261.219999999</v>
      </c>
      <c r="BF59" s="189">
        <v>71653522.489999995</v>
      </c>
      <c r="BG59" s="189">
        <v>49752482.68</v>
      </c>
      <c r="BH59" s="189">
        <v>16704566.689999999</v>
      </c>
      <c r="BI59" s="189">
        <v>90512533.700000003</v>
      </c>
      <c r="BJ59" s="189">
        <v>82633267.319999993</v>
      </c>
      <c r="BK59" s="189">
        <v>59341022.729999997</v>
      </c>
      <c r="BL59" s="189">
        <v>13131910.539999999</v>
      </c>
      <c r="BM59" s="189">
        <v>77573519.5</v>
      </c>
      <c r="BN59" s="189">
        <v>76172512.450000003</v>
      </c>
      <c r="BO59" s="189">
        <v>54113545.380000003</v>
      </c>
      <c r="BP59" s="189">
        <v>12320887.699999999</v>
      </c>
      <c r="BQ59" s="189">
        <v>72681075.439999998</v>
      </c>
      <c r="BR59" s="189">
        <v>43783941.960000001</v>
      </c>
      <c r="BS59" s="189">
        <v>47267682.340000004</v>
      </c>
      <c r="BT59" s="189">
        <v>35433374.969999999</v>
      </c>
      <c r="BU59" s="189">
        <v>26186904.289999999</v>
      </c>
      <c r="BV59" s="189">
        <v>31638510.800000001</v>
      </c>
      <c r="BW59" s="189">
        <v>0</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70016442.040000007</v>
      </c>
      <c r="C60" s="189">
        <v>48089412.479999997</v>
      </c>
      <c r="D60" s="189">
        <v>31553322.440000001</v>
      </c>
      <c r="E60" s="189">
        <v>81442910.549999997</v>
      </c>
      <c r="F60" s="189">
        <v>56427364.530000001</v>
      </c>
      <c r="G60" s="189">
        <v>38135606.640000001</v>
      </c>
      <c r="H60" s="189">
        <v>12339518.15</v>
      </c>
      <c r="I60" s="189">
        <v>74553851.75</v>
      </c>
      <c r="J60" s="189">
        <v>93804919.650000006</v>
      </c>
      <c r="K60" s="189">
        <v>69727090.299999997</v>
      </c>
      <c r="L60" s="189">
        <v>20233951.010000002</v>
      </c>
      <c r="M60" s="189">
        <v>401498095.38999999</v>
      </c>
      <c r="N60" s="189">
        <v>172920957.72</v>
      </c>
      <c r="O60" s="189">
        <v>122019083.11</v>
      </c>
      <c r="P60" s="189">
        <v>29904220.59</v>
      </c>
      <c r="Q60" s="189">
        <v>234569186.66</v>
      </c>
      <c r="R60" s="189">
        <v>153187277.11000001</v>
      </c>
      <c r="S60" s="189">
        <v>109815236.93000001</v>
      </c>
      <c r="T60" s="189">
        <v>26136445.199999999</v>
      </c>
      <c r="U60" s="189">
        <v>140942726.15000001</v>
      </c>
      <c r="V60" s="189">
        <v>134614793.56999999</v>
      </c>
      <c r="W60" s="189">
        <v>108459411.43000001</v>
      </c>
      <c r="X60" s="189">
        <v>26092684.98</v>
      </c>
      <c r="Y60" s="189">
        <v>95430972.340000004</v>
      </c>
      <c r="Z60" s="189">
        <v>131747645.23999999</v>
      </c>
      <c r="AA60" s="189">
        <v>106647775.98999999</v>
      </c>
      <c r="AB60" s="189">
        <v>26118865.23</v>
      </c>
      <c r="AC60" s="189">
        <v>87253938.930000007</v>
      </c>
      <c r="AD60" s="189">
        <v>69294242.370000005</v>
      </c>
      <c r="AE60" s="189">
        <v>62388290.57</v>
      </c>
      <c r="AF60" s="189">
        <v>19215370.359999999</v>
      </c>
      <c r="AG60" s="189">
        <v>52643850.810000002</v>
      </c>
      <c r="AH60" s="189">
        <v>26539501.600000001</v>
      </c>
      <c r="AI60" s="189">
        <v>22918575.460000001</v>
      </c>
      <c r="AJ60" s="189">
        <v>7891810.5499999998</v>
      </c>
      <c r="AK60" s="189">
        <v>55696419.630000003</v>
      </c>
      <c r="AL60" s="189">
        <v>23476580.079999998</v>
      </c>
      <c r="AM60" s="189">
        <v>22814560.890000001</v>
      </c>
      <c r="AN60" s="189">
        <v>12638499.34</v>
      </c>
      <c r="AO60" s="189">
        <v>44304249.700000003</v>
      </c>
      <c r="AP60" s="189">
        <v>26792623.969999999</v>
      </c>
      <c r="AQ60" s="189">
        <v>29021923.559999999</v>
      </c>
      <c r="AR60" s="189">
        <v>14432924.960000001</v>
      </c>
      <c r="AS60" s="189">
        <v>40855837.359999999</v>
      </c>
      <c r="AT60" s="189">
        <v>29745906.109999999</v>
      </c>
      <c r="AU60" s="189">
        <v>23162300</v>
      </c>
      <c r="AV60" s="189">
        <v>9593569.0099999998</v>
      </c>
      <c r="AW60" s="189">
        <v>26285328.550000001</v>
      </c>
      <c r="AX60" s="189">
        <v>14014025.789999999</v>
      </c>
      <c r="AY60" s="189">
        <v>10386218.09</v>
      </c>
      <c r="AZ60" s="189">
        <v>5525966.2000000002</v>
      </c>
      <c r="BA60" s="189">
        <v>5357671.91</v>
      </c>
      <c r="BB60" s="189">
        <v>9662730.5500000007</v>
      </c>
      <c r="BC60" s="189">
        <v>3809409.25</v>
      </c>
      <c r="BD60" s="189">
        <v>1068381.3</v>
      </c>
      <c r="BE60" s="189">
        <v>10367876.529999999</v>
      </c>
      <c r="BF60" s="189">
        <v>7498504.7199999997</v>
      </c>
      <c r="BG60" s="189">
        <v>5250528.1100000003</v>
      </c>
      <c r="BH60" s="189">
        <v>1856647.86</v>
      </c>
      <c r="BI60" s="189">
        <v>6452754.5700000003</v>
      </c>
      <c r="BJ60" s="189">
        <v>6963395.5</v>
      </c>
      <c r="BK60" s="189">
        <v>4399335.91</v>
      </c>
      <c r="BL60" s="189">
        <v>525286.79</v>
      </c>
      <c r="BM60" s="189">
        <v>16630314.34</v>
      </c>
      <c r="BN60" s="189">
        <v>12594264.93</v>
      </c>
      <c r="BO60" s="189">
        <v>7364450.54</v>
      </c>
      <c r="BP60" s="189">
        <v>1717240.34</v>
      </c>
      <c r="BQ60" s="189">
        <v>12649224.67</v>
      </c>
      <c r="BR60" s="189">
        <v>4839496.26</v>
      </c>
      <c r="BS60" s="189">
        <v>9569451.6300000008</v>
      </c>
      <c r="BT60" s="189">
        <v>5828829.8600000003</v>
      </c>
      <c r="BU60" s="189">
        <v>6026507.2400000002</v>
      </c>
      <c r="BV60" s="189">
        <v>28910.95</v>
      </c>
      <c r="BW60" s="189">
        <v>0</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523812884.87</v>
      </c>
      <c r="C61" s="189">
        <v>364912445.33999997</v>
      </c>
      <c r="D61" s="189">
        <v>182232761.75999999</v>
      </c>
      <c r="E61" s="189">
        <v>471244800.93000001</v>
      </c>
      <c r="F61" s="189">
        <v>358583632.72000003</v>
      </c>
      <c r="G61" s="189">
        <v>254377888.47</v>
      </c>
      <c r="H61" s="189">
        <v>120619118.51000001</v>
      </c>
      <c r="I61" s="189">
        <v>290570545.68000001</v>
      </c>
      <c r="J61" s="189">
        <v>527232646.55000001</v>
      </c>
      <c r="K61" s="189">
        <v>442078853.44</v>
      </c>
      <c r="L61" s="189">
        <v>147662910.75999999</v>
      </c>
      <c r="M61" s="189">
        <v>2611460171.1500001</v>
      </c>
      <c r="N61" s="189">
        <v>963360937.49000001</v>
      </c>
      <c r="O61" s="189">
        <v>762819696.57000005</v>
      </c>
      <c r="P61" s="189">
        <v>219723675.69</v>
      </c>
      <c r="Q61" s="189">
        <v>1142101985.72</v>
      </c>
      <c r="R61" s="189">
        <v>891024851.72000003</v>
      </c>
      <c r="S61" s="189">
        <v>687284994.99000001</v>
      </c>
      <c r="T61" s="189">
        <v>190380072.5</v>
      </c>
      <c r="U61" s="189">
        <v>960642405.05999994</v>
      </c>
      <c r="V61" s="189">
        <v>762656209.23000002</v>
      </c>
      <c r="W61" s="189">
        <v>598147813.51999998</v>
      </c>
      <c r="X61" s="189">
        <v>150225900.81</v>
      </c>
      <c r="Y61" s="189">
        <v>723368555.76999998</v>
      </c>
      <c r="Z61" s="189">
        <v>612678077.12</v>
      </c>
      <c r="AA61" s="189">
        <v>468301551.13</v>
      </c>
      <c r="AB61" s="189">
        <v>115775464.2</v>
      </c>
      <c r="AC61" s="189">
        <v>452258803.18000001</v>
      </c>
      <c r="AD61" s="189">
        <v>349591863.38</v>
      </c>
      <c r="AE61" s="189">
        <v>268232397.06999999</v>
      </c>
      <c r="AF61" s="189">
        <v>80556459.579999998</v>
      </c>
      <c r="AG61" s="189">
        <v>302324843.61000001</v>
      </c>
      <c r="AH61" s="189">
        <v>230620921.5</v>
      </c>
      <c r="AI61" s="189">
        <v>175618229.41</v>
      </c>
      <c r="AJ61" s="189">
        <v>49582416.640000001</v>
      </c>
      <c r="AK61" s="189">
        <v>294531068.38</v>
      </c>
      <c r="AL61" s="189">
        <v>209318786.91999999</v>
      </c>
      <c r="AM61" s="189">
        <v>165301692.69</v>
      </c>
      <c r="AN61" s="189">
        <v>47001215.299999997</v>
      </c>
      <c r="AO61" s="189">
        <v>230928200.24000001</v>
      </c>
      <c r="AP61" s="189">
        <v>185679529.02000001</v>
      </c>
      <c r="AQ61" s="189">
        <v>143501741.91999999</v>
      </c>
      <c r="AR61" s="189">
        <v>43650038.630000003</v>
      </c>
      <c r="AS61" s="189">
        <v>189902746.87</v>
      </c>
      <c r="AT61" s="189">
        <v>139799541.28</v>
      </c>
      <c r="AU61" s="189">
        <v>97623727.420000002</v>
      </c>
      <c r="AV61" s="189">
        <v>31758327.460000001</v>
      </c>
      <c r="AW61" s="189">
        <v>116106901.26000001</v>
      </c>
      <c r="AX61" s="189">
        <v>92378121.019999996</v>
      </c>
      <c r="AY61" s="189">
        <v>69823326.349999994</v>
      </c>
      <c r="AZ61" s="189">
        <v>24470718.879999999</v>
      </c>
      <c r="BA61" s="189">
        <v>61863463.25</v>
      </c>
      <c r="BB61" s="189">
        <v>61679631.350000001</v>
      </c>
      <c r="BC61" s="189">
        <v>41427618.020000003</v>
      </c>
      <c r="BD61" s="189">
        <v>15924346.869999999</v>
      </c>
      <c r="BE61" s="189">
        <v>67594137.75</v>
      </c>
      <c r="BF61" s="189">
        <v>79152027.209999993</v>
      </c>
      <c r="BG61" s="189">
        <v>55003010.789999999</v>
      </c>
      <c r="BH61" s="189">
        <v>18561214.550000001</v>
      </c>
      <c r="BI61" s="189">
        <v>96965288.269999996</v>
      </c>
      <c r="BJ61" s="189">
        <v>89596662.819999993</v>
      </c>
      <c r="BK61" s="189">
        <v>63740358.640000001</v>
      </c>
      <c r="BL61" s="189">
        <v>13657197.33</v>
      </c>
      <c r="BM61" s="189">
        <v>94203833.840000004</v>
      </c>
      <c r="BN61" s="189">
        <v>88766777.379999995</v>
      </c>
      <c r="BO61" s="189">
        <v>61477995.920000002</v>
      </c>
      <c r="BP61" s="189">
        <v>14038128.039999999</v>
      </c>
      <c r="BQ61" s="189">
        <v>85330300.109999999</v>
      </c>
      <c r="BR61" s="189">
        <v>48623438.219999999</v>
      </c>
      <c r="BS61" s="189">
        <v>56837133.969999999</v>
      </c>
      <c r="BT61" s="189">
        <v>41262204.829999998</v>
      </c>
      <c r="BU61" s="189">
        <v>32213411.530000001</v>
      </c>
      <c r="BV61" s="189">
        <v>31667421.75</v>
      </c>
      <c r="BW61" s="189">
        <v>0</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94451323.900000006</v>
      </c>
      <c r="C65" s="189">
        <v>63896730.109999999</v>
      </c>
      <c r="D65" s="189">
        <v>43851805.719999999</v>
      </c>
      <c r="E65" s="189">
        <v>145539231.62</v>
      </c>
      <c r="F65" s="189">
        <v>43087114.950000003</v>
      </c>
      <c r="G65" s="189">
        <v>37373264.060000002</v>
      </c>
      <c r="H65" s="189">
        <v>11907521.640000001</v>
      </c>
      <c r="I65" s="189">
        <v>21391507.66</v>
      </c>
      <c r="J65" s="189">
        <v>23786141.010000002</v>
      </c>
      <c r="K65" s="189">
        <v>24453175.190000001</v>
      </c>
      <c r="L65" s="189">
        <v>6712552.8799999999</v>
      </c>
      <c r="M65" s="189">
        <v>1787378248.05</v>
      </c>
      <c r="N65" s="189">
        <v>163078295.47999999</v>
      </c>
      <c r="O65" s="189">
        <v>99072701.230000004</v>
      </c>
      <c r="P65" s="189">
        <v>46837848.479999997</v>
      </c>
      <c r="Q65" s="189">
        <v>225663112.28999999</v>
      </c>
      <c r="R65" s="189">
        <v>134002975.23999999</v>
      </c>
      <c r="S65" s="189">
        <v>87886698.180000007</v>
      </c>
      <c r="T65" s="189">
        <v>46262781.310000002</v>
      </c>
      <c r="U65" s="189">
        <v>161796923.97</v>
      </c>
      <c r="V65" s="189">
        <v>105608623.76000001</v>
      </c>
      <c r="W65" s="189">
        <v>68271588.920000002</v>
      </c>
      <c r="X65" s="189">
        <v>36033744.43</v>
      </c>
      <c r="Y65" s="189">
        <v>167893177.09999999</v>
      </c>
      <c r="Z65" s="189">
        <v>138677820.47</v>
      </c>
      <c r="AA65" s="189">
        <v>108196964.26000001</v>
      </c>
      <c r="AB65" s="189">
        <v>29281254.109999999</v>
      </c>
      <c r="AC65" s="189">
        <v>88737295.319999993</v>
      </c>
      <c r="AD65" s="189">
        <v>70748735.129999995</v>
      </c>
      <c r="AE65" s="189">
        <v>43738245.25</v>
      </c>
      <c r="AF65" s="189">
        <v>23208149.5</v>
      </c>
      <c r="AG65" s="189">
        <v>88829758.5</v>
      </c>
      <c r="AH65" s="189">
        <v>29953389.52</v>
      </c>
      <c r="AI65" s="189">
        <v>23366795.699999999</v>
      </c>
      <c r="AJ65" s="189">
        <v>10880707.460000001</v>
      </c>
      <c r="AK65" s="189">
        <v>21740367.960000001</v>
      </c>
      <c r="AL65" s="189">
        <v>12959844.82</v>
      </c>
      <c r="AM65" s="189">
        <v>9606338.4199999999</v>
      </c>
      <c r="AN65" s="189">
        <v>7002111.2999999998</v>
      </c>
      <c r="AO65" s="189">
        <v>13175493.310000001</v>
      </c>
      <c r="AP65" s="189">
        <v>3702067.75</v>
      </c>
      <c r="AQ65" s="189">
        <v>2765207.58</v>
      </c>
      <c r="AR65" s="189">
        <v>7841990.79</v>
      </c>
      <c r="AS65" s="189">
        <v>16078962.98</v>
      </c>
      <c r="AT65" s="189">
        <v>3236559.9</v>
      </c>
      <c r="AU65" s="189">
        <v>4649050.3899999997</v>
      </c>
      <c r="AV65" s="189">
        <v>1555785.89</v>
      </c>
      <c r="AW65" s="189">
        <v>-16137098.34</v>
      </c>
      <c r="AX65" s="189">
        <v>-4141922.58</v>
      </c>
      <c r="AY65" s="189">
        <v>4005997.32</v>
      </c>
      <c r="AZ65" s="189">
        <v>548355.6</v>
      </c>
      <c r="BA65" s="189">
        <v>-3964347.8</v>
      </c>
      <c r="BB65" s="189">
        <v>2102341.77</v>
      </c>
      <c r="BC65" s="189">
        <v>1646595.15</v>
      </c>
      <c r="BD65" s="189">
        <v>2885327.62</v>
      </c>
      <c r="BE65" s="189">
        <v>-918242.19</v>
      </c>
      <c r="BF65" s="189">
        <v>-2764685.08</v>
      </c>
      <c r="BG65" s="189">
        <v>-1671095.51</v>
      </c>
      <c r="BH65" s="189">
        <v>3191947.73</v>
      </c>
      <c r="BI65" s="189">
        <v>9725621.0500000007</v>
      </c>
      <c r="BJ65" s="189">
        <v>73489.41</v>
      </c>
      <c r="BK65" s="189">
        <v>2562863.19</v>
      </c>
      <c r="BL65" s="189">
        <v>3824593.08</v>
      </c>
      <c r="BM65" s="189">
        <v>17809033.329999998</v>
      </c>
      <c r="BN65" s="189">
        <v>10451253.470000001</v>
      </c>
      <c r="BO65" s="189">
        <v>9260567.6899999995</v>
      </c>
      <c r="BP65" s="189">
        <v>1019848.52</v>
      </c>
      <c r="BQ65" s="189">
        <v>-2039196.13</v>
      </c>
      <c r="BR65" s="189">
        <v>432184.41</v>
      </c>
      <c r="BS65" s="189">
        <v>-33688.050000000003</v>
      </c>
      <c r="BT65" s="189">
        <v>-260326.38</v>
      </c>
      <c r="BU65" s="189">
        <v>7112492.3799999999</v>
      </c>
      <c r="BV65" s="189">
        <v>-4932436.7300000004</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57280052.119999997</v>
      </c>
      <c r="C66" s="189">
        <v>34067239.159999996</v>
      </c>
      <c r="D66" s="189">
        <v>29133383.170000002</v>
      </c>
      <c r="E66" s="189">
        <v>13640047.91</v>
      </c>
      <c r="F66" s="189">
        <v>-9779217.0399999991</v>
      </c>
      <c r="G66" s="189">
        <v>1888578.09</v>
      </c>
      <c r="H66" s="189">
        <v>3529220.26</v>
      </c>
      <c r="I66" s="189">
        <v>-6260016.5599999996</v>
      </c>
      <c r="J66" s="189">
        <v>1384562.93</v>
      </c>
      <c r="K66" s="189">
        <v>6836638.21</v>
      </c>
      <c r="L66" s="189">
        <v>6712552.8799999999</v>
      </c>
      <c r="M66" s="189">
        <v>1744569118.03</v>
      </c>
      <c r="N66" s="189">
        <v>144572480.52000001</v>
      </c>
      <c r="O66" s="189">
        <v>87983530.760000005</v>
      </c>
      <c r="P66" s="189">
        <v>41125567.539999999</v>
      </c>
      <c r="Q66" s="189">
        <v>180202438.43000001</v>
      </c>
      <c r="R66" s="189">
        <v>114779536.18000001</v>
      </c>
      <c r="S66" s="189">
        <v>73413259.120000005</v>
      </c>
      <c r="T66" s="189">
        <v>41448239.780000001</v>
      </c>
      <c r="U66" s="189">
        <v>141164887.13999999</v>
      </c>
      <c r="V66" s="189">
        <v>105608623.76000001</v>
      </c>
      <c r="W66" s="189">
        <v>68271588.920000002</v>
      </c>
      <c r="X66" s="189">
        <v>36033744.43</v>
      </c>
      <c r="Y66" s="189">
        <v>166077661.78</v>
      </c>
      <c r="Z66" s="189">
        <v>85105430.769999996</v>
      </c>
      <c r="AA66" s="189">
        <v>52546544.939999998</v>
      </c>
      <c r="AB66" s="189">
        <v>29535114.41</v>
      </c>
      <c r="AC66" s="189">
        <v>87553913.620000005</v>
      </c>
      <c r="AD66" s="189">
        <v>70370262.439999998</v>
      </c>
      <c r="AE66" s="189">
        <v>43742157.560000002</v>
      </c>
      <c r="AF66" s="189">
        <v>23212054.02</v>
      </c>
      <c r="AG66" s="189">
        <v>88817271.540000007</v>
      </c>
      <c r="AH66" s="189">
        <v>29440902.550000001</v>
      </c>
      <c r="AI66" s="189">
        <v>23366795.699999999</v>
      </c>
      <c r="AJ66" s="189">
        <v>10880707.460000001</v>
      </c>
      <c r="AK66" s="189">
        <v>21083492.84</v>
      </c>
      <c r="AL66" s="189">
        <v>12959844.82</v>
      </c>
      <c r="AM66" s="189">
        <v>9606338.4199999999</v>
      </c>
      <c r="AN66" s="189">
        <v>7002111.2999999998</v>
      </c>
      <c r="AO66" s="189">
        <v>13298216.779999999</v>
      </c>
      <c r="AP66" s="189">
        <v>4629247.9000000004</v>
      </c>
      <c r="AQ66" s="189">
        <v>3692387.72</v>
      </c>
      <c r="AR66" s="189">
        <v>9109826.0700000003</v>
      </c>
      <c r="AS66" s="189">
        <v>-2102286.02</v>
      </c>
      <c r="AT66" s="189">
        <v>0</v>
      </c>
      <c r="AU66" s="189">
        <v>0</v>
      </c>
      <c r="AV66" s="189">
        <v>60612.02</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37171271.780000009</v>
      </c>
      <c r="C67" s="4">
        <f t="shared" ref="C67:BN67" si="67">C65-C66</f>
        <v>29829490.950000003</v>
      </c>
      <c r="D67" s="4">
        <f t="shared" si="67"/>
        <v>14718422.549999997</v>
      </c>
      <c r="E67" s="4">
        <f t="shared" si="67"/>
        <v>131899183.71000001</v>
      </c>
      <c r="F67" s="4">
        <f t="shared" si="67"/>
        <v>52866331.990000002</v>
      </c>
      <c r="G67" s="4">
        <f t="shared" si="67"/>
        <v>35484685.969999999</v>
      </c>
      <c r="H67" s="4">
        <f t="shared" si="67"/>
        <v>8378301.3800000008</v>
      </c>
      <c r="I67" s="4">
        <f t="shared" si="67"/>
        <v>27651524.219999999</v>
      </c>
      <c r="J67" s="4">
        <f t="shared" si="67"/>
        <v>22401578.080000002</v>
      </c>
      <c r="K67" s="4">
        <f t="shared" si="67"/>
        <v>17616536.98</v>
      </c>
      <c r="L67" s="4">
        <f t="shared" si="67"/>
        <v>0</v>
      </c>
      <c r="M67" s="4">
        <f t="shared" si="67"/>
        <v>42809130.019999981</v>
      </c>
      <c r="N67" s="4">
        <f t="shared" si="67"/>
        <v>18505814.959999979</v>
      </c>
      <c r="O67" s="4">
        <f t="shared" si="67"/>
        <v>11089170.469999999</v>
      </c>
      <c r="P67" s="4">
        <f t="shared" si="67"/>
        <v>5712280.9399999976</v>
      </c>
      <c r="Q67" s="4">
        <f t="shared" si="67"/>
        <v>45460673.859999985</v>
      </c>
      <c r="R67" s="4">
        <f t="shared" si="67"/>
        <v>19223439.059999987</v>
      </c>
      <c r="S67" s="4">
        <f t="shared" si="67"/>
        <v>14473439.060000002</v>
      </c>
      <c r="T67" s="4">
        <f t="shared" si="67"/>
        <v>4814541.5300000012</v>
      </c>
      <c r="U67" s="4">
        <f t="shared" si="67"/>
        <v>20632036.830000013</v>
      </c>
      <c r="V67" s="4">
        <f t="shared" si="67"/>
        <v>0</v>
      </c>
      <c r="W67" s="4">
        <f t="shared" si="67"/>
        <v>0</v>
      </c>
      <c r="X67" s="4">
        <f t="shared" si="67"/>
        <v>0</v>
      </c>
      <c r="Y67" s="4">
        <f t="shared" si="67"/>
        <v>1815515.3199999928</v>
      </c>
      <c r="Z67" s="4">
        <f t="shared" si="67"/>
        <v>53572389.700000003</v>
      </c>
      <c r="AA67" s="4">
        <f t="shared" si="67"/>
        <v>55650419.320000008</v>
      </c>
      <c r="AB67" s="4">
        <f t="shared" si="67"/>
        <v>-253860.30000000075</v>
      </c>
      <c r="AC67" s="4">
        <f t="shared" si="67"/>
        <v>1183381.6999999881</v>
      </c>
      <c r="AD67" s="4">
        <f t="shared" si="67"/>
        <v>378472.68999999762</v>
      </c>
      <c r="AE67" s="4">
        <f t="shared" si="67"/>
        <v>-3912.3100000023842</v>
      </c>
      <c r="AF67" s="4">
        <f t="shared" si="67"/>
        <v>-3904.519999999553</v>
      </c>
      <c r="AG67" s="4">
        <f t="shared" si="67"/>
        <v>12486.959999993443</v>
      </c>
      <c r="AH67" s="4">
        <f t="shared" si="67"/>
        <v>512486.96999999881</v>
      </c>
      <c r="AI67" s="4">
        <f t="shared" si="67"/>
        <v>0</v>
      </c>
      <c r="AJ67" s="4">
        <f t="shared" si="67"/>
        <v>0</v>
      </c>
      <c r="AK67" s="4">
        <f t="shared" si="67"/>
        <v>656875.12000000104</v>
      </c>
      <c r="AL67" s="4">
        <f t="shared" si="67"/>
        <v>0</v>
      </c>
      <c r="AM67" s="4">
        <f t="shared" si="67"/>
        <v>0</v>
      </c>
      <c r="AN67" s="4">
        <f t="shared" si="67"/>
        <v>0</v>
      </c>
      <c r="AO67" s="4">
        <f t="shared" si="67"/>
        <v>-122723.46999999881</v>
      </c>
      <c r="AP67" s="4">
        <f t="shared" si="67"/>
        <v>-927180.15000000037</v>
      </c>
      <c r="AQ67" s="4">
        <f t="shared" si="67"/>
        <v>-927180.14000000013</v>
      </c>
      <c r="AR67" s="4">
        <f t="shared" si="67"/>
        <v>-1267835.2800000003</v>
      </c>
      <c r="AS67" s="4">
        <f t="shared" si="67"/>
        <v>18181249</v>
      </c>
      <c r="AT67" s="4">
        <f t="shared" si="67"/>
        <v>3236559.9</v>
      </c>
      <c r="AU67" s="4">
        <f t="shared" si="67"/>
        <v>4649050.3899999997</v>
      </c>
      <c r="AV67" s="4">
        <f t="shared" si="67"/>
        <v>1495173.8699999999</v>
      </c>
      <c r="AW67" s="4">
        <f t="shared" si="67"/>
        <v>-16137098.34</v>
      </c>
      <c r="AX67" s="4">
        <f t="shared" si="67"/>
        <v>-4141922.58</v>
      </c>
      <c r="AY67" s="4">
        <f t="shared" si="67"/>
        <v>4005997.32</v>
      </c>
      <c r="AZ67" s="4">
        <f t="shared" si="67"/>
        <v>548355.6</v>
      </c>
      <c r="BA67" s="4">
        <f t="shared" si="67"/>
        <v>-3964347.8</v>
      </c>
      <c r="BB67" s="4">
        <f t="shared" si="67"/>
        <v>2102341.77</v>
      </c>
      <c r="BC67" s="4">
        <f t="shared" si="67"/>
        <v>1646595.15</v>
      </c>
      <c r="BD67" s="4">
        <f t="shared" si="67"/>
        <v>2885327.62</v>
      </c>
      <c r="BE67" s="4">
        <f t="shared" si="67"/>
        <v>-918242.19</v>
      </c>
      <c r="BF67" s="4">
        <f t="shared" si="67"/>
        <v>-2764685.08</v>
      </c>
      <c r="BG67" s="4">
        <f t="shared" si="67"/>
        <v>-1671095.51</v>
      </c>
      <c r="BH67" s="4">
        <f t="shared" si="67"/>
        <v>3191947.73</v>
      </c>
      <c r="BI67" s="4">
        <f t="shared" si="67"/>
        <v>9725621.0500000007</v>
      </c>
      <c r="BJ67" s="4">
        <f t="shared" si="67"/>
        <v>73489.41</v>
      </c>
      <c r="BK67" s="4">
        <f t="shared" si="67"/>
        <v>2562863.19</v>
      </c>
      <c r="BL67" s="4">
        <f t="shared" si="67"/>
        <v>3824593.08</v>
      </c>
      <c r="BM67" s="4">
        <f t="shared" si="67"/>
        <v>17809033.329999998</v>
      </c>
      <c r="BN67" s="4">
        <f t="shared" si="67"/>
        <v>10451253.470000001</v>
      </c>
      <c r="BO67" s="4">
        <f t="shared" ref="BO67:CJ67" si="68">BO65-BO66</f>
        <v>9260567.6899999995</v>
      </c>
      <c r="BP67" s="4">
        <f t="shared" si="68"/>
        <v>1019848.52</v>
      </c>
      <c r="BQ67" s="4">
        <f t="shared" si="68"/>
        <v>-2039196.13</v>
      </c>
      <c r="BR67" s="4">
        <f t="shared" si="68"/>
        <v>432184.41</v>
      </c>
      <c r="BS67" s="4">
        <f t="shared" si="68"/>
        <v>-33688.050000000003</v>
      </c>
      <c r="BT67" s="4">
        <f t="shared" si="68"/>
        <v>-260326.38</v>
      </c>
      <c r="BU67" s="4">
        <f t="shared" si="68"/>
        <v>7112492.3799999999</v>
      </c>
      <c r="BV67" s="4">
        <f t="shared" si="68"/>
        <v>-4932436.7300000004</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52659580.299999997</v>
      </c>
      <c r="C68" s="189">
        <v>38702966.909999996</v>
      </c>
      <c r="D68" s="189">
        <v>20768098.440000001</v>
      </c>
      <c r="E68" s="189">
        <v>29832088.559999999</v>
      </c>
      <c r="F68" s="189">
        <v>-26790373.030000001</v>
      </c>
      <c r="G68" s="189">
        <v>-19263980.77</v>
      </c>
      <c r="H68" s="189">
        <v>-10053134.720000001</v>
      </c>
      <c r="I68" s="189">
        <v>-68693248.760000005</v>
      </c>
      <c r="J68" s="189">
        <v>-47112705.520000003</v>
      </c>
      <c r="K68" s="189">
        <v>-37828286.710000001</v>
      </c>
      <c r="L68" s="189">
        <v>-9293664.2799999993</v>
      </c>
      <c r="M68" s="189">
        <v>-48868719.880000003</v>
      </c>
      <c r="N68" s="189">
        <v>-37303243.57</v>
      </c>
      <c r="O68" s="189">
        <v>-22875302.559999999</v>
      </c>
      <c r="P68" s="189">
        <v>-6157131.9299999997</v>
      </c>
      <c r="Q68" s="189">
        <v>-24529666.41</v>
      </c>
      <c r="R68" s="189">
        <v>-17433615.379999999</v>
      </c>
      <c r="S68" s="189">
        <v>-10954862.470000001</v>
      </c>
      <c r="T68" s="189">
        <v>-4923192.1500000004</v>
      </c>
      <c r="U68" s="189">
        <v>-22654080.359999999</v>
      </c>
      <c r="V68" s="189">
        <v>-18071415.809999999</v>
      </c>
      <c r="W68" s="189">
        <v>-8077285.25</v>
      </c>
      <c r="X68" s="189">
        <v>-5095724.32</v>
      </c>
      <c r="Y68" s="189">
        <v>-17330477.949999999</v>
      </c>
      <c r="Z68" s="189">
        <v>-12485382.470000001</v>
      </c>
      <c r="AA68" s="189">
        <v>-6802301.1500000004</v>
      </c>
      <c r="AB68" s="189">
        <v>-2148747.29</v>
      </c>
      <c r="AC68" s="189">
        <v>-11123354.24</v>
      </c>
      <c r="AD68" s="189">
        <v>-7332285.9800000004</v>
      </c>
      <c r="AE68" s="189">
        <v>-5188601.41</v>
      </c>
      <c r="AF68" s="189">
        <v>-3068874.66</v>
      </c>
      <c r="AG68" s="189">
        <v>-5137978.3600000003</v>
      </c>
      <c r="AH68" s="189">
        <v>-3311253.56</v>
      </c>
      <c r="AI68" s="189">
        <v>-2164756.4</v>
      </c>
      <c r="AJ68" s="189">
        <v>-300842.32</v>
      </c>
      <c r="AK68" s="189">
        <v>2089948.56</v>
      </c>
      <c r="AL68" s="189">
        <v>2384973.77</v>
      </c>
      <c r="AM68" s="189">
        <v>1836623.55</v>
      </c>
      <c r="AN68" s="189">
        <v>1448975.78</v>
      </c>
      <c r="AO68" s="189">
        <v>10419445.65</v>
      </c>
      <c r="AP68" s="189">
        <v>9537556.6199999992</v>
      </c>
      <c r="AQ68" s="189">
        <v>7559957.2999999998</v>
      </c>
      <c r="AR68" s="189">
        <v>3698691.22</v>
      </c>
      <c r="AS68" s="189">
        <v>15786582.43</v>
      </c>
      <c r="AT68" s="189">
        <v>11313105.310000001</v>
      </c>
      <c r="AU68" s="189">
        <v>7797467.2800000003</v>
      </c>
      <c r="AV68" s="189">
        <v>4669956</v>
      </c>
      <c r="AW68" s="189">
        <v>17029234.75</v>
      </c>
      <c r="AX68" s="189">
        <v>12633457.890000001</v>
      </c>
      <c r="AY68" s="189">
        <v>7418134.0899999999</v>
      </c>
      <c r="AZ68" s="189">
        <v>3752935.72</v>
      </c>
      <c r="BA68" s="189">
        <v>8595587.2200000007</v>
      </c>
      <c r="BB68" s="189">
        <v>5651901.9500000002</v>
      </c>
      <c r="BC68" s="189">
        <v>3542176.4</v>
      </c>
      <c r="BD68" s="189">
        <v>1868923.27</v>
      </c>
      <c r="BE68" s="189">
        <v>4157397.68</v>
      </c>
      <c r="BF68" s="189">
        <v>1868302.69</v>
      </c>
      <c r="BG68" s="189">
        <v>1126001.0900000001</v>
      </c>
      <c r="BH68" s="189">
        <v>1062932.76</v>
      </c>
      <c r="BI68" s="189">
        <v>3065421.17</v>
      </c>
      <c r="BJ68" s="189">
        <v>-63518.03</v>
      </c>
      <c r="BK68" s="189">
        <v>-359461.89</v>
      </c>
      <c r="BL68" s="189">
        <v>-628775.14</v>
      </c>
      <c r="BM68" s="189">
        <v>1342564.65</v>
      </c>
      <c r="BN68" s="189">
        <v>2069078.8</v>
      </c>
      <c r="BO68" s="189">
        <v>1598934.97</v>
      </c>
      <c r="BP68" s="189">
        <v>1306289.3999999999</v>
      </c>
      <c r="BQ68" s="189">
        <v>7550751.4699999997</v>
      </c>
      <c r="BR68" s="189">
        <v>4171982.81</v>
      </c>
      <c r="BS68" s="189">
        <v>16309960.49</v>
      </c>
      <c r="BT68" s="189">
        <v>17264956.09</v>
      </c>
      <c r="BU68" s="189">
        <v>18665807.760000002</v>
      </c>
      <c r="BV68" s="189">
        <v>21123333.699999999</v>
      </c>
      <c r="BW68" s="189">
        <v>0</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5819655925.1800003</v>
      </c>
      <c r="C70" s="189">
        <v>5616764912.0200005</v>
      </c>
      <c r="D70" s="189">
        <v>5601755847.1300001</v>
      </c>
      <c r="E70" s="189">
        <v>5376551846.6099997</v>
      </c>
      <c r="F70" s="189">
        <v>5526518028.3599997</v>
      </c>
      <c r="G70" s="189">
        <v>5424553112.3900003</v>
      </c>
      <c r="H70" s="189">
        <v>5377300918.21</v>
      </c>
      <c r="I70" s="189">
        <v>5264125997.2299995</v>
      </c>
      <c r="J70" s="189">
        <v>5491950513.3900003</v>
      </c>
      <c r="K70" s="189">
        <v>6091662505.5299997</v>
      </c>
      <c r="L70" s="189">
        <v>5853221822.8999996</v>
      </c>
      <c r="M70" s="189">
        <v>5728747482.5600004</v>
      </c>
      <c r="N70" s="189">
        <v>4346577496.8199997</v>
      </c>
      <c r="O70" s="189">
        <v>4247511083.4099998</v>
      </c>
      <c r="P70" s="189">
        <v>3997929558.0500002</v>
      </c>
      <c r="Q70" s="189">
        <v>3805206460.5700002</v>
      </c>
      <c r="R70" s="189">
        <v>3776217499.0799999</v>
      </c>
      <c r="S70" s="189">
        <v>3636063138.8699999</v>
      </c>
      <c r="T70" s="189">
        <v>3552102700.4299998</v>
      </c>
      <c r="U70" s="189">
        <v>3365391166.2399998</v>
      </c>
      <c r="V70" s="189">
        <v>3190654675.73</v>
      </c>
      <c r="W70" s="189">
        <v>3031986888.6100001</v>
      </c>
      <c r="X70" s="189">
        <v>2910937725.0599999</v>
      </c>
      <c r="Y70" s="189">
        <v>2731483774.8099999</v>
      </c>
      <c r="Z70" s="189">
        <v>2527401110.98</v>
      </c>
      <c r="AA70" s="189">
        <v>2559865651.6700001</v>
      </c>
      <c r="AB70" s="189">
        <v>1868843693.1400001</v>
      </c>
      <c r="AC70" s="189">
        <v>1781721434.4400001</v>
      </c>
      <c r="AD70" s="189">
        <v>1695252451.1800001</v>
      </c>
      <c r="AE70" s="189">
        <v>1619314194.6300001</v>
      </c>
      <c r="AF70" s="189">
        <v>1579461577.3299999</v>
      </c>
      <c r="AG70" s="189">
        <v>1517920530.76</v>
      </c>
      <c r="AH70" s="189">
        <v>1468656359.6099999</v>
      </c>
      <c r="AI70" s="189">
        <v>1411583549.8399999</v>
      </c>
      <c r="AJ70" s="189">
        <v>1411805757.1900001</v>
      </c>
      <c r="AK70" s="189">
        <v>1368589603.1500001</v>
      </c>
      <c r="AL70" s="189">
        <v>1308614940.8499999</v>
      </c>
      <c r="AM70" s="189">
        <v>1256788536.4200001</v>
      </c>
      <c r="AN70" s="189">
        <v>1184871152.3499999</v>
      </c>
      <c r="AO70" s="189">
        <v>1144508385.8699999</v>
      </c>
      <c r="AP70" s="189">
        <v>1099163325.2</v>
      </c>
      <c r="AQ70" s="189">
        <v>1089680363.6900001</v>
      </c>
      <c r="AR70" s="189">
        <v>928975444.63</v>
      </c>
      <c r="AS70" s="189">
        <v>903475668.24000001</v>
      </c>
      <c r="AT70" s="189">
        <v>885102614.19000006</v>
      </c>
      <c r="AU70" s="189">
        <v>849432336.61000001</v>
      </c>
      <c r="AV70" s="189">
        <v>833361540.75</v>
      </c>
      <c r="AW70" s="189">
        <v>855760559.23000002</v>
      </c>
      <c r="AX70" s="189">
        <v>841190782.38999999</v>
      </c>
      <c r="AY70" s="189">
        <v>827018795.33000004</v>
      </c>
      <c r="AZ70" s="189">
        <v>1253494059.21</v>
      </c>
      <c r="BA70" s="189">
        <v>1251789842.6500001</v>
      </c>
      <c r="BB70" s="189">
        <v>1256395284.51</v>
      </c>
      <c r="BC70" s="189">
        <v>1242323512.47</v>
      </c>
      <c r="BD70" s="189">
        <v>1267816922.27</v>
      </c>
      <c r="BE70" s="189">
        <v>1248881938.8</v>
      </c>
      <c r="BF70" s="189">
        <v>1286222913.0799999</v>
      </c>
      <c r="BG70" s="189">
        <v>1266386498.0599999</v>
      </c>
      <c r="BH70" s="189">
        <v>1252835671.6900001</v>
      </c>
      <c r="BI70" s="189">
        <v>1238940283.3199999</v>
      </c>
      <c r="BJ70" s="189">
        <v>1236519165.3199999</v>
      </c>
      <c r="BK70" s="189">
        <v>1210226920.74</v>
      </c>
      <c r="BL70" s="189">
        <v>1158139804.26</v>
      </c>
      <c r="BM70" s="189">
        <v>1185530362.3199999</v>
      </c>
      <c r="BN70" s="189">
        <v>1178903765.03</v>
      </c>
      <c r="BO70" s="189">
        <v>1144970185</v>
      </c>
      <c r="BP70" s="189">
        <v>1086844866.9200001</v>
      </c>
      <c r="BQ70" s="189">
        <v>1074523979.22</v>
      </c>
      <c r="BR70" s="189">
        <v>1071854044.4299999</v>
      </c>
      <c r="BS70" s="189">
        <v>290163499.04000002</v>
      </c>
      <c r="BT70" s="189">
        <v>266668654.03999999</v>
      </c>
      <c r="BU70" s="189">
        <v>232988587.81</v>
      </c>
      <c r="BV70" s="189">
        <v>214166988.47999999</v>
      </c>
      <c r="BW70" s="189">
        <v>0</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E22" sqref="E22"/>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2.5546875" bestFit="1" customWidth="1"/>
    <col min="10"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18.109375" bestFit="1" customWidth="1"/>
    <col min="30" max="30" width="20.33203125" hidden="1" customWidth="1"/>
    <col min="31" max="32" width="18.109375" hidden="1" customWidth="1"/>
    <col min="33" max="33" width="18.109375" bestFit="1" customWidth="1"/>
    <col min="34" max="36" width="18.109375" hidden="1" customWidth="1"/>
    <col min="37" max="37" width="18.109375" bestFit="1" customWidth="1"/>
    <col min="38" max="40" width="18.109375" hidden="1" customWidth="1"/>
    <col min="41" max="41" width="18.109375" bestFit="1" customWidth="1"/>
    <col min="42" max="42" width="19.33203125" hidden="1" customWidth="1"/>
    <col min="43" max="44" width="18.109375" hidden="1" customWidth="1"/>
    <col min="45" max="45" width="18.109375" bestFit="1" customWidth="1"/>
    <col min="46" max="48" width="18.109375" hidden="1" customWidth="1"/>
    <col min="49" max="49" width="18.109375" bestFit="1" customWidth="1"/>
    <col min="50" max="52" width="18.109375" hidden="1" customWidth="1"/>
    <col min="53" max="53" width="18.109375" bestFit="1" customWidth="1"/>
    <col min="54" max="56" width="18.109375" hidden="1" customWidth="1"/>
    <col min="57" max="57" width="18.109375" bestFit="1" customWidth="1"/>
    <col min="58" max="60" width="18.109375" hidden="1" customWidth="1"/>
    <col min="61" max="61" width="18.109375" bestFit="1" customWidth="1"/>
    <col min="62" max="64" width="18.109375" hidden="1" customWidth="1"/>
    <col min="65" max="65" width="18.109375" bestFit="1" customWidth="1"/>
    <col min="66" max="66" width="18.109375" hidden="1" customWidth="1"/>
    <col min="67" max="67" width="18.109375" bestFit="1" customWidth="1"/>
    <col min="68" max="68" width="18.109375" hidden="1" customWidth="1"/>
    <col min="69" max="70" width="18.109375" bestFit="1" customWidth="1"/>
    <col min="71" max="71" width="18.109375" hidden="1" customWidth="1"/>
    <col min="72" max="72" width="17" hidden="1" customWidth="1"/>
    <col min="73" max="73" width="20.33203125" bestFit="1" customWidth="1"/>
    <col min="74" max="74" width="17" hidden="1" customWidth="1"/>
  </cols>
  <sheetData>
    <row r="1" spans="1:74" s="6" customFormat="1" x14ac:dyDescent="0.25">
      <c r="A1" s="104">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row>
    <row r="2" spans="1:74" s="45" customFormat="1" x14ac:dyDescent="0.25">
      <c r="A2" s="46" t="s">
        <v>292</v>
      </c>
    </row>
    <row r="3" spans="1:74" s="192" customFormat="1" x14ac:dyDescent="0.25">
      <c r="A3" s="192" t="s">
        <v>320</v>
      </c>
      <c r="B3" s="192">
        <v>601886</v>
      </c>
      <c r="C3" s="192">
        <v>141886</v>
      </c>
      <c r="D3" s="192">
        <v>107736</v>
      </c>
      <c r="E3" s="192">
        <v>1150677.77</v>
      </c>
      <c r="F3" s="192">
        <v>225278</v>
      </c>
      <c r="G3" s="192">
        <v>167278</v>
      </c>
      <c r="H3" s="192">
        <v>0</v>
      </c>
      <c r="I3" s="192">
        <v>290659</v>
      </c>
      <c r="J3" s="192">
        <v>33100</v>
      </c>
      <c r="K3" s="192">
        <v>0</v>
      </c>
      <c r="L3" s="192">
        <v>0</v>
      </c>
      <c r="M3" s="192">
        <v>14210090.85</v>
      </c>
      <c r="N3" s="192">
        <v>14177440.85</v>
      </c>
      <c r="O3" s="192">
        <v>6120265.8499999996</v>
      </c>
      <c r="P3" s="192">
        <v>56900</v>
      </c>
      <c r="Q3" s="192">
        <v>2087548.19</v>
      </c>
      <c r="R3" s="192">
        <v>1527157.81</v>
      </c>
      <c r="S3" s="192">
        <v>722752.47</v>
      </c>
      <c r="T3" s="192">
        <v>85500</v>
      </c>
      <c r="U3" s="192">
        <v>786350.02</v>
      </c>
      <c r="V3" s="192">
        <v>415171.85</v>
      </c>
      <c r="W3" s="192">
        <v>138200</v>
      </c>
      <c r="X3" s="192">
        <v>5300</v>
      </c>
      <c r="Y3" s="192">
        <v>2273125.1800000002</v>
      </c>
      <c r="Z3" s="192">
        <v>128143.07</v>
      </c>
      <c r="AA3" s="192">
        <v>109093.07</v>
      </c>
      <c r="AB3" s="192">
        <v>30200</v>
      </c>
      <c r="AC3" s="192">
        <v>846257.11</v>
      </c>
      <c r="AD3" s="192">
        <v>262240.32</v>
      </c>
      <c r="AE3" s="192">
        <v>65908</v>
      </c>
      <c r="AF3" s="192">
        <v>14760</v>
      </c>
      <c r="AG3" s="192">
        <v>2279270.9500000002</v>
      </c>
      <c r="AH3" s="192">
        <v>2356267.5099999998</v>
      </c>
      <c r="AI3" s="192">
        <v>570154.01</v>
      </c>
      <c r="AJ3" s="192">
        <v>555324.01</v>
      </c>
      <c r="AK3" s="192">
        <v>159034.37</v>
      </c>
      <c r="AL3" s="192">
        <v>108226</v>
      </c>
      <c r="AM3" s="192">
        <v>68726</v>
      </c>
      <c r="AN3" s="192">
        <v>63426</v>
      </c>
      <c r="AO3" s="192">
        <v>1173191.1299999999</v>
      </c>
      <c r="AP3" s="192">
        <v>397564</v>
      </c>
      <c r="AQ3" s="192">
        <v>442564</v>
      </c>
      <c r="AR3" s="192">
        <v>200</v>
      </c>
      <c r="AS3" s="192">
        <v>2611018.96</v>
      </c>
      <c r="AT3" s="192">
        <v>1786849.28</v>
      </c>
      <c r="AU3" s="192">
        <v>134213.03</v>
      </c>
      <c r="AV3" s="192">
        <v>73244.03</v>
      </c>
      <c r="AW3" s="192">
        <v>924973.97</v>
      </c>
      <c r="AX3" s="192">
        <v>239268.83</v>
      </c>
      <c r="AY3" s="192">
        <v>234389.73</v>
      </c>
      <c r="AZ3" s="192">
        <v>61900</v>
      </c>
      <c r="BA3" s="192">
        <v>3357612.56</v>
      </c>
      <c r="BB3" s="192">
        <v>37000</v>
      </c>
      <c r="BC3" s="192">
        <v>37000</v>
      </c>
      <c r="BD3" s="192">
        <v>13400</v>
      </c>
      <c r="BE3" s="192">
        <v>2447151.0299999998</v>
      </c>
      <c r="BF3" s="192">
        <v>1375153.77</v>
      </c>
      <c r="BG3" s="192">
        <v>1352093.77</v>
      </c>
      <c r="BH3" s="192">
        <v>680953.59</v>
      </c>
      <c r="BI3" s="192">
        <v>2716713.25</v>
      </c>
      <c r="BJ3" s="192">
        <v>701314.21</v>
      </c>
      <c r="BK3" s="192">
        <v>404353.4</v>
      </c>
      <c r="BL3" s="192">
        <v>9245</v>
      </c>
      <c r="BM3" s="192">
        <v>1778319.24</v>
      </c>
      <c r="BN3" s="192">
        <v>200000</v>
      </c>
      <c r="BO3" s="192">
        <v>2930366.51</v>
      </c>
      <c r="BP3" s="192">
        <v>349128.13</v>
      </c>
      <c r="BQ3" s="192">
        <v>10781797.130000001</v>
      </c>
      <c r="BR3" s="192">
        <v>9970545.6799999997</v>
      </c>
      <c r="BS3" s="192">
        <v>0</v>
      </c>
      <c r="BT3" s="192">
        <v>1680</v>
      </c>
      <c r="BU3" s="192">
        <v>25980.76</v>
      </c>
      <c r="BV3" s="192">
        <v>0</v>
      </c>
    </row>
    <row r="4" spans="1:74" s="192" customFormat="1" x14ac:dyDescent="0.25">
      <c r="A4" s="192" t="s">
        <v>304</v>
      </c>
      <c r="B4" s="192">
        <v>282293549.41000003</v>
      </c>
      <c r="C4" s="192">
        <v>217426647.15000001</v>
      </c>
      <c r="D4" s="192">
        <v>170439540.78999999</v>
      </c>
      <c r="E4" s="192">
        <v>524797394.36000001</v>
      </c>
      <c r="F4" s="192">
        <v>401163312.25</v>
      </c>
      <c r="G4" s="192">
        <v>281448670.99000001</v>
      </c>
      <c r="H4" s="192">
        <v>194674454.36000001</v>
      </c>
      <c r="I4" s="192">
        <v>480667614.06</v>
      </c>
      <c r="J4" s="192">
        <v>321938337.98000002</v>
      </c>
      <c r="K4" s="192">
        <v>185889881.84</v>
      </c>
      <c r="L4" s="192">
        <v>82560334.659999996</v>
      </c>
      <c r="M4" s="192">
        <v>494463877.69</v>
      </c>
      <c r="N4" s="192">
        <v>443441363.87</v>
      </c>
      <c r="O4" s="192">
        <v>276538733.18000001</v>
      </c>
      <c r="P4" s="192">
        <v>30977903.559999999</v>
      </c>
      <c r="Q4" s="192">
        <v>99288797.579999998</v>
      </c>
      <c r="R4" s="192">
        <v>74120334.989999995</v>
      </c>
      <c r="S4" s="192">
        <v>51933010.200000003</v>
      </c>
      <c r="T4" s="192">
        <v>32127741.23</v>
      </c>
      <c r="U4" s="192">
        <v>157657564.66999999</v>
      </c>
      <c r="V4" s="192">
        <v>121623492.04000001</v>
      </c>
      <c r="W4" s="192">
        <v>85169721.879999995</v>
      </c>
      <c r="X4" s="192">
        <v>43599116.700000003</v>
      </c>
      <c r="Y4" s="192">
        <v>134516689.16</v>
      </c>
      <c r="Z4" s="192">
        <v>104928405.65000001</v>
      </c>
      <c r="AA4" s="192">
        <v>82013390.629999995</v>
      </c>
      <c r="AB4" s="192">
        <v>23684997.629999999</v>
      </c>
      <c r="AC4" s="192">
        <v>90799253.5</v>
      </c>
      <c r="AD4" s="192">
        <v>65084122.93</v>
      </c>
      <c r="AE4" s="192">
        <v>45001875.609999999</v>
      </c>
      <c r="AF4" s="192">
        <v>20074965.550000001</v>
      </c>
      <c r="AG4" s="192">
        <v>96403953.810000002</v>
      </c>
      <c r="AH4" s="192">
        <v>66402909.18</v>
      </c>
      <c r="AI4" s="192">
        <v>42625970.229999997</v>
      </c>
      <c r="AJ4" s="192">
        <v>24941803.09</v>
      </c>
      <c r="AK4" s="192">
        <v>79396680.799999997</v>
      </c>
      <c r="AL4" s="192">
        <v>53725882.060000002</v>
      </c>
      <c r="AM4" s="192">
        <v>33756609.759999998</v>
      </c>
      <c r="AN4" s="192">
        <v>21009794.149999999</v>
      </c>
      <c r="AO4" s="192">
        <v>70003781.579999998</v>
      </c>
      <c r="AP4" s="192">
        <v>45380817.950000003</v>
      </c>
      <c r="AQ4" s="192">
        <v>29424522.059999999</v>
      </c>
      <c r="AR4" s="192">
        <v>14901541.609999999</v>
      </c>
      <c r="AS4" s="192">
        <v>44201441.200000003</v>
      </c>
      <c r="AT4" s="192">
        <v>36518188.729999997</v>
      </c>
      <c r="AU4" s="192">
        <v>22939723.23</v>
      </c>
      <c r="AV4" s="192">
        <v>13756848.9</v>
      </c>
      <c r="AW4" s="192">
        <v>67659926.129999995</v>
      </c>
      <c r="AX4" s="192">
        <v>42525992.450000003</v>
      </c>
      <c r="AY4" s="192">
        <v>30530586.379999999</v>
      </c>
      <c r="AZ4" s="192">
        <v>14558240.689999999</v>
      </c>
      <c r="BA4" s="192">
        <v>63305711.369999997</v>
      </c>
      <c r="BB4" s="192">
        <v>39870503.640000001</v>
      </c>
      <c r="BC4" s="192">
        <v>14853986.949999999</v>
      </c>
      <c r="BD4" s="192">
        <v>8125468.46</v>
      </c>
      <c r="BE4" s="192">
        <v>55592872.140000001</v>
      </c>
      <c r="BF4" s="192">
        <v>24402988.920000002</v>
      </c>
      <c r="BG4" s="192">
        <v>12973780.710000001</v>
      </c>
      <c r="BH4" s="192">
        <v>4133906.39</v>
      </c>
      <c r="BI4" s="192">
        <v>78873660.319999993</v>
      </c>
      <c r="BJ4" s="192">
        <v>38354112.329999998</v>
      </c>
      <c r="BK4" s="192">
        <v>17848790.640000001</v>
      </c>
      <c r="BL4" s="192">
        <v>10238033.470000001</v>
      </c>
      <c r="BM4" s="192">
        <v>72906599.329999998</v>
      </c>
      <c r="BN4" s="192">
        <v>30447250.079999998</v>
      </c>
      <c r="BO4" s="192">
        <v>45696974.840000004</v>
      </c>
      <c r="BP4" s="192">
        <v>13924488.34</v>
      </c>
      <c r="BQ4" s="192">
        <v>11848352.380000001</v>
      </c>
      <c r="BR4" s="192">
        <v>37591638.359999999</v>
      </c>
      <c r="BS4" s="192">
        <v>0</v>
      </c>
      <c r="BT4" s="192">
        <v>6757461.4400000004</v>
      </c>
      <c r="BU4" s="192">
        <v>585117171</v>
      </c>
      <c r="BV4" s="192">
        <v>0</v>
      </c>
    </row>
    <row r="5" spans="1:74" s="47" customFormat="1" x14ac:dyDescent="0.25">
      <c r="A5" s="47" t="s">
        <v>295</v>
      </c>
      <c r="E5" s="47">
        <f>E4-E3</f>
        <v>523646716.59000003</v>
      </c>
      <c r="F5" s="47">
        <f t="shared" ref="F5:AR5" si="0">F4-F3</f>
        <v>400938034.25</v>
      </c>
      <c r="G5" s="47">
        <f t="shared" si="0"/>
        <v>281281392.99000001</v>
      </c>
      <c r="H5" s="47">
        <f t="shared" si="0"/>
        <v>194674454.36000001</v>
      </c>
      <c r="I5" s="47">
        <f t="shared" si="0"/>
        <v>480376955.06</v>
      </c>
      <c r="J5" s="47">
        <f t="shared" si="0"/>
        <v>321905237.98000002</v>
      </c>
      <c r="K5" s="47">
        <f t="shared" si="0"/>
        <v>185889881.84</v>
      </c>
      <c r="L5" s="47">
        <f t="shared" si="0"/>
        <v>82560334.659999996</v>
      </c>
      <c r="M5" s="47">
        <f t="shared" si="0"/>
        <v>480253786.83999997</v>
      </c>
      <c r="N5" s="47">
        <f t="shared" si="0"/>
        <v>429263923.01999998</v>
      </c>
      <c r="O5" s="47">
        <f t="shared" si="0"/>
        <v>270418467.32999998</v>
      </c>
      <c r="P5" s="47">
        <f t="shared" si="0"/>
        <v>30921003.559999999</v>
      </c>
      <c r="Q5" s="47">
        <f t="shared" si="0"/>
        <v>97201249.390000001</v>
      </c>
      <c r="R5" s="47">
        <f t="shared" si="0"/>
        <v>72593177.179999992</v>
      </c>
      <c r="S5" s="47">
        <f t="shared" si="0"/>
        <v>51210257.730000004</v>
      </c>
      <c r="T5" s="47">
        <f t="shared" si="0"/>
        <v>32042241.23</v>
      </c>
      <c r="U5" s="47">
        <f t="shared" si="0"/>
        <v>156871214.64999998</v>
      </c>
      <c r="V5" s="47">
        <f t="shared" si="0"/>
        <v>121208320.19000001</v>
      </c>
      <c r="W5" s="47">
        <f t="shared" si="0"/>
        <v>85031521.879999995</v>
      </c>
      <c r="X5" s="47">
        <f t="shared" si="0"/>
        <v>43593816.700000003</v>
      </c>
      <c r="Y5" s="47">
        <f t="shared" si="0"/>
        <v>132243563.97999999</v>
      </c>
      <c r="Z5" s="47">
        <f t="shared" si="0"/>
        <v>104800262.58000001</v>
      </c>
      <c r="AA5" s="47">
        <f t="shared" si="0"/>
        <v>81904297.560000002</v>
      </c>
      <c r="AB5" s="47">
        <f t="shared" si="0"/>
        <v>23654797.629999999</v>
      </c>
      <c r="AC5" s="47">
        <f t="shared" si="0"/>
        <v>89952996.390000001</v>
      </c>
      <c r="AD5" s="47">
        <f t="shared" si="0"/>
        <v>64821882.609999999</v>
      </c>
      <c r="AE5" s="47">
        <f t="shared" si="0"/>
        <v>44935967.609999999</v>
      </c>
      <c r="AF5" s="47">
        <f t="shared" si="0"/>
        <v>20060205.550000001</v>
      </c>
      <c r="AG5" s="47">
        <f t="shared" si="0"/>
        <v>94124682.859999999</v>
      </c>
      <c r="AH5" s="47">
        <f t="shared" si="0"/>
        <v>64046641.670000002</v>
      </c>
      <c r="AI5" s="47">
        <f t="shared" si="0"/>
        <v>42055816.219999999</v>
      </c>
      <c r="AJ5" s="47">
        <f t="shared" si="0"/>
        <v>24386479.079999998</v>
      </c>
      <c r="AK5" s="47">
        <f t="shared" si="0"/>
        <v>79237646.429999992</v>
      </c>
      <c r="AL5" s="47">
        <f t="shared" si="0"/>
        <v>53617656.060000002</v>
      </c>
      <c r="AM5" s="47">
        <f t="shared" si="0"/>
        <v>33687883.759999998</v>
      </c>
      <c r="AN5" s="47">
        <f t="shared" si="0"/>
        <v>20946368.149999999</v>
      </c>
      <c r="AO5" s="47">
        <f t="shared" si="0"/>
        <v>68830590.450000003</v>
      </c>
      <c r="AP5" s="47">
        <f t="shared" si="0"/>
        <v>44983253.950000003</v>
      </c>
      <c r="AQ5" s="47">
        <f t="shared" si="0"/>
        <v>28981958.059999999</v>
      </c>
      <c r="AR5" s="47">
        <f t="shared" si="0"/>
        <v>14901341.609999999</v>
      </c>
    </row>
    <row r="6" spans="1:74" s="105" customFormat="1" x14ac:dyDescent="0.25">
      <c r="A6" s="105" t="s">
        <v>305</v>
      </c>
      <c r="B6" s="192">
        <v>0</v>
      </c>
      <c r="C6" s="192">
        <v>36340583.32</v>
      </c>
      <c r="D6" s="192">
        <v>0</v>
      </c>
      <c r="E6" s="192">
        <v>63445526.740000002</v>
      </c>
      <c r="F6" s="192">
        <v>0</v>
      </c>
      <c r="G6" s="192">
        <v>19573915.52</v>
      </c>
      <c r="H6" s="192">
        <v>0</v>
      </c>
      <c r="I6" s="192">
        <v>38368034.710000001</v>
      </c>
      <c r="J6" s="192">
        <v>0</v>
      </c>
      <c r="K6" s="192">
        <v>18851755.969999999</v>
      </c>
      <c r="L6" s="192">
        <v>0</v>
      </c>
      <c r="M6" s="192">
        <v>36687256.049999997</v>
      </c>
      <c r="N6" s="192">
        <v>0</v>
      </c>
      <c r="O6" s="192">
        <v>18403525.16</v>
      </c>
      <c r="P6" s="192">
        <v>0</v>
      </c>
      <c r="Q6" s="192">
        <v>37676318.829999998</v>
      </c>
      <c r="R6" s="192">
        <v>0</v>
      </c>
      <c r="S6" s="192">
        <v>18680834.73</v>
      </c>
      <c r="T6" s="192">
        <v>0</v>
      </c>
      <c r="U6" s="192">
        <v>37348026.710000001</v>
      </c>
      <c r="V6" s="192">
        <v>0</v>
      </c>
      <c r="W6" s="192">
        <v>18635146.640000001</v>
      </c>
      <c r="X6" s="192">
        <v>0</v>
      </c>
      <c r="Y6" s="192">
        <v>44099272.939999998</v>
      </c>
      <c r="Z6" s="192">
        <v>0</v>
      </c>
      <c r="AA6" s="192">
        <v>17678550.73</v>
      </c>
      <c r="AB6" s="192">
        <v>0</v>
      </c>
      <c r="AC6" s="192">
        <v>71000454.730000004</v>
      </c>
      <c r="AD6" s="192">
        <v>0</v>
      </c>
      <c r="AE6" s="192">
        <v>21175702.280000001</v>
      </c>
      <c r="AF6" s="192">
        <v>0</v>
      </c>
      <c r="AG6" s="192">
        <v>35746512.460000001</v>
      </c>
      <c r="AH6" s="192">
        <v>0</v>
      </c>
      <c r="AI6" s="192">
        <v>17746794.859999999</v>
      </c>
      <c r="AJ6" s="192">
        <v>0</v>
      </c>
      <c r="AK6" s="192">
        <v>55003879.380000003</v>
      </c>
      <c r="AL6" s="192">
        <v>0</v>
      </c>
      <c r="AM6" s="192">
        <v>20257357.57</v>
      </c>
      <c r="AN6" s="192">
        <v>0</v>
      </c>
      <c r="AO6" s="192">
        <v>44785642.090000004</v>
      </c>
      <c r="AP6" s="192">
        <v>0</v>
      </c>
      <c r="AQ6" s="192">
        <v>24059188.289999999</v>
      </c>
      <c r="AR6" s="192">
        <v>0</v>
      </c>
      <c r="AS6" s="192">
        <v>49478011.689999998</v>
      </c>
      <c r="AT6" s="192">
        <v>0</v>
      </c>
      <c r="AU6" s="192">
        <v>22481940.02</v>
      </c>
      <c r="AV6" s="192">
        <v>0</v>
      </c>
      <c r="AW6" s="192">
        <v>59137922.950000003</v>
      </c>
      <c r="AX6" s="192">
        <v>42055570.990000002</v>
      </c>
      <c r="AY6" s="192">
        <v>27654060.57</v>
      </c>
      <c r="AZ6" s="192">
        <v>13597851.85</v>
      </c>
      <c r="BA6" s="192">
        <v>49554790.149999999</v>
      </c>
      <c r="BB6" s="192">
        <v>36249998.560000002</v>
      </c>
      <c r="BC6" s="192">
        <v>25258350.219999999</v>
      </c>
      <c r="BD6" s="192">
        <v>12283909.029999999</v>
      </c>
      <c r="BE6" s="192">
        <v>39616028.149999999</v>
      </c>
      <c r="BF6" s="192">
        <v>28614543.460000001</v>
      </c>
      <c r="BG6" s="192">
        <v>18517722.449999999</v>
      </c>
      <c r="BH6" s="192">
        <v>9443132.5700000003</v>
      </c>
      <c r="BI6" s="192">
        <v>33132293.68</v>
      </c>
      <c r="BJ6" s="192">
        <v>23801385.77</v>
      </c>
      <c r="BK6" s="192">
        <v>16066867.939999999</v>
      </c>
      <c r="BL6" s="192">
        <v>7793791.5499999998</v>
      </c>
      <c r="BM6" s="192">
        <v>26899051.850000001</v>
      </c>
      <c r="BN6" s="192">
        <v>14847660.699999999</v>
      </c>
      <c r="BO6" s="192">
        <v>26392332.390000001</v>
      </c>
      <c r="BP6" s="192">
        <v>14011794.43</v>
      </c>
      <c r="BQ6" s="192">
        <v>23309330.66</v>
      </c>
      <c r="BR6" s="192">
        <v>23056113.260000002</v>
      </c>
      <c r="BS6" s="192">
        <v>0</v>
      </c>
      <c r="BT6" s="192">
        <v>29633190.559999999</v>
      </c>
      <c r="BU6" s="192">
        <v>42460875.850000001</v>
      </c>
      <c r="BV6" s="192">
        <v>0</v>
      </c>
    </row>
    <row r="7" spans="1:74" s="192" customFormat="1" x14ac:dyDescent="0.25">
      <c r="A7" s="192" t="s">
        <v>306</v>
      </c>
      <c r="B7" s="192">
        <v>0</v>
      </c>
      <c r="C7" s="192">
        <v>16408760.859999999</v>
      </c>
      <c r="D7" s="192">
        <v>0</v>
      </c>
      <c r="E7" s="192">
        <v>29645645.899999999</v>
      </c>
      <c r="F7" s="192">
        <v>0</v>
      </c>
      <c r="G7" s="192">
        <v>6336416.46</v>
      </c>
      <c r="H7" s="192">
        <v>0</v>
      </c>
      <c r="I7" s="192">
        <v>17042165.010000002</v>
      </c>
      <c r="J7" s="192">
        <v>0</v>
      </c>
      <c r="K7" s="192">
        <v>9929193.3399999999</v>
      </c>
      <c r="L7" s="192">
        <v>0</v>
      </c>
      <c r="M7" s="192">
        <v>10617522.83</v>
      </c>
      <c r="N7" s="192">
        <v>0</v>
      </c>
      <c r="O7" s="192">
        <v>5161559.54</v>
      </c>
      <c r="P7" s="192">
        <v>0</v>
      </c>
      <c r="Q7" s="192">
        <v>8285085.2599999998</v>
      </c>
      <c r="R7" s="192">
        <v>0</v>
      </c>
      <c r="S7" s="192">
        <v>3994482.03</v>
      </c>
      <c r="T7" s="192">
        <v>0</v>
      </c>
      <c r="U7" s="192">
        <v>6058648.0199999996</v>
      </c>
      <c r="V7" s="192">
        <v>0</v>
      </c>
      <c r="W7" s="192">
        <v>2824432.47</v>
      </c>
      <c r="X7" s="192">
        <v>0</v>
      </c>
      <c r="Y7" s="192">
        <v>5448556.3399999999</v>
      </c>
      <c r="Z7" s="192">
        <v>0</v>
      </c>
      <c r="AA7" s="192">
        <v>2454609.7400000002</v>
      </c>
      <c r="AB7" s="192">
        <v>0</v>
      </c>
      <c r="AC7" s="192">
        <v>3321391.15</v>
      </c>
      <c r="AD7" s="192">
        <v>0</v>
      </c>
      <c r="AE7" s="192">
        <v>1100160.58</v>
      </c>
      <c r="AF7" s="192">
        <v>0</v>
      </c>
      <c r="AG7" s="192">
        <v>1773697.55</v>
      </c>
      <c r="AH7" s="192">
        <v>0</v>
      </c>
      <c r="AI7" s="192">
        <v>792842.11</v>
      </c>
      <c r="AJ7" s="192">
        <v>0</v>
      </c>
      <c r="AK7" s="192">
        <v>6530333.3700000001</v>
      </c>
      <c r="AL7" s="192">
        <v>0</v>
      </c>
      <c r="AM7" s="192">
        <v>2474574.38</v>
      </c>
      <c r="AN7" s="192">
        <v>0</v>
      </c>
      <c r="AO7" s="192">
        <v>5082247.03</v>
      </c>
      <c r="AP7" s="192">
        <v>0</v>
      </c>
      <c r="AQ7" s="192">
        <v>2652883.23</v>
      </c>
      <c r="AR7" s="192">
        <v>0</v>
      </c>
      <c r="AS7" s="192">
        <v>9935793.4600000009</v>
      </c>
      <c r="AT7" s="192">
        <v>0</v>
      </c>
      <c r="AU7" s="192">
        <v>628485.12</v>
      </c>
      <c r="AV7" s="192">
        <v>0</v>
      </c>
      <c r="AW7" s="192">
        <v>5259476.3600000003</v>
      </c>
      <c r="AX7" s="192">
        <v>8266739.5300000003</v>
      </c>
      <c r="AY7" s="192">
        <v>2303974.52</v>
      </c>
      <c r="AZ7" s="192">
        <v>1154078.93</v>
      </c>
      <c r="BA7" s="192">
        <v>4825008.05</v>
      </c>
      <c r="BB7" s="192">
        <v>3403755.11</v>
      </c>
      <c r="BC7" s="192">
        <v>2105442.33</v>
      </c>
      <c r="BD7" s="192">
        <v>1048652.48</v>
      </c>
      <c r="BE7" s="192">
        <v>4117680.73</v>
      </c>
      <c r="BF7" s="192">
        <v>3010581.28</v>
      </c>
      <c r="BG7" s="192">
        <v>2086019.44</v>
      </c>
      <c r="BH7" s="192">
        <v>1271531.8600000001</v>
      </c>
      <c r="BI7" s="192">
        <v>3616971.68</v>
      </c>
      <c r="BJ7" s="192">
        <v>2564956.59</v>
      </c>
      <c r="BK7" s="192">
        <v>1702728.1</v>
      </c>
      <c r="BL7" s="192">
        <v>774821.83</v>
      </c>
      <c r="BM7" s="192">
        <v>2894560.33</v>
      </c>
      <c r="BN7" s="192">
        <v>1339550.95</v>
      </c>
      <c r="BO7" s="192">
        <v>2642667.2999999998</v>
      </c>
      <c r="BP7" s="192">
        <v>1312783</v>
      </c>
      <c r="BQ7" s="192">
        <v>3415502.03</v>
      </c>
      <c r="BR7" s="192">
        <v>2895129.74</v>
      </c>
      <c r="BS7" s="192">
        <v>0</v>
      </c>
      <c r="BT7" s="192">
        <v>1394056.95</v>
      </c>
      <c r="BU7" s="192">
        <v>2442875.52</v>
      </c>
      <c r="BV7" s="192">
        <v>0</v>
      </c>
    </row>
    <row r="8" spans="1:74" s="192" customFormat="1" x14ac:dyDescent="0.25">
      <c r="A8" s="192" t="s">
        <v>307</v>
      </c>
      <c r="B8" s="192">
        <v>0</v>
      </c>
      <c r="C8" s="192">
        <v>37113172.170000002</v>
      </c>
      <c r="D8" s="192">
        <v>0</v>
      </c>
      <c r="E8" s="192">
        <v>92273993.980000004</v>
      </c>
      <c r="F8" s="192">
        <v>0</v>
      </c>
      <c r="G8" s="192">
        <v>52815306.229999997</v>
      </c>
      <c r="H8" s="192">
        <v>0</v>
      </c>
      <c r="I8" s="192">
        <v>90171987.189999998</v>
      </c>
      <c r="J8" s="192">
        <v>0</v>
      </c>
      <c r="K8" s="192">
        <v>38754283.789999999</v>
      </c>
      <c r="L8" s="192">
        <v>0</v>
      </c>
      <c r="M8" s="192">
        <v>61320533.439999998</v>
      </c>
      <c r="N8" s="192">
        <v>0</v>
      </c>
      <c r="O8" s="192">
        <v>28562381.66</v>
      </c>
      <c r="P8" s="192">
        <v>0</v>
      </c>
      <c r="Q8" s="192">
        <v>53991100.299999997</v>
      </c>
      <c r="R8" s="192">
        <v>0</v>
      </c>
      <c r="S8" s="192">
        <v>27576113.91</v>
      </c>
      <c r="T8" s="192">
        <v>0</v>
      </c>
      <c r="U8" s="192">
        <v>58004443.520000003</v>
      </c>
      <c r="V8" s="192">
        <v>0</v>
      </c>
      <c r="W8" s="192">
        <v>24896534.239999998</v>
      </c>
      <c r="X8" s="192">
        <v>0</v>
      </c>
      <c r="Y8" s="192">
        <v>53834008.090000004</v>
      </c>
      <c r="Z8" s="192">
        <v>0</v>
      </c>
      <c r="AA8" s="192">
        <v>22211262.52</v>
      </c>
      <c r="AB8" s="192">
        <v>0</v>
      </c>
      <c r="AC8" s="192">
        <v>45120020.530000001</v>
      </c>
      <c r="AD8" s="192">
        <v>0</v>
      </c>
      <c r="AE8" s="192">
        <v>17991992.780000001</v>
      </c>
      <c r="AF8" s="192">
        <v>0</v>
      </c>
      <c r="AG8" s="192">
        <v>50595526.670000002</v>
      </c>
      <c r="AH8" s="192">
        <v>0</v>
      </c>
      <c r="AI8" s="192">
        <v>19895840.120000001</v>
      </c>
      <c r="AJ8" s="192">
        <v>0</v>
      </c>
      <c r="AK8" s="192">
        <v>31522731.129999999</v>
      </c>
      <c r="AL8" s="192">
        <v>0</v>
      </c>
      <c r="AM8" s="192">
        <v>14675617.17</v>
      </c>
      <c r="AN8" s="192">
        <v>0</v>
      </c>
      <c r="AO8" s="192">
        <v>28984527.850000001</v>
      </c>
      <c r="AP8" s="192">
        <v>0</v>
      </c>
      <c r="AQ8" s="192">
        <v>12009407.380000001</v>
      </c>
      <c r="AR8" s="192">
        <v>0</v>
      </c>
      <c r="AS8" s="192">
        <v>28807617.309999999</v>
      </c>
      <c r="AT8" s="192">
        <v>0</v>
      </c>
      <c r="AU8" s="192">
        <v>16187202.09</v>
      </c>
      <c r="AV8" s="192">
        <v>0</v>
      </c>
      <c r="AW8" s="192">
        <v>4496726.6500000004</v>
      </c>
      <c r="AX8" s="192">
        <v>3675076.8</v>
      </c>
      <c r="AY8" s="192">
        <v>2772553.36</v>
      </c>
      <c r="AZ8" s="192">
        <v>1849467.45</v>
      </c>
      <c r="BA8" s="192">
        <v>2037545.71</v>
      </c>
      <c r="BB8" s="192">
        <v>755239.59</v>
      </c>
      <c r="BC8" s="192">
        <v>534847.31999999995</v>
      </c>
      <c r="BD8" s="192">
        <v>89161.44</v>
      </c>
      <c r="BE8" s="192">
        <v>673684.09</v>
      </c>
      <c r="BF8" s="192">
        <v>1484857.36</v>
      </c>
      <c r="BG8" s="192">
        <v>1128661.54</v>
      </c>
      <c r="BH8" s="192">
        <v>1362170.55</v>
      </c>
      <c r="BI8" s="192">
        <v>3126790.78</v>
      </c>
      <c r="BJ8" s="192">
        <v>2657126.64</v>
      </c>
      <c r="BK8" s="192">
        <v>1746345.4</v>
      </c>
      <c r="BL8" s="192">
        <v>876047.08</v>
      </c>
      <c r="BM8" s="192">
        <v>3091495.57</v>
      </c>
      <c r="BN8" s="192">
        <v>1448223.17</v>
      </c>
      <c r="BO8" s="192">
        <v>2502201.38</v>
      </c>
      <c r="BP8" s="192">
        <v>479826.21</v>
      </c>
      <c r="BQ8" s="192">
        <v>0</v>
      </c>
      <c r="BR8" s="192">
        <v>0</v>
      </c>
      <c r="BS8" s="192">
        <v>0</v>
      </c>
      <c r="BT8" s="192">
        <v>0</v>
      </c>
      <c r="BU8" s="192">
        <v>0</v>
      </c>
      <c r="BV8" s="192">
        <v>0</v>
      </c>
    </row>
    <row r="9" spans="1:74" s="192" customFormat="1" x14ac:dyDescent="0.25">
      <c r="A9" s="192" t="s">
        <v>308</v>
      </c>
      <c r="B9" s="192">
        <v>0</v>
      </c>
      <c r="C9" s="192">
        <v>38617457.369999997</v>
      </c>
      <c r="D9" s="192">
        <v>0</v>
      </c>
      <c r="E9" s="192">
        <v>5039860.2699999996</v>
      </c>
      <c r="F9" s="192">
        <v>0</v>
      </c>
      <c r="G9" s="192">
        <v>-48790.51</v>
      </c>
      <c r="H9" s="192">
        <v>0</v>
      </c>
      <c r="I9" s="192">
        <v>1084828.51</v>
      </c>
      <c r="J9" s="192">
        <v>0</v>
      </c>
      <c r="K9" s="192">
        <v>-47645.84</v>
      </c>
      <c r="L9" s="192">
        <v>0</v>
      </c>
      <c r="M9" s="192">
        <v>-7077706.8600000003</v>
      </c>
      <c r="N9" s="192">
        <v>0</v>
      </c>
      <c r="O9" s="192">
        <v>-1460042.85</v>
      </c>
      <c r="P9" s="192">
        <v>0</v>
      </c>
      <c r="Q9" s="192">
        <v>184782.48</v>
      </c>
      <c r="R9" s="192">
        <v>0</v>
      </c>
      <c r="S9" s="192">
        <v>-258093.77</v>
      </c>
      <c r="T9" s="192">
        <v>0</v>
      </c>
      <c r="U9" s="192">
        <v>862644.98</v>
      </c>
      <c r="V9" s="192">
        <v>0</v>
      </c>
      <c r="W9" s="192">
        <v>-110026.35</v>
      </c>
      <c r="X9" s="192">
        <v>0</v>
      </c>
      <c r="Y9" s="192">
        <v>188335.4</v>
      </c>
      <c r="Z9" s="192">
        <v>0</v>
      </c>
      <c r="AA9" s="192">
        <v>-147329.70000000001</v>
      </c>
      <c r="AB9" s="192">
        <v>0</v>
      </c>
      <c r="AC9" s="192">
        <v>1427134.84</v>
      </c>
      <c r="AD9" s="192">
        <v>0</v>
      </c>
      <c r="AE9" s="192">
        <v>37668.9</v>
      </c>
      <c r="AF9" s="192">
        <v>0</v>
      </c>
      <c r="AG9" s="192">
        <v>-1752676.28</v>
      </c>
      <c r="AH9" s="192">
        <v>0</v>
      </c>
      <c r="AI9" s="192">
        <v>-1781091.52</v>
      </c>
      <c r="AJ9" s="192">
        <v>0</v>
      </c>
      <c r="AK9" s="192">
        <v>1337701.58</v>
      </c>
      <c r="AL9" s="192">
        <v>0</v>
      </c>
      <c r="AM9" s="192">
        <v>-46716.4</v>
      </c>
      <c r="AN9" s="192">
        <v>0</v>
      </c>
      <c r="AO9" s="192">
        <v>163062.04999999999</v>
      </c>
      <c r="AP9" s="192">
        <v>0</v>
      </c>
      <c r="AQ9" s="192">
        <v>-395965.71</v>
      </c>
      <c r="AR9" s="192">
        <v>0</v>
      </c>
      <c r="AS9" s="192">
        <v>-928030.47</v>
      </c>
      <c r="AT9" s="192">
        <v>0</v>
      </c>
      <c r="AU9" s="192">
        <v>-98917.88</v>
      </c>
      <c r="AV9" s="192">
        <v>0</v>
      </c>
      <c r="AW9" s="192">
        <v>931714.29</v>
      </c>
      <c r="AX9" s="192">
        <v>0</v>
      </c>
      <c r="AY9" s="192">
        <v>0</v>
      </c>
      <c r="AZ9" s="192">
        <v>0</v>
      </c>
      <c r="BA9" s="192">
        <v>184044.19</v>
      </c>
      <c r="BB9" s="192">
        <v>18093.63</v>
      </c>
      <c r="BC9" s="192">
        <v>-115148.42</v>
      </c>
      <c r="BD9" s="192">
        <v>-57568.47</v>
      </c>
      <c r="BE9" s="192">
        <v>369281.71</v>
      </c>
      <c r="BF9" s="192">
        <v>240215.2</v>
      </c>
      <c r="BG9" s="192">
        <v>-305224.34000000003</v>
      </c>
      <c r="BH9" s="192">
        <v>-172030.03</v>
      </c>
      <c r="BI9" s="192">
        <v>306637.15000000002</v>
      </c>
      <c r="BJ9" s="192">
        <v>-15821.68</v>
      </c>
      <c r="BK9" s="192">
        <v>-6581.95</v>
      </c>
      <c r="BL9" s="192">
        <v>10716.72</v>
      </c>
      <c r="BM9" s="192">
        <v>178310.32</v>
      </c>
      <c r="BN9" s="192">
        <v>247893.6</v>
      </c>
      <c r="BO9" s="192">
        <v>44531.040000000001</v>
      </c>
      <c r="BP9" s="192">
        <v>-111284.18</v>
      </c>
      <c r="BQ9" s="192">
        <v>-146767.41</v>
      </c>
      <c r="BR9" s="192">
        <v>3290106.7</v>
      </c>
      <c r="BS9" s="192">
        <v>0</v>
      </c>
      <c r="BT9" s="192">
        <v>-1680</v>
      </c>
      <c r="BU9" s="192">
        <v>0</v>
      </c>
      <c r="BV9" s="192">
        <v>0</v>
      </c>
    </row>
    <row r="10" spans="1:74" s="26" customFormat="1" x14ac:dyDescent="0.25">
      <c r="A10" s="17" t="s">
        <v>309</v>
      </c>
      <c r="B10" s="189">
        <v>0</v>
      </c>
      <c r="C10" s="189">
        <v>0</v>
      </c>
      <c r="D10" s="189">
        <v>0</v>
      </c>
      <c r="E10" s="189">
        <v>0</v>
      </c>
      <c r="F10" s="189">
        <v>0</v>
      </c>
      <c r="G10" s="189">
        <v>117539.74</v>
      </c>
      <c r="H10" s="189">
        <v>0</v>
      </c>
      <c r="I10" s="189">
        <v>0</v>
      </c>
      <c r="J10" s="189">
        <v>0</v>
      </c>
      <c r="K10" s="189">
        <v>9345.85</v>
      </c>
      <c r="L10" s="189">
        <v>0</v>
      </c>
      <c r="M10" s="189">
        <v>0</v>
      </c>
      <c r="N10" s="189">
        <v>0</v>
      </c>
      <c r="O10" s="189">
        <v>728716.87</v>
      </c>
      <c r="P10" s="189">
        <v>0</v>
      </c>
      <c r="Q10" s="189">
        <v>0</v>
      </c>
      <c r="R10" s="189">
        <v>0</v>
      </c>
      <c r="S10" s="189">
        <v>79969.350000000006</v>
      </c>
      <c r="T10" s="189">
        <v>0</v>
      </c>
      <c r="U10" s="189">
        <v>0</v>
      </c>
      <c r="V10" s="189">
        <v>0</v>
      </c>
      <c r="W10" s="189">
        <v>18611.05</v>
      </c>
      <c r="X10" s="189">
        <v>0</v>
      </c>
      <c r="Y10" s="189">
        <v>0</v>
      </c>
      <c r="Z10" s="189">
        <v>0</v>
      </c>
      <c r="AA10" s="189">
        <v>276241.43</v>
      </c>
      <c r="AB10" s="189">
        <v>0</v>
      </c>
      <c r="AC10" s="189">
        <v>0</v>
      </c>
      <c r="AD10" s="189">
        <v>0</v>
      </c>
      <c r="AE10" s="189">
        <v>474974.54</v>
      </c>
      <c r="AF10" s="189">
        <v>0</v>
      </c>
      <c r="AG10" s="189">
        <v>0</v>
      </c>
      <c r="AH10" s="189">
        <v>0</v>
      </c>
      <c r="AI10" s="189">
        <v>17104.330000000002</v>
      </c>
      <c r="AJ10" s="189">
        <v>0</v>
      </c>
      <c r="AK10" s="189">
        <v>0</v>
      </c>
      <c r="AL10" s="189">
        <v>0</v>
      </c>
      <c r="AM10" s="189">
        <v>227163.4</v>
      </c>
      <c r="AN10" s="189">
        <v>0</v>
      </c>
      <c r="AO10" s="189">
        <v>0</v>
      </c>
      <c r="AP10" s="189">
        <v>0</v>
      </c>
      <c r="AQ10" s="189">
        <v>54286.91</v>
      </c>
      <c r="AR10" s="189">
        <v>0</v>
      </c>
      <c r="AS10" s="189">
        <v>0</v>
      </c>
      <c r="AT10" s="189">
        <v>0</v>
      </c>
      <c r="AU10" s="189">
        <v>56029.62</v>
      </c>
      <c r="AV10" s="189">
        <v>0</v>
      </c>
      <c r="AW10" s="189">
        <v>0</v>
      </c>
      <c r="AX10" s="189">
        <v>0</v>
      </c>
      <c r="AY10" s="189">
        <v>0</v>
      </c>
      <c r="AZ10" s="189">
        <v>0</v>
      </c>
      <c r="BA10" s="189">
        <v>12642.28</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7101</v>
      </c>
      <c r="BU10" s="189">
        <v>0</v>
      </c>
      <c r="BV10" s="189">
        <v>0</v>
      </c>
    </row>
    <row r="11" spans="1:74" s="47" customFormat="1" x14ac:dyDescent="0.25">
      <c r="A11" s="135" t="s">
        <v>296</v>
      </c>
      <c r="E11" s="47">
        <f>E5-E6-E7-E8-E9-E10</f>
        <v>333241689.70000005</v>
      </c>
      <c r="F11" s="47">
        <f t="shared" ref="F11:BQ11" si="1">F5-F6-F7-F8-F9-F10</f>
        <v>400938034.25</v>
      </c>
      <c r="G11" s="47">
        <f t="shared" si="1"/>
        <v>202487005.54999998</v>
      </c>
      <c r="H11" s="47">
        <f t="shared" si="1"/>
        <v>194674454.36000001</v>
      </c>
      <c r="I11" s="47">
        <f t="shared" si="1"/>
        <v>333709939.64000005</v>
      </c>
      <c r="J11" s="47">
        <f t="shared" si="1"/>
        <v>321905237.98000002</v>
      </c>
      <c r="K11" s="47">
        <f t="shared" si="1"/>
        <v>118392948.73000002</v>
      </c>
      <c r="L11" s="47">
        <f t="shared" si="1"/>
        <v>82560334.659999996</v>
      </c>
      <c r="M11" s="47">
        <f t="shared" si="1"/>
        <v>378706181.38</v>
      </c>
      <c r="N11" s="47">
        <f t="shared" si="1"/>
        <v>429263923.01999998</v>
      </c>
      <c r="O11" s="47">
        <f t="shared" si="1"/>
        <v>219022326.94999999</v>
      </c>
      <c r="P11" s="47">
        <f t="shared" si="1"/>
        <v>30921003.559999999</v>
      </c>
      <c r="Q11" s="47">
        <f t="shared" si="1"/>
        <v>-2936037.4799999925</v>
      </c>
      <c r="R11" s="47">
        <f t="shared" si="1"/>
        <v>72593177.179999992</v>
      </c>
      <c r="S11" s="47">
        <f t="shared" si="1"/>
        <v>1136951.4800000023</v>
      </c>
      <c r="T11" s="47">
        <f t="shared" si="1"/>
        <v>32042241.23</v>
      </c>
      <c r="U11" s="47">
        <f t="shared" si="1"/>
        <v>54597451.419999972</v>
      </c>
      <c r="V11" s="47">
        <f t="shared" si="1"/>
        <v>121208320.19000001</v>
      </c>
      <c r="W11" s="47">
        <f t="shared" si="1"/>
        <v>38766823.830000006</v>
      </c>
      <c r="X11" s="47">
        <f t="shared" si="1"/>
        <v>43593816.700000003</v>
      </c>
      <c r="Y11" s="47">
        <f t="shared" si="1"/>
        <v>28673391.209999986</v>
      </c>
      <c r="Z11" s="47">
        <f t="shared" si="1"/>
        <v>104800262.58000001</v>
      </c>
      <c r="AA11" s="47">
        <f t="shared" si="1"/>
        <v>39430962.839999996</v>
      </c>
      <c r="AB11" s="47">
        <f t="shared" si="1"/>
        <v>23654797.629999999</v>
      </c>
      <c r="AC11" s="47">
        <f t="shared" si="1"/>
        <v>-30916004.860000003</v>
      </c>
      <c r="AD11" s="47">
        <f t="shared" si="1"/>
        <v>64821882.609999999</v>
      </c>
      <c r="AE11" s="47">
        <f t="shared" si="1"/>
        <v>4155468.5299999984</v>
      </c>
      <c r="AF11" s="47">
        <f t="shared" si="1"/>
        <v>20060205.550000001</v>
      </c>
      <c r="AG11" s="47">
        <f t="shared" si="1"/>
        <v>7761622.46</v>
      </c>
      <c r="AH11" s="47">
        <f t="shared" si="1"/>
        <v>64046641.670000002</v>
      </c>
      <c r="AI11" s="47">
        <f t="shared" si="1"/>
        <v>5384326.3199999984</v>
      </c>
      <c r="AJ11" s="47">
        <f t="shared" si="1"/>
        <v>24386479.079999998</v>
      </c>
      <c r="AK11" s="47">
        <f t="shared" si="1"/>
        <v>-15156999.030000011</v>
      </c>
      <c r="AL11" s="47">
        <f t="shared" si="1"/>
        <v>53617656.060000002</v>
      </c>
      <c r="AM11" s="47">
        <f t="shared" si="1"/>
        <v>-3900112.3600000013</v>
      </c>
      <c r="AN11" s="47">
        <f t="shared" si="1"/>
        <v>20946368.149999999</v>
      </c>
      <c r="AO11" s="47">
        <f t="shared" si="1"/>
        <v>-10184888.570000004</v>
      </c>
      <c r="AP11" s="47">
        <f t="shared" si="1"/>
        <v>44983253.950000003</v>
      </c>
      <c r="AQ11" s="47">
        <f t="shared" si="1"/>
        <v>-9397842.040000001</v>
      </c>
      <c r="AR11" s="47">
        <f t="shared" si="1"/>
        <v>14901341.609999999</v>
      </c>
      <c r="AS11" s="47">
        <f t="shared" si="1"/>
        <v>-87293391.989999995</v>
      </c>
      <c r="AT11" s="47">
        <f t="shared" si="1"/>
        <v>0</v>
      </c>
      <c r="AU11" s="47">
        <f t="shared" si="1"/>
        <v>-39254738.969999999</v>
      </c>
      <c r="AV11" s="47">
        <f t="shared" si="1"/>
        <v>0</v>
      </c>
      <c r="AW11" s="47">
        <f t="shared" si="1"/>
        <v>-69825840.250000015</v>
      </c>
      <c r="AX11" s="47">
        <f t="shared" si="1"/>
        <v>-53997387.32</v>
      </c>
      <c r="AY11" s="47">
        <f t="shared" si="1"/>
        <v>-32730588.449999999</v>
      </c>
      <c r="AZ11" s="47">
        <f t="shared" si="1"/>
        <v>-16601398.229999999</v>
      </c>
      <c r="BA11" s="47">
        <f t="shared" si="1"/>
        <v>-56614030.379999995</v>
      </c>
      <c r="BB11" s="47">
        <f t="shared" si="1"/>
        <v>-40427086.890000008</v>
      </c>
      <c r="BC11" s="47">
        <f t="shared" si="1"/>
        <v>-27783491.449999996</v>
      </c>
      <c r="BD11" s="47">
        <f t="shared" si="1"/>
        <v>-13364154.479999999</v>
      </c>
      <c r="BE11" s="47">
        <f t="shared" si="1"/>
        <v>-44776674.68</v>
      </c>
      <c r="BF11" s="47">
        <f t="shared" si="1"/>
        <v>-33350197.300000001</v>
      </c>
      <c r="BG11" s="47">
        <f t="shared" si="1"/>
        <v>-21427179.09</v>
      </c>
      <c r="BH11" s="47">
        <f t="shared" si="1"/>
        <v>-11904804.950000001</v>
      </c>
      <c r="BI11" s="47">
        <f t="shared" si="1"/>
        <v>-40182693.289999999</v>
      </c>
      <c r="BJ11" s="47">
        <f t="shared" si="1"/>
        <v>-29007647.32</v>
      </c>
      <c r="BK11" s="47">
        <f t="shared" si="1"/>
        <v>-19509359.489999998</v>
      </c>
      <c r="BL11" s="47">
        <f t="shared" si="1"/>
        <v>-9455377.1799999997</v>
      </c>
      <c r="BM11" s="47">
        <f t="shared" si="1"/>
        <v>-33063418.07</v>
      </c>
      <c r="BN11" s="47">
        <f t="shared" si="1"/>
        <v>-17883328.420000002</v>
      </c>
      <c r="BO11" s="47">
        <f t="shared" si="1"/>
        <v>-31581732.109999999</v>
      </c>
      <c r="BP11" s="47">
        <f t="shared" si="1"/>
        <v>-15693119.460000001</v>
      </c>
      <c r="BQ11" s="47">
        <f t="shared" si="1"/>
        <v>-26578065.280000001</v>
      </c>
      <c r="BR11" s="47">
        <f t="shared" ref="BR11:BS11" si="2">BR5-BR6-BR7-BR8-BR9-BR10</f>
        <v>-29241349.699999999</v>
      </c>
      <c r="BS11" s="47">
        <f t="shared" si="2"/>
        <v>0</v>
      </c>
    </row>
    <row r="12" spans="1:74" s="26" customFormat="1" x14ac:dyDescent="0.25">
      <c r="A12" s="17" t="s">
        <v>297</v>
      </c>
      <c r="E12" s="26">
        <f t="shared" ref="E12:Q12" si="3">I34</f>
        <v>1776679236.9299998</v>
      </c>
      <c r="F12" s="26">
        <f t="shared" si="3"/>
        <v>1675159186.3199999</v>
      </c>
      <c r="G12" s="26">
        <f t="shared" si="3"/>
        <v>1376532698.55</v>
      </c>
      <c r="H12" s="26">
        <f t="shared" si="3"/>
        <v>1218608485.24</v>
      </c>
      <c r="I12" s="26">
        <f t="shared" si="3"/>
        <v>1113668565.6600001</v>
      </c>
      <c r="J12" s="26">
        <f t="shared" si="3"/>
        <v>955706154.92999995</v>
      </c>
      <c r="K12" s="26">
        <f t="shared" si="3"/>
        <v>1609318877.1500001</v>
      </c>
      <c r="L12" s="26">
        <f t="shared" si="3"/>
        <v>1341990518.96</v>
      </c>
      <c r="M12" s="26">
        <f t="shared" si="3"/>
        <v>1205907962.55</v>
      </c>
      <c r="N12" s="26">
        <f t="shared" si="3"/>
        <v>1177300050.6199999</v>
      </c>
      <c r="O12" s="26">
        <f t="shared" si="3"/>
        <v>1229640851.9100001</v>
      </c>
      <c r="P12" s="26">
        <f t="shared" si="3"/>
        <v>1219659301.5999999</v>
      </c>
      <c r="Q12" s="26">
        <f t="shared" si="3"/>
        <v>1186320402.1400001</v>
      </c>
      <c r="R12" s="192">
        <f t="shared" ref="R12" si="4">V34</f>
        <v>1094017530.25</v>
      </c>
      <c r="S12" s="192">
        <f t="shared" ref="S12" si="5">W34</f>
        <v>1033441975.7999998</v>
      </c>
      <c r="T12" s="192">
        <f t="shared" ref="T12" si="6">X34</f>
        <v>1002490727.98</v>
      </c>
      <c r="U12" s="192">
        <f t="shared" ref="U12" si="7">Y34</f>
        <v>958142068.27999997</v>
      </c>
      <c r="V12" s="192">
        <f t="shared" ref="V12" si="8">Z34</f>
        <v>935283337.16999996</v>
      </c>
      <c r="W12" s="192">
        <f t="shared" ref="W12" si="9">AA34</f>
        <v>903831255.21000004</v>
      </c>
      <c r="X12" s="192">
        <f t="shared" ref="X12" si="10">AB34</f>
        <v>804271389.32000005</v>
      </c>
      <c r="Y12" s="192">
        <f t="shared" ref="Y12" si="11">AC34</f>
        <v>779335903.07000005</v>
      </c>
      <c r="Z12" s="192">
        <f t="shared" ref="Z12" si="12">AD34</f>
        <v>731487363.73000002</v>
      </c>
      <c r="AA12" s="192">
        <f t="shared" ref="AA12" si="13">AE34</f>
        <v>712476300.89999998</v>
      </c>
      <c r="AB12" s="192">
        <f t="shared" ref="AB12" si="14">AF34</f>
        <v>701428497.40999997</v>
      </c>
      <c r="AC12" s="192">
        <f t="shared" ref="AC12" si="15">AG34</f>
        <v>687661600.07000005</v>
      </c>
      <c r="AD12" s="192">
        <f t="shared" ref="AD12" si="16">AH34</f>
        <v>625046298.95000005</v>
      </c>
      <c r="AE12" s="192">
        <f t="shared" ref="AE12" si="17">AI34</f>
        <v>630006665.23000002</v>
      </c>
      <c r="AF12" s="192">
        <f t="shared" ref="AF12" si="18">AJ34</f>
        <v>624791204.15999997</v>
      </c>
      <c r="AG12" s="192">
        <f t="shared" ref="AG12" si="19">AK34</f>
        <v>534270497.33000004</v>
      </c>
      <c r="AH12" s="192">
        <f t="shared" ref="AH12" si="20">AL34</f>
        <v>580401705.93999994</v>
      </c>
      <c r="AI12" s="192">
        <f t="shared" ref="AI12" si="21">AM34</f>
        <v>553056756.06999993</v>
      </c>
      <c r="AJ12" s="192">
        <f t="shared" ref="AJ12" si="22">AN34</f>
        <v>560159926.83000004</v>
      </c>
      <c r="AK12" s="192">
        <f t="shared" ref="AK12" si="23">AO34</f>
        <v>560351870.43999994</v>
      </c>
      <c r="AL12" s="192">
        <f t="shared" ref="AL12" si="24">AP34</f>
        <v>557918000.05999994</v>
      </c>
      <c r="AM12" s="192">
        <f t="shared" ref="AM12" si="25">AQ34</f>
        <v>528090663.32999998</v>
      </c>
      <c r="AN12" s="192">
        <f t="shared" ref="AN12" si="26">AR34</f>
        <v>567920482.00999999</v>
      </c>
      <c r="AO12" s="192">
        <f t="shared" ref="AO12" si="27">AS34</f>
        <v>566984452.14999998</v>
      </c>
      <c r="AP12" s="192">
        <f t="shared" ref="AP12" si="28">AT34</f>
        <v>611948899.88</v>
      </c>
      <c r="AQ12" s="192">
        <f t="shared" ref="AQ12" si="29">AU34</f>
        <v>619163932.42000008</v>
      </c>
      <c r="AR12" s="192">
        <f t="shared" ref="AR12" si="30">AV34</f>
        <v>629009136.94999993</v>
      </c>
      <c r="AS12" s="192">
        <f t="shared" ref="AS12" si="31">AW34</f>
        <v>658654921.09000003</v>
      </c>
      <c r="AT12" s="192">
        <f t="shared" ref="AT12" si="32">AX34</f>
        <v>672995128.16999996</v>
      </c>
      <c r="AU12" s="192">
        <f t="shared" ref="AU12" si="33">AY34</f>
        <v>688865064.10000002</v>
      </c>
      <c r="AV12" s="192">
        <f t="shared" ref="AV12" si="34">AZ34</f>
        <v>693691912.86000001</v>
      </c>
      <c r="AW12" s="192">
        <f t="shared" ref="AW12" si="35">BA34</f>
        <v>680116840.91999996</v>
      </c>
      <c r="AX12" s="192">
        <f t="shared" ref="AX12" si="36">BB34</f>
        <v>653820407.28999996</v>
      </c>
      <c r="AY12" s="192">
        <f t="shared" ref="AY12" si="37">BC34</f>
        <v>640941045.20000005</v>
      </c>
      <c r="AZ12" s="192">
        <f t="shared" ref="AZ12" si="38">BD34</f>
        <v>651291679.23000002</v>
      </c>
      <c r="BA12" s="192">
        <f t="shared" ref="BA12" si="39">BE34</f>
        <v>638208512.54999995</v>
      </c>
      <c r="BB12" s="192">
        <f t="shared" ref="BB12" si="40">BF34</f>
        <v>539099354.14999998</v>
      </c>
      <c r="BC12" s="192">
        <f t="shared" ref="BC12" si="41">BG34</f>
        <v>513124295.43000001</v>
      </c>
      <c r="BD12" s="192">
        <f t="shared" ref="BD12" si="42">BH34</f>
        <v>523225840.13999999</v>
      </c>
      <c r="BE12" s="192">
        <f t="shared" ref="BE12" si="43">BI34</f>
        <v>528707534.07999998</v>
      </c>
      <c r="BF12" s="192">
        <f t="shared" ref="BF12" si="44">BJ34</f>
        <v>511240361.14999998</v>
      </c>
      <c r="BG12" s="192">
        <f t="shared" ref="BG12" si="45">BK34</f>
        <v>496786293.60000002</v>
      </c>
      <c r="BH12" s="192">
        <f t="shared" ref="BH12" si="46">BL34</f>
        <v>460661744.70999998</v>
      </c>
      <c r="BI12" s="192">
        <f t="shared" ref="BI12" si="47">BM34</f>
        <v>458946935.83999997</v>
      </c>
      <c r="BJ12" s="192">
        <f t="shared" ref="BJ12" si="48">BN34</f>
        <v>442798194.31999999</v>
      </c>
      <c r="BK12" s="192">
        <f t="shared" ref="BK12" si="49">BO34</f>
        <v>429677169.00999999</v>
      </c>
      <c r="BL12" s="192">
        <f t="shared" ref="BL12" si="50">BP34</f>
        <v>328866551.19</v>
      </c>
      <c r="BM12" s="192">
        <f t="shared" ref="BM12" si="51">BQ34</f>
        <v>557918000.05999994</v>
      </c>
      <c r="BN12" s="192">
        <f t="shared" ref="BN12" si="52">BR34</f>
        <v>528090663.32999998</v>
      </c>
    </row>
    <row r="13" spans="1:74" s="219" customFormat="1" x14ac:dyDescent="0.25">
      <c r="A13" s="219" t="s">
        <v>350</v>
      </c>
      <c r="E13" s="219">
        <f>E11/E12</f>
        <v>0.18756435195124058</v>
      </c>
      <c r="F13" s="219">
        <f t="shared" ref="F13:AR13" si="53">F11/F12</f>
        <v>0.23934324422670727</v>
      </c>
      <c r="G13" s="219">
        <f t="shared" si="53"/>
        <v>0.14709930665889301</v>
      </c>
      <c r="H13" s="219">
        <f t="shared" si="53"/>
        <v>0.15975143511466661</v>
      </c>
      <c r="I13" s="219">
        <f t="shared" si="53"/>
        <v>0.29964924029460371</v>
      </c>
      <c r="J13" s="219">
        <f t="shared" si="53"/>
        <v>0.33682448974452589</v>
      </c>
      <c r="K13" s="219">
        <f t="shared" si="53"/>
        <v>7.3567116132799176E-2</v>
      </c>
      <c r="L13" s="219">
        <f t="shared" si="53"/>
        <v>6.1520803234870566E-2</v>
      </c>
      <c r="M13" s="219">
        <f t="shared" si="53"/>
        <v>0.31404235906958605</v>
      </c>
      <c r="N13" s="219">
        <f t="shared" si="53"/>
        <v>0.36461726370769909</v>
      </c>
      <c r="O13" s="219">
        <f t="shared" si="53"/>
        <v>0.17811894148587598</v>
      </c>
      <c r="P13" s="219">
        <f t="shared" si="53"/>
        <v>2.5352164755712139E-2</v>
      </c>
      <c r="Q13" s="219">
        <f t="shared" si="53"/>
        <v>-2.4749110566619969E-3</v>
      </c>
      <c r="R13" s="219">
        <f t="shared" si="53"/>
        <v>6.6354674557556059E-2</v>
      </c>
      <c r="S13" s="219">
        <f t="shared" si="53"/>
        <v>1.1001599573308163E-3</v>
      </c>
      <c r="T13" s="219">
        <f t="shared" si="53"/>
        <v>3.1962631010627414E-2</v>
      </c>
      <c r="U13" s="219">
        <f t="shared" si="53"/>
        <v>5.6982626300930601E-2</v>
      </c>
      <c r="V13" s="219">
        <f t="shared" si="53"/>
        <v>0.12959529521476851</v>
      </c>
      <c r="W13" s="219">
        <f t="shared" si="53"/>
        <v>4.2891661033555156E-2</v>
      </c>
      <c r="X13" s="219">
        <f t="shared" si="53"/>
        <v>5.4202868930670223E-2</v>
      </c>
      <c r="Y13" s="219">
        <f t="shared" si="53"/>
        <v>3.6792082973526936E-2</v>
      </c>
      <c r="Z13" s="219">
        <f t="shared" si="53"/>
        <v>0.14327009293175286</v>
      </c>
      <c r="AA13" s="219">
        <f t="shared" si="53"/>
        <v>5.534354306268266E-2</v>
      </c>
      <c r="AB13" s="219">
        <f t="shared" si="53"/>
        <v>3.3723747634070336E-2</v>
      </c>
      <c r="AC13" s="219">
        <f t="shared" si="53"/>
        <v>-4.4958166715798775E-2</v>
      </c>
      <c r="AD13" s="219">
        <f t="shared" si="53"/>
        <v>0.1037073297112433</v>
      </c>
      <c r="AE13" s="219">
        <f t="shared" si="53"/>
        <v>6.5959120106815674E-3</v>
      </c>
      <c r="AF13" s="219">
        <f t="shared" si="53"/>
        <v>3.2107054991226916E-2</v>
      </c>
      <c r="AG13" s="219">
        <f t="shared" si="53"/>
        <v>1.4527514618135314E-2</v>
      </c>
      <c r="AH13" s="219">
        <f t="shared" si="53"/>
        <v>0.11034881705985361</v>
      </c>
      <c r="AI13" s="219">
        <f t="shared" si="53"/>
        <v>9.7355764320841403E-3</v>
      </c>
      <c r="AJ13" s="219">
        <f t="shared" si="53"/>
        <v>4.3534851230800239E-2</v>
      </c>
      <c r="AK13" s="219">
        <f t="shared" si="53"/>
        <v>-2.7049073679540715E-2</v>
      </c>
      <c r="AL13" s="219">
        <f t="shared" si="53"/>
        <v>9.6103112024049808E-2</v>
      </c>
      <c r="AM13" s="219">
        <f t="shared" si="53"/>
        <v>-7.3853083018111413E-3</v>
      </c>
      <c r="AN13" s="219">
        <f t="shared" si="53"/>
        <v>3.6882572144371392E-2</v>
      </c>
      <c r="AO13" s="219">
        <f t="shared" si="53"/>
        <v>-1.7963259012445575E-2</v>
      </c>
      <c r="AP13" s="219">
        <f t="shared" si="53"/>
        <v>7.3508186645683954E-2</v>
      </c>
      <c r="AQ13" s="219">
        <f t="shared" si="53"/>
        <v>-1.5178277590021383E-2</v>
      </c>
      <c r="AR13" s="219">
        <f t="shared" si="53"/>
        <v>2.3690183074692776E-2</v>
      </c>
    </row>
    <row r="14" spans="1:74" s="48" customFormat="1" x14ac:dyDescent="0.25">
      <c r="A14" s="46" t="s">
        <v>293</v>
      </c>
    </row>
    <row r="15" spans="1:74" s="192" customFormat="1" x14ac:dyDescent="0.25">
      <c r="A15" s="192" t="s">
        <v>313</v>
      </c>
      <c r="B15" s="192">
        <v>0</v>
      </c>
      <c r="C15" s="192">
        <v>0</v>
      </c>
      <c r="D15" s="192">
        <v>0</v>
      </c>
      <c r="E15" s="192">
        <v>50300000</v>
      </c>
      <c r="F15" s="192">
        <v>0</v>
      </c>
      <c r="G15" s="192">
        <v>0</v>
      </c>
      <c r="H15" s="192">
        <v>0</v>
      </c>
      <c r="I15" s="192">
        <v>344842967</v>
      </c>
      <c r="J15" s="192">
        <v>344842967</v>
      </c>
      <c r="K15" s="192">
        <v>344842967</v>
      </c>
      <c r="L15" s="192">
        <v>0</v>
      </c>
      <c r="M15" s="192">
        <v>1916888138.51</v>
      </c>
      <c r="N15" s="192">
        <v>11395453.51</v>
      </c>
      <c r="O15" s="192">
        <v>11395453.51</v>
      </c>
      <c r="P15" s="192">
        <v>0</v>
      </c>
      <c r="Q15" s="192">
        <v>7204267.3899999997</v>
      </c>
      <c r="R15" s="192">
        <v>4369223.17</v>
      </c>
      <c r="S15" s="192">
        <v>0</v>
      </c>
      <c r="T15" s="192">
        <v>0</v>
      </c>
      <c r="U15" s="192">
        <v>0</v>
      </c>
      <c r="V15" s="192">
        <v>0</v>
      </c>
      <c r="W15" s="192">
        <v>0</v>
      </c>
      <c r="X15" s="192">
        <v>0</v>
      </c>
      <c r="Y15" s="192">
        <v>-6121010.6600000001</v>
      </c>
      <c r="Z15" s="192">
        <v>0</v>
      </c>
      <c r="AA15" s="192">
        <v>0</v>
      </c>
      <c r="AB15" s="192">
        <v>0</v>
      </c>
      <c r="AC15" s="192">
        <v>0</v>
      </c>
      <c r="AD15" s="192">
        <v>0</v>
      </c>
      <c r="AE15" s="192">
        <v>0</v>
      </c>
      <c r="AF15" s="192">
        <v>0</v>
      </c>
      <c r="AG15" s="192">
        <v>12486.96</v>
      </c>
      <c r="AH15" s="192">
        <v>200311.06</v>
      </c>
      <c r="AI15" s="192">
        <v>0</v>
      </c>
      <c r="AJ15" s="192">
        <v>0</v>
      </c>
      <c r="AK15" s="192">
        <v>698938.6</v>
      </c>
      <c r="AL15" s="192">
        <v>0</v>
      </c>
      <c r="AM15" s="192">
        <v>0</v>
      </c>
      <c r="AN15" s="192">
        <v>0</v>
      </c>
      <c r="AO15" s="192">
        <v>0</v>
      </c>
      <c r="AP15" s="192">
        <v>0</v>
      </c>
      <c r="AQ15" s="192">
        <v>0</v>
      </c>
      <c r="AR15" s="192">
        <v>0</v>
      </c>
      <c r="AS15" s="192">
        <v>7975152.0700000003</v>
      </c>
      <c r="AT15" s="192">
        <v>417239.42</v>
      </c>
      <c r="AU15" s="192">
        <v>0</v>
      </c>
      <c r="AV15" s="192">
        <v>5000000</v>
      </c>
      <c r="AW15" s="192">
        <v>0</v>
      </c>
      <c r="AX15" s="192">
        <v>0</v>
      </c>
      <c r="AY15" s="192">
        <v>0</v>
      </c>
      <c r="AZ15" s="192">
        <v>0</v>
      </c>
      <c r="BA15" s="192">
        <v>0</v>
      </c>
      <c r="BB15" s="192">
        <v>0</v>
      </c>
      <c r="BC15" s="192">
        <v>0</v>
      </c>
      <c r="BD15" s="192">
        <v>0</v>
      </c>
      <c r="BE15" s="192">
        <v>0</v>
      </c>
      <c r="BF15" s="192">
        <v>0</v>
      </c>
      <c r="BG15" s="192">
        <v>0</v>
      </c>
      <c r="BH15" s="192">
        <v>0</v>
      </c>
      <c r="BI15" s="192">
        <v>0</v>
      </c>
      <c r="BJ15" s="192">
        <v>0</v>
      </c>
      <c r="BK15" s="192">
        <v>0</v>
      </c>
      <c r="BL15" s="192">
        <v>0</v>
      </c>
      <c r="BM15" s="192">
        <v>0</v>
      </c>
      <c r="BN15" s="192">
        <v>0</v>
      </c>
      <c r="BO15" s="192">
        <v>0</v>
      </c>
      <c r="BP15" s="192">
        <v>0</v>
      </c>
      <c r="BQ15" s="192">
        <v>0</v>
      </c>
      <c r="BR15" s="192">
        <v>0</v>
      </c>
      <c r="BS15" s="192">
        <v>0</v>
      </c>
      <c r="BT15" s="192">
        <v>0</v>
      </c>
      <c r="BU15" s="192">
        <v>0</v>
      </c>
      <c r="BV15" s="192">
        <v>0</v>
      </c>
    </row>
    <row r="16" spans="1:74" s="192" customFormat="1" x14ac:dyDescent="0.25">
      <c r="A16" s="192" t="s">
        <v>314</v>
      </c>
      <c r="B16" s="192">
        <v>0</v>
      </c>
      <c r="C16" s="192">
        <v>0</v>
      </c>
      <c r="D16" s="192">
        <v>0</v>
      </c>
      <c r="E16" s="192">
        <v>86383631.280000001</v>
      </c>
      <c r="F16" s="192">
        <v>0</v>
      </c>
      <c r="G16" s="192">
        <v>0</v>
      </c>
      <c r="H16" s="192">
        <v>0</v>
      </c>
      <c r="I16" s="192">
        <v>0</v>
      </c>
      <c r="J16" s="192">
        <v>93100000</v>
      </c>
      <c r="K16" s="192">
        <v>46550000</v>
      </c>
      <c r="L16" s="192">
        <v>0</v>
      </c>
      <c r="M16" s="192">
        <v>0</v>
      </c>
      <c r="N16" s="192">
        <v>0</v>
      </c>
      <c r="O16" s="192">
        <v>0</v>
      </c>
      <c r="P16" s="192">
        <v>0</v>
      </c>
      <c r="Q16" s="192">
        <v>0</v>
      </c>
      <c r="R16" s="192">
        <v>0</v>
      </c>
      <c r="S16" s="192">
        <v>0</v>
      </c>
      <c r="T16" s="192">
        <v>0</v>
      </c>
      <c r="U16" s="192">
        <v>0</v>
      </c>
      <c r="V16" s="192">
        <v>0</v>
      </c>
      <c r="W16" s="192">
        <v>0</v>
      </c>
      <c r="X16" s="192">
        <v>0</v>
      </c>
      <c r="Y16" s="192">
        <v>0</v>
      </c>
      <c r="Z16" s="192">
        <v>0</v>
      </c>
      <c r="AA16" s="192">
        <v>4000000</v>
      </c>
      <c r="AB16" s="192">
        <v>0</v>
      </c>
      <c r="AC16" s="192">
        <v>67008269.829999998</v>
      </c>
      <c r="AD16" s="192">
        <v>67008269.829999998</v>
      </c>
      <c r="AE16" s="192">
        <v>67008269.829999998</v>
      </c>
      <c r="AF16" s="192">
        <v>0</v>
      </c>
      <c r="AG16" s="192">
        <v>0</v>
      </c>
      <c r="AH16" s="192">
        <v>0</v>
      </c>
      <c r="AI16" s="192">
        <v>0</v>
      </c>
      <c r="AJ16" s="192">
        <v>0</v>
      </c>
      <c r="AK16" s="192">
        <v>0</v>
      </c>
      <c r="AL16" s="192">
        <v>0</v>
      </c>
      <c r="AM16" s="192">
        <v>0</v>
      </c>
      <c r="AN16" s="192">
        <v>0</v>
      </c>
      <c r="AO16" s="192">
        <v>19841250</v>
      </c>
      <c r="AP16" s="192">
        <v>0</v>
      </c>
      <c r="AQ16" s="192">
        <v>0</v>
      </c>
      <c r="AR16" s="192">
        <v>0</v>
      </c>
      <c r="AS16" s="192">
        <v>17212672</v>
      </c>
      <c r="AT16" s="192">
        <v>0</v>
      </c>
      <c r="AU16" s="192">
        <v>0</v>
      </c>
      <c r="AV16" s="192">
        <v>0</v>
      </c>
      <c r="AW16" s="192">
        <v>0</v>
      </c>
      <c r="AX16" s="192">
        <v>0</v>
      </c>
      <c r="AY16" s="192">
        <v>0</v>
      </c>
      <c r="AZ16" s="192">
        <v>0</v>
      </c>
      <c r="BA16" s="192">
        <v>0</v>
      </c>
      <c r="BB16" s="192">
        <v>0</v>
      </c>
      <c r="BC16" s="192">
        <v>0</v>
      </c>
      <c r="BD16" s="192">
        <v>0</v>
      </c>
      <c r="BE16" s="192">
        <v>0</v>
      </c>
      <c r="BF16" s="192">
        <v>0</v>
      </c>
      <c r="BG16" s="192">
        <v>0</v>
      </c>
      <c r="BH16" s="192">
        <v>0</v>
      </c>
      <c r="BI16" s="192">
        <v>0</v>
      </c>
      <c r="BJ16" s="192">
        <v>0</v>
      </c>
      <c r="BK16" s="192">
        <v>0</v>
      </c>
      <c r="BL16" s="192">
        <v>0</v>
      </c>
      <c r="BM16" s="192">
        <v>0</v>
      </c>
      <c r="BN16" s="192">
        <v>0</v>
      </c>
      <c r="BO16" s="192">
        <v>0</v>
      </c>
      <c r="BP16" s="192">
        <v>0</v>
      </c>
      <c r="BQ16" s="192">
        <v>0</v>
      </c>
      <c r="BR16" s="192">
        <v>0</v>
      </c>
      <c r="BS16" s="192">
        <v>0</v>
      </c>
      <c r="BT16" s="192">
        <v>0</v>
      </c>
      <c r="BU16" s="192">
        <v>0</v>
      </c>
      <c r="BV16" s="192">
        <v>0</v>
      </c>
    </row>
    <row r="17" spans="1:74" s="47" customFormat="1" x14ac:dyDescent="0.25">
      <c r="A17" s="135" t="s">
        <v>298</v>
      </c>
      <c r="E17" s="47">
        <f>E16-E15</f>
        <v>36083631.280000001</v>
      </c>
      <c r="F17" s="47">
        <f t="shared" ref="F17:AV17" si="54">F16-F15</f>
        <v>0</v>
      </c>
      <c r="G17" s="47">
        <f t="shared" si="54"/>
        <v>0</v>
      </c>
      <c r="H17" s="47">
        <f t="shared" si="54"/>
        <v>0</v>
      </c>
      <c r="I17" s="47">
        <f t="shared" si="54"/>
        <v>-344842967</v>
      </c>
      <c r="J17" s="47">
        <f t="shared" si="54"/>
        <v>-251742967</v>
      </c>
      <c r="K17" s="47">
        <f t="shared" si="54"/>
        <v>-298292967</v>
      </c>
      <c r="L17" s="47">
        <f t="shared" si="54"/>
        <v>0</v>
      </c>
      <c r="M17" s="47">
        <f t="shared" si="54"/>
        <v>-1916888138.51</v>
      </c>
      <c r="N17" s="47">
        <f t="shared" si="54"/>
        <v>-11395453.51</v>
      </c>
      <c r="O17" s="47">
        <f t="shared" si="54"/>
        <v>-11395453.51</v>
      </c>
      <c r="P17" s="47">
        <f t="shared" si="54"/>
        <v>0</v>
      </c>
      <c r="Q17" s="47">
        <f t="shared" si="54"/>
        <v>-7204267.3899999997</v>
      </c>
      <c r="R17" s="47">
        <f t="shared" si="54"/>
        <v>-4369223.17</v>
      </c>
      <c r="S17" s="47">
        <f t="shared" si="54"/>
        <v>0</v>
      </c>
      <c r="T17" s="47">
        <f t="shared" si="54"/>
        <v>0</v>
      </c>
      <c r="U17" s="47">
        <f t="shared" si="54"/>
        <v>0</v>
      </c>
      <c r="V17" s="47">
        <f t="shared" si="54"/>
        <v>0</v>
      </c>
      <c r="W17" s="47">
        <f t="shared" si="54"/>
        <v>0</v>
      </c>
      <c r="X17" s="47">
        <f t="shared" si="54"/>
        <v>0</v>
      </c>
      <c r="Y17" s="47">
        <f t="shared" si="54"/>
        <v>6121010.6600000001</v>
      </c>
      <c r="Z17" s="47">
        <f t="shared" si="54"/>
        <v>0</v>
      </c>
      <c r="AA17" s="47">
        <f t="shared" si="54"/>
        <v>4000000</v>
      </c>
      <c r="AB17" s="47">
        <f t="shared" si="54"/>
        <v>0</v>
      </c>
      <c r="AC17" s="47">
        <f t="shared" si="54"/>
        <v>67008269.829999998</v>
      </c>
      <c r="AD17" s="47">
        <f t="shared" si="54"/>
        <v>67008269.829999998</v>
      </c>
      <c r="AE17" s="47">
        <f t="shared" si="54"/>
        <v>67008269.829999998</v>
      </c>
      <c r="AF17" s="47">
        <f t="shared" si="54"/>
        <v>0</v>
      </c>
      <c r="AG17" s="47">
        <f t="shared" si="54"/>
        <v>-12486.96</v>
      </c>
      <c r="AH17" s="47">
        <f t="shared" si="54"/>
        <v>-200311.06</v>
      </c>
      <c r="AI17" s="47">
        <f t="shared" si="54"/>
        <v>0</v>
      </c>
      <c r="AJ17" s="47">
        <f t="shared" si="54"/>
        <v>0</v>
      </c>
      <c r="AK17" s="47">
        <f t="shared" si="54"/>
        <v>-698938.6</v>
      </c>
      <c r="AL17" s="47">
        <f t="shared" si="54"/>
        <v>0</v>
      </c>
      <c r="AM17" s="47">
        <f t="shared" si="54"/>
        <v>0</v>
      </c>
      <c r="AN17" s="47">
        <f t="shared" si="54"/>
        <v>0</v>
      </c>
      <c r="AO17" s="47">
        <f t="shared" si="54"/>
        <v>19841250</v>
      </c>
      <c r="AP17" s="47">
        <f t="shared" si="54"/>
        <v>0</v>
      </c>
      <c r="AQ17" s="47">
        <f t="shared" si="54"/>
        <v>0</v>
      </c>
      <c r="AR17" s="47">
        <f t="shared" si="54"/>
        <v>0</v>
      </c>
      <c r="AS17" s="47">
        <f t="shared" si="54"/>
        <v>9237519.9299999997</v>
      </c>
      <c r="AT17" s="47">
        <f t="shared" si="54"/>
        <v>-417239.42</v>
      </c>
      <c r="AU17" s="47">
        <f t="shared" si="54"/>
        <v>0</v>
      </c>
      <c r="AV17" s="47">
        <f t="shared" si="54"/>
        <v>-5000000</v>
      </c>
    </row>
    <row r="18" spans="1:74" s="48" customFormat="1" x14ac:dyDescent="0.25">
      <c r="A18" s="46" t="s">
        <v>294</v>
      </c>
    </row>
    <row r="19" spans="1:74" s="192" customFormat="1" x14ac:dyDescent="0.25">
      <c r="A19" s="192" t="s">
        <v>299</v>
      </c>
      <c r="E19" s="192">
        <f>E5+E17</f>
        <v>559730347.87</v>
      </c>
      <c r="F19" s="192">
        <f t="shared" ref="F19:AS19" si="55">F5+F17</f>
        <v>400938034.25</v>
      </c>
      <c r="G19" s="192">
        <f t="shared" si="55"/>
        <v>281281392.99000001</v>
      </c>
      <c r="H19" s="192">
        <f t="shared" si="55"/>
        <v>194674454.36000001</v>
      </c>
      <c r="I19" s="192">
        <f t="shared" si="55"/>
        <v>135533988.06</v>
      </c>
      <c r="J19" s="192">
        <f t="shared" si="55"/>
        <v>70162270.980000019</v>
      </c>
      <c r="K19" s="192">
        <f t="shared" si="55"/>
        <v>-112403085.16</v>
      </c>
      <c r="L19" s="192">
        <f t="shared" si="55"/>
        <v>82560334.659999996</v>
      </c>
      <c r="M19" s="192">
        <f t="shared" si="55"/>
        <v>-1436634351.6700001</v>
      </c>
      <c r="N19" s="192">
        <f t="shared" si="55"/>
        <v>417868469.50999999</v>
      </c>
      <c r="O19" s="192">
        <f t="shared" si="55"/>
        <v>259023013.81999999</v>
      </c>
      <c r="P19" s="192">
        <f t="shared" si="55"/>
        <v>30921003.559999999</v>
      </c>
      <c r="Q19" s="192">
        <f t="shared" si="55"/>
        <v>89996982</v>
      </c>
      <c r="R19" s="192">
        <f t="shared" si="55"/>
        <v>68223954.00999999</v>
      </c>
      <c r="S19" s="192">
        <f t="shared" si="55"/>
        <v>51210257.730000004</v>
      </c>
      <c r="T19" s="192">
        <f t="shared" si="55"/>
        <v>32042241.23</v>
      </c>
      <c r="U19" s="192">
        <f t="shared" si="55"/>
        <v>156871214.64999998</v>
      </c>
      <c r="V19" s="192">
        <f t="shared" si="55"/>
        <v>121208320.19000001</v>
      </c>
      <c r="W19" s="192">
        <f t="shared" si="55"/>
        <v>85031521.879999995</v>
      </c>
      <c r="X19" s="192">
        <f t="shared" si="55"/>
        <v>43593816.700000003</v>
      </c>
      <c r="Y19" s="192">
        <f t="shared" si="55"/>
        <v>138364574.63999999</v>
      </c>
      <c r="Z19" s="192">
        <f t="shared" si="55"/>
        <v>104800262.58000001</v>
      </c>
      <c r="AA19" s="192">
        <f t="shared" si="55"/>
        <v>85904297.560000002</v>
      </c>
      <c r="AB19" s="192">
        <f t="shared" si="55"/>
        <v>23654797.629999999</v>
      </c>
      <c r="AC19" s="192">
        <f t="shared" si="55"/>
        <v>156961266.22</v>
      </c>
      <c r="AD19" s="192">
        <f t="shared" si="55"/>
        <v>131830152.44</v>
      </c>
      <c r="AE19" s="192">
        <f t="shared" si="55"/>
        <v>111944237.44</v>
      </c>
      <c r="AF19" s="192">
        <f t="shared" si="55"/>
        <v>20060205.550000001</v>
      </c>
      <c r="AG19" s="192">
        <f t="shared" si="55"/>
        <v>94112195.900000006</v>
      </c>
      <c r="AH19" s="192">
        <f t="shared" si="55"/>
        <v>63846330.609999999</v>
      </c>
      <c r="AI19" s="192">
        <f t="shared" si="55"/>
        <v>42055816.219999999</v>
      </c>
      <c r="AJ19" s="192">
        <f t="shared" si="55"/>
        <v>24386479.079999998</v>
      </c>
      <c r="AK19" s="192">
        <f t="shared" si="55"/>
        <v>78538707.829999998</v>
      </c>
      <c r="AL19" s="192">
        <f t="shared" si="55"/>
        <v>53617656.060000002</v>
      </c>
      <c r="AM19" s="192">
        <f t="shared" si="55"/>
        <v>33687883.759999998</v>
      </c>
      <c r="AN19" s="192">
        <f t="shared" si="55"/>
        <v>20946368.149999999</v>
      </c>
      <c r="AO19" s="192">
        <f t="shared" si="55"/>
        <v>88671840.450000003</v>
      </c>
      <c r="AP19" s="192">
        <f t="shared" si="55"/>
        <v>44983253.950000003</v>
      </c>
      <c r="AQ19" s="192">
        <f t="shared" si="55"/>
        <v>28981958.059999999</v>
      </c>
      <c r="AR19" s="192">
        <f t="shared" si="55"/>
        <v>14901341.609999999</v>
      </c>
      <c r="AS19" s="192">
        <f t="shared" si="55"/>
        <v>9237519.9299999997</v>
      </c>
    </row>
    <row r="20" spans="1:74" s="192" customFormat="1" x14ac:dyDescent="0.25">
      <c r="A20" s="192" t="s">
        <v>300</v>
      </c>
      <c r="B20" s="189">
        <v>717437484.28999996</v>
      </c>
      <c r="C20" s="189">
        <v>504628792.54000002</v>
      </c>
      <c r="D20" s="189">
        <v>271745917.25999999</v>
      </c>
      <c r="E20" s="189">
        <v>861766418.96000004</v>
      </c>
      <c r="F20" s="189">
        <v>588133661.70000005</v>
      </c>
      <c r="G20" s="189">
        <v>497882274.82999998</v>
      </c>
      <c r="H20" s="189">
        <v>176582529.22999999</v>
      </c>
      <c r="I20" s="189">
        <v>53997559.140000001</v>
      </c>
      <c r="J20" s="189">
        <v>86203803.739999995</v>
      </c>
      <c r="K20" s="189">
        <v>-33919603.159999996</v>
      </c>
      <c r="L20" s="189">
        <v>97918240.829999998</v>
      </c>
      <c r="M20" s="189">
        <v>502584607.93000001</v>
      </c>
      <c r="N20" s="189">
        <v>394937757.07999998</v>
      </c>
      <c r="O20" s="189">
        <v>309903409.43000001</v>
      </c>
      <c r="P20" s="189">
        <v>108285893.14</v>
      </c>
      <c r="Q20" s="189">
        <v>1129569111.8599999</v>
      </c>
      <c r="R20" s="189">
        <v>899948047.77999997</v>
      </c>
      <c r="S20" s="189">
        <v>540510695.59000003</v>
      </c>
      <c r="T20" s="189">
        <v>373923159.75999999</v>
      </c>
      <c r="U20" s="189">
        <v>1028774337.48</v>
      </c>
      <c r="V20" s="189">
        <v>848381480.11000001</v>
      </c>
      <c r="W20" s="189">
        <v>584247462.16999996</v>
      </c>
      <c r="X20" s="189">
        <v>268908285.19</v>
      </c>
      <c r="Y20" s="189">
        <v>832913797.85000002</v>
      </c>
      <c r="Z20" s="189">
        <v>782893425.53999996</v>
      </c>
      <c r="AA20" s="189">
        <v>377148563.23000002</v>
      </c>
      <c r="AB20" s="189">
        <v>204922008.21000001</v>
      </c>
      <c r="AC20" s="189">
        <v>347097348</v>
      </c>
      <c r="AD20" s="189">
        <v>400574830.11000001</v>
      </c>
      <c r="AE20" s="189">
        <v>236187202.5</v>
      </c>
      <c r="AF20" s="189">
        <v>71308878.760000005</v>
      </c>
      <c r="AG20" s="189">
        <v>328641354.18000001</v>
      </c>
      <c r="AH20" s="189">
        <v>330864970.85000002</v>
      </c>
      <c r="AI20" s="189">
        <v>194197375.22</v>
      </c>
      <c r="AJ20" s="189">
        <v>77523146.480000004</v>
      </c>
      <c r="AK20" s="189">
        <v>451849963.27999997</v>
      </c>
      <c r="AL20" s="189">
        <v>421980275.66000003</v>
      </c>
      <c r="AM20" s="189">
        <v>178140362.90000001</v>
      </c>
      <c r="AN20" s="189">
        <v>70093632.25</v>
      </c>
      <c r="AO20" s="189">
        <v>329581687.44</v>
      </c>
      <c r="AP20" s="189">
        <v>322366185.20999998</v>
      </c>
      <c r="AQ20" s="189">
        <v>254620725.84999999</v>
      </c>
      <c r="AR20" s="189">
        <v>95627692.640000001</v>
      </c>
      <c r="AS20" s="189">
        <v>221899544.44999999</v>
      </c>
      <c r="AT20" s="189">
        <v>324367065.24000001</v>
      </c>
      <c r="AU20" s="189">
        <v>140661766.03</v>
      </c>
      <c r="AV20" s="189">
        <v>-993223.69</v>
      </c>
      <c r="AW20" s="189">
        <v>411693385.85000002</v>
      </c>
      <c r="AX20" s="189">
        <v>388985549.25</v>
      </c>
      <c r="AY20" s="189">
        <v>230534744.66999999</v>
      </c>
      <c r="AZ20" s="189">
        <v>60838238.009999998</v>
      </c>
      <c r="BA20" s="189">
        <v>2695467.28</v>
      </c>
      <c r="BB20" s="189">
        <v>-32057434.77</v>
      </c>
      <c r="BC20" s="189">
        <v>-34840071.5</v>
      </c>
      <c r="BD20" s="189">
        <v>-41681884.869999997</v>
      </c>
      <c r="BE20" s="189">
        <v>71692252.159999996</v>
      </c>
      <c r="BF20" s="189">
        <v>18091836.93</v>
      </c>
      <c r="BG20" s="189">
        <v>7064086.29</v>
      </c>
      <c r="BH20" s="189">
        <v>-8955488.2400000002</v>
      </c>
      <c r="BI20" s="189">
        <v>109281603.94</v>
      </c>
      <c r="BJ20" s="189">
        <v>130439657.06999999</v>
      </c>
      <c r="BK20" s="189">
        <v>47836304.630000003</v>
      </c>
      <c r="BL20" s="189">
        <v>-96295957.400000006</v>
      </c>
      <c r="BM20" s="189">
        <v>19807343.329999998</v>
      </c>
      <c r="BN20" s="189">
        <v>108584912.95999999</v>
      </c>
      <c r="BO20" s="189">
        <v>66722898.859999999</v>
      </c>
      <c r="BP20" s="189">
        <v>112348236.56999999</v>
      </c>
      <c r="BQ20" s="189">
        <v>150035803.47999999</v>
      </c>
      <c r="BR20" s="189">
        <v>99444443.469999999</v>
      </c>
      <c r="BS20" s="189">
        <v>0</v>
      </c>
      <c r="BT20" s="189">
        <v>436278873.26999998</v>
      </c>
      <c r="BU20" s="189">
        <v>359005459.04000002</v>
      </c>
      <c r="BV20" s="189">
        <v>0</v>
      </c>
    </row>
    <row r="21" spans="1:74" s="220" customFormat="1" x14ac:dyDescent="0.25">
      <c r="A21" s="220" t="s">
        <v>665</v>
      </c>
      <c r="E21" s="220">
        <f>E20/E19</f>
        <v>1.539609960830906</v>
      </c>
      <c r="F21" s="220">
        <f t="shared" ref="F21:AS21" si="56">F20/F19</f>
        <v>1.4668941618376781</v>
      </c>
      <c r="G21" s="220">
        <f t="shared" si="56"/>
        <v>1.770050516095462</v>
      </c>
      <c r="H21" s="220">
        <f t="shared" si="56"/>
        <v>0.90706574630206127</v>
      </c>
      <c r="I21" s="220">
        <f t="shared" si="56"/>
        <v>0.39840603757705145</v>
      </c>
      <c r="J21" s="220">
        <f t="shared" si="56"/>
        <v>1.2286347425181359</v>
      </c>
      <c r="K21" s="220">
        <f t="shared" si="56"/>
        <v>0.30176754589713611</v>
      </c>
      <c r="L21" s="220">
        <f t="shared" si="56"/>
        <v>1.1860203962743967</v>
      </c>
      <c r="M21" s="220">
        <f t="shared" si="56"/>
        <v>-0.34983474211498283</v>
      </c>
      <c r="N21" s="220">
        <f t="shared" si="56"/>
        <v>0.94512456884605589</v>
      </c>
      <c r="O21" s="220">
        <f t="shared" si="56"/>
        <v>1.1964319496543183</v>
      </c>
      <c r="P21" s="220">
        <f t="shared" si="56"/>
        <v>3.502017420937809</v>
      </c>
      <c r="Q21" s="220">
        <f t="shared" si="56"/>
        <v>12.551188792753072</v>
      </c>
      <c r="R21" s="220">
        <f t="shared" si="56"/>
        <v>13.191086046523912</v>
      </c>
      <c r="S21" s="220">
        <f t="shared" si="56"/>
        <v>10.554734921268672</v>
      </c>
      <c r="T21" s="220">
        <f t="shared" si="56"/>
        <v>11.669694297473461</v>
      </c>
      <c r="U21" s="220">
        <f t="shared" si="56"/>
        <v>6.5580823083146838</v>
      </c>
      <c r="V21" s="220">
        <f t="shared" si="56"/>
        <v>6.999366700075706</v>
      </c>
      <c r="W21" s="220">
        <f t="shared" si="56"/>
        <v>6.8709514924890343</v>
      </c>
      <c r="X21" s="220">
        <f t="shared" si="56"/>
        <v>6.1684960287039967</v>
      </c>
      <c r="Y21" s="220">
        <f t="shared" si="56"/>
        <v>6.0197041042990493</v>
      </c>
      <c r="Z21" s="220">
        <f t="shared" si="56"/>
        <v>7.4703383967418286</v>
      </c>
      <c r="AA21" s="220">
        <f t="shared" si="56"/>
        <v>4.3903340571125673</v>
      </c>
      <c r="AB21" s="220">
        <f t="shared" si="56"/>
        <v>8.6630209826910285</v>
      </c>
      <c r="AC21" s="220">
        <f t="shared" si="56"/>
        <v>2.2113567019362694</v>
      </c>
      <c r="AD21" s="220">
        <f t="shared" si="56"/>
        <v>3.0385676015380021</v>
      </c>
      <c r="AE21" s="220">
        <f t="shared" si="56"/>
        <v>2.1098647675061604</v>
      </c>
      <c r="AF21" s="220">
        <f t="shared" si="56"/>
        <v>3.5547431746032134</v>
      </c>
      <c r="AG21" s="220">
        <f t="shared" si="56"/>
        <v>3.492016640746558</v>
      </c>
      <c r="AH21" s="220">
        <f t="shared" si="56"/>
        <v>5.1822080875886378</v>
      </c>
      <c r="AI21" s="220">
        <f t="shared" si="56"/>
        <v>4.6176104204975053</v>
      </c>
      <c r="AJ21" s="220">
        <f t="shared" si="56"/>
        <v>3.1789396995640424</v>
      </c>
      <c r="AK21" s="220">
        <f t="shared" si="56"/>
        <v>5.7532136161196625</v>
      </c>
      <c r="AL21" s="220">
        <f t="shared" si="56"/>
        <v>7.8701738693647778</v>
      </c>
      <c r="AM21" s="220">
        <f t="shared" si="56"/>
        <v>5.287965375596511</v>
      </c>
      <c r="AN21" s="220">
        <f t="shared" si="56"/>
        <v>3.3463382171099672</v>
      </c>
      <c r="AO21" s="220">
        <f t="shared" si="56"/>
        <v>3.7168698176039716</v>
      </c>
      <c r="AP21" s="220">
        <f t="shared" si="56"/>
        <v>7.1663598540096265</v>
      </c>
      <c r="AQ21" s="220">
        <f t="shared" si="56"/>
        <v>8.7854907982017831</v>
      </c>
      <c r="AR21" s="220">
        <f t="shared" si="56"/>
        <v>6.4173881213370834</v>
      </c>
      <c r="AS21" s="220">
        <f t="shared" si="56"/>
        <v>24.021549737538699</v>
      </c>
    </row>
    <row r="22" spans="1:74" s="192" customFormat="1" x14ac:dyDescent="0.25">
      <c r="A22" s="192" t="s">
        <v>301</v>
      </c>
      <c r="E22" s="192">
        <f>I35</f>
        <v>2773087308.23</v>
      </c>
      <c r="F22" s="192">
        <f t="shared" ref="F22:Y22" si="57">J35</f>
        <v>3319654242.46</v>
      </c>
      <c r="G22" s="192">
        <f t="shared" si="57"/>
        <v>4058558171.04</v>
      </c>
      <c r="H22" s="192">
        <f t="shared" si="57"/>
        <v>3942601282.4499998</v>
      </c>
      <c r="I22" s="192">
        <f t="shared" si="57"/>
        <v>3596640930.6700001</v>
      </c>
      <c r="J22" s="192">
        <f t="shared" si="57"/>
        <v>2496619003.8299999</v>
      </c>
      <c r="K22" s="192">
        <f t="shared" si="57"/>
        <v>2311467821.3099999</v>
      </c>
      <c r="L22" s="192">
        <f t="shared" si="57"/>
        <v>3065908760.3600001</v>
      </c>
      <c r="M22" s="192">
        <f t="shared" si="57"/>
        <v>2698060561.48</v>
      </c>
      <c r="N22" s="192">
        <f t="shared" si="57"/>
        <v>2503136168.48</v>
      </c>
      <c r="O22" s="192">
        <f t="shared" si="57"/>
        <v>2257336804.0700002</v>
      </c>
      <c r="P22" s="192">
        <f t="shared" si="57"/>
        <v>2303376783.6500001</v>
      </c>
      <c r="Q22" s="192">
        <f t="shared" si="57"/>
        <v>1782645395.4399998</v>
      </c>
      <c r="R22" s="192">
        <f t="shared" si="57"/>
        <v>2268191684.0299997</v>
      </c>
      <c r="S22" s="192">
        <f t="shared" si="57"/>
        <v>2040814494.2300003</v>
      </c>
      <c r="T22" s="192">
        <f t="shared" si="57"/>
        <v>2052636261.3399999</v>
      </c>
      <c r="U22" s="192">
        <f t="shared" si="57"/>
        <v>1820084487.8700001</v>
      </c>
      <c r="V22" s="192">
        <f t="shared" si="57"/>
        <v>1805186196.54</v>
      </c>
      <c r="W22" s="192">
        <f t="shared" si="57"/>
        <v>1576784250.97</v>
      </c>
      <c r="X22" s="192">
        <f t="shared" si="57"/>
        <v>1054018437.67</v>
      </c>
      <c r="Y22" s="192">
        <f t="shared" si="57"/>
        <v>873194762.71000004</v>
      </c>
      <c r="Z22" s="192">
        <f t="shared" ref="Z22" si="58">AD35</f>
        <v>954680185.75</v>
      </c>
      <c r="AA22" s="192">
        <f t="shared" ref="AA22" si="59">AE35</f>
        <v>809544856.52999997</v>
      </c>
      <c r="AB22" s="192">
        <f t="shared" ref="AB22" si="60">AF35</f>
        <v>829614901.82000005</v>
      </c>
      <c r="AC22" s="192">
        <f t="shared" ref="AC22" si="61">AG35</f>
        <v>773877255.04999995</v>
      </c>
      <c r="AD22" s="192">
        <f t="shared" ref="AD22" si="62">AH35</f>
        <v>809143541.53999996</v>
      </c>
      <c r="AE22" s="192">
        <f t="shared" ref="AE22" si="63">AI35</f>
        <v>678805129.55999994</v>
      </c>
      <c r="AF22" s="192">
        <f t="shared" ref="AF22" si="64">AJ35</f>
        <v>695429835.62</v>
      </c>
      <c r="AG22" s="192">
        <f t="shared" ref="AG22" si="65">AK35</f>
        <v>706934735.46000004</v>
      </c>
      <c r="AH22" s="192">
        <f t="shared" ref="AH22" si="66">AL35</f>
        <v>701134777.55000007</v>
      </c>
      <c r="AI22" s="192">
        <f t="shared" ref="AI22" si="67">AM35</f>
        <v>501812457.24000001</v>
      </c>
      <c r="AJ22" s="192">
        <f t="shared" ref="AJ22" si="68">AN35</f>
        <v>534705686.70999998</v>
      </c>
      <c r="AK22" s="192">
        <f t="shared" ref="AK22" si="69">AO35</f>
        <v>483998298.75</v>
      </c>
      <c r="AL22" s="192">
        <f t="shared" ref="AL22" si="70">AP35</f>
        <v>471939004.80000001</v>
      </c>
      <c r="AM22" s="192">
        <f t="shared" ref="AM22" si="71">AQ35</f>
        <v>504966248.72000003</v>
      </c>
      <c r="AN22" s="192">
        <f t="shared" ref="AN22" si="72">AR35</f>
        <v>415035458.31</v>
      </c>
      <c r="AO22" s="192">
        <f t="shared" ref="AO22" si="73">AS35</f>
        <v>338228983.93000001</v>
      </c>
      <c r="AP22" s="192">
        <f t="shared" ref="AP22" si="74">AT35</f>
        <v>466475913.38</v>
      </c>
      <c r="AQ22" s="192">
        <f t="shared" ref="AQ22" si="75">AU35</f>
        <v>350319294.61000001</v>
      </c>
      <c r="AR22" s="192">
        <f t="shared" ref="AR22" si="76">AV35</f>
        <v>262408866.76999998</v>
      </c>
      <c r="AS22" s="192">
        <f t="shared" ref="AS22" si="77">AW35</f>
        <v>231916393.77000001</v>
      </c>
    </row>
    <row r="23" spans="1:74" s="192" customFormat="1" x14ac:dyDescent="0.25">
      <c r="A23" s="192" t="s">
        <v>302</v>
      </c>
      <c r="E23" s="192">
        <f>E20+E22-E19</f>
        <v>3075123379.3200002</v>
      </c>
      <c r="F23" s="192">
        <f t="shared" ref="F23:AS23" si="78">F20+F22-F19</f>
        <v>3506849869.9099998</v>
      </c>
      <c r="G23" s="192">
        <f t="shared" si="78"/>
        <v>4275159052.8800001</v>
      </c>
      <c r="H23" s="192">
        <f t="shared" si="78"/>
        <v>3924509357.3199997</v>
      </c>
      <c r="I23" s="192">
        <f t="shared" si="78"/>
        <v>3515104501.75</v>
      </c>
      <c r="J23" s="192">
        <f t="shared" si="78"/>
        <v>2512660536.5899997</v>
      </c>
      <c r="K23" s="192">
        <f t="shared" si="78"/>
        <v>2389951303.3099999</v>
      </c>
      <c r="L23" s="192">
        <f t="shared" si="78"/>
        <v>3081266666.5300002</v>
      </c>
      <c r="M23" s="192">
        <f t="shared" si="78"/>
        <v>4637279521.0799999</v>
      </c>
      <c r="N23" s="192">
        <f t="shared" si="78"/>
        <v>2480205456.0500002</v>
      </c>
      <c r="O23" s="192">
        <f t="shared" si="78"/>
        <v>2308217199.6799998</v>
      </c>
      <c r="P23" s="192">
        <f t="shared" si="78"/>
        <v>2380741673.23</v>
      </c>
      <c r="Q23" s="192">
        <f t="shared" si="78"/>
        <v>2822217525.2999997</v>
      </c>
      <c r="R23" s="192">
        <f t="shared" si="78"/>
        <v>3099915777.7999992</v>
      </c>
      <c r="S23" s="192">
        <f t="shared" si="78"/>
        <v>2530114932.0900002</v>
      </c>
      <c r="T23" s="192">
        <f t="shared" si="78"/>
        <v>2394517179.8699999</v>
      </c>
      <c r="U23" s="192">
        <f t="shared" si="78"/>
        <v>2691987610.7000003</v>
      </c>
      <c r="V23" s="192">
        <f t="shared" si="78"/>
        <v>2532359356.46</v>
      </c>
      <c r="W23" s="192">
        <f t="shared" si="78"/>
        <v>2076000191.2599998</v>
      </c>
      <c r="X23" s="192">
        <f t="shared" si="78"/>
        <v>1279332906.1599998</v>
      </c>
      <c r="Y23" s="192">
        <f t="shared" si="78"/>
        <v>1567743985.9200001</v>
      </c>
      <c r="Z23" s="192">
        <f t="shared" si="78"/>
        <v>1632773348.71</v>
      </c>
      <c r="AA23" s="192">
        <f t="shared" si="78"/>
        <v>1100789122.2</v>
      </c>
      <c r="AB23" s="192">
        <f t="shared" si="78"/>
        <v>1010882112.4000001</v>
      </c>
      <c r="AC23" s="192">
        <f t="shared" si="78"/>
        <v>964013336.82999992</v>
      </c>
      <c r="AD23" s="192">
        <f t="shared" si="78"/>
        <v>1077888219.21</v>
      </c>
      <c r="AE23" s="192">
        <f t="shared" si="78"/>
        <v>803048094.61999989</v>
      </c>
      <c r="AF23" s="192">
        <f t="shared" si="78"/>
        <v>746678508.83000004</v>
      </c>
      <c r="AG23" s="192">
        <f t="shared" si="78"/>
        <v>941463893.74000013</v>
      </c>
      <c r="AH23" s="192">
        <f t="shared" si="78"/>
        <v>968153417.79000008</v>
      </c>
      <c r="AI23" s="192">
        <f t="shared" si="78"/>
        <v>653954016.24000001</v>
      </c>
      <c r="AJ23" s="192">
        <f t="shared" si="78"/>
        <v>587842354.1099999</v>
      </c>
      <c r="AK23" s="192">
        <f t="shared" si="78"/>
        <v>857309554.19999993</v>
      </c>
      <c r="AL23" s="192">
        <f t="shared" si="78"/>
        <v>840301624.4000001</v>
      </c>
      <c r="AM23" s="192">
        <f t="shared" si="78"/>
        <v>649418727.86000001</v>
      </c>
      <c r="AN23" s="192">
        <f t="shared" si="78"/>
        <v>464182722.41000003</v>
      </c>
      <c r="AO23" s="192">
        <f t="shared" si="78"/>
        <v>579138830.91999996</v>
      </c>
      <c r="AP23" s="192">
        <f t="shared" si="78"/>
        <v>743858844.63999987</v>
      </c>
      <c r="AQ23" s="192">
        <f t="shared" si="78"/>
        <v>575958062.4000001</v>
      </c>
      <c r="AR23" s="192">
        <f t="shared" si="78"/>
        <v>343135217.79999995</v>
      </c>
      <c r="AS23" s="192">
        <f t="shared" si="78"/>
        <v>444578418.29000002</v>
      </c>
    </row>
    <row r="24" spans="1:74" s="220" customFormat="1" x14ac:dyDescent="0.25">
      <c r="A24" s="220" t="s">
        <v>303</v>
      </c>
      <c r="B24" s="189">
        <v>-197836913.22</v>
      </c>
      <c r="C24" s="189">
        <v>-62974365.229999997</v>
      </c>
      <c r="D24" s="189">
        <v>-49480542.439999998</v>
      </c>
      <c r="E24" s="189">
        <v>-2102637513.2</v>
      </c>
      <c r="F24" s="189">
        <v>-67624389.959999993</v>
      </c>
      <c r="G24" s="189">
        <v>-67328101.810000002</v>
      </c>
      <c r="H24" s="189">
        <v>-397792.5</v>
      </c>
      <c r="I24" s="189">
        <v>-676059467.37</v>
      </c>
      <c r="J24" s="189">
        <v>-664362231.38999999</v>
      </c>
      <c r="K24" s="189">
        <v>0</v>
      </c>
      <c r="L24" s="189">
        <v>0</v>
      </c>
      <c r="M24" s="189">
        <v>-399083491.27999997</v>
      </c>
      <c r="N24" s="189">
        <v>-396786961.27999997</v>
      </c>
      <c r="O24" s="189">
        <v>-420117452.27999997</v>
      </c>
      <c r="P24" s="189">
        <v>-302892.57</v>
      </c>
      <c r="Q24" s="189">
        <v>-373362826.51999998</v>
      </c>
      <c r="R24" s="189">
        <v>-382004004.19</v>
      </c>
      <c r="S24" s="189">
        <v>-353131824.94999999</v>
      </c>
      <c r="T24" s="189">
        <v>0</v>
      </c>
      <c r="U24" s="189">
        <v>-310793943.76999998</v>
      </c>
      <c r="V24" s="189">
        <v>-307733497.76999998</v>
      </c>
      <c r="W24" s="189">
        <v>-306590947.76999998</v>
      </c>
      <c r="X24" s="189">
        <v>-440000</v>
      </c>
      <c r="Y24" s="189">
        <v>238314773.43000001</v>
      </c>
      <c r="Z24" s="189">
        <v>241747268.46000001</v>
      </c>
      <c r="AA24" s="189">
        <v>412079590.45999998</v>
      </c>
      <c r="AB24" s="189">
        <v>-702623.85</v>
      </c>
      <c r="AC24" s="189">
        <v>-112795622.52</v>
      </c>
      <c r="AD24" s="189">
        <v>-109464695.22</v>
      </c>
      <c r="AE24" s="189">
        <v>-109257460.09999999</v>
      </c>
      <c r="AF24" s="189">
        <v>-2829305.64</v>
      </c>
      <c r="AG24" s="189">
        <v>-116419392.55</v>
      </c>
      <c r="AH24" s="189">
        <v>-113728594.92</v>
      </c>
      <c r="AI24" s="189">
        <v>-115236399.39</v>
      </c>
      <c r="AJ24" s="189">
        <v>364713.07</v>
      </c>
      <c r="AK24" s="189">
        <v>-141141143.69</v>
      </c>
      <c r="AL24" s="189">
        <v>-141693147.58000001</v>
      </c>
      <c r="AM24" s="189">
        <v>-141564085.65000001</v>
      </c>
      <c r="AN24" s="189">
        <v>-5645840.9400000004</v>
      </c>
      <c r="AO24" s="189">
        <v>-81593333.209999993</v>
      </c>
      <c r="AP24" s="189">
        <v>-111674047.84999999</v>
      </c>
      <c r="AQ24" s="189">
        <v>-47917660.5</v>
      </c>
      <c r="AR24" s="189">
        <v>-8690448.7899999991</v>
      </c>
      <c r="AS24" s="189">
        <v>-81174841.620000005</v>
      </c>
      <c r="AT24" s="189">
        <v>-42293223.079999998</v>
      </c>
      <c r="AU24" s="189">
        <v>5174937.9000000004</v>
      </c>
      <c r="AV24" s="189">
        <v>51795688.829999998</v>
      </c>
      <c r="AW24" s="189">
        <v>-471892181.13</v>
      </c>
      <c r="AX24" s="189">
        <v>-460971521.69999999</v>
      </c>
      <c r="AY24" s="189">
        <v>-312487288.87</v>
      </c>
      <c r="AZ24" s="189">
        <v>77123737.230000004</v>
      </c>
      <c r="BA24" s="189">
        <v>26947156.260000002</v>
      </c>
      <c r="BB24" s="189">
        <v>-76072684.989999995</v>
      </c>
      <c r="BC24" s="189">
        <v>-19076583.789999999</v>
      </c>
      <c r="BD24" s="189">
        <v>-31597376.640000001</v>
      </c>
      <c r="BE24" s="189">
        <v>-29585167.219999999</v>
      </c>
      <c r="BF24" s="189">
        <v>-30200446.890000001</v>
      </c>
      <c r="BG24" s="189">
        <v>12823937</v>
      </c>
      <c r="BH24" s="189">
        <v>-2084556.93</v>
      </c>
      <c r="BI24" s="189">
        <v>-43597860.740000002</v>
      </c>
      <c r="BJ24" s="189">
        <v>-46649505.020000003</v>
      </c>
      <c r="BK24" s="189">
        <v>-38626303.270000003</v>
      </c>
      <c r="BL24" s="189">
        <v>-1960314.84</v>
      </c>
      <c r="BM24" s="189">
        <v>-104689667.78</v>
      </c>
      <c r="BN24" s="189">
        <v>-5084363.83</v>
      </c>
      <c r="BO24" s="189">
        <v>634094997.38999999</v>
      </c>
      <c r="BP24" s="189">
        <v>712448773.74000001</v>
      </c>
      <c r="BQ24" s="189">
        <v>-155318951.90000001</v>
      </c>
      <c r="BR24" s="189">
        <v>-36533965.57</v>
      </c>
      <c r="BS24" s="189">
        <v>0</v>
      </c>
      <c r="BT24" s="189">
        <v>-237866348.78</v>
      </c>
      <c r="BU24" s="189">
        <v>1108113819.7</v>
      </c>
      <c r="BV24" s="189">
        <v>0</v>
      </c>
    </row>
    <row r="25" spans="1:74" s="241" customFormat="1" ht="138.6" customHeight="1" x14ac:dyDescent="0.25">
      <c r="A25" s="274" t="s">
        <v>741</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629</v>
      </c>
      <c r="E26" s="26">
        <f>现金流量表!E15</f>
        <v>6947820000</v>
      </c>
      <c r="F26" s="26">
        <f>现金流量表!F15</f>
        <v>2997220000</v>
      </c>
      <c r="G26" s="26">
        <f>现金流量表!G15</f>
        <v>1939920000</v>
      </c>
      <c r="H26" s="26">
        <f>现金流量表!H15</f>
        <v>601000000</v>
      </c>
      <c r="I26" s="26">
        <f>现金流量表!I15</f>
        <v>2752000000</v>
      </c>
      <c r="J26" s="26">
        <f>现金流量表!J15</f>
        <v>1570000000</v>
      </c>
      <c r="K26" s="26">
        <f>现金流量表!K15</f>
        <v>1290000000</v>
      </c>
      <c r="L26" s="26">
        <f>现金流量表!L15</f>
        <v>479842967</v>
      </c>
      <c r="M26" s="26">
        <f>现金流量表!M15</f>
        <v>2482046660.3000002</v>
      </c>
      <c r="N26" s="26">
        <f>现金流量表!N15</f>
        <v>1312046660.3</v>
      </c>
      <c r="O26" s="26">
        <f>现金流量表!O15</f>
        <v>631966560.29999995</v>
      </c>
      <c r="P26" s="26">
        <f>现金流量表!P15</f>
        <v>351966560.30000001</v>
      </c>
      <c r="Q26" s="26">
        <f>现金流量表!Q15</f>
        <v>799533439.70000005</v>
      </c>
      <c r="R26" s="26">
        <f>现金流量表!R15</f>
        <v>423500000</v>
      </c>
      <c r="S26" s="26">
        <f>现金流量表!S15</f>
        <v>323500000</v>
      </c>
      <c r="T26" s="26">
        <f>现金流量表!T15</f>
        <v>173500000</v>
      </c>
      <c r="U26" s="26">
        <f>现金流量表!U15</f>
        <v>282000000</v>
      </c>
      <c r="V26" s="26">
        <f>现金流量表!V15</f>
        <v>0</v>
      </c>
      <c r="W26" s="26">
        <f>现金流量表!W15</f>
        <v>0</v>
      </c>
      <c r="X26" s="26">
        <f>现金流量表!X15</f>
        <v>0</v>
      </c>
      <c r="Y26" s="26">
        <f>现金流量表!Y15</f>
        <v>246139.7</v>
      </c>
      <c r="Z26" s="26">
        <f>现金流量表!Z15</f>
        <v>246139.7</v>
      </c>
      <c r="AA26" s="26">
        <f>现金流量表!AA15</f>
        <v>246139.7</v>
      </c>
      <c r="AB26" s="26">
        <f>现金流量表!AB15</f>
        <v>246139.7</v>
      </c>
      <c r="AC26" s="26">
        <f>现金流量表!AC15</f>
        <v>100000000</v>
      </c>
      <c r="AD26" s="26">
        <f>现金流量表!AD15</f>
        <v>100000000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700000</v>
      </c>
      <c r="AM26" s="26">
        <f>现金流量表!AM15</f>
        <v>700000</v>
      </c>
      <c r="AN26" s="26">
        <f>现金流量表!AN15</f>
        <v>700000</v>
      </c>
      <c r="AO26" s="26">
        <f>现金流量表!AO15</f>
        <v>427283.62</v>
      </c>
      <c r="AP26" s="26">
        <f>现金流量表!AP15</f>
        <v>85920</v>
      </c>
      <c r="AQ26" s="26">
        <f>现金流量表!AQ15</f>
        <v>85920</v>
      </c>
      <c r="AR26" s="26">
        <f>现金流量表!AR15</f>
        <v>0</v>
      </c>
      <c r="AS26" s="26">
        <f>现金流量表!AS15</f>
        <v>28025148.039999999</v>
      </c>
      <c r="AT26" s="26">
        <f>现金流量表!AT15</f>
        <v>14444991.15</v>
      </c>
      <c r="AU26" s="26">
        <f>现金流量表!AU15</f>
        <v>14444991.15</v>
      </c>
      <c r="AV26" s="26">
        <f>现金流量表!AV15</f>
        <v>3510413.87</v>
      </c>
      <c r="AW26" s="26">
        <f>现金流量表!AW15</f>
        <v>31569662.600000001</v>
      </c>
      <c r="AX26" s="26">
        <f>现金流量表!AX15</f>
        <v>13203357.699999999</v>
      </c>
      <c r="AY26" s="26">
        <f>现金流量表!AY15</f>
        <v>11316062.92</v>
      </c>
      <c r="AZ26" s="26">
        <f>现金流量表!AZ15</f>
        <v>3710937.83</v>
      </c>
      <c r="BA26" s="26">
        <f>现金流量表!BA15</f>
        <v>19307759.82</v>
      </c>
      <c r="BB26" s="26">
        <f>现金流量表!BB15</f>
        <v>73186851.290000007</v>
      </c>
      <c r="BC26" s="26">
        <f>现金流量表!BC15</f>
        <v>71928695.010000005</v>
      </c>
      <c r="BD26" s="26">
        <f>现金流量表!BD15</f>
        <v>16916853</v>
      </c>
      <c r="BE26" s="26">
        <f>现金流量表!BE15</f>
        <v>147914536.78</v>
      </c>
      <c r="BF26" s="26">
        <f>现金流量表!BF15</f>
        <v>7780399.0199999996</v>
      </c>
      <c r="BG26" s="26">
        <f>现金流量表!BG15</f>
        <v>5788491.6900000004</v>
      </c>
      <c r="BH26" s="26">
        <f>现金流量表!BH15</f>
        <v>223781805.06999999</v>
      </c>
      <c r="BI26" s="26">
        <f>现金流量表!BI15</f>
        <v>211852191.78</v>
      </c>
      <c r="BJ26" s="26">
        <f>现金流量表!BJ15</f>
        <v>263479437.08000001</v>
      </c>
      <c r="BK26" s="26">
        <f>现金流量表!BK15</f>
        <v>175283512.36000001</v>
      </c>
      <c r="BL26" s="26">
        <f>现金流量表!BL15</f>
        <v>15954034.359999999</v>
      </c>
      <c r="BM26" s="26">
        <f>现金流量表!BM15</f>
        <v>220215762.38999999</v>
      </c>
      <c r="BN26" s="26">
        <f>现金流量表!BN15</f>
        <v>32837785.48</v>
      </c>
      <c r="BO26" s="26">
        <f>现金流量表!BO15</f>
        <v>14283377.640000001</v>
      </c>
      <c r="BP26" s="26">
        <f>现金流量表!BP15</f>
        <v>502667.97</v>
      </c>
      <c r="BQ26" s="26">
        <f>现金流量表!BQ15</f>
        <v>958426.44</v>
      </c>
      <c r="BR26" s="26">
        <f>现金流量表!BR15</f>
        <v>100000</v>
      </c>
      <c r="BS26" s="26">
        <f>现金流量表!BS15</f>
        <v>0</v>
      </c>
      <c r="BT26" s="26">
        <f>现金流量表!BT15</f>
        <v>0</v>
      </c>
      <c r="BU26" s="26">
        <f>现金流量表!BU15</f>
        <v>0</v>
      </c>
      <c r="BV26" s="26">
        <f>现金流量表!BV15</f>
        <v>0</v>
      </c>
    </row>
    <row r="27" spans="1:74" s="26" customFormat="1" x14ac:dyDescent="0.25">
      <c r="A27" s="17" t="s">
        <v>630</v>
      </c>
      <c r="E27" s="26">
        <f>现金流量表!E22</f>
        <v>6008000000</v>
      </c>
      <c r="F27" s="26">
        <f>现金流量表!F22</f>
        <v>3498000000</v>
      </c>
      <c r="G27" s="26">
        <f>现金流量表!G22</f>
        <v>1998000000</v>
      </c>
      <c r="H27" s="26">
        <f>现金流量表!H22</f>
        <v>596300000</v>
      </c>
      <c r="I27" s="26">
        <f>现金流量表!I22</f>
        <v>3330920000</v>
      </c>
      <c r="J27" s="26">
        <f>现金流量表!J22</f>
        <v>2090000000</v>
      </c>
      <c r="K27" s="26">
        <f>现金流量表!K22</f>
        <v>1751000000</v>
      </c>
      <c r="L27" s="26">
        <f>现金流量表!L22</f>
        <v>569608732.27999997</v>
      </c>
      <c r="M27" s="26">
        <f>现金流量表!M22</f>
        <v>4109912802</v>
      </c>
      <c r="N27" s="26">
        <f>现金流量表!N22</f>
        <v>2869080100</v>
      </c>
      <c r="O27" s="26">
        <f>现金流量表!O22</f>
        <v>1540000000</v>
      </c>
      <c r="P27" s="26">
        <f>现金流量表!P22</f>
        <v>300000000</v>
      </c>
      <c r="Q27" s="26">
        <f>现金流量表!Q22</f>
        <v>640000000</v>
      </c>
      <c r="R27" s="26">
        <f>现金流量表!R22</f>
        <v>264734805.74000001</v>
      </c>
      <c r="S27" s="26">
        <f>现金流量表!S22</f>
        <v>3383088.13</v>
      </c>
      <c r="T27" s="26">
        <f>现金流量表!T22</f>
        <v>0</v>
      </c>
      <c r="U27" s="26">
        <f>现金流量表!U22</f>
        <v>473690793.13999999</v>
      </c>
      <c r="V27" s="26">
        <f>现金流量表!V22</f>
        <v>173690793.13999999</v>
      </c>
      <c r="W27" s="26">
        <f>现金流量表!W22</f>
        <v>171040793.13999999</v>
      </c>
      <c r="X27" s="26">
        <f>现金流量表!X22</f>
        <v>22428200</v>
      </c>
      <c r="Y27" s="26">
        <f>现金流量表!Y22</f>
        <v>494333507.69999999</v>
      </c>
      <c r="Z27" s="26">
        <f>现金流量表!Z22</f>
        <v>104000000</v>
      </c>
      <c r="AA27" s="26">
        <f>现金流量表!AA22</f>
        <v>0</v>
      </c>
      <c r="AB27" s="26">
        <f>现金流量表!AB22</f>
        <v>0</v>
      </c>
      <c r="AC27" s="26">
        <f>现金流量表!AC22</f>
        <v>100000000</v>
      </c>
      <c r="AD27" s="26">
        <f>现金流量表!AD22</f>
        <v>100000000</v>
      </c>
      <c r="AE27" s="26">
        <f>现金流量表!AE22</f>
        <v>0</v>
      </c>
      <c r="AF27" s="26">
        <f>现金流量表!AF22</f>
        <v>0</v>
      </c>
      <c r="AG27" s="26">
        <f>现金流量表!AG22</f>
        <v>65000000</v>
      </c>
      <c r="AH27" s="26">
        <f>现金流量表!AH22</f>
        <v>65000000</v>
      </c>
      <c r="AI27" s="26">
        <f>现金流量表!AI22</f>
        <v>65000000</v>
      </c>
      <c r="AJ27" s="26">
        <f>现金流量表!AJ22</f>
        <v>65000000</v>
      </c>
      <c r="AK27" s="26">
        <f>现金流量表!AK22</f>
        <v>24667130</v>
      </c>
      <c r="AL27" s="26">
        <f>现金流量表!AL22</f>
        <v>24667130</v>
      </c>
      <c r="AM27" s="26">
        <f>现金流量表!AM22</f>
        <v>0</v>
      </c>
      <c r="AN27" s="26">
        <f>现金流量表!AN22</f>
        <v>0</v>
      </c>
      <c r="AO27" s="26">
        <f>现金流量表!AO22</f>
        <v>7932894</v>
      </c>
      <c r="AP27" s="26">
        <f>现金流量表!AP22</f>
        <v>27624144</v>
      </c>
      <c r="AQ27" s="26">
        <f>现金流量表!AQ22</f>
        <v>19841250</v>
      </c>
      <c r="AR27" s="26">
        <f>现金流量表!AR22</f>
        <v>0</v>
      </c>
      <c r="AS27" s="26">
        <f>现金流量表!AS22</f>
        <v>1196520</v>
      </c>
      <c r="AT27" s="26">
        <f>现金流量表!AT22</f>
        <v>13709192</v>
      </c>
      <c r="AU27" s="26">
        <f>现金流量表!AU22</f>
        <v>5085320</v>
      </c>
      <c r="AV27" s="26">
        <f>现金流量表!AV22</f>
        <v>5085320</v>
      </c>
      <c r="AW27" s="26">
        <f>现金流量表!AW22</f>
        <v>25131524</v>
      </c>
      <c r="AX27" s="26">
        <f>现金流量表!AX22</f>
        <v>31622434</v>
      </c>
      <c r="AY27" s="26">
        <f>现金流量表!AY22</f>
        <v>27143834</v>
      </c>
      <c r="AZ27" s="26">
        <f>现金流量表!AZ22</f>
        <v>10000000</v>
      </c>
      <c r="BA27" s="26">
        <f>现金流量表!BA22</f>
        <v>23733780</v>
      </c>
      <c r="BB27" s="26">
        <f>现金流量表!BB22</f>
        <v>81437730</v>
      </c>
      <c r="BC27" s="26">
        <f>现金流量表!BC22</f>
        <v>81437730</v>
      </c>
      <c r="BD27" s="26">
        <f>现金流量表!BD22</f>
        <v>51435210</v>
      </c>
      <c r="BE27" s="26">
        <f>现金流量表!BE22</f>
        <v>187906890</v>
      </c>
      <c r="BF27" s="26">
        <f>现金流量表!BF22</f>
        <v>36442677.119999997</v>
      </c>
      <c r="BG27" s="26">
        <f>现金流量表!BG22</f>
        <v>9886511.6400000006</v>
      </c>
      <c r="BH27" s="26">
        <f>现金流量表!BH22</f>
        <v>242614839.44999999</v>
      </c>
      <c r="BI27" s="26">
        <f>现金流量表!BI22</f>
        <v>284216143.33999997</v>
      </c>
      <c r="BJ27" s="26">
        <f>现金流量表!BJ22</f>
        <v>332624619.86000001</v>
      </c>
      <c r="BK27" s="26">
        <f>现金流量表!BK22</f>
        <v>257326812.36000001</v>
      </c>
      <c r="BL27" s="26">
        <f>现金流量表!BL22</f>
        <v>16947334.359999999</v>
      </c>
      <c r="BM27" s="26">
        <f>现金流量表!BM22</f>
        <v>201072995.69</v>
      </c>
      <c r="BN27" s="26">
        <f>现金流量表!BN22</f>
        <v>101623166.33</v>
      </c>
      <c r="BO27" s="26">
        <f>现金流量表!BO22</f>
        <v>127107978.09</v>
      </c>
      <c r="BP27" s="26">
        <f>现金流量表!BP22</f>
        <v>8000000</v>
      </c>
      <c r="BQ27" s="26">
        <f>现金流量表!BQ22</f>
        <v>1001000</v>
      </c>
      <c r="BR27" s="26">
        <f>现金流量表!BR22</f>
        <v>11402000</v>
      </c>
      <c r="BS27" s="26">
        <f>现金流量表!BS22</f>
        <v>0</v>
      </c>
      <c r="BT27" s="26">
        <f>现金流量表!BT22</f>
        <v>0</v>
      </c>
      <c r="BU27" s="26">
        <f>现金流量表!BU22</f>
        <v>0</v>
      </c>
      <c r="BV27" s="26">
        <f>现金流量表!BV22</f>
        <v>0</v>
      </c>
    </row>
    <row r="28" spans="1:74" s="26" customFormat="1" x14ac:dyDescent="0.25">
      <c r="A28" s="17" t="s">
        <v>631</v>
      </c>
      <c r="E28" s="26">
        <f>E27-E26</f>
        <v>-939820000</v>
      </c>
      <c r="F28" s="26">
        <f t="shared" ref="F28:BQ28" si="79">F27-F26</f>
        <v>500780000</v>
      </c>
      <c r="G28" s="26">
        <f t="shared" si="79"/>
        <v>58080000</v>
      </c>
      <c r="H28" s="26">
        <f t="shared" si="79"/>
        <v>-4700000</v>
      </c>
      <c r="I28" s="26">
        <f t="shared" si="79"/>
        <v>578920000</v>
      </c>
      <c r="J28" s="26">
        <f t="shared" si="79"/>
        <v>520000000</v>
      </c>
      <c r="K28" s="26">
        <f t="shared" si="79"/>
        <v>461000000</v>
      </c>
      <c r="L28" s="26">
        <f t="shared" si="79"/>
        <v>89765765.279999971</v>
      </c>
      <c r="M28" s="26">
        <f t="shared" si="79"/>
        <v>1627866141.6999998</v>
      </c>
      <c r="N28" s="26">
        <f t="shared" si="79"/>
        <v>1557033439.7</v>
      </c>
      <c r="O28" s="26">
        <f t="shared" si="79"/>
        <v>908033439.70000005</v>
      </c>
      <c r="P28" s="26">
        <f t="shared" si="79"/>
        <v>-51966560.300000012</v>
      </c>
      <c r="Q28" s="26">
        <f t="shared" si="79"/>
        <v>-159533439.70000005</v>
      </c>
      <c r="R28" s="26">
        <f t="shared" si="79"/>
        <v>-158765194.25999999</v>
      </c>
      <c r="S28" s="26">
        <f t="shared" si="79"/>
        <v>-320116911.87</v>
      </c>
      <c r="T28" s="26">
        <f t="shared" si="79"/>
        <v>-173500000</v>
      </c>
      <c r="U28" s="26">
        <f t="shared" si="79"/>
        <v>191690793.13999999</v>
      </c>
      <c r="V28" s="26">
        <f t="shared" si="79"/>
        <v>173690793.13999999</v>
      </c>
      <c r="W28" s="26">
        <f t="shared" si="79"/>
        <v>171040793.13999999</v>
      </c>
      <c r="X28" s="26">
        <f t="shared" si="79"/>
        <v>22428200</v>
      </c>
      <c r="Y28" s="26">
        <f t="shared" si="79"/>
        <v>494087368</v>
      </c>
      <c r="Z28" s="26">
        <f t="shared" si="79"/>
        <v>103753860.3</v>
      </c>
      <c r="AA28" s="26">
        <f t="shared" si="79"/>
        <v>-246139.7</v>
      </c>
      <c r="AB28" s="26">
        <f t="shared" si="79"/>
        <v>-246139.7</v>
      </c>
      <c r="AC28" s="26">
        <f t="shared" si="79"/>
        <v>0</v>
      </c>
      <c r="AD28" s="26">
        <f t="shared" si="79"/>
        <v>0</v>
      </c>
      <c r="AE28" s="26">
        <f t="shared" si="79"/>
        <v>0</v>
      </c>
      <c r="AF28" s="26">
        <f t="shared" si="79"/>
        <v>0</v>
      </c>
      <c r="AG28" s="26">
        <f t="shared" si="79"/>
        <v>65000000</v>
      </c>
      <c r="AH28" s="26">
        <f t="shared" si="79"/>
        <v>65000000</v>
      </c>
      <c r="AI28" s="26">
        <f t="shared" si="79"/>
        <v>65000000</v>
      </c>
      <c r="AJ28" s="26">
        <f t="shared" si="79"/>
        <v>65000000</v>
      </c>
      <c r="AK28" s="26">
        <f t="shared" si="79"/>
        <v>24667130</v>
      </c>
      <c r="AL28" s="26">
        <f t="shared" si="79"/>
        <v>23967130</v>
      </c>
      <c r="AM28" s="26">
        <f t="shared" si="79"/>
        <v>-700000</v>
      </c>
      <c r="AN28" s="26">
        <f t="shared" si="79"/>
        <v>-700000</v>
      </c>
      <c r="AO28" s="26">
        <f t="shared" si="79"/>
        <v>7505610.3799999999</v>
      </c>
      <c r="AP28" s="26">
        <f t="shared" si="79"/>
        <v>27538224</v>
      </c>
      <c r="AQ28" s="26">
        <f t="shared" si="79"/>
        <v>19755330</v>
      </c>
      <c r="AR28" s="26">
        <f t="shared" si="79"/>
        <v>0</v>
      </c>
      <c r="AS28" s="26">
        <f t="shared" si="79"/>
        <v>-26828628.039999999</v>
      </c>
      <c r="AT28" s="26">
        <f t="shared" si="79"/>
        <v>-735799.15000000037</v>
      </c>
      <c r="AU28" s="26">
        <f t="shared" si="79"/>
        <v>-9359671.1500000004</v>
      </c>
      <c r="AV28" s="26">
        <f t="shared" si="79"/>
        <v>1574906.13</v>
      </c>
      <c r="AW28" s="26">
        <f t="shared" si="79"/>
        <v>-6438138.6000000015</v>
      </c>
      <c r="AX28" s="26">
        <f t="shared" si="79"/>
        <v>18419076.300000001</v>
      </c>
      <c r="AY28" s="26">
        <f t="shared" si="79"/>
        <v>15827771.08</v>
      </c>
      <c r="AZ28" s="26">
        <f t="shared" si="79"/>
        <v>6289062.1699999999</v>
      </c>
      <c r="BA28" s="26">
        <f t="shared" si="79"/>
        <v>4426020.18</v>
      </c>
      <c r="BB28" s="26">
        <f t="shared" si="79"/>
        <v>8250878.7099999934</v>
      </c>
      <c r="BC28" s="26">
        <f t="shared" si="79"/>
        <v>9509034.9899999946</v>
      </c>
      <c r="BD28" s="26">
        <f t="shared" si="79"/>
        <v>34518357</v>
      </c>
      <c r="BE28" s="26">
        <f t="shared" si="79"/>
        <v>39992353.219999999</v>
      </c>
      <c r="BF28" s="26">
        <f t="shared" si="79"/>
        <v>28662278.099999998</v>
      </c>
      <c r="BG28" s="26">
        <f t="shared" si="79"/>
        <v>4098019.95</v>
      </c>
      <c r="BH28" s="26">
        <f t="shared" si="79"/>
        <v>18833034.379999995</v>
      </c>
      <c r="BI28" s="26">
        <f t="shared" si="79"/>
        <v>72363951.559999973</v>
      </c>
      <c r="BJ28" s="26">
        <f t="shared" si="79"/>
        <v>69145182.780000001</v>
      </c>
      <c r="BK28" s="26">
        <f t="shared" si="79"/>
        <v>82043300</v>
      </c>
      <c r="BL28" s="26">
        <f t="shared" si="79"/>
        <v>993300</v>
      </c>
      <c r="BM28" s="26">
        <f t="shared" si="79"/>
        <v>-19142766.699999988</v>
      </c>
      <c r="BN28" s="26">
        <f t="shared" si="79"/>
        <v>68785380.849999994</v>
      </c>
      <c r="BO28" s="26">
        <f t="shared" si="79"/>
        <v>112824600.45</v>
      </c>
      <c r="BP28" s="26">
        <f t="shared" si="79"/>
        <v>7497332.0300000003</v>
      </c>
      <c r="BQ28" s="26">
        <f t="shared" si="79"/>
        <v>42573.560000000056</v>
      </c>
      <c r="BR28" s="26">
        <f t="shared" ref="BR28:BV28" si="80">BR27-BR26</f>
        <v>11302000</v>
      </c>
      <c r="BS28" s="26">
        <f t="shared" si="80"/>
        <v>0</v>
      </c>
      <c r="BT28" s="26">
        <f t="shared" si="80"/>
        <v>0</v>
      </c>
      <c r="BU28" s="26">
        <f t="shared" si="80"/>
        <v>0</v>
      </c>
      <c r="BV28" s="26">
        <f t="shared" si="80"/>
        <v>0</v>
      </c>
    </row>
    <row r="29" spans="1:74" s="26" customFormat="1" ht="16.2" customHeight="1" x14ac:dyDescent="0.25">
      <c r="A29" s="180" t="s">
        <v>632</v>
      </c>
      <c r="E29" s="181">
        <f>POWER(E28/U28,1/5)-1</f>
        <v>-2.3743225918122235</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36525</v>
      </c>
      <c r="BS30" s="1">
        <v>25569</v>
      </c>
      <c r="BT30" s="1">
        <v>36341</v>
      </c>
      <c r="BU30" s="1">
        <v>36160</v>
      </c>
      <c r="BV30" s="1">
        <v>25569</v>
      </c>
    </row>
    <row r="31" spans="1:74" s="51" customFormat="1" ht="17.399999999999999" customHeight="1" x14ac:dyDescent="0.25">
      <c r="A31" s="111" t="s">
        <v>310</v>
      </c>
      <c r="B31" s="189">
        <v>5547632179.7600002</v>
      </c>
      <c r="C31" s="189">
        <v>5431824284.9099998</v>
      </c>
      <c r="D31" s="189">
        <v>5517300374.4399996</v>
      </c>
      <c r="E31" s="189">
        <v>5233968100.8500004</v>
      </c>
      <c r="F31" s="189">
        <v>2374918404.4899998</v>
      </c>
      <c r="G31" s="189">
        <v>2342117775.0100002</v>
      </c>
      <c r="H31" s="189">
        <v>2284425996.2399998</v>
      </c>
      <c r="I31" s="189">
        <v>2219316548.8299999</v>
      </c>
      <c r="J31" s="189">
        <v>2113859186.3199999</v>
      </c>
      <c r="K31" s="189">
        <v>1815482698.55</v>
      </c>
      <c r="L31" s="189">
        <v>1317158485.24</v>
      </c>
      <c r="M31" s="189">
        <v>1233168565.6600001</v>
      </c>
      <c r="N31" s="189">
        <v>1048706154.9299999</v>
      </c>
      <c r="O31" s="189">
        <v>1781018877.1500001</v>
      </c>
      <c r="P31" s="189">
        <v>1406490518.96</v>
      </c>
      <c r="Q31" s="189">
        <v>1270407962.55</v>
      </c>
      <c r="R31" s="189">
        <v>1290871432.03</v>
      </c>
      <c r="S31" s="189">
        <v>1278169822.47</v>
      </c>
      <c r="T31" s="189">
        <v>1269810704.6099999</v>
      </c>
      <c r="U31" s="189">
        <v>1235938994.49</v>
      </c>
      <c r="V31" s="189">
        <v>1773463806.4200001</v>
      </c>
      <c r="W31" s="189">
        <v>1709996676.1199999</v>
      </c>
      <c r="X31" s="189">
        <v>1524188522.45</v>
      </c>
      <c r="Y31" s="189">
        <v>1449726525.9400001</v>
      </c>
      <c r="Z31" s="189">
        <v>1035283337.17</v>
      </c>
      <c r="AA31" s="189">
        <v>903831255.21000004</v>
      </c>
      <c r="AB31" s="189">
        <v>804271389.32000005</v>
      </c>
      <c r="AC31" s="189">
        <v>779335903.07000005</v>
      </c>
      <c r="AD31" s="189">
        <v>794078046.97000003</v>
      </c>
      <c r="AE31" s="189">
        <v>775066984.13999999</v>
      </c>
      <c r="AF31" s="189">
        <v>701428497.40999997</v>
      </c>
      <c r="AG31" s="189">
        <v>687661600.07000005</v>
      </c>
      <c r="AH31" s="189">
        <v>655104009.44000006</v>
      </c>
      <c r="AI31" s="189">
        <v>660064375.72000003</v>
      </c>
      <c r="AJ31" s="189">
        <v>654848914.64999998</v>
      </c>
      <c r="AK31" s="189">
        <v>564328207.82000005</v>
      </c>
      <c r="AL31" s="189">
        <v>610459416.42999995</v>
      </c>
      <c r="AM31" s="189">
        <v>583114466.55999994</v>
      </c>
      <c r="AN31" s="189">
        <v>590217637.32000005</v>
      </c>
      <c r="AO31" s="189">
        <v>590409580.92999995</v>
      </c>
      <c r="AP31" s="189">
        <v>586676091.25999999</v>
      </c>
      <c r="AQ31" s="189">
        <v>556848754.52999997</v>
      </c>
      <c r="AR31" s="189">
        <v>568412081.25</v>
      </c>
      <c r="AS31" s="189">
        <v>567555341.59000003</v>
      </c>
      <c r="AT31" s="189">
        <v>612580463.55999994</v>
      </c>
      <c r="AU31" s="189">
        <v>619678973.98000002</v>
      </c>
      <c r="AV31" s="189">
        <v>629440751.42999995</v>
      </c>
      <c r="AW31" s="189">
        <v>658654921.09000003</v>
      </c>
      <c r="AX31" s="189">
        <v>672995128.16999996</v>
      </c>
      <c r="AY31" s="189">
        <v>688865064.10000002</v>
      </c>
      <c r="AZ31" s="189">
        <v>693691912.86000001</v>
      </c>
      <c r="BA31" s="189">
        <v>680116840.91999996</v>
      </c>
      <c r="BB31" s="189">
        <v>653820407.28999996</v>
      </c>
      <c r="BC31" s="189">
        <v>640941045.20000005</v>
      </c>
      <c r="BD31" s="189">
        <v>651291679.23000002</v>
      </c>
      <c r="BE31" s="189">
        <v>638208512.54999995</v>
      </c>
      <c r="BF31" s="189">
        <v>539099354.14999998</v>
      </c>
      <c r="BG31" s="189">
        <v>513124295.43000001</v>
      </c>
      <c r="BH31" s="189">
        <v>523225840.13999999</v>
      </c>
      <c r="BI31" s="189">
        <v>528707534.07999998</v>
      </c>
      <c r="BJ31" s="189">
        <v>511240361.14999998</v>
      </c>
      <c r="BK31" s="189">
        <v>496786293.60000002</v>
      </c>
      <c r="BL31" s="189">
        <v>460661744.70999998</v>
      </c>
      <c r="BM31" s="189">
        <v>458946935.83999997</v>
      </c>
      <c r="BN31" s="189">
        <v>442798194.31999999</v>
      </c>
      <c r="BO31" s="189">
        <v>429677169.00999999</v>
      </c>
      <c r="BP31" s="189">
        <v>328866551.19</v>
      </c>
      <c r="BQ31" s="189">
        <v>320257217.51999998</v>
      </c>
      <c r="BR31" s="189">
        <v>320636528.66000003</v>
      </c>
      <c r="BS31" s="189">
        <v>317010915.23000002</v>
      </c>
      <c r="BT31" s="189">
        <v>1786934979.5599999</v>
      </c>
      <c r="BU31" s="189">
        <v>1665815375.1099999</v>
      </c>
      <c r="BV31" s="189">
        <v>1686369507.6900001</v>
      </c>
    </row>
    <row r="32" spans="1:74" s="54" customFormat="1" ht="15" customHeight="1" x14ac:dyDescent="0.25">
      <c r="A32" s="137" t="s">
        <v>311</v>
      </c>
      <c r="B32" s="189">
        <v>2010867356.23</v>
      </c>
      <c r="C32" s="189">
        <v>1933570125.3099999</v>
      </c>
      <c r="D32" s="189">
        <v>1969996792.1800001</v>
      </c>
      <c r="E32" s="189">
        <v>1961083992.46</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62590683.240000002</v>
      </c>
      <c r="AE32" s="189">
        <v>62590683.240000002</v>
      </c>
      <c r="AF32" s="189">
        <v>0</v>
      </c>
      <c r="AG32" s="189">
        <v>0</v>
      </c>
      <c r="AH32" s="189">
        <v>30057710.489999998</v>
      </c>
      <c r="AI32" s="189">
        <v>30057710.489999998</v>
      </c>
      <c r="AJ32" s="189">
        <v>30057710.489999998</v>
      </c>
      <c r="AK32" s="189">
        <v>30057710.489999998</v>
      </c>
      <c r="AL32" s="189">
        <v>30057710.489999998</v>
      </c>
      <c r="AM32" s="189">
        <v>30057710.489999998</v>
      </c>
      <c r="AN32" s="189">
        <v>30057710.489999998</v>
      </c>
      <c r="AO32" s="189">
        <v>30057710.489999998</v>
      </c>
      <c r="AP32" s="189">
        <v>28758091.199999999</v>
      </c>
      <c r="AQ32" s="189">
        <v>28758091.199999999</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752575806.45000005</v>
      </c>
      <c r="C33" s="189">
        <v>771478838.63</v>
      </c>
      <c r="D33" s="189">
        <v>772411162.09000003</v>
      </c>
      <c r="E33" s="189">
        <v>548610000</v>
      </c>
      <c r="F33" s="189">
        <v>461687812</v>
      </c>
      <c r="G33" s="189">
        <v>455318010.85000002</v>
      </c>
      <c r="H33" s="189">
        <v>440937311.89999998</v>
      </c>
      <c r="I33" s="189">
        <v>442637311.89999998</v>
      </c>
      <c r="J33" s="189">
        <v>438700000</v>
      </c>
      <c r="K33" s="189">
        <v>438950000</v>
      </c>
      <c r="L33" s="189">
        <v>98550000</v>
      </c>
      <c r="M33" s="189">
        <v>119500000</v>
      </c>
      <c r="N33" s="189">
        <v>93000000</v>
      </c>
      <c r="O33" s="189">
        <v>171700000</v>
      </c>
      <c r="P33" s="189">
        <v>64500000</v>
      </c>
      <c r="Q33" s="189">
        <v>64500000</v>
      </c>
      <c r="R33" s="189">
        <v>113571381.41</v>
      </c>
      <c r="S33" s="189">
        <v>48528970.560000002</v>
      </c>
      <c r="T33" s="189">
        <v>50151403.009999998</v>
      </c>
      <c r="U33" s="189">
        <v>49618592.350000001</v>
      </c>
      <c r="V33" s="189">
        <v>679446276.16999996</v>
      </c>
      <c r="W33" s="189">
        <v>676554700.32000005</v>
      </c>
      <c r="X33" s="189">
        <v>521697794.47000003</v>
      </c>
      <c r="Y33" s="189">
        <v>491584457.66000003</v>
      </c>
      <c r="Z33" s="189">
        <v>100000000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491599.24</v>
      </c>
      <c r="AS33" s="189">
        <v>570889.43999999994</v>
      </c>
      <c r="AT33" s="189">
        <v>631563.68000000005</v>
      </c>
      <c r="AU33" s="189">
        <v>515041.56</v>
      </c>
      <c r="AV33" s="189">
        <v>431614.48</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2724274108.3900003</v>
      </c>
      <c r="F34" s="49">
        <f t="shared" ref="F34:BP34" si="81">F31-F32-F33</f>
        <v>1913230592.4899998</v>
      </c>
      <c r="G34" s="49">
        <f t="shared" si="81"/>
        <v>1886799764.1600003</v>
      </c>
      <c r="H34" s="49">
        <f t="shared" si="81"/>
        <v>1843488684.3399997</v>
      </c>
      <c r="I34" s="49">
        <f t="shared" si="81"/>
        <v>1776679236.9299998</v>
      </c>
      <c r="J34" s="49">
        <f t="shared" si="81"/>
        <v>1675159186.3199999</v>
      </c>
      <c r="K34" s="49">
        <f t="shared" si="81"/>
        <v>1376532698.55</v>
      </c>
      <c r="L34" s="49">
        <f t="shared" si="81"/>
        <v>1218608485.24</v>
      </c>
      <c r="M34" s="49">
        <f t="shared" si="81"/>
        <v>1113668565.6600001</v>
      </c>
      <c r="N34" s="49">
        <f t="shared" si="81"/>
        <v>955706154.92999995</v>
      </c>
      <c r="O34" s="49">
        <f t="shared" si="81"/>
        <v>1609318877.1500001</v>
      </c>
      <c r="P34" s="49">
        <f t="shared" si="81"/>
        <v>1341990518.96</v>
      </c>
      <c r="Q34" s="49">
        <f t="shared" si="81"/>
        <v>1205907962.55</v>
      </c>
      <c r="R34" s="49">
        <f t="shared" si="81"/>
        <v>1177300050.6199999</v>
      </c>
      <c r="S34" s="49">
        <f t="shared" si="81"/>
        <v>1229640851.9100001</v>
      </c>
      <c r="T34" s="49">
        <f t="shared" si="81"/>
        <v>1219659301.5999999</v>
      </c>
      <c r="U34" s="49">
        <f t="shared" si="81"/>
        <v>1186320402.1400001</v>
      </c>
      <c r="V34" s="49">
        <f t="shared" si="81"/>
        <v>1094017530.25</v>
      </c>
      <c r="W34" s="49">
        <f t="shared" si="81"/>
        <v>1033441975.7999998</v>
      </c>
      <c r="X34" s="49">
        <f t="shared" si="81"/>
        <v>1002490727.98</v>
      </c>
      <c r="Y34" s="49">
        <f t="shared" si="81"/>
        <v>958142068.27999997</v>
      </c>
      <c r="Z34" s="49">
        <f t="shared" si="81"/>
        <v>935283337.16999996</v>
      </c>
      <c r="AA34" s="49">
        <f t="shared" si="81"/>
        <v>903831255.21000004</v>
      </c>
      <c r="AB34" s="49">
        <f t="shared" si="81"/>
        <v>804271389.32000005</v>
      </c>
      <c r="AC34" s="49">
        <f t="shared" si="81"/>
        <v>779335903.07000005</v>
      </c>
      <c r="AD34" s="49">
        <f t="shared" si="81"/>
        <v>731487363.73000002</v>
      </c>
      <c r="AE34" s="49">
        <f t="shared" si="81"/>
        <v>712476300.89999998</v>
      </c>
      <c r="AF34" s="49">
        <f t="shared" si="81"/>
        <v>701428497.40999997</v>
      </c>
      <c r="AG34" s="49">
        <f t="shared" si="81"/>
        <v>687661600.07000005</v>
      </c>
      <c r="AH34" s="49">
        <f t="shared" si="81"/>
        <v>625046298.95000005</v>
      </c>
      <c r="AI34" s="49">
        <f t="shared" si="81"/>
        <v>630006665.23000002</v>
      </c>
      <c r="AJ34" s="49">
        <f t="shared" si="81"/>
        <v>624791204.15999997</v>
      </c>
      <c r="AK34" s="49">
        <f t="shared" si="81"/>
        <v>534270497.33000004</v>
      </c>
      <c r="AL34" s="49">
        <f t="shared" si="81"/>
        <v>580401705.93999994</v>
      </c>
      <c r="AM34" s="49">
        <f t="shared" si="81"/>
        <v>553056756.06999993</v>
      </c>
      <c r="AN34" s="49">
        <f t="shared" si="81"/>
        <v>560159926.83000004</v>
      </c>
      <c r="AO34" s="49">
        <f t="shared" si="81"/>
        <v>560351870.43999994</v>
      </c>
      <c r="AP34" s="49">
        <f t="shared" si="81"/>
        <v>557918000.05999994</v>
      </c>
      <c r="AQ34" s="49">
        <f t="shared" si="81"/>
        <v>528090663.32999998</v>
      </c>
      <c r="AR34" s="49">
        <f t="shared" si="81"/>
        <v>567920482.00999999</v>
      </c>
      <c r="AS34" s="49">
        <f t="shared" si="81"/>
        <v>566984452.14999998</v>
      </c>
      <c r="AT34" s="49">
        <f t="shared" si="81"/>
        <v>611948899.88</v>
      </c>
      <c r="AU34" s="49">
        <f t="shared" si="81"/>
        <v>619163932.42000008</v>
      </c>
      <c r="AV34" s="49">
        <f t="shared" si="81"/>
        <v>629009136.94999993</v>
      </c>
      <c r="AW34" s="49">
        <f t="shared" si="81"/>
        <v>658654921.09000003</v>
      </c>
      <c r="AX34" s="49">
        <f t="shared" si="81"/>
        <v>672995128.16999996</v>
      </c>
      <c r="AY34" s="49">
        <f t="shared" si="81"/>
        <v>688865064.10000002</v>
      </c>
      <c r="AZ34" s="49">
        <f t="shared" si="81"/>
        <v>693691912.86000001</v>
      </c>
      <c r="BA34" s="49">
        <f t="shared" si="81"/>
        <v>680116840.91999996</v>
      </c>
      <c r="BB34" s="49">
        <f t="shared" si="81"/>
        <v>653820407.28999996</v>
      </c>
      <c r="BC34" s="49">
        <f t="shared" si="81"/>
        <v>640941045.20000005</v>
      </c>
      <c r="BD34" s="49">
        <f t="shared" si="81"/>
        <v>651291679.23000002</v>
      </c>
      <c r="BE34" s="49">
        <f t="shared" si="81"/>
        <v>638208512.54999995</v>
      </c>
      <c r="BF34" s="49">
        <f t="shared" si="81"/>
        <v>539099354.14999998</v>
      </c>
      <c r="BG34" s="49">
        <f t="shared" si="81"/>
        <v>513124295.43000001</v>
      </c>
      <c r="BH34" s="49">
        <f t="shared" si="81"/>
        <v>523225840.13999999</v>
      </c>
      <c r="BI34" s="49">
        <f t="shared" si="81"/>
        <v>528707534.07999998</v>
      </c>
      <c r="BJ34" s="49">
        <f t="shared" si="81"/>
        <v>511240361.14999998</v>
      </c>
      <c r="BK34" s="49">
        <f t="shared" si="81"/>
        <v>496786293.60000002</v>
      </c>
      <c r="BL34" s="49">
        <f t="shared" si="81"/>
        <v>460661744.70999998</v>
      </c>
      <c r="BM34" s="49">
        <f t="shared" si="81"/>
        <v>458946935.83999997</v>
      </c>
      <c r="BN34" s="49">
        <f t="shared" si="81"/>
        <v>442798194.31999999</v>
      </c>
      <c r="BO34" s="49">
        <f t="shared" si="81"/>
        <v>429677169.00999999</v>
      </c>
      <c r="BP34" s="49">
        <f t="shared" si="81"/>
        <v>328866551.19</v>
      </c>
      <c r="BQ34" s="49">
        <f>AP31-AP32-AP33</f>
        <v>557918000.05999994</v>
      </c>
      <c r="BR34" s="49">
        <f>AQ31-AQ32-AQ33</f>
        <v>528090663.32999998</v>
      </c>
      <c r="BS34" s="49">
        <f>AR31-AR32-AR33</f>
        <v>567920482.00999999</v>
      </c>
      <c r="BT34" s="49"/>
      <c r="BU34" s="50"/>
    </row>
    <row r="35" spans="1:74" s="106" customFormat="1" ht="15" thickBot="1" x14ac:dyDescent="0.3">
      <c r="A35" s="139" t="s">
        <v>317</v>
      </c>
      <c r="B35" s="33">
        <f>SUM(B22:B31)</f>
        <v>5349838639.54</v>
      </c>
      <c r="C35" s="33">
        <f>SUM(C22:C31)</f>
        <v>5368893200.6800003</v>
      </c>
      <c r="D35" s="33">
        <f>SUM(D22:D31)</f>
        <v>5467863022</v>
      </c>
      <c r="E35" s="33">
        <f>资产资本表!E17</f>
        <v>1879565759.4100001</v>
      </c>
      <c r="F35" s="33">
        <f>资产资本表!F17</f>
        <v>2138637929.79</v>
      </c>
      <c r="G35" s="33">
        <f>资产资本表!G17</f>
        <v>2595336562.6900001</v>
      </c>
      <c r="H35" s="33">
        <f>资产资本表!H17</f>
        <v>2547817682.6300001</v>
      </c>
      <c r="I35" s="33">
        <f>资产资本表!I17</f>
        <v>2773087308.23</v>
      </c>
      <c r="J35" s="33">
        <f>资产资本表!J17</f>
        <v>3319654242.46</v>
      </c>
      <c r="K35" s="33">
        <f>资产资本表!K17</f>
        <v>4058558171.04</v>
      </c>
      <c r="L35" s="33">
        <f>资产资本表!L17</f>
        <v>3942601282.4499998</v>
      </c>
      <c r="M35" s="33">
        <f>资产资本表!M17</f>
        <v>3596640930.6700001</v>
      </c>
      <c r="N35" s="33">
        <f>资产资本表!N17</f>
        <v>2496619003.8299999</v>
      </c>
      <c r="O35" s="33">
        <f>资产资本表!O17</f>
        <v>2311467821.3099999</v>
      </c>
      <c r="P35" s="33">
        <f>资产资本表!P17</f>
        <v>3065908760.3600001</v>
      </c>
      <c r="Q35" s="33">
        <f>资产资本表!Q17</f>
        <v>2698060561.48</v>
      </c>
      <c r="R35" s="33">
        <f>资产资本表!R17</f>
        <v>2503136168.48</v>
      </c>
      <c r="S35" s="33">
        <f>资产资本表!S17</f>
        <v>2257336804.0700002</v>
      </c>
      <c r="T35" s="33">
        <f>资产资本表!T17</f>
        <v>2303376783.6500001</v>
      </c>
      <c r="U35" s="33">
        <f>资产资本表!U17</f>
        <v>1782645395.4399998</v>
      </c>
      <c r="V35" s="33">
        <f>资产资本表!V17</f>
        <v>2268191684.0299997</v>
      </c>
      <c r="W35" s="33">
        <f>资产资本表!W17</f>
        <v>2040814494.2300003</v>
      </c>
      <c r="X35" s="33">
        <f>资产资本表!X17</f>
        <v>2052636261.3399999</v>
      </c>
      <c r="Y35" s="33">
        <f>资产资本表!Y17</f>
        <v>1820084487.8700001</v>
      </c>
      <c r="Z35" s="33">
        <f>资产资本表!Z17</f>
        <v>1805186196.54</v>
      </c>
      <c r="AA35" s="33">
        <f>资产资本表!AA17</f>
        <v>1576784250.97</v>
      </c>
      <c r="AB35" s="33">
        <f>资产资本表!AB17</f>
        <v>1054018437.67</v>
      </c>
      <c r="AC35" s="33">
        <f>资产资本表!AC17</f>
        <v>873194762.71000004</v>
      </c>
      <c r="AD35" s="33">
        <f>资产资本表!AD17</f>
        <v>954680185.75</v>
      </c>
      <c r="AE35" s="33">
        <f>资产资本表!AE17</f>
        <v>809544856.52999997</v>
      </c>
      <c r="AF35" s="33">
        <f>资产资本表!AF17</f>
        <v>829614901.82000005</v>
      </c>
      <c r="AG35" s="33">
        <f>资产资本表!AG17</f>
        <v>773877255.04999995</v>
      </c>
      <c r="AH35" s="33">
        <f>资产资本表!AH17</f>
        <v>809143541.53999996</v>
      </c>
      <c r="AI35" s="33">
        <f>资产资本表!AI17</f>
        <v>678805129.55999994</v>
      </c>
      <c r="AJ35" s="33">
        <f>资产资本表!AJ17</f>
        <v>695429835.62</v>
      </c>
      <c r="AK35" s="33">
        <f>资产资本表!AK17</f>
        <v>706934735.46000004</v>
      </c>
      <c r="AL35" s="33">
        <f>资产资本表!AL17</f>
        <v>701134777.55000007</v>
      </c>
      <c r="AM35" s="33">
        <f>资产资本表!AM17</f>
        <v>501812457.24000001</v>
      </c>
      <c r="AN35" s="33">
        <f>资产资本表!AN17</f>
        <v>534705686.70999998</v>
      </c>
      <c r="AO35" s="33">
        <f>资产资本表!AO17</f>
        <v>483998298.75</v>
      </c>
      <c r="AP35" s="33">
        <f>资产资本表!AP17</f>
        <v>471939004.80000001</v>
      </c>
      <c r="AQ35" s="33">
        <f>资产资本表!AQ17</f>
        <v>504966248.72000003</v>
      </c>
      <c r="AR35" s="33">
        <f>资产资本表!AR17</f>
        <v>415035458.31</v>
      </c>
      <c r="AS35" s="33">
        <f>资产资本表!AS17</f>
        <v>338228983.93000001</v>
      </c>
      <c r="AT35" s="33">
        <f>资产资本表!AT17</f>
        <v>466475913.38</v>
      </c>
      <c r="AU35" s="33">
        <f>资产资本表!AU17</f>
        <v>350319294.61000001</v>
      </c>
      <c r="AV35" s="33">
        <f>资产资本表!AV17</f>
        <v>262408866.76999998</v>
      </c>
      <c r="AW35" s="33">
        <f>资产资本表!AW17</f>
        <v>231916393.77000001</v>
      </c>
      <c r="AX35" s="33">
        <f>资产资本表!AX17</f>
        <v>230292110.24000001</v>
      </c>
      <c r="AY35" s="33">
        <f>资产资本表!AY17</f>
        <v>239606490.64000002</v>
      </c>
      <c r="AZ35" s="33">
        <f>资产资本表!AZ17</f>
        <v>478880660.77999997</v>
      </c>
      <c r="BA35" s="33">
        <f>资产资本表!BA17</f>
        <v>365031634.95000005</v>
      </c>
      <c r="BB35" s="33">
        <f>资产资本表!BB17</f>
        <v>245341636.41999999</v>
      </c>
      <c r="BC35" s="33">
        <f>资产资本表!BC17</f>
        <v>325215030.62</v>
      </c>
      <c r="BD35" s="33">
        <f>资产资本表!BD17</f>
        <v>310907557.19</v>
      </c>
      <c r="BE35" s="33">
        <f>资产资本表!BE17</f>
        <v>397013223.01999998</v>
      </c>
      <c r="BF35" s="33">
        <f>资产资本表!BF17</f>
        <v>411320662.96000004</v>
      </c>
      <c r="BG35" s="33">
        <f>资产资本表!BG17</f>
        <v>472121765.80000001</v>
      </c>
      <c r="BH35" s="33">
        <f>资产资本表!BH17</f>
        <v>432352656.40999997</v>
      </c>
      <c r="BI35" s="33">
        <f>资产资本表!BI17</f>
        <v>451157452.65999997</v>
      </c>
      <c r="BJ35" s="33">
        <f>资产资本表!BJ17</f>
        <v>508860395.50999999</v>
      </c>
      <c r="BK35" s="33">
        <f>资产资本表!BK17</f>
        <v>407676923.81999999</v>
      </c>
      <c r="BL35" s="33">
        <f>资产资本表!BL17</f>
        <v>412936577.91999996</v>
      </c>
      <c r="BM35" s="33">
        <f>资产资本表!BM17</f>
        <v>518402209.13</v>
      </c>
      <c r="BN35" s="33">
        <f>资产资本表!BN17</f>
        <v>688874266.04999995</v>
      </c>
      <c r="BO35" s="33">
        <f>资产资本表!BO17</f>
        <v>744304172.58999991</v>
      </c>
      <c r="BP35" s="33">
        <f>资产资本表!BP17</f>
        <v>710827958.76999998</v>
      </c>
      <c r="BQ35" s="33">
        <f>资产资本表!BQ17</f>
        <v>732924657.05999994</v>
      </c>
      <c r="BR35" s="33">
        <f>资产资本表!BR17</f>
        <v>871205319.63999999</v>
      </c>
      <c r="BS35" s="33">
        <f>资产资本表!BS17</f>
        <v>67127512.590000004</v>
      </c>
      <c r="BT35" s="33">
        <f>资产资本表!BT17</f>
        <v>74301081.659999996</v>
      </c>
      <c r="BU35" s="33">
        <f>资产资本表!BU17</f>
        <v>44155475.600000001</v>
      </c>
      <c r="BV35" s="33">
        <f>资产资本表!BV17</f>
        <v>50317733.219999999</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36525</v>
      </c>
      <c r="BS38" s="1">
        <v>25569</v>
      </c>
      <c r="BT38" s="1">
        <v>36341</v>
      </c>
      <c r="BU38" s="1">
        <v>36160</v>
      </c>
      <c r="BV38" s="1">
        <v>25569</v>
      </c>
    </row>
    <row r="39" spans="1:74" s="48" customFormat="1" x14ac:dyDescent="0.25">
      <c r="A39" s="46" t="s">
        <v>319</v>
      </c>
    </row>
    <row r="40" spans="1:74" s="192" customFormat="1" x14ac:dyDescent="0.25">
      <c r="A40" s="192" t="s">
        <v>742</v>
      </c>
      <c r="B40" s="189">
        <v>0</v>
      </c>
      <c r="C40" s="189">
        <v>0</v>
      </c>
      <c r="D40" s="189">
        <v>0</v>
      </c>
      <c r="E40" s="189">
        <v>0</v>
      </c>
      <c r="F40" s="189">
        <v>0</v>
      </c>
      <c r="G40" s="189">
        <v>0</v>
      </c>
      <c r="H40" s="189">
        <v>0</v>
      </c>
      <c r="I40" s="189">
        <v>0</v>
      </c>
      <c r="J40" s="189">
        <v>0</v>
      </c>
      <c r="K40" s="189">
        <v>0</v>
      </c>
      <c r="L40" s="189">
        <v>0</v>
      </c>
      <c r="M40" s="189">
        <v>31642600</v>
      </c>
      <c r="N40" s="189">
        <v>31642600</v>
      </c>
      <c r="O40" s="189">
        <v>0</v>
      </c>
      <c r="P40" s="189">
        <v>0</v>
      </c>
      <c r="Q40" s="189">
        <v>0</v>
      </c>
      <c r="R40" s="189">
        <v>0</v>
      </c>
      <c r="S40" s="189">
        <v>0</v>
      </c>
      <c r="T40" s="189">
        <v>0</v>
      </c>
      <c r="U40" s="189">
        <v>0</v>
      </c>
      <c r="V40" s="189">
        <v>0</v>
      </c>
      <c r="W40" s="189">
        <v>0</v>
      </c>
      <c r="X40" s="189">
        <v>0</v>
      </c>
      <c r="Y40" s="189">
        <v>415993500</v>
      </c>
      <c r="Z40" s="189">
        <v>415993500</v>
      </c>
      <c r="AA40" s="189">
        <v>415993500</v>
      </c>
      <c r="AB40" s="189">
        <v>0</v>
      </c>
      <c r="AC40" s="189">
        <v>3000000</v>
      </c>
      <c r="AD40" s="189">
        <v>3000000</v>
      </c>
      <c r="AE40" s="189">
        <v>3000000</v>
      </c>
      <c r="AF40" s="189">
        <v>3000000</v>
      </c>
      <c r="AG40" s="189">
        <v>2500000</v>
      </c>
      <c r="AH40" s="189">
        <v>2500000</v>
      </c>
      <c r="AI40" s="189">
        <v>0</v>
      </c>
      <c r="AJ40" s="189">
        <v>0</v>
      </c>
      <c r="AK40" s="189">
        <v>0</v>
      </c>
      <c r="AL40" s="189">
        <v>0</v>
      </c>
      <c r="AM40" s="189">
        <v>0</v>
      </c>
      <c r="AN40" s="189">
        <v>0</v>
      </c>
      <c r="AO40" s="189">
        <v>54520800.200000003</v>
      </c>
      <c r="AP40" s="189">
        <v>51882001</v>
      </c>
      <c r="AQ40" s="189">
        <v>51582000</v>
      </c>
      <c r="AR40" s="189">
        <v>0</v>
      </c>
      <c r="AS40" s="189">
        <v>0</v>
      </c>
      <c r="AT40" s="189">
        <v>0</v>
      </c>
      <c r="AU40" s="189">
        <v>0</v>
      </c>
      <c r="AV40" s="189">
        <v>0</v>
      </c>
      <c r="AW40" s="189">
        <v>0</v>
      </c>
      <c r="AX40" s="189">
        <v>0</v>
      </c>
      <c r="AY40" s="189">
        <v>0</v>
      </c>
      <c r="AZ40" s="189">
        <v>0</v>
      </c>
      <c r="BA40" s="189">
        <v>0</v>
      </c>
      <c r="BB40" s="189">
        <v>0</v>
      </c>
      <c r="BC40" s="189">
        <v>15000000</v>
      </c>
      <c r="BD40" s="189">
        <v>0</v>
      </c>
      <c r="BE40" s="189">
        <v>5338450</v>
      </c>
      <c r="BF40" s="189">
        <v>5338450</v>
      </c>
      <c r="BG40" s="189">
        <v>5338450</v>
      </c>
      <c r="BH40" s="189">
        <v>900000</v>
      </c>
      <c r="BI40" s="189">
        <v>3650000</v>
      </c>
      <c r="BJ40" s="189">
        <v>3250000</v>
      </c>
      <c r="BK40" s="189">
        <v>0</v>
      </c>
      <c r="BL40" s="189">
        <v>0</v>
      </c>
      <c r="BM40" s="189">
        <v>7000000</v>
      </c>
      <c r="BN40" s="189">
        <v>0</v>
      </c>
      <c r="BO40" s="189">
        <v>719686423</v>
      </c>
      <c r="BP40" s="189">
        <v>737543016.19000006</v>
      </c>
      <c r="BQ40" s="189">
        <v>1076075</v>
      </c>
      <c r="BR40" s="189">
        <v>0</v>
      </c>
      <c r="BS40" s="189">
        <v>0</v>
      </c>
      <c r="BT40" s="189">
        <v>0</v>
      </c>
      <c r="BU40" s="189">
        <v>1165397962.47</v>
      </c>
      <c r="BV40" s="189">
        <v>0</v>
      </c>
    </row>
    <row r="41" spans="1:74" s="53" customFormat="1" ht="21.75" customHeight="1" x14ac:dyDescent="0.25">
      <c r="A41" s="140" t="s">
        <v>633</v>
      </c>
      <c r="B41" s="53">
        <v>1419647033.29</v>
      </c>
      <c r="C41" s="53">
        <v>682396282.87</v>
      </c>
      <c r="D41" s="53">
        <v>73246783.790000007</v>
      </c>
      <c r="E41" s="53">
        <v>67341646.700000003</v>
      </c>
      <c r="I41" s="53">
        <v>667291789.88999999</v>
      </c>
      <c r="M41" s="53">
        <v>410143693.70999998</v>
      </c>
      <c r="Q41" s="53">
        <v>342946037.61000001</v>
      </c>
      <c r="U41" s="53">
        <v>31385</v>
      </c>
      <c r="Y41" s="53">
        <v>17934</v>
      </c>
      <c r="AC41" s="53">
        <v>11394</v>
      </c>
      <c r="AG41" s="53">
        <v>10576</v>
      </c>
    </row>
    <row r="42" spans="1:74" s="26" customFormat="1" x14ac:dyDescent="0.25">
      <c r="A42" s="17" t="s">
        <v>322</v>
      </c>
      <c r="E42" s="26">
        <f>E40-E41</f>
        <v>-67341646.700000003</v>
      </c>
      <c r="F42" s="26">
        <f t="shared" ref="F42:Y42" si="82">F40-F41</f>
        <v>0</v>
      </c>
      <c r="G42" s="26">
        <f t="shared" si="82"/>
        <v>0</v>
      </c>
      <c r="H42" s="26">
        <f t="shared" si="82"/>
        <v>0</v>
      </c>
      <c r="I42" s="26">
        <f>I40-I41</f>
        <v>-667291789.88999999</v>
      </c>
      <c r="J42" s="26">
        <f t="shared" si="82"/>
        <v>0</v>
      </c>
      <c r="K42" s="26">
        <f t="shared" si="82"/>
        <v>0</v>
      </c>
      <c r="L42" s="26">
        <f t="shared" si="82"/>
        <v>0</v>
      </c>
      <c r="M42" s="26">
        <f t="shared" si="82"/>
        <v>-378501093.70999998</v>
      </c>
      <c r="N42" s="26">
        <f t="shared" si="82"/>
        <v>31642600</v>
      </c>
      <c r="O42" s="26">
        <f t="shared" si="82"/>
        <v>0</v>
      </c>
      <c r="P42" s="26">
        <f t="shared" si="82"/>
        <v>0</v>
      </c>
      <c r="Q42" s="26">
        <f t="shared" si="82"/>
        <v>-342946037.61000001</v>
      </c>
      <c r="R42" s="26">
        <f t="shared" si="82"/>
        <v>0</v>
      </c>
      <c r="S42" s="26">
        <f t="shared" si="82"/>
        <v>0</v>
      </c>
      <c r="T42" s="26">
        <f t="shared" si="82"/>
        <v>0</v>
      </c>
      <c r="U42" s="26">
        <f t="shared" si="82"/>
        <v>-31385</v>
      </c>
      <c r="V42" s="26">
        <f t="shared" si="82"/>
        <v>0</v>
      </c>
      <c r="W42" s="26">
        <f t="shared" si="82"/>
        <v>0</v>
      </c>
      <c r="X42" s="26">
        <f t="shared" si="82"/>
        <v>0</v>
      </c>
      <c r="Y42" s="26">
        <f t="shared" si="82"/>
        <v>415975566</v>
      </c>
      <c r="Z42" s="26">
        <f t="shared" ref="Z42:BQ42" si="83">Z40-Z41</f>
        <v>415993500</v>
      </c>
      <c r="AA42" s="26">
        <f t="shared" si="83"/>
        <v>415993500</v>
      </c>
      <c r="AB42" s="26">
        <f t="shared" si="83"/>
        <v>0</v>
      </c>
      <c r="AC42" s="26">
        <f t="shared" si="83"/>
        <v>2988606</v>
      </c>
      <c r="AD42" s="26">
        <f t="shared" si="83"/>
        <v>3000000</v>
      </c>
      <c r="AE42" s="26">
        <f t="shared" si="83"/>
        <v>3000000</v>
      </c>
      <c r="AF42" s="26">
        <f t="shared" si="83"/>
        <v>3000000</v>
      </c>
      <c r="AG42" s="26">
        <f t="shared" si="83"/>
        <v>2489424</v>
      </c>
      <c r="AH42" s="26">
        <f t="shared" si="83"/>
        <v>2500000</v>
      </c>
      <c r="AI42" s="26">
        <f t="shared" si="83"/>
        <v>0</v>
      </c>
      <c r="AJ42" s="26">
        <f t="shared" si="83"/>
        <v>0</v>
      </c>
      <c r="AK42" s="26">
        <f t="shared" si="83"/>
        <v>0</v>
      </c>
      <c r="AL42" s="192">
        <f t="shared" si="83"/>
        <v>0</v>
      </c>
      <c r="AM42" s="192">
        <f t="shared" si="83"/>
        <v>0</v>
      </c>
      <c r="AN42" s="192">
        <f t="shared" si="83"/>
        <v>0</v>
      </c>
      <c r="AO42" s="192">
        <f t="shared" si="83"/>
        <v>54520800.200000003</v>
      </c>
      <c r="AP42" s="192">
        <f t="shared" si="83"/>
        <v>51882001</v>
      </c>
      <c r="AQ42" s="192">
        <f t="shared" si="83"/>
        <v>51582000</v>
      </c>
      <c r="AR42" s="192">
        <f t="shared" si="83"/>
        <v>0</v>
      </c>
      <c r="AS42" s="192">
        <f t="shared" si="83"/>
        <v>0</v>
      </c>
      <c r="AT42" s="192">
        <f t="shared" si="83"/>
        <v>0</v>
      </c>
      <c r="AU42" s="192">
        <f t="shared" si="83"/>
        <v>0</v>
      </c>
      <c r="AV42" s="192">
        <f t="shared" si="83"/>
        <v>0</v>
      </c>
      <c r="AW42" s="192">
        <f t="shared" si="83"/>
        <v>0</v>
      </c>
      <c r="AX42" s="192">
        <f t="shared" si="83"/>
        <v>0</v>
      </c>
      <c r="AY42" s="192">
        <f t="shared" si="83"/>
        <v>0</v>
      </c>
      <c r="AZ42" s="192">
        <f t="shared" si="83"/>
        <v>0</v>
      </c>
      <c r="BA42" s="26">
        <f t="shared" si="83"/>
        <v>0</v>
      </c>
      <c r="BB42" s="26">
        <f t="shared" si="83"/>
        <v>0</v>
      </c>
      <c r="BC42" s="26">
        <f t="shared" si="83"/>
        <v>15000000</v>
      </c>
      <c r="BD42" s="26">
        <f t="shared" si="83"/>
        <v>0</v>
      </c>
      <c r="BE42" s="26">
        <f t="shared" si="83"/>
        <v>5338450</v>
      </c>
      <c r="BF42" s="26">
        <f t="shared" si="83"/>
        <v>5338450</v>
      </c>
      <c r="BG42" s="26">
        <f t="shared" si="83"/>
        <v>5338450</v>
      </c>
      <c r="BH42" s="26">
        <f t="shared" si="83"/>
        <v>900000</v>
      </c>
      <c r="BI42" s="26">
        <f t="shared" si="83"/>
        <v>3650000</v>
      </c>
      <c r="BJ42" s="26">
        <f t="shared" si="83"/>
        <v>3250000</v>
      </c>
      <c r="BK42" s="26">
        <f t="shared" si="83"/>
        <v>0</v>
      </c>
      <c r="BL42" s="26">
        <f t="shared" si="83"/>
        <v>0</v>
      </c>
      <c r="BM42" s="26">
        <f t="shared" si="83"/>
        <v>7000000</v>
      </c>
      <c r="BN42" s="26">
        <f t="shared" si="83"/>
        <v>0</v>
      </c>
      <c r="BO42" s="26">
        <f t="shared" si="83"/>
        <v>719686423</v>
      </c>
      <c r="BP42" s="26">
        <f t="shared" si="83"/>
        <v>737543016.19000006</v>
      </c>
      <c r="BQ42" s="26">
        <f t="shared" si="83"/>
        <v>1076075</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89">
        <v>0</v>
      </c>
      <c r="C44" s="189">
        <v>0</v>
      </c>
      <c r="D44" s="189">
        <v>0</v>
      </c>
      <c r="E44" s="189">
        <v>73812809.920000002</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10000000</v>
      </c>
      <c r="AA44" s="189">
        <v>10000000</v>
      </c>
      <c r="AB44" s="189">
        <v>1000000</v>
      </c>
      <c r="AC44" s="189">
        <v>10000000</v>
      </c>
      <c r="AD44" s="189">
        <v>7000000</v>
      </c>
      <c r="AE44" s="189">
        <v>7000000</v>
      </c>
      <c r="AF44" s="189">
        <v>1000000</v>
      </c>
      <c r="AG44" s="189">
        <v>12000000</v>
      </c>
      <c r="AH44" s="189">
        <v>9000000</v>
      </c>
      <c r="AI44" s="189">
        <v>9000000</v>
      </c>
      <c r="AJ44" s="189">
        <v>3000000</v>
      </c>
      <c r="AK44" s="189">
        <v>17000000</v>
      </c>
      <c r="AL44" s="189">
        <v>15000000</v>
      </c>
      <c r="AM44" s="189">
        <v>12000000</v>
      </c>
      <c r="AN44" s="189">
        <v>0</v>
      </c>
      <c r="AO44" s="189">
        <v>268000000</v>
      </c>
      <c r="AP44" s="189">
        <v>131100000</v>
      </c>
      <c r="AQ44" s="189">
        <v>152500000</v>
      </c>
      <c r="AR44" s="189">
        <v>82500000</v>
      </c>
      <c r="AS44" s="189">
        <v>447509636.58999997</v>
      </c>
      <c r="AT44" s="189">
        <v>334668584.58999997</v>
      </c>
      <c r="AU44" s="189">
        <v>271295000</v>
      </c>
      <c r="AV44" s="189">
        <v>137483274.00999999</v>
      </c>
      <c r="AW44" s="189">
        <v>558500000</v>
      </c>
      <c r="AX44" s="189">
        <v>396500000</v>
      </c>
      <c r="AY44" s="189">
        <v>381500000</v>
      </c>
      <c r="AZ44" s="189">
        <v>155000000</v>
      </c>
      <c r="BA44" s="189">
        <v>203531825.30000001</v>
      </c>
      <c r="BB44" s="189">
        <v>35000000</v>
      </c>
      <c r="BC44" s="189">
        <v>20000000</v>
      </c>
      <c r="BD44" s="189">
        <v>0</v>
      </c>
      <c r="BE44" s="189">
        <v>147098159</v>
      </c>
      <c r="BF44" s="189">
        <v>90210000</v>
      </c>
      <c r="BG44" s="189">
        <v>88040000</v>
      </c>
      <c r="BH44" s="189">
        <v>2740000</v>
      </c>
      <c r="BI44" s="189">
        <v>334470000</v>
      </c>
      <c r="BJ44" s="189">
        <v>192465000</v>
      </c>
      <c r="BK44" s="189">
        <v>126000000</v>
      </c>
      <c r="BL44" s="189">
        <v>60000000</v>
      </c>
      <c r="BM44" s="189">
        <v>201610000</v>
      </c>
      <c r="BN44" s="189">
        <v>70180000</v>
      </c>
      <c r="BO44" s="189">
        <v>365080000</v>
      </c>
      <c r="BP44" s="189">
        <v>231080000</v>
      </c>
      <c r="BQ44" s="189">
        <v>450945000</v>
      </c>
      <c r="BR44" s="189">
        <v>397779000</v>
      </c>
      <c r="BS44" s="189">
        <v>0</v>
      </c>
      <c r="BT44" s="189">
        <v>0</v>
      </c>
      <c r="BU44" s="189">
        <v>0</v>
      </c>
      <c r="BV44" s="189">
        <v>0</v>
      </c>
    </row>
    <row r="45" spans="1:74" s="192" customFormat="1" x14ac:dyDescent="0.25">
      <c r="A45" s="192" t="s">
        <v>323</v>
      </c>
      <c r="E45" s="192">
        <f>股权价值增加表!E53</f>
        <v>60031779.07</v>
      </c>
      <c r="F45" s="192">
        <f>股权价值增加表!F53</f>
        <v>0</v>
      </c>
      <c r="G45" s="192">
        <f>股权价值增加表!G53</f>
        <v>0</v>
      </c>
      <c r="H45" s="192">
        <f>股权价值增加表!H53</f>
        <v>0</v>
      </c>
      <c r="I45" s="192">
        <f>股权价值增加表!I53</f>
        <v>42133639.380000003</v>
      </c>
      <c r="J45" s="192">
        <f>股权价值增加表!J53</f>
        <v>0</v>
      </c>
      <c r="K45" s="192">
        <f>股权价值增加表!K53</f>
        <v>0</v>
      </c>
      <c r="L45" s="192">
        <f>股权价值增加表!L53</f>
        <v>0</v>
      </c>
      <c r="M45" s="192">
        <f>股权价值增加表!M53</f>
        <v>0</v>
      </c>
      <c r="N45" s="192">
        <f>股权价值增加表!N53</f>
        <v>0</v>
      </c>
      <c r="O45" s="192">
        <f>股权价值增加表!O53</f>
        <v>0</v>
      </c>
      <c r="P45" s="192">
        <f>股权价值增加表!P53</f>
        <v>0</v>
      </c>
      <c r="Q45" s="192">
        <f>股权价值增加表!Q53</f>
        <v>0</v>
      </c>
      <c r="R45" s="192">
        <f>股权价值增加表!R53</f>
        <v>0</v>
      </c>
      <c r="S45" s="192">
        <f>股权价值增加表!S53</f>
        <v>0</v>
      </c>
      <c r="T45" s="192">
        <f>股权价值增加表!T53</f>
        <v>0</v>
      </c>
      <c r="U45" s="192">
        <f>股权价值增加表!U53</f>
        <v>0</v>
      </c>
      <c r="V45" s="192">
        <f>股权价值增加表!V53</f>
        <v>0</v>
      </c>
      <c r="W45" s="192">
        <f>股权价值增加表!W53</f>
        <v>0</v>
      </c>
      <c r="X45" s="192">
        <f>股权价值增加表!X53</f>
        <v>0</v>
      </c>
      <c r="Y45" s="192">
        <f>股权价值增加表!Y53</f>
        <v>631806.73</v>
      </c>
      <c r="Z45" s="192">
        <f>股权价值增加表!Z53</f>
        <v>0</v>
      </c>
      <c r="AA45" s="192">
        <f>股权价值增加表!AA53</f>
        <v>0</v>
      </c>
      <c r="AB45" s="192">
        <f>股权价值增加表!AB53</f>
        <v>0</v>
      </c>
      <c r="AC45" s="192">
        <f>股权价值增加表!AC53</f>
        <v>775612.75</v>
      </c>
      <c r="AD45" s="192">
        <f>股权价值增加表!AD53</f>
        <v>0</v>
      </c>
      <c r="AE45" s="192">
        <f>股权价值增加表!AE53</f>
        <v>0</v>
      </c>
      <c r="AF45" s="192">
        <f>股权价值增加表!AF53</f>
        <v>0</v>
      </c>
      <c r="AG45" s="192">
        <f>股权价值增加表!AG53</f>
        <v>692335.15</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row>
    <row r="47" spans="1:74" s="192" customFormat="1" x14ac:dyDescent="0.25">
      <c r="A47" s="192" t="s">
        <v>326</v>
      </c>
      <c r="B47" s="189">
        <v>18605969</v>
      </c>
      <c r="C47" s="189">
        <v>18490002.969999999</v>
      </c>
      <c r="D47" s="189">
        <v>18646899.960000001</v>
      </c>
      <c r="E47" s="189">
        <v>85800174.319999993</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10000000</v>
      </c>
      <c r="AA47" s="189">
        <v>10000000</v>
      </c>
      <c r="AB47" s="189">
        <v>1000000</v>
      </c>
      <c r="AC47" s="189">
        <v>14000000</v>
      </c>
      <c r="AD47" s="189">
        <v>9000000</v>
      </c>
      <c r="AE47" s="189">
        <v>9000000</v>
      </c>
      <c r="AF47" s="189">
        <v>3000000</v>
      </c>
      <c r="AG47" s="189">
        <v>10000000</v>
      </c>
      <c r="AH47" s="189">
        <v>7000000</v>
      </c>
      <c r="AI47" s="189">
        <v>7000000</v>
      </c>
      <c r="AJ47" s="189">
        <v>0</v>
      </c>
      <c r="AK47" s="189">
        <v>108000000</v>
      </c>
      <c r="AL47" s="189">
        <v>108000000</v>
      </c>
      <c r="AM47" s="189">
        <v>106057960</v>
      </c>
      <c r="AN47" s="189">
        <v>1000000</v>
      </c>
      <c r="AO47" s="189">
        <v>364214636.58999997</v>
      </c>
      <c r="AP47" s="189">
        <v>258214636.59</v>
      </c>
      <c r="AQ47" s="189">
        <v>214714636.59</v>
      </c>
      <c r="AR47" s="189">
        <v>85714636.590000004</v>
      </c>
      <c r="AS47" s="189">
        <v>480795000</v>
      </c>
      <c r="AT47" s="189">
        <v>329500000</v>
      </c>
      <c r="AU47" s="189">
        <v>230500000</v>
      </c>
      <c r="AV47" s="189">
        <v>79000000</v>
      </c>
      <c r="AW47" s="189">
        <v>542531825.29999995</v>
      </c>
      <c r="AX47" s="189">
        <v>372531825.30000001</v>
      </c>
      <c r="AY47" s="189">
        <v>211531825.30000001</v>
      </c>
      <c r="AZ47" s="189">
        <v>68531825.299999997</v>
      </c>
      <c r="BA47" s="189">
        <v>115358159</v>
      </c>
      <c r="BB47" s="189">
        <v>55358159</v>
      </c>
      <c r="BC47" s="189">
        <v>42358159</v>
      </c>
      <c r="BD47" s="189">
        <v>24558159</v>
      </c>
      <c r="BE47" s="189">
        <v>126710000</v>
      </c>
      <c r="BF47" s="189">
        <v>73732862.5</v>
      </c>
      <c r="BG47" s="189">
        <v>72210000</v>
      </c>
      <c r="BH47" s="189">
        <v>0</v>
      </c>
      <c r="BI47" s="189">
        <v>337350000</v>
      </c>
      <c r="BJ47" s="189">
        <v>198100000</v>
      </c>
      <c r="BK47" s="189">
        <v>116650000</v>
      </c>
      <c r="BL47" s="189">
        <v>60000000</v>
      </c>
      <c r="BM47" s="189">
        <v>276340000</v>
      </c>
      <c r="BN47" s="189">
        <v>71077040.219999999</v>
      </c>
      <c r="BO47" s="189">
        <v>441459375</v>
      </c>
      <c r="BP47" s="189">
        <v>236180000</v>
      </c>
      <c r="BQ47" s="189">
        <v>547314625</v>
      </c>
      <c r="BR47" s="189">
        <v>373999000</v>
      </c>
      <c r="BS47" s="189">
        <v>0</v>
      </c>
      <c r="BT47" s="189">
        <v>0</v>
      </c>
      <c r="BU47" s="189">
        <v>70000000</v>
      </c>
      <c r="BV47" s="189">
        <v>0</v>
      </c>
    </row>
    <row r="48" spans="1:74" s="192" customFormat="1" x14ac:dyDescent="0.25">
      <c r="A48" s="192" t="s">
        <v>597</v>
      </c>
      <c r="B48" s="189">
        <v>0</v>
      </c>
      <c r="C48" s="189">
        <v>0</v>
      </c>
      <c r="D48" s="189">
        <v>0</v>
      </c>
      <c r="E48" s="189">
        <v>0</v>
      </c>
      <c r="F48" s="189">
        <v>0</v>
      </c>
      <c r="G48" s="189">
        <v>0</v>
      </c>
      <c r="H48" s="189">
        <v>0</v>
      </c>
      <c r="I48" s="189">
        <v>0</v>
      </c>
      <c r="J48" s="189">
        <v>0</v>
      </c>
      <c r="K48" s="189">
        <v>0</v>
      </c>
      <c r="L48" s="189">
        <v>0</v>
      </c>
      <c r="M48" s="189">
        <v>0</v>
      </c>
      <c r="N48" s="189">
        <v>0</v>
      </c>
      <c r="O48" s="189">
        <v>0</v>
      </c>
      <c r="P48" s="189">
        <v>0</v>
      </c>
      <c r="Q48" s="189">
        <v>0</v>
      </c>
      <c r="R48" s="189">
        <v>0</v>
      </c>
      <c r="S48" s="189">
        <v>0</v>
      </c>
      <c r="T48" s="189">
        <v>0</v>
      </c>
      <c r="U48" s="189">
        <v>0</v>
      </c>
      <c r="V48" s="189">
        <v>0</v>
      </c>
      <c r="W48" s="189">
        <v>0</v>
      </c>
      <c r="X48" s="189">
        <v>0</v>
      </c>
      <c r="Y48" s="189">
        <v>0</v>
      </c>
      <c r="Z48" s="189">
        <v>0</v>
      </c>
      <c r="AA48" s="189">
        <v>0</v>
      </c>
      <c r="AB48" s="189">
        <v>0</v>
      </c>
      <c r="AC48" s="189">
        <v>0</v>
      </c>
      <c r="AD48" s="189">
        <v>0</v>
      </c>
      <c r="AE48" s="189">
        <v>0</v>
      </c>
      <c r="AF48" s="189">
        <v>0</v>
      </c>
      <c r="AG48" s="189">
        <v>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x14ac:dyDescent="0.25">
      <c r="A49" s="192" t="s">
        <v>598</v>
      </c>
      <c r="E49" s="192">
        <f>E44+E48-E45-E46-E47</f>
        <v>-72019143.469999999</v>
      </c>
      <c r="F49" s="192">
        <f t="shared" ref="F49:BQ49" si="85">F44+F48-F45-F46-F47</f>
        <v>0</v>
      </c>
      <c r="G49" s="192">
        <f t="shared" si="85"/>
        <v>0</v>
      </c>
      <c r="H49" s="192">
        <f t="shared" si="85"/>
        <v>0</v>
      </c>
      <c r="I49" s="192">
        <f t="shared" si="85"/>
        <v>-42133639.380000003</v>
      </c>
      <c r="J49" s="192">
        <f t="shared" si="85"/>
        <v>0</v>
      </c>
      <c r="K49" s="192">
        <f t="shared" si="85"/>
        <v>0</v>
      </c>
      <c r="L49" s="192">
        <f t="shared" si="85"/>
        <v>0</v>
      </c>
      <c r="M49" s="192">
        <f t="shared" si="85"/>
        <v>0</v>
      </c>
      <c r="N49" s="192">
        <f t="shared" si="85"/>
        <v>0</v>
      </c>
      <c r="O49" s="192">
        <f t="shared" si="85"/>
        <v>0</v>
      </c>
      <c r="P49" s="192">
        <f t="shared" si="85"/>
        <v>0</v>
      </c>
      <c r="Q49" s="192">
        <f t="shared" si="85"/>
        <v>0</v>
      </c>
      <c r="R49" s="192">
        <f t="shared" si="85"/>
        <v>0</v>
      </c>
      <c r="S49" s="192">
        <f t="shared" si="85"/>
        <v>0</v>
      </c>
      <c r="T49" s="192">
        <f t="shared" si="85"/>
        <v>0</v>
      </c>
      <c r="U49" s="192">
        <f t="shared" si="85"/>
        <v>0</v>
      </c>
      <c r="V49" s="192">
        <f t="shared" si="85"/>
        <v>0</v>
      </c>
      <c r="W49" s="192">
        <f t="shared" si="85"/>
        <v>0</v>
      </c>
      <c r="X49" s="192">
        <f t="shared" si="85"/>
        <v>0</v>
      </c>
      <c r="Y49" s="192">
        <f t="shared" si="85"/>
        <v>-631806.73</v>
      </c>
      <c r="Z49" s="192">
        <f t="shared" si="85"/>
        <v>0</v>
      </c>
      <c r="AA49" s="192">
        <f t="shared" si="85"/>
        <v>0</v>
      </c>
      <c r="AB49" s="192">
        <f t="shared" si="85"/>
        <v>0</v>
      </c>
      <c r="AC49" s="192">
        <f t="shared" si="85"/>
        <v>-4775612.75</v>
      </c>
      <c r="AD49" s="192">
        <f t="shared" si="85"/>
        <v>-2000000</v>
      </c>
      <c r="AE49" s="192">
        <f t="shared" si="85"/>
        <v>-2000000</v>
      </c>
      <c r="AF49" s="192">
        <f t="shared" si="85"/>
        <v>-2000000</v>
      </c>
      <c r="AG49" s="192">
        <f t="shared" si="85"/>
        <v>1307664.8499999996</v>
      </c>
      <c r="AH49" s="192">
        <f t="shared" si="85"/>
        <v>2000000</v>
      </c>
      <c r="AI49" s="192">
        <f t="shared" si="85"/>
        <v>2000000</v>
      </c>
      <c r="AJ49" s="192">
        <f t="shared" si="85"/>
        <v>3000000</v>
      </c>
      <c r="AK49" s="192">
        <f t="shared" si="85"/>
        <v>-91000000</v>
      </c>
      <c r="AL49" s="192">
        <f t="shared" si="85"/>
        <v>-93000000</v>
      </c>
      <c r="AM49" s="192">
        <f t="shared" si="85"/>
        <v>-94057960</v>
      </c>
      <c r="AN49" s="192">
        <f t="shared" si="85"/>
        <v>-1000000</v>
      </c>
      <c r="AO49" s="192">
        <f t="shared" si="85"/>
        <v>-96214636.589999974</v>
      </c>
      <c r="AP49" s="192">
        <f t="shared" si="85"/>
        <v>-127114636.59</v>
      </c>
      <c r="AQ49" s="192">
        <f t="shared" si="85"/>
        <v>-62214636.590000004</v>
      </c>
      <c r="AR49" s="192">
        <f t="shared" si="85"/>
        <v>-3214636.5900000036</v>
      </c>
      <c r="AS49" s="192">
        <f t="shared" si="85"/>
        <v>-33285363.410000026</v>
      </c>
      <c r="AT49" s="192">
        <f t="shared" si="85"/>
        <v>5168584.5899999738</v>
      </c>
      <c r="AU49" s="192">
        <f t="shared" si="85"/>
        <v>40795000</v>
      </c>
      <c r="AV49" s="192">
        <f t="shared" si="85"/>
        <v>58483274.00999999</v>
      </c>
      <c r="AW49" s="192">
        <f t="shared" si="85"/>
        <v>15968174.700000048</v>
      </c>
      <c r="AX49" s="192">
        <f t="shared" si="85"/>
        <v>23968174.699999988</v>
      </c>
      <c r="AY49" s="192">
        <f t="shared" si="85"/>
        <v>169968174.69999999</v>
      </c>
      <c r="AZ49" s="192">
        <f t="shared" si="85"/>
        <v>86468174.700000003</v>
      </c>
      <c r="BA49" s="192">
        <f t="shared" si="85"/>
        <v>88173666.300000012</v>
      </c>
      <c r="BB49" s="192">
        <f t="shared" si="85"/>
        <v>-20358159</v>
      </c>
      <c r="BC49" s="192">
        <f t="shared" si="85"/>
        <v>-22358159</v>
      </c>
      <c r="BD49" s="192">
        <f t="shared" si="85"/>
        <v>-24558159</v>
      </c>
      <c r="BE49" s="192">
        <f t="shared" si="85"/>
        <v>20388159</v>
      </c>
      <c r="BF49" s="192">
        <f t="shared" si="85"/>
        <v>16477137.5</v>
      </c>
      <c r="BG49" s="192">
        <f t="shared" si="85"/>
        <v>15830000</v>
      </c>
      <c r="BH49" s="192">
        <f t="shared" si="85"/>
        <v>2740000</v>
      </c>
      <c r="BI49" s="192">
        <f t="shared" si="85"/>
        <v>-2880000</v>
      </c>
      <c r="BJ49" s="192">
        <f t="shared" si="85"/>
        <v>-5635000</v>
      </c>
      <c r="BK49" s="192">
        <f t="shared" si="85"/>
        <v>9350000</v>
      </c>
      <c r="BL49" s="192">
        <f t="shared" si="85"/>
        <v>0</v>
      </c>
      <c r="BM49" s="192">
        <f t="shared" si="85"/>
        <v>-74730000</v>
      </c>
      <c r="BN49" s="192">
        <f t="shared" si="85"/>
        <v>-897040.21999999881</v>
      </c>
      <c r="BO49" s="192">
        <f t="shared" si="85"/>
        <v>-76379375</v>
      </c>
      <c r="BP49" s="192">
        <f t="shared" si="85"/>
        <v>-5100000</v>
      </c>
      <c r="BQ49" s="192">
        <f t="shared" si="85"/>
        <v>-96369625</v>
      </c>
      <c r="BR49" s="192">
        <f t="shared" ref="BR49:BV49" si="86">BR44+BR48-BR45-BR46-BR47</f>
        <v>23780000</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6" t="s">
        <v>666</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70" width="19.33203125" bestFit="1" customWidth="1"/>
    <col min="71" max="72" width="17.21875" hidden="1" customWidth="1"/>
    <col min="73" max="73" width="17.21875" bestFit="1" customWidth="1"/>
    <col min="74" max="74" width="17.21875" hidden="1" customWidth="1"/>
  </cols>
  <sheetData>
    <row r="1" spans="1:74"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60031779.07</v>
      </c>
      <c r="F3" s="26">
        <f>股权价值增加表!F53</f>
        <v>0</v>
      </c>
      <c r="G3" s="26">
        <f>股权价值增加表!G53</f>
        <v>0</v>
      </c>
      <c r="H3" s="26">
        <f>股权价值增加表!H53</f>
        <v>0</v>
      </c>
      <c r="I3" s="26">
        <f>股权价值增加表!I53</f>
        <v>42133639.380000003</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631806.73</v>
      </c>
      <c r="Z3" s="26">
        <f>股权价值增加表!Z53</f>
        <v>0</v>
      </c>
      <c r="AA3" s="26">
        <f>股权价值增加表!AA53</f>
        <v>0</v>
      </c>
      <c r="AB3" s="26">
        <f>股权价值增加表!AB53</f>
        <v>0</v>
      </c>
      <c r="AC3" s="26">
        <f>股权价值增加表!AC53</f>
        <v>775612.75</v>
      </c>
      <c r="AD3" s="26">
        <f>股权价值增加表!AD53</f>
        <v>0</v>
      </c>
      <c r="AE3" s="26">
        <f>股权价值增加表!AE53</f>
        <v>0</v>
      </c>
      <c r="AF3" s="26">
        <f>股权价值增加表!AF53</f>
        <v>0</v>
      </c>
      <c r="AG3" s="26">
        <f>股权价值增加表!AG53</f>
        <v>692335.15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1101185072.3800001</v>
      </c>
      <c r="F4" s="26">
        <f>资产资本表!F89</f>
        <v>2981935.32</v>
      </c>
      <c r="G4" s="26">
        <f>资产资本表!G89</f>
        <v>3673740.88</v>
      </c>
      <c r="H4" s="26">
        <f>资产资本表!H89</f>
        <v>0</v>
      </c>
      <c r="I4" s="26">
        <f>资产资本表!I89</f>
        <v>0</v>
      </c>
      <c r="J4" s="26">
        <f>资产资本表!J89</f>
        <v>0</v>
      </c>
      <c r="K4" s="26">
        <f>资产资本表!K89</f>
        <v>0</v>
      </c>
      <c r="L4" s="26">
        <f>资产资本表!L89</f>
        <v>0</v>
      </c>
      <c r="M4" s="26">
        <f>资产资本表!M89</f>
        <v>0</v>
      </c>
      <c r="N4" s="26">
        <f>资产资本表!N89</f>
        <v>0</v>
      </c>
      <c r="O4" s="26">
        <f>资产资本表!O89</f>
        <v>0</v>
      </c>
      <c r="P4" s="26">
        <f>资产资本表!P89</f>
        <v>0</v>
      </c>
      <c r="Q4" s="26">
        <f>资产资本表!Q89</f>
        <v>0</v>
      </c>
      <c r="R4" s="26">
        <f>资产资本表!R89</f>
        <v>26756778.68</v>
      </c>
      <c r="S4" s="26">
        <f>资产资本表!S89</f>
        <v>23039767.309999999</v>
      </c>
      <c r="T4" s="26">
        <f>资产资本表!T89</f>
        <v>15490755.939999999</v>
      </c>
      <c r="U4" s="26">
        <f>资产资本表!U89</f>
        <v>15161744.57</v>
      </c>
      <c r="V4" s="26">
        <f>资产资本表!V89</f>
        <v>15799140.92</v>
      </c>
      <c r="W4" s="26">
        <f>资产资本表!W89</f>
        <v>2638330</v>
      </c>
      <c r="X4" s="26">
        <f>资产资本表!X89</f>
        <v>2638330</v>
      </c>
      <c r="Y4" s="26">
        <f>资产资本表!Y89</f>
        <v>2638330</v>
      </c>
      <c r="Z4" s="26">
        <f>资产资本表!Z89</f>
        <v>12682666.279999999</v>
      </c>
      <c r="AA4" s="26">
        <f>资产资本表!AA89</f>
        <v>12540166.279999999</v>
      </c>
      <c r="AB4" s="26">
        <f>资产资本表!AB89</f>
        <v>12285830</v>
      </c>
      <c r="AC4" s="26">
        <f>资产资本表!AC89</f>
        <v>12434385</v>
      </c>
      <c r="AD4" s="26">
        <f>资产资本表!AD89</f>
        <v>14575344.050000001</v>
      </c>
      <c r="AE4" s="26">
        <f>资产资本表!AE89</f>
        <v>15910911.75</v>
      </c>
      <c r="AF4" s="26">
        <f>资产资本表!AF89</f>
        <v>16113235.91</v>
      </c>
      <c r="AG4" s="26">
        <f>资产资本表!AG89</f>
        <v>18332963.109999999</v>
      </c>
      <c r="AH4" s="26">
        <f>资产资本表!AH89</f>
        <v>21486841.41</v>
      </c>
      <c r="AI4" s="26">
        <f>资产资本表!AI89</f>
        <v>19599925.41</v>
      </c>
      <c r="AJ4" s="26">
        <f>资产资本表!AJ89</f>
        <v>20599925.41</v>
      </c>
      <c r="AK4" s="26">
        <f>资产资本表!AK89</f>
        <v>17599925.41</v>
      </c>
      <c r="AL4" s="26">
        <f>资产资本表!AL89</f>
        <v>14939901.91</v>
      </c>
      <c r="AM4" s="26">
        <f>资产资本表!AM89</f>
        <v>11840901.91</v>
      </c>
      <c r="AN4" s="26">
        <f>资产资本表!AN89</f>
        <v>104840901.91</v>
      </c>
      <c r="AO4" s="26">
        <f>资产资本表!AO89</f>
        <v>107840901.91</v>
      </c>
      <c r="AP4" s="26">
        <f>资产资本表!AP89</f>
        <v>75360901.909999996</v>
      </c>
      <c r="AQ4" s="26">
        <f>资产资本表!AQ89</f>
        <v>161596521.18000001</v>
      </c>
      <c r="AR4" s="26">
        <f>资产资本表!AR89</f>
        <v>196996521.18000001</v>
      </c>
      <c r="AS4" s="26">
        <f>资产资本表!AS89</f>
        <v>200211157.77000001</v>
      </c>
      <c r="AT4" s="26">
        <f>资产资本表!AT89</f>
        <v>234668584.59</v>
      </c>
      <c r="AU4" s="26">
        <f>资产资本表!AU89</f>
        <v>270295000</v>
      </c>
      <c r="AV4" s="26">
        <f>资产资本表!AV89</f>
        <v>287983274.00999999</v>
      </c>
      <c r="AW4" s="26">
        <f>资产资本表!AW89</f>
        <v>229500000</v>
      </c>
      <c r="AX4" s="26">
        <f>资产资本表!AX89</f>
        <v>237500000</v>
      </c>
      <c r="AY4" s="26">
        <f>资产资本表!AY89</f>
        <v>373500000</v>
      </c>
      <c r="AZ4" s="26">
        <f>资产资本表!AZ89</f>
        <v>300000000</v>
      </c>
      <c r="BA4" s="26">
        <f>资产资本表!BA89</f>
        <v>213531825.30000001</v>
      </c>
      <c r="BB4" s="26">
        <f>资产资本表!BB89</f>
        <v>105000000</v>
      </c>
      <c r="BC4" s="26">
        <f>资产资本表!BC89</f>
        <v>114000000</v>
      </c>
      <c r="BD4" s="26">
        <f>资产资本表!BD89</f>
        <v>100800000</v>
      </c>
      <c r="BE4" s="26">
        <f>资产资本表!BE89</f>
        <v>125358159</v>
      </c>
      <c r="BF4" s="26">
        <f>资产资本表!BF89</f>
        <v>87673264.299999997</v>
      </c>
      <c r="BG4" s="26">
        <f>资产资本表!BG89</f>
        <v>87673264.299999997</v>
      </c>
      <c r="BH4" s="26">
        <f>资产资本表!BH89</f>
        <v>74583264.299999997</v>
      </c>
      <c r="BI4" s="26">
        <f>资产资本表!BI89</f>
        <v>71843264.299999997</v>
      </c>
      <c r="BJ4" s="26">
        <f>资产资本表!BJ89</f>
        <v>78664805.239999995</v>
      </c>
      <c r="BK4" s="26">
        <f>资产资本表!BK89</f>
        <v>92698264.299999997</v>
      </c>
      <c r="BL4" s="26">
        <f>资产资本表!BL89</f>
        <v>81223264.299999997</v>
      </c>
      <c r="BM4" s="26">
        <f>资产资本表!BM89</f>
        <v>80423264.299999997</v>
      </c>
      <c r="BN4" s="26">
        <f>资产资本表!BN89</f>
        <v>138043264.30000001</v>
      </c>
      <c r="BO4" s="26">
        <f>资产资本表!BO89</f>
        <v>154500000</v>
      </c>
      <c r="BP4" s="26">
        <f>资产资本表!BP89</f>
        <v>139180000</v>
      </c>
      <c r="BQ4" s="26">
        <f>资产资本表!BQ89</f>
        <v>139480000</v>
      </c>
      <c r="BR4" s="26">
        <f>资产资本表!BR89</f>
        <v>218880000</v>
      </c>
      <c r="BS4" s="26">
        <f>资产资本表!BS89</f>
        <v>226359375</v>
      </c>
      <c r="BT4" s="26">
        <f>资产资本表!BT89</f>
        <v>352895856.48000002</v>
      </c>
      <c r="BU4" s="26">
        <f>资产资本表!BU89</f>
        <v>365655806.86000001</v>
      </c>
      <c r="BV4" s="26">
        <f>资产资本表!BV89</f>
        <v>333986215.98000002</v>
      </c>
    </row>
    <row r="5" spans="1:74" s="63" customFormat="1" x14ac:dyDescent="0.25">
      <c r="A5" s="63" t="s">
        <v>333</v>
      </c>
      <c r="E5" s="63">
        <f>IF(E4+I4=0,0,E3/((E4+I4)/2))</f>
        <v>0.10903122567808304</v>
      </c>
      <c r="F5" s="63">
        <f t="shared" ref="F5:BQ5" si="0">IF(F4+J4=0,0,F3/((F4+J4)/2))</f>
        <v>0</v>
      </c>
      <c r="G5" s="63">
        <f t="shared" si="0"/>
        <v>0</v>
      </c>
      <c r="H5" s="63">
        <f t="shared" si="0"/>
        <v>0</v>
      </c>
      <c r="I5" s="63">
        <f t="shared" si="0"/>
        <v>0</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8.3834495643286558E-2</v>
      </c>
      <c r="Z5" s="63">
        <f t="shared" si="0"/>
        <v>0</v>
      </c>
      <c r="AA5" s="63">
        <f t="shared" si="0"/>
        <v>0</v>
      </c>
      <c r="AB5" s="63">
        <f t="shared" si="0"/>
        <v>0</v>
      </c>
      <c r="AC5" s="63">
        <f t="shared" si="0"/>
        <v>5.0417913641891708E-2</v>
      </c>
      <c r="AD5" s="63">
        <f t="shared" si="0"/>
        <v>0</v>
      </c>
      <c r="AE5" s="63">
        <f t="shared" si="0"/>
        <v>0</v>
      </c>
      <c r="AF5" s="63">
        <f t="shared" si="0"/>
        <v>0</v>
      </c>
      <c r="AG5" s="63">
        <f t="shared" si="0"/>
        <v>3.8534900950957567E-2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0.17674978925237675</v>
      </c>
      <c r="F6" s="63">
        <f>股权价值增加表!F41</f>
        <v>0.16392197905011829</v>
      </c>
      <c r="G6" s="63">
        <f>股权价值增加表!G41</f>
        <v>0.16826869890843957</v>
      </c>
      <c r="H6" s="63">
        <f>股权价值增加表!H41</f>
        <v>9.9681269514624041E-2</v>
      </c>
      <c r="I6" s="63">
        <f>股权价值增加表!I41</f>
        <v>0.30268614706290553</v>
      </c>
      <c r="J6" s="63">
        <f>股权价值增加表!J41</f>
        <v>0.18251857304412542</v>
      </c>
      <c r="K6" s="63">
        <f>股权价值增加表!K41</f>
        <v>0.16376381222875028</v>
      </c>
      <c r="L6" s="63">
        <f>股权价值增加表!L41</f>
        <v>0.14320319894990682</v>
      </c>
      <c r="M6" s="63">
        <f>股权价值增加表!M41</f>
        <v>0.15105589116260174</v>
      </c>
      <c r="N6" s="63">
        <f>股权价值增加表!N41</f>
        <v>0.17353013305694023</v>
      </c>
      <c r="O6" s="63">
        <f>股权价值增加表!O41</f>
        <v>0.14290157204830434</v>
      </c>
      <c r="P6" s="63">
        <f>股权价值增加表!P41</f>
        <v>0.13664629563038025</v>
      </c>
      <c r="Q6" s="63">
        <f>股权价值增加表!Q41</f>
        <v>0.2072057373471074</v>
      </c>
      <c r="R6" s="63">
        <f>股权价值增加表!R41</f>
        <v>0.17048215049656093</v>
      </c>
      <c r="S6" s="63">
        <f>股权价值增加表!S41</f>
        <v>0.15887214440117794</v>
      </c>
      <c r="T6" s="63">
        <f>股权价值增加表!T41</f>
        <v>0.13748911351720347</v>
      </c>
      <c r="U6" s="63">
        <f>股权价值增加表!U41</f>
        <v>0.14648645672718538</v>
      </c>
      <c r="V6" s="63">
        <f>股权价值增加表!V41</f>
        <v>0.17242404890929855</v>
      </c>
      <c r="W6" s="63">
        <f>股权价值增加表!W41</f>
        <v>0.17682137905315221</v>
      </c>
      <c r="X6" s="63">
        <f>股权价值增加表!X41</f>
        <v>0.1643304307951946</v>
      </c>
      <c r="Y6" s="63">
        <f>股权价值增加表!Y41</f>
        <v>0.13090181304994133</v>
      </c>
      <c r="Z6" s="63">
        <f>股权价值增加表!Z41</f>
        <v>0.21499503178487672</v>
      </c>
      <c r="AA6" s="63">
        <f>股权价值增加表!AA41</f>
        <v>0.22771804507091725</v>
      </c>
      <c r="AB6" s="63">
        <f>股权价值增加表!AB41</f>
        <v>0.22548478609163325</v>
      </c>
      <c r="AC6" s="63">
        <f>股权价值增加表!AC41</f>
        <v>0.19381700589684592</v>
      </c>
      <c r="AD6" s="63">
        <f>股权价值增加表!AD41</f>
        <v>0.19838617015511451</v>
      </c>
      <c r="AE6" s="63">
        <f>股权价值增加表!AE41</f>
        <v>0.23267043361325268</v>
      </c>
      <c r="AF6" s="63">
        <f>股权价值增加表!AF41</f>
        <v>0.23861684400126904</v>
      </c>
      <c r="AG6" s="63">
        <f>股权价值增加表!AG41</f>
        <v>0.17529733603400457</v>
      </c>
      <c r="AH6" s="63">
        <f>股权价值增加表!AH41</f>
        <v>0.11513461765183604</v>
      </c>
      <c r="AI6" s="63">
        <f>股权价值增加表!AI41</f>
        <v>0.13054214493414903</v>
      </c>
      <c r="AJ6" s="63">
        <f>股权价值增加表!AJ41</f>
        <v>0.15916550835550416</v>
      </c>
      <c r="AK6" s="63">
        <f>股权价值增加表!AK41</f>
        <v>0.18910693344370474</v>
      </c>
      <c r="AL6" s="63">
        <f>股权价值增加表!AL41</f>
        <v>0.11215706160657513</v>
      </c>
      <c r="AM6" s="63">
        <f>股权价值增加表!AM41</f>
        <v>0.13801770882519332</v>
      </c>
      <c r="AN6" s="63">
        <f>股权价值增加表!AN41</f>
        <v>0.26889728827926707</v>
      </c>
      <c r="AO6" s="63">
        <f>股权价值增加表!AO41</f>
        <v>0.19185292075179777</v>
      </c>
      <c r="AP6" s="63">
        <f>股权价值增加表!AP41</f>
        <v>0.14429498023508081</v>
      </c>
      <c r="AQ6" s="63">
        <f>股权价值增加表!AQ41</f>
        <v>0.20224091479098039</v>
      </c>
      <c r="AR6" s="63">
        <f>股权价值增加表!AR41</f>
        <v>0.33065090920859969</v>
      </c>
      <c r="AS6" s="63">
        <f>股权价值增加表!AS41</f>
        <v>0.21514084463437624</v>
      </c>
      <c r="AT6" s="63">
        <f>股权价值增加表!AT41</f>
        <v>0.2127754199881304</v>
      </c>
      <c r="AU6" s="63">
        <f>股权价值增加表!AU41</f>
        <v>0.23726096730921159</v>
      </c>
      <c r="AV6" s="63">
        <f>股权价值增加表!AV41</f>
        <v>0.30208042353877795</v>
      </c>
      <c r="AW6" s="63">
        <f>股权价值增加表!AW41</f>
        <v>0.25523185530748405</v>
      </c>
      <c r="AX6" s="63">
        <f>股权价值增加表!AX41</f>
        <v>0.16263819860861745</v>
      </c>
      <c r="AY6" s="63">
        <f>股权价值增加表!AY41</f>
        <v>0.15981951790636414</v>
      </c>
      <c r="AZ6" s="63">
        <f>股权价值增加表!AZ41</f>
        <v>0.23440399602669149</v>
      </c>
      <c r="BA6" s="63">
        <f>股权价值增加表!BA41</f>
        <v>0.15186395096466387</v>
      </c>
      <c r="BB6" s="63">
        <f>股权价值增加表!BB41</f>
        <v>0.18607226937168447</v>
      </c>
      <c r="BC6" s="63">
        <f>股权价值增加表!BC41</f>
        <v>0.111594025020938</v>
      </c>
      <c r="BD6" s="63">
        <f>股权价值增加表!BD41</f>
        <v>8.3698690374049922E-2</v>
      </c>
      <c r="BE6" s="63">
        <f>股权价值增加表!BE41</f>
        <v>0.18754666938643458</v>
      </c>
      <c r="BF6" s="63">
        <f>股权价值增加表!BF41</f>
        <v>0.10329892605891883</v>
      </c>
      <c r="BG6" s="63">
        <f>股权价值增加表!BG41</f>
        <v>0.10214064855571137</v>
      </c>
      <c r="BH6" s="63">
        <f>股权价值增加表!BH41</f>
        <v>0.10597246967052455</v>
      </c>
      <c r="BI6" s="63">
        <f>股权价值增加表!BI41</f>
        <v>7.0580482541890574E-2</v>
      </c>
      <c r="BJ6" s="63">
        <f>股权价值增加表!BJ41</f>
        <v>7.9821377903653679E-2</v>
      </c>
      <c r="BK6" s="63">
        <f>股权价值增加表!BK41</f>
        <v>7.0921911831419104E-2</v>
      </c>
      <c r="BL6" s="63">
        <f>股权价值增加表!BL41</f>
        <v>4.1040663291426235E-2</v>
      </c>
      <c r="BM6" s="63">
        <f>股权价值增加表!BM41</f>
        <v>0.19810111736932795</v>
      </c>
      <c r="BN6" s="63">
        <f>股权价值增加表!BN41</f>
        <v>0.15263166128289277</v>
      </c>
      <c r="BO6" s="63">
        <f>股权价值增加表!BO41</f>
        <v>0.12847757002880403</v>
      </c>
      <c r="BP6" s="63">
        <f>股权价值增加表!BP41</f>
        <v>0.14444285379539798</v>
      </c>
      <c r="BQ6" s="63">
        <f>股权价值增加表!BQ41</f>
        <v>0.15955662463062037</v>
      </c>
      <c r="BR6" s="63">
        <f>股权价值增加表!BR41</f>
        <v>0.10787329351812829</v>
      </c>
      <c r="BS6" s="63">
        <f>股权价值增加表!BS41</f>
        <v>0.18453753563617531</v>
      </c>
      <c r="BT6" s="63">
        <f>股权价值增加表!BT41</f>
        <v>0.13464035120408274</v>
      </c>
      <c r="BU6" s="63">
        <f>股权价值增加表!BU41</f>
        <v>0.16261644688976157</v>
      </c>
    </row>
    <row r="7" spans="1:74" s="63" customFormat="1" x14ac:dyDescent="0.25">
      <c r="A7" s="63" t="s">
        <v>330</v>
      </c>
      <c r="E7" s="63">
        <f>E5*(1-E6)</f>
        <v>8.9759979517553545E-2</v>
      </c>
      <c r="F7" s="63">
        <f t="shared" ref="F7:BQ7" si="2">F5*(1-F6)</f>
        <v>0</v>
      </c>
      <c r="G7" s="63">
        <f t="shared" si="2"/>
        <v>0</v>
      </c>
      <c r="H7" s="63">
        <f t="shared" si="2"/>
        <v>0</v>
      </c>
      <c r="I7" s="63">
        <f t="shared" si="2"/>
        <v>0</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7.2860408167452942E-2</v>
      </c>
      <c r="Z7" s="63">
        <f t="shared" si="2"/>
        <v>0</v>
      </c>
      <c r="AA7" s="63">
        <f t="shared" si="2"/>
        <v>0</v>
      </c>
      <c r="AB7" s="63">
        <f t="shared" si="2"/>
        <v>0</v>
      </c>
      <c r="AC7" s="63">
        <f t="shared" si="2"/>
        <v>4.0646064576254512E-2</v>
      </c>
      <c r="AD7" s="63">
        <f t="shared" si="2"/>
        <v>0</v>
      </c>
      <c r="AE7" s="63">
        <f t="shared" si="2"/>
        <v>0</v>
      </c>
      <c r="AF7" s="63">
        <f t="shared" si="2"/>
        <v>0</v>
      </c>
      <c r="AG7" s="63">
        <f t="shared" si="2"/>
        <v>3.1779835469920477E-2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5376551846.6099997</v>
      </c>
      <c r="F8" s="26">
        <f>资产资本表!F107</f>
        <v>5526518028.3599997</v>
      </c>
      <c r="G8" s="26">
        <f>资产资本表!G107</f>
        <v>5424553112.3900003</v>
      </c>
      <c r="H8" s="26">
        <f>资产资本表!H107</f>
        <v>5377300918.21</v>
      </c>
      <c r="I8" s="26">
        <f>资产资本表!I107</f>
        <v>5264125997.2299995</v>
      </c>
      <c r="J8" s="26">
        <f>资产资本表!J107</f>
        <v>5491950513.3900003</v>
      </c>
      <c r="K8" s="26">
        <f>资产资本表!K107</f>
        <v>6091662505.5299997</v>
      </c>
      <c r="L8" s="26">
        <f>资产资本表!L107</f>
        <v>5853221822.8999996</v>
      </c>
      <c r="M8" s="26">
        <f>资产资本表!M107</f>
        <v>5728747482.5600004</v>
      </c>
      <c r="N8" s="26">
        <f>资产资本表!N107</f>
        <v>4346577496.8199997</v>
      </c>
      <c r="O8" s="26">
        <f>资产资本表!O107</f>
        <v>4247511083.4099998</v>
      </c>
      <c r="P8" s="26">
        <f>资产资本表!P107</f>
        <v>3997929558.0500002</v>
      </c>
      <c r="Q8" s="26">
        <f>资产资本表!Q107</f>
        <v>3805206460.5699997</v>
      </c>
      <c r="R8" s="26">
        <f>资产资本表!R107</f>
        <v>3776217499.0799999</v>
      </c>
      <c r="S8" s="26">
        <f>资产资本表!S107</f>
        <v>3636063138.8699999</v>
      </c>
      <c r="T8" s="26">
        <f>资产资本表!T107</f>
        <v>3552102700.4299998</v>
      </c>
      <c r="U8" s="26">
        <f>资产资本表!U107</f>
        <v>3365391166.2400002</v>
      </c>
      <c r="V8" s="26">
        <f>资产资本表!V107</f>
        <v>3190654675.73</v>
      </c>
      <c r="W8" s="26">
        <f>资产资本表!W107</f>
        <v>3031986888.6100001</v>
      </c>
      <c r="X8" s="26">
        <f>资产资本表!X107</f>
        <v>2910937725.0599999</v>
      </c>
      <c r="Y8" s="26">
        <f>资产资本表!Y107</f>
        <v>2731483774.8100004</v>
      </c>
      <c r="Z8" s="26">
        <f>资产资本表!Z107</f>
        <v>2527401110.98</v>
      </c>
      <c r="AA8" s="26">
        <f>资产资本表!AA107</f>
        <v>2559865651.6700001</v>
      </c>
      <c r="AB8" s="26">
        <f>资产资本表!AB107</f>
        <v>1868843693.1399999</v>
      </c>
      <c r="AC8" s="26">
        <f>资产资本表!AC107</f>
        <v>1781721434.4400001</v>
      </c>
      <c r="AD8" s="26">
        <f>资产资本表!AD107</f>
        <v>1695252451.1799998</v>
      </c>
      <c r="AE8" s="26">
        <f>资产资本表!AE107</f>
        <v>1619314194.6300001</v>
      </c>
      <c r="AF8" s="26">
        <f>资产资本表!AF107</f>
        <v>1579461577.3299999</v>
      </c>
      <c r="AG8" s="26">
        <f>资产资本表!AG107</f>
        <v>1517920530.76</v>
      </c>
      <c r="AH8" s="26">
        <f>资产资本表!AH107</f>
        <v>1468656359.6099999</v>
      </c>
      <c r="AI8" s="26">
        <f>资产资本表!AI107</f>
        <v>1411583549.8400002</v>
      </c>
      <c r="AJ8" s="26">
        <f>资产资本表!AJ107</f>
        <v>1411805757.1900001</v>
      </c>
      <c r="AK8" s="26">
        <f>资产资本表!AK107</f>
        <v>1368589603.1500001</v>
      </c>
      <c r="AL8" s="26">
        <f>资产资本表!AL107</f>
        <v>1308614940.8499999</v>
      </c>
      <c r="AM8" s="26">
        <f>资产资本表!AM107</f>
        <v>1256788536.4199998</v>
      </c>
      <c r="AN8" s="26">
        <f>资产资本表!AN107</f>
        <v>1184871152.3500001</v>
      </c>
      <c r="AO8" s="26">
        <f>资产资本表!AO107</f>
        <v>1144508385.8699999</v>
      </c>
      <c r="AP8" s="26">
        <f>资产资本表!AP107</f>
        <v>1099163325.2</v>
      </c>
      <c r="AQ8" s="26">
        <f>资产资本表!AQ107</f>
        <v>1089680363.6900001</v>
      </c>
      <c r="AR8" s="26">
        <f>资产资本表!AR107</f>
        <v>928975444.63</v>
      </c>
      <c r="AS8" s="26">
        <f>资产资本表!AS107</f>
        <v>903475668.24000001</v>
      </c>
      <c r="AT8" s="26">
        <f>资产资本表!AT107</f>
        <v>885102614.19000006</v>
      </c>
      <c r="AU8" s="26">
        <f>资产资本表!AU107</f>
        <v>849432336.61000001</v>
      </c>
      <c r="AV8" s="26">
        <f>资产资本表!AV107</f>
        <v>833361540.75</v>
      </c>
      <c r="AW8" s="26">
        <f>资产资本表!AW107</f>
        <v>855760559.23000002</v>
      </c>
      <c r="AX8" s="26">
        <f>资产资本表!AX107</f>
        <v>841190782.38999999</v>
      </c>
      <c r="AY8" s="26">
        <f>资产资本表!AY107</f>
        <v>827018795.32999992</v>
      </c>
      <c r="AZ8" s="26">
        <f>资产资本表!AZ107</f>
        <v>1253494059.21</v>
      </c>
      <c r="BA8" s="26">
        <f>资产资本表!BA107</f>
        <v>1251789842.6500001</v>
      </c>
      <c r="BB8" s="26">
        <f>资产资本表!BB107</f>
        <v>1256395284.51</v>
      </c>
      <c r="BC8" s="26">
        <f>资产资本表!BC107</f>
        <v>1242323512.4699998</v>
      </c>
      <c r="BD8" s="26">
        <f>资产资本表!BD107</f>
        <v>1267816922.27</v>
      </c>
      <c r="BE8" s="26">
        <f>资产资本表!BE107</f>
        <v>1248881938.8</v>
      </c>
      <c r="BF8" s="26">
        <f>资产资本表!BF107</f>
        <v>1286222913.0800002</v>
      </c>
      <c r="BG8" s="26">
        <f>资产资本表!BG107</f>
        <v>1266386498.0600002</v>
      </c>
      <c r="BH8" s="26">
        <f>资产资本表!BH107</f>
        <v>1252835671.6900001</v>
      </c>
      <c r="BI8" s="26">
        <f>资产资本表!BI107</f>
        <v>1238940283.3199999</v>
      </c>
      <c r="BJ8" s="26">
        <f>资产资本表!BJ107</f>
        <v>1236519165.3199999</v>
      </c>
      <c r="BK8" s="26">
        <f>资产资本表!BK107</f>
        <v>1210226920.74</v>
      </c>
      <c r="BL8" s="26">
        <f>资产资本表!BL107</f>
        <v>1158139804.26</v>
      </c>
      <c r="BM8" s="26">
        <f>资产资本表!BM107</f>
        <v>1185530362.3200002</v>
      </c>
      <c r="BN8" s="26">
        <f>资产资本表!BN107</f>
        <v>1178903765.03</v>
      </c>
      <c r="BO8" s="26">
        <f>资产资本表!BO107</f>
        <v>1144970185</v>
      </c>
      <c r="BP8" s="26">
        <f>资产资本表!BP107</f>
        <v>1086844866.9199998</v>
      </c>
      <c r="BQ8" s="26">
        <f>资产资本表!BQ107</f>
        <v>1074523979.22</v>
      </c>
      <c r="BR8" s="26">
        <f>资产资本表!BR107</f>
        <v>1071854044.4299999</v>
      </c>
      <c r="BS8" s="26">
        <f>资产资本表!BS107</f>
        <v>290163499.04000002</v>
      </c>
      <c r="BT8" s="26">
        <f>资产资本表!BT107</f>
        <v>266668654.03999999</v>
      </c>
      <c r="BU8" s="26">
        <f>资产资本表!BU107</f>
        <v>232988587.81</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6480245388.0299997</v>
      </c>
      <c r="F10" s="26">
        <f>资产资本表!F70</f>
        <v>5584129813.4499998</v>
      </c>
      <c r="G10" s="26">
        <f>资产资本表!G70</f>
        <v>5486901784.9500008</v>
      </c>
      <c r="H10" s="26">
        <f>资产资本表!H70</f>
        <v>5410851971.2399998</v>
      </c>
      <c r="I10" s="26">
        <f>资产资本表!I70</f>
        <v>5302630348.1700001</v>
      </c>
      <c r="J10" s="26">
        <f>资产资本表!J70</f>
        <v>5496064351.8899994</v>
      </c>
      <c r="K10" s="26">
        <f>资产资本表!K70</f>
        <v>6092846785.5299997</v>
      </c>
      <c r="L10" s="26">
        <f>资产资本表!L70</f>
        <v>5854406102.8999996</v>
      </c>
      <c r="M10" s="26">
        <f>资产资本表!M70</f>
        <v>5729931762.5599995</v>
      </c>
      <c r="N10" s="26">
        <f>资产资本表!N70</f>
        <v>4347945256.8199997</v>
      </c>
      <c r="O10" s="26">
        <f>资产资本表!O70</f>
        <v>4249908833.4099998</v>
      </c>
      <c r="P10" s="26">
        <f>资产资本表!P70</f>
        <v>4012230378.0500002</v>
      </c>
      <c r="Q10" s="26">
        <f>资产资本表!Q70</f>
        <v>3819507280.5699997</v>
      </c>
      <c r="R10" s="26">
        <f>资产资本表!R70</f>
        <v>3817275097.7600002</v>
      </c>
      <c r="S10" s="26">
        <f>资产资本表!S70</f>
        <v>3675262658.1800003</v>
      </c>
      <c r="T10" s="26">
        <f>资产资本表!T70</f>
        <v>3584288156.3699999</v>
      </c>
      <c r="U10" s="26">
        <f>资产资本表!U70</f>
        <v>3397247610.8099999</v>
      </c>
      <c r="V10" s="26">
        <f>资产资本表!V70</f>
        <v>3223399778.6199999</v>
      </c>
      <c r="W10" s="26">
        <f>资产资本表!W70</f>
        <v>3051380418.6100001</v>
      </c>
      <c r="X10" s="26">
        <f>资产资本表!X70</f>
        <v>2923716055.0599999</v>
      </c>
      <c r="Y10" s="26">
        <f>资产资本表!Y70</f>
        <v>2744262104.8100004</v>
      </c>
      <c r="Z10" s="26">
        <f>资产资本表!Z70</f>
        <v>2550223777.2599998</v>
      </c>
      <c r="AA10" s="26">
        <f>资产资本表!AA70</f>
        <v>2573660093.1700001</v>
      </c>
      <c r="AB10" s="26">
        <f>资产资本表!AB70</f>
        <v>1883905590.1799998</v>
      </c>
      <c r="AC10" s="26">
        <f>资产资本表!AC70</f>
        <v>1794672213.1999998</v>
      </c>
      <c r="AD10" s="26">
        <f>资产资本表!AD70</f>
        <v>1710344188.99</v>
      </c>
      <c r="AE10" s="26">
        <f>资产资本表!AE70</f>
        <v>1635741500.1399999</v>
      </c>
      <c r="AF10" s="26">
        <f>资产资本表!AF70</f>
        <v>1596245740.77</v>
      </c>
      <c r="AG10" s="26">
        <f>资产资本表!AG70</f>
        <v>1536769887.6300001</v>
      </c>
      <c r="AH10" s="26">
        <f>资产资本表!AH70</f>
        <v>1490659594.78</v>
      </c>
      <c r="AI10" s="26">
        <f>资产资本表!AI70</f>
        <v>1431699869.01</v>
      </c>
      <c r="AJ10" s="26">
        <f>资产资本表!AJ70</f>
        <v>1432405682.5999999</v>
      </c>
      <c r="AK10" s="26">
        <f>资产资本表!AK70</f>
        <v>1388123113.24</v>
      </c>
      <c r="AL10" s="26">
        <f>资产资本表!AL70</f>
        <v>1325509475.3200002</v>
      </c>
      <c r="AM10" s="26">
        <f>资产资本表!AM70</f>
        <v>1271588026.47</v>
      </c>
      <c r="AN10" s="26">
        <f>资产资本表!AN70</f>
        <v>1293033135.8300002</v>
      </c>
      <c r="AO10" s="26">
        <f>资产资本表!AO70</f>
        <v>1255785567</v>
      </c>
      <c r="AP10" s="26">
        <f>资产资本表!AP70</f>
        <v>1177960506.3299999</v>
      </c>
      <c r="AQ10" s="26">
        <f>资产资本表!AQ70</f>
        <v>1255221960.05</v>
      </c>
      <c r="AR10" s="26">
        <f>资产资本表!AR70</f>
        <v>1139734738.6199999</v>
      </c>
      <c r="AS10" s="26">
        <f>资产资本表!AS70</f>
        <v>1108044404.3099999</v>
      </c>
      <c r="AT10" s="26">
        <f>资产资本表!AT70</f>
        <v>1126177219.5700002</v>
      </c>
      <c r="AU10" s="26">
        <f>资产资本表!AU70</f>
        <v>1128133357.4000001</v>
      </c>
      <c r="AV10" s="26">
        <f>资产资本表!AV70</f>
        <v>1121344814.7600002</v>
      </c>
      <c r="AW10" s="26">
        <f>资产资本表!AW70</f>
        <v>1080170459.25</v>
      </c>
      <c r="AX10" s="26">
        <f>资产资本表!AX70</f>
        <v>1086739630.6500001</v>
      </c>
      <c r="AY10" s="26">
        <f>资产资本表!AY70</f>
        <v>1202793809.77</v>
      </c>
      <c r="AZ10" s="26">
        <f>资产资本表!AZ70</f>
        <v>1554515431.6899998</v>
      </c>
      <c r="BA10" s="26">
        <f>资产资本表!BA70</f>
        <v>1466442525.8000002</v>
      </c>
      <c r="BB10" s="26">
        <f>资产资本表!BB70</f>
        <v>1363055991.52</v>
      </c>
      <c r="BC10" s="26">
        <f>资产资本表!BC70</f>
        <v>1402741283.5300002</v>
      </c>
      <c r="BD10" s="26">
        <f>资产资本表!BD70</f>
        <v>1365807767.0700002</v>
      </c>
      <c r="BE10" s="26">
        <f>资产资本表!BE70</f>
        <v>1382454641.3299999</v>
      </c>
      <c r="BF10" s="26">
        <f>资产资本表!BF70</f>
        <v>1378169355.1500001</v>
      </c>
      <c r="BG10" s="26">
        <f>资产资本表!BG70</f>
        <v>1396331099.97</v>
      </c>
      <c r="BH10" s="26">
        <f>资产资本表!BH70</f>
        <v>1321426575.8299999</v>
      </c>
      <c r="BI10" s="26">
        <f>资产资本表!BI70</f>
        <v>1308652630.8699999</v>
      </c>
      <c r="BJ10" s="26">
        <f>资产资本表!BJ70</f>
        <v>1318203409.71</v>
      </c>
      <c r="BK10" s="26">
        <f>资产资本表!BK70</f>
        <v>1210182496.8399999</v>
      </c>
      <c r="BL10" s="26">
        <f>资产资本表!BL70</f>
        <v>1282339030.5799999</v>
      </c>
      <c r="BM10" s="26">
        <f>资产资本表!BM70</f>
        <v>1268046546.79</v>
      </c>
      <c r="BN10" s="26">
        <f>资产资本表!BN70</f>
        <v>1330683151.75</v>
      </c>
      <c r="BO10" s="26">
        <f>资产资本表!BO70</f>
        <v>1341651366.1199999</v>
      </c>
      <c r="BP10" s="26">
        <f>资产资本表!BP70</f>
        <v>1256179773.98</v>
      </c>
      <c r="BQ10" s="26">
        <f>资产资本表!BQ70</f>
        <v>1240050778.4400001</v>
      </c>
      <c r="BR10" s="26">
        <f>资产资本表!BR70</f>
        <v>1297555504.3600001</v>
      </c>
      <c r="BS10" s="26">
        <f>资产资本表!BS70</f>
        <v>532602842.31</v>
      </c>
      <c r="BT10" s="26">
        <f>资产资本表!BT70</f>
        <v>630332203.24000001</v>
      </c>
      <c r="BU10" s="26">
        <f>资产资本表!BU70</f>
        <v>614127746.19999993</v>
      </c>
    </row>
    <row r="11" spans="1:74" s="63" customFormat="1" x14ac:dyDescent="0.25">
      <c r="A11" s="17" t="s">
        <v>347</v>
      </c>
      <c r="E11" s="63">
        <f>E4/E10</f>
        <v>0.16992953297942337</v>
      </c>
      <c r="F11" s="63">
        <f t="shared" ref="F11:BQ11" si="3">F4/F10</f>
        <v>5.340017907208525E-4</v>
      </c>
      <c r="G11" s="63">
        <f t="shared" si="3"/>
        <v>6.6954741017539044E-4</v>
      </c>
      <c r="H11" s="63">
        <f t="shared" si="3"/>
        <v>0</v>
      </c>
      <c r="I11" s="63">
        <f t="shared" si="3"/>
        <v>0</v>
      </c>
      <c r="J11" s="63">
        <f t="shared" si="3"/>
        <v>0</v>
      </c>
      <c r="K11" s="63">
        <f t="shared" si="3"/>
        <v>0</v>
      </c>
      <c r="L11" s="63">
        <f t="shared" si="3"/>
        <v>0</v>
      </c>
      <c r="M11" s="63">
        <f t="shared" si="3"/>
        <v>0</v>
      </c>
      <c r="N11" s="63">
        <f t="shared" si="3"/>
        <v>0</v>
      </c>
      <c r="O11" s="63">
        <f t="shared" si="3"/>
        <v>0</v>
      </c>
      <c r="P11" s="63">
        <f t="shared" si="3"/>
        <v>0</v>
      </c>
      <c r="Q11" s="63">
        <f t="shared" si="3"/>
        <v>0</v>
      </c>
      <c r="R11" s="63">
        <f t="shared" si="3"/>
        <v>7.0093923007280862E-3</v>
      </c>
      <c r="S11" s="63">
        <f t="shared" si="3"/>
        <v>6.2688763913840515E-3</v>
      </c>
      <c r="T11" s="63">
        <f t="shared" si="3"/>
        <v>4.321850047817672E-3</v>
      </c>
      <c r="U11" s="63">
        <f t="shared" si="3"/>
        <v>4.4629495129396854E-3</v>
      </c>
      <c r="V11" s="63">
        <f t="shared" si="3"/>
        <v>4.901390458853949E-3</v>
      </c>
      <c r="W11" s="63">
        <f t="shared" si="3"/>
        <v>8.6463489898183274E-4</v>
      </c>
      <c r="X11" s="63">
        <f t="shared" si="3"/>
        <v>9.0238927115850057E-4</v>
      </c>
      <c r="Y11" s="63">
        <f t="shared" si="3"/>
        <v>9.6139869270346731E-4</v>
      </c>
      <c r="Z11" s="63">
        <f t="shared" si="3"/>
        <v>4.9731581961903176E-3</v>
      </c>
      <c r="AA11" s="63">
        <f t="shared" si="3"/>
        <v>4.8725029048238321E-3</v>
      </c>
      <c r="AB11" s="63">
        <f t="shared" si="3"/>
        <v>6.5214679886512446E-3</v>
      </c>
      <c r="AC11" s="63">
        <f t="shared" si="3"/>
        <v>6.9284992036672838E-3</v>
      </c>
      <c r="AD11" s="63">
        <f t="shared" si="3"/>
        <v>8.5218777272001011E-3</v>
      </c>
      <c r="AE11" s="63">
        <f t="shared" si="3"/>
        <v>9.727033121454837E-3</v>
      </c>
      <c r="AF11" s="63">
        <f t="shared" si="3"/>
        <v>1.0094458201797466E-2</v>
      </c>
      <c r="AG11" s="63">
        <f t="shared" si="3"/>
        <v>1.1929543425836523E-2</v>
      </c>
      <c r="AH11" s="63">
        <f t="shared" si="3"/>
        <v>1.4414317987314301E-2</v>
      </c>
      <c r="AI11" s="63">
        <f t="shared" si="3"/>
        <v>1.368996801232724E-2</v>
      </c>
      <c r="AJ11" s="63">
        <f t="shared" si="3"/>
        <v>1.4381348566426025E-2</v>
      </c>
      <c r="AK11" s="63">
        <f t="shared" si="3"/>
        <v>1.2678936934433895E-2</v>
      </c>
      <c r="AL11" s="63">
        <f t="shared" si="3"/>
        <v>1.1271063834827177E-2</v>
      </c>
      <c r="AM11" s="63">
        <f t="shared" si="3"/>
        <v>9.3119010744942381E-3</v>
      </c>
      <c r="AN11" s="63">
        <f t="shared" si="3"/>
        <v>8.1081372939992319E-2</v>
      </c>
      <c r="AO11" s="63">
        <f t="shared" si="3"/>
        <v>8.5875251909150185E-2</v>
      </c>
      <c r="AP11" s="63">
        <f t="shared" si="3"/>
        <v>6.3975745795409544E-2</v>
      </c>
      <c r="AQ11" s="63">
        <f t="shared" si="3"/>
        <v>0.12873939934381251</v>
      </c>
      <c r="AR11" s="63">
        <f t="shared" si="3"/>
        <v>0.17284418426916162</v>
      </c>
      <c r="AS11" s="63">
        <f t="shared" si="3"/>
        <v>0.18068874946819055</v>
      </c>
      <c r="AT11" s="63">
        <f t="shared" si="3"/>
        <v>0.20837624888168291</v>
      </c>
      <c r="AU11" s="63">
        <f t="shared" si="3"/>
        <v>0.23959490092815508</v>
      </c>
      <c r="AV11" s="63">
        <f t="shared" si="3"/>
        <v>0.25681955293264241</v>
      </c>
      <c r="AW11" s="63">
        <f t="shared" si="3"/>
        <v>0.21246646585701839</v>
      </c>
      <c r="AX11" s="63">
        <f t="shared" si="3"/>
        <v>0.21854360814829826</v>
      </c>
      <c r="AY11" s="63">
        <f t="shared" si="3"/>
        <v>0.31052703877102694</v>
      </c>
      <c r="AZ11" s="63">
        <f t="shared" si="3"/>
        <v>0.19298618327246414</v>
      </c>
      <c r="BA11" s="63">
        <f t="shared" si="3"/>
        <v>0.14561213381582089</v>
      </c>
      <c r="BB11" s="63">
        <f t="shared" si="3"/>
        <v>7.703278563260646E-2</v>
      </c>
      <c r="BC11" s="63">
        <f t="shared" si="3"/>
        <v>8.12694410141825E-2</v>
      </c>
      <c r="BD11" s="63">
        <f t="shared" si="3"/>
        <v>7.3802479697594084E-2</v>
      </c>
      <c r="BE11" s="63">
        <f t="shared" si="3"/>
        <v>9.0677954453101131E-2</v>
      </c>
      <c r="BF11" s="63">
        <f t="shared" si="3"/>
        <v>6.3615740672493495E-2</v>
      </c>
      <c r="BG11" s="63">
        <f t="shared" si="3"/>
        <v>6.2788305941107833E-2</v>
      </c>
      <c r="BH11" s="63">
        <f t="shared" si="3"/>
        <v>5.6441474436938407E-2</v>
      </c>
      <c r="BI11" s="63">
        <f t="shared" si="3"/>
        <v>5.4898651181588327E-2</v>
      </c>
      <c r="BJ11" s="63">
        <f t="shared" si="3"/>
        <v>5.9675771326752954E-2</v>
      </c>
      <c r="BK11" s="63">
        <f t="shared" si="3"/>
        <v>7.6598582893118619E-2</v>
      </c>
      <c r="BL11" s="63">
        <f t="shared" si="3"/>
        <v>6.3339929896123373E-2</v>
      </c>
      <c r="BM11" s="63">
        <f t="shared" si="3"/>
        <v>6.3422959120536776E-2</v>
      </c>
      <c r="BN11" s="63">
        <f t="shared" si="3"/>
        <v>0.10373864290568148</v>
      </c>
      <c r="BO11" s="63">
        <f t="shared" si="3"/>
        <v>0.11515659276433907</v>
      </c>
      <c r="BP11" s="63">
        <f t="shared" si="3"/>
        <v>0.11079624340633264</v>
      </c>
      <c r="BQ11" s="63">
        <f t="shared" si="3"/>
        <v>0.1124792649019322</v>
      </c>
      <c r="BR11" s="63">
        <f>BR4/BR10</f>
        <v>0.1686864255629352</v>
      </c>
      <c r="BS11" s="63">
        <f>BS4/BS10</f>
        <v>0.42500594630369654</v>
      </c>
      <c r="BT11" s="63">
        <f>BT4/BT10</f>
        <v>0.5598569368121501</v>
      </c>
      <c r="BU11" s="63">
        <f>BU4/BU10</f>
        <v>0.59540675229631901</v>
      </c>
      <c r="BV11" s="63" t="e">
        <f>BV4/BV10*100</f>
        <v>#DIV/0!</v>
      </c>
    </row>
    <row r="12" spans="1:74" s="63" customFormat="1" x14ac:dyDescent="0.25">
      <c r="A12" s="17" t="s">
        <v>348</v>
      </c>
      <c r="E12" s="63">
        <f>E8/E10</f>
        <v>0.82968337225953048</v>
      </c>
      <c r="F12" s="63">
        <f t="shared" ref="F12:BQ12" si="4">F8/F10</f>
        <v>0.98968294308788529</v>
      </c>
      <c r="G12" s="63">
        <f t="shared" si="4"/>
        <v>0.98863681636674883</v>
      </c>
      <c r="H12" s="63">
        <f t="shared" si="4"/>
        <v>0.99379930310266629</v>
      </c>
      <c r="I12" s="63">
        <f t="shared" si="4"/>
        <v>0.99273863188421407</v>
      </c>
      <c r="J12" s="63">
        <f t="shared" si="4"/>
        <v>0.99925149375323741</v>
      </c>
      <c r="K12" s="63">
        <f t="shared" si="4"/>
        <v>0.9998056278055748</v>
      </c>
      <c r="L12" s="63">
        <f t="shared" si="4"/>
        <v>0.99979771133413287</v>
      </c>
      <c r="M12" s="63">
        <f t="shared" si="4"/>
        <v>0.99979331691037976</v>
      </c>
      <c r="N12" s="63">
        <f t="shared" si="4"/>
        <v>0.99968542382224002</v>
      </c>
      <c r="O12" s="63">
        <f t="shared" si="4"/>
        <v>0.99943581142702398</v>
      </c>
      <c r="P12" s="63">
        <f t="shared" si="4"/>
        <v>0.99643569320489755</v>
      </c>
      <c r="Q12" s="63">
        <f t="shared" si="4"/>
        <v>0.99625584690655022</v>
      </c>
      <c r="R12" s="63">
        <f t="shared" si="4"/>
        <v>0.98924426518170172</v>
      </c>
      <c r="S12" s="63">
        <f t="shared" si="4"/>
        <v>0.98933422643338043</v>
      </c>
      <c r="T12" s="63">
        <f t="shared" si="4"/>
        <v>0.99102040501883193</v>
      </c>
      <c r="U12" s="63">
        <f t="shared" si="4"/>
        <v>0.99062286644381381</v>
      </c>
      <c r="V12" s="63">
        <f t="shared" si="4"/>
        <v>0.98984143912052425</v>
      </c>
      <c r="W12" s="63">
        <f t="shared" si="4"/>
        <v>0.99364434212079189</v>
      </c>
      <c r="X12" s="63">
        <f t="shared" si="4"/>
        <v>0.9956294216813959</v>
      </c>
      <c r="Y12" s="63">
        <f t="shared" si="4"/>
        <v>0.99534361897225387</v>
      </c>
      <c r="Z12" s="63">
        <f t="shared" si="4"/>
        <v>0.9910507201432649</v>
      </c>
      <c r="AA12" s="63">
        <f t="shared" si="4"/>
        <v>0.99464014632833297</v>
      </c>
      <c r="AB12" s="63">
        <f t="shared" si="4"/>
        <v>0.99200496186299825</v>
      </c>
      <c r="AC12" s="63">
        <f t="shared" si="4"/>
        <v>0.99278376370640531</v>
      </c>
      <c r="AD12" s="63">
        <f t="shared" si="4"/>
        <v>0.99117619838910187</v>
      </c>
      <c r="AE12" s="63">
        <f t="shared" si="4"/>
        <v>0.98995727288902691</v>
      </c>
      <c r="AF12" s="63">
        <f t="shared" si="4"/>
        <v>0.9894852258575777</v>
      </c>
      <c r="AG12" s="63">
        <f t="shared" si="4"/>
        <v>0.98773443114566128</v>
      </c>
      <c r="AH12" s="63">
        <f t="shared" si="4"/>
        <v>0.98523926237281056</v>
      </c>
      <c r="AI12" s="63">
        <f t="shared" si="4"/>
        <v>0.98594934622442199</v>
      </c>
      <c r="AJ12" s="63">
        <f t="shared" si="4"/>
        <v>0.98561865143357408</v>
      </c>
      <c r="AK12" s="63">
        <f t="shared" si="4"/>
        <v>0.98592811408174952</v>
      </c>
      <c r="AL12" s="63">
        <f t="shared" si="4"/>
        <v>0.98725430878876086</v>
      </c>
      <c r="AM12" s="63">
        <f t="shared" si="4"/>
        <v>0.98836141128893418</v>
      </c>
      <c r="AN12" s="63">
        <f t="shared" si="4"/>
        <v>0.91635018432024118</v>
      </c>
      <c r="AO12" s="63">
        <f t="shared" si="4"/>
        <v>0.91138838982212944</v>
      </c>
      <c r="AP12" s="63">
        <f t="shared" si="4"/>
        <v>0.93310711122608281</v>
      </c>
      <c r="AQ12" s="63">
        <f t="shared" si="4"/>
        <v>0.86811767031752229</v>
      </c>
      <c r="AR12" s="63">
        <f t="shared" si="4"/>
        <v>0.81508039822916256</v>
      </c>
      <c r="AS12" s="63">
        <f t="shared" si="4"/>
        <v>0.81537857573732464</v>
      </c>
      <c r="AT12" s="63">
        <f t="shared" si="4"/>
        <v>0.78593546274000481</v>
      </c>
      <c r="AU12" s="63">
        <f t="shared" si="4"/>
        <v>0.75295383390460147</v>
      </c>
      <c r="AV12" s="63">
        <f t="shared" si="4"/>
        <v>0.74318044706735742</v>
      </c>
      <c r="AW12" s="63">
        <f t="shared" si="4"/>
        <v>0.79224584592341507</v>
      </c>
      <c r="AX12" s="63">
        <f t="shared" si="4"/>
        <v>0.77404997357726568</v>
      </c>
      <c r="AY12" s="63">
        <f t="shared" si="4"/>
        <v>0.68758151946936252</v>
      </c>
      <c r="AZ12" s="63">
        <f t="shared" si="4"/>
        <v>0.80635678080548689</v>
      </c>
      <c r="BA12" s="63">
        <f t="shared" si="4"/>
        <v>0.85362352811413533</v>
      </c>
      <c r="BB12" s="63">
        <f t="shared" si="4"/>
        <v>0.92174884401406121</v>
      </c>
      <c r="BC12" s="63">
        <f t="shared" si="4"/>
        <v>0.88563980190537428</v>
      </c>
      <c r="BD12" s="63">
        <f t="shared" si="4"/>
        <v>0.92825429232239975</v>
      </c>
      <c r="BE12" s="63">
        <f t="shared" si="4"/>
        <v>0.90338004695655294</v>
      </c>
      <c r="BF12" s="63">
        <f t="shared" si="4"/>
        <v>0.93328364055809931</v>
      </c>
      <c r="BG12" s="63">
        <f t="shared" si="4"/>
        <v>0.90693854637142168</v>
      </c>
      <c r="BH12" s="63">
        <f t="shared" si="4"/>
        <v>0.94809329145138665</v>
      </c>
      <c r="BI12" s="63">
        <f t="shared" si="4"/>
        <v>0.94672967760462545</v>
      </c>
      <c r="BJ12" s="63">
        <f t="shared" si="4"/>
        <v>0.93803365718195919</v>
      </c>
      <c r="BK12" s="63">
        <f t="shared" si="4"/>
        <v>1.000036708430436</v>
      </c>
      <c r="BL12" s="63">
        <f t="shared" si="4"/>
        <v>0.90314634167859276</v>
      </c>
      <c r="BM12" s="63">
        <f t="shared" si="4"/>
        <v>0.93492653351023614</v>
      </c>
      <c r="BN12" s="63">
        <f t="shared" si="4"/>
        <v>0.88593874768731173</v>
      </c>
      <c r="BO12" s="63">
        <f t="shared" si="4"/>
        <v>0.85340365903789617</v>
      </c>
      <c r="BP12" s="63">
        <f t="shared" si="4"/>
        <v>0.86519850855145497</v>
      </c>
      <c r="BQ12" s="63">
        <f t="shared" si="4"/>
        <v>0.86651611200290135</v>
      </c>
      <c r="BR12" s="63">
        <f>BR8/BR10</f>
        <v>0.82605641209828318</v>
      </c>
      <c r="BS12" s="63">
        <f>BS8/BS10</f>
        <v>0.54480276106208081</v>
      </c>
      <c r="BT12" s="63">
        <f>BT8/BT10</f>
        <v>0.42306049519488925</v>
      </c>
      <c r="BU12" s="63">
        <f>BU8/BU10</f>
        <v>0.37938130828911248</v>
      </c>
      <c r="BV12" s="63" t="e">
        <f>BV8/BV10*100</f>
        <v>#DIV/0!</v>
      </c>
    </row>
    <row r="13" spans="1:74" s="63" customFormat="1" x14ac:dyDescent="0.25">
      <c r="A13" s="63" t="s">
        <v>349</v>
      </c>
      <c r="E13" s="63">
        <f>E5*E11*(1-E6)+E9*E12</f>
        <v>8.1627541180422925E-2</v>
      </c>
      <c r="F13" s="63">
        <f t="shared" ref="F13:J13" si="5">F5*F11*(1-F6)+F9*F12</f>
        <v>7.9174635447030822E-2</v>
      </c>
      <c r="G13" s="63">
        <f t="shared" si="5"/>
        <v>7.9090945309339911E-2</v>
      </c>
      <c r="H13" s="63">
        <f t="shared" si="5"/>
        <v>7.9503944248213304E-2</v>
      </c>
      <c r="I13" s="63">
        <f t="shared" si="5"/>
        <v>7.9419090550737134E-2</v>
      </c>
      <c r="J13" s="63">
        <f t="shared" si="5"/>
        <v>7.9940119500258991E-2</v>
      </c>
      <c r="K13" s="63">
        <f t="shared" ref="K13" si="6">K5*K11*(1-K6)+K9*K12</f>
        <v>7.9984450224445988E-2</v>
      </c>
      <c r="L13" s="63">
        <f t="shared" ref="L13" si="7">L5*L11*(1-L6)+L9*L12</f>
        <v>7.9983816906730634E-2</v>
      </c>
      <c r="M13" s="63">
        <f t="shared" ref="M13" si="8">M5*M11*(1-M6)+M9*M12</f>
        <v>7.998346535283038E-2</v>
      </c>
      <c r="N13" s="63">
        <f t="shared" ref="N13:O13" si="9">N5*N11*(1-N6)+N9*N12</f>
        <v>7.9974833905779197E-2</v>
      </c>
      <c r="O13" s="63">
        <f t="shared" si="9"/>
        <v>7.9954864914161913E-2</v>
      </c>
      <c r="P13" s="63">
        <f t="shared" ref="P13" si="10">P5*P11*(1-P6)+P9*P12</f>
        <v>7.97148554563918E-2</v>
      </c>
      <c r="Q13" s="63">
        <f t="shared" ref="Q13" si="11">Q5*Q11*(1-Q6)+Q9*Q12</f>
        <v>7.9700467752524026E-2</v>
      </c>
      <c r="R13" s="63">
        <f t="shared" ref="R13" si="12">R5*R11*(1-R6)+R9*R12</f>
        <v>7.9139541214536133E-2</v>
      </c>
      <c r="S13" s="63">
        <f t="shared" ref="S13:T13" si="13">S5*S11*(1-S6)+S9*S12</f>
        <v>7.9146738114670434E-2</v>
      </c>
      <c r="T13" s="63">
        <f t="shared" si="13"/>
        <v>7.9281632401506555E-2</v>
      </c>
      <c r="U13" s="63">
        <f t="shared" ref="U13" si="14">U5*U11*(1-U6)+U9*U12</f>
        <v>7.9249829315505102E-2</v>
      </c>
      <c r="V13" s="63">
        <f t="shared" ref="V13" si="15">V5*V11*(1-V6)+V9*V12</f>
        <v>7.9187315129641944E-2</v>
      </c>
      <c r="W13" s="63">
        <f t="shared" ref="W13" si="16">W5*W11*(1-W6)+W9*W12</f>
        <v>7.9491547369663351E-2</v>
      </c>
      <c r="X13" s="63">
        <f t="shared" ref="X13:Y13" si="17">X5*X11*(1-X6)+X9*X12</f>
        <v>7.9650353734511667E-2</v>
      </c>
      <c r="Y13" s="63">
        <f t="shared" si="17"/>
        <v>7.9697537418942338E-2</v>
      </c>
      <c r="Z13" s="63">
        <f t="shared" ref="Z13" si="18">Z5*Z11*(1-Z6)+Z9*Z12</f>
        <v>7.9284057611461192E-2</v>
      </c>
      <c r="AA13" s="63">
        <f t="shared" ref="AA13" si="19">AA5*AA11*(1-AA6)+AA9*AA12</f>
        <v>7.9571211706266645E-2</v>
      </c>
      <c r="AB13" s="63">
        <f t="shared" ref="AB13" si="20">AB5*AB11*(1-AB6)+AB9*AB12</f>
        <v>7.936039694903986E-2</v>
      </c>
      <c r="AC13" s="63">
        <f t="shared" ref="AC13:AD13" si="21">AC5*AC11*(1-AC6)+AC9*AC12</f>
        <v>7.9704317322561211E-2</v>
      </c>
      <c r="AD13" s="63">
        <f t="shared" si="21"/>
        <v>7.9294095871128151E-2</v>
      </c>
      <c r="AE13" s="63">
        <f t="shared" ref="AE13" si="22">AE5*AE11*(1-AE6)+AE9*AE12</f>
        <v>7.9196581831122159E-2</v>
      </c>
      <c r="AF13" s="63">
        <f t="shared" ref="AF13" si="23">AF5*AF11*(1-AF6)+AF9*AF12</f>
        <v>7.9158818068606224E-2</v>
      </c>
      <c r="AG13" s="63">
        <f t="shared" ref="AG13" si="24">AG5*AG11*(1-AG6)+AG9*AG12</f>
        <v>7.9397873418957265E-2</v>
      </c>
      <c r="AH13" s="63">
        <f t="shared" ref="AH13:AI13" si="25">AH5*AH11*(1-AH6)+AH9*AH12</f>
        <v>7.8819140989824843E-2</v>
      </c>
      <c r="AI13" s="63">
        <f t="shared" si="25"/>
        <v>7.8875947697953766E-2</v>
      </c>
      <c r="AJ13" s="63">
        <f t="shared" ref="AJ13" si="26">AJ5*AJ11*(1-AJ6)+AJ9*AJ12</f>
        <v>7.8849492114685935E-2</v>
      </c>
      <c r="AK13" s="63">
        <f t="shared" ref="AK13" si="27">AK5*AK11*(1-AK6)+AK9*AK12</f>
        <v>7.8874249126539966E-2</v>
      </c>
      <c r="AL13" s="63">
        <f t="shared" ref="AL13" si="28">AL5*AL11*(1-AL6)+AL9*AL12</f>
        <v>7.8980344703100877E-2</v>
      </c>
      <c r="AM13" s="63">
        <f t="shared" ref="AM13:AN13" si="29">AM5*AM11*(1-AM6)+AM9*AM12</f>
        <v>7.9068912903114741E-2</v>
      </c>
      <c r="AN13" s="63">
        <f t="shared" si="29"/>
        <v>7.3308014745619293E-2</v>
      </c>
      <c r="AO13" s="63">
        <f t="shared" ref="AO13" si="30">AO5*AO11*(1-AO6)+AO9*AO12</f>
        <v>7.2911071185770351E-2</v>
      </c>
      <c r="AP13" s="63">
        <f t="shared" ref="AP13" si="31">AP5*AP11*(1-AP6)+AP9*AP12</f>
        <v>7.4648568898086631E-2</v>
      </c>
      <c r="AQ13" s="63">
        <f t="shared" ref="AQ13" si="32">AQ5*AQ11*(1-AQ6)+AQ9*AQ12</f>
        <v>6.9449413625401787E-2</v>
      </c>
      <c r="AR13" s="63">
        <f t="shared" ref="AR13:AS13" si="33">AR5*AR11*(1-AR6)+AR9*AR12</f>
        <v>6.5206431858333011E-2</v>
      </c>
      <c r="AS13" s="63">
        <f t="shared" si="33"/>
        <v>6.5230286058985967E-2</v>
      </c>
      <c r="AT13" s="63">
        <f t="shared" ref="AT13" si="34">AT5*AT11*(1-AT6)+AT9*AT12</f>
        <v>6.287483701920038E-2</v>
      </c>
      <c r="AU13" s="63">
        <f t="shared" ref="AU13" si="35">AU5*AU11*(1-AU6)+AU9*AU12</f>
        <v>6.0236306712368119E-2</v>
      </c>
      <c r="AV13" s="63">
        <f t="shared" ref="AV13" si="36">AV5*AV11*(1-AV6)+AV9*AV12</f>
        <v>5.9454435765388593E-2</v>
      </c>
      <c r="AW13" s="63">
        <f t="shared" ref="AW13:AX13" si="37">AW5*AW11*(1-AW6)+AW9*AW12</f>
        <v>6.3379667673873208E-2</v>
      </c>
      <c r="AX13" s="63">
        <f t="shared" si="37"/>
        <v>6.1923997886181255E-2</v>
      </c>
      <c r="AY13" s="63">
        <f t="shared" ref="AY13" si="38">AY5*AY11*(1-AY6)+AY9*AY12</f>
        <v>5.5006521557549003E-2</v>
      </c>
      <c r="AZ13" s="63">
        <f t="shared" ref="AZ13" si="39">AZ5*AZ11*(1-AZ6)+AZ9*AZ12</f>
        <v>6.4508542464438948E-2</v>
      </c>
      <c r="BA13" s="63">
        <f t="shared" ref="BA13" si="40">BA5*BA11*(1-BA6)+BA9*BA12</f>
        <v>6.8289882249130823E-2</v>
      </c>
      <c r="BB13" s="63">
        <f t="shared" ref="BB13:BC13" si="41">BB5*BB11*(1-BB6)+BB9*BB12</f>
        <v>7.3739907521124901E-2</v>
      </c>
      <c r="BC13" s="63">
        <f t="shared" si="41"/>
        <v>7.0851184152429941E-2</v>
      </c>
      <c r="BD13" s="63">
        <f t="shared" ref="BD13" si="42">BD5*BD11*(1-BD6)+BD9*BD12</f>
        <v>7.4260343385791988E-2</v>
      </c>
      <c r="BE13" s="63">
        <f t="shared" ref="BE13" si="43">BE5*BE11*(1-BE6)+BE9*BE12</f>
        <v>7.2270403756524243E-2</v>
      </c>
      <c r="BF13" s="63">
        <f t="shared" ref="BF13" si="44">BF5*BF11*(1-BF6)+BF9*BF12</f>
        <v>7.4662691244647944E-2</v>
      </c>
      <c r="BG13" s="63">
        <f t="shared" ref="BG13:BH13" si="45">BG5*BG11*(1-BG6)+BG9*BG12</f>
        <v>7.2555083709713739E-2</v>
      </c>
      <c r="BH13" s="63">
        <f t="shared" si="45"/>
        <v>7.5847463316110933E-2</v>
      </c>
      <c r="BI13" s="63">
        <f t="shared" ref="BI13" si="46">BI5*BI11*(1-BI6)+BI9*BI12</f>
        <v>7.5738374208370041E-2</v>
      </c>
      <c r="BJ13" s="63">
        <f t="shared" ref="BJ13" si="47">BJ5*BJ11*(1-BJ6)+BJ9*BJ12</f>
        <v>7.5042692574556744E-2</v>
      </c>
      <c r="BK13" s="63">
        <f t="shared" ref="BK13" si="48">BK5*BK11*(1-BK6)+BK9*BK12</f>
        <v>8.000293667443488E-2</v>
      </c>
      <c r="BL13" s="63">
        <f t="shared" ref="BL13:BM13" si="49">BL5*BL11*(1-BL6)+BL9*BL12</f>
        <v>7.2251707334287416E-2</v>
      </c>
      <c r="BM13" s="63">
        <f t="shared" si="49"/>
        <v>7.4794122680818892E-2</v>
      </c>
      <c r="BN13" s="63">
        <f t="shared" ref="BN13" si="50">BN5*BN11*(1-BN6)+BN9*BN12</f>
        <v>7.0875099814984938E-2</v>
      </c>
      <c r="BO13" s="63">
        <f t="shared" ref="BO13" si="51">BO5*BO11*(1-BO6)+BO9*BO12</f>
        <v>6.8272292723031688E-2</v>
      </c>
      <c r="BP13" s="63">
        <f t="shared" ref="BP13" si="52">BP5*BP11*(1-BP6)+BP9*BP12</f>
        <v>6.9215880684116396E-2</v>
      </c>
      <c r="BQ13" s="63">
        <f t="shared" ref="BQ13:BR13" si="53">BQ5*BQ11*(1-BQ6)+BQ9*BQ12</f>
        <v>6.9321288960232111E-2</v>
      </c>
      <c r="BR13" s="63">
        <f t="shared" si="53"/>
        <v>6.6084512967862649E-2</v>
      </c>
      <c r="BS13" s="63">
        <f t="shared" ref="BS13" si="54">BS5*BS11*(1-BS6)+BS9*BS12</f>
        <v>4.3584220884966468E-2</v>
      </c>
      <c r="BT13" s="63">
        <f t="shared" ref="BT13" si="55">BT5*BT11*(1-BT6)+BT9*BT12</f>
        <v>3.3844839615591142E-2</v>
      </c>
      <c r="BU13" s="63">
        <f t="shared" ref="BU13" si="56">BU5*BU11*(1-BU6)+BU9*BU12</f>
        <v>3.0350504663129E-2</v>
      </c>
      <c r="BV13" s="63" t="e">
        <f t="shared" ref="BV13" si="57">BV5*BV11*(1-BV6)+BV9*BV12</f>
        <v>#DIV/0!</v>
      </c>
    </row>
    <row r="14" spans="1:74" s="16" customFormat="1" ht="56.4" customHeight="1" x14ac:dyDescent="0.25">
      <c r="A14" s="278" t="s">
        <v>667</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2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21.44140625" hidden="1" customWidth="1"/>
    <col min="71" max="74" width="19" bestFit="1" customWidth="1"/>
    <col min="75" max="75" width="9.5546875" hidden="1" customWidth="1"/>
    <col min="76" max="90" width="8.5546875" bestFit="1" customWidth="1"/>
  </cols>
  <sheetData>
    <row r="1" spans="1:90"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89"/>
      <c r="BY1" s="189"/>
      <c r="BZ1" s="189"/>
      <c r="CA1" s="189"/>
      <c r="CB1" s="189"/>
      <c r="CC1" s="189"/>
      <c r="CD1" s="189"/>
      <c r="CE1" s="189"/>
      <c r="CF1" s="189"/>
      <c r="CG1" s="189"/>
      <c r="CH1" s="189"/>
      <c r="CI1" s="189"/>
      <c r="CJ1" s="189"/>
      <c r="CK1" s="189"/>
      <c r="CL1" s="189"/>
    </row>
    <row r="2" spans="1:90" s="26" customFormat="1" x14ac:dyDescent="0.25">
      <c r="A2" s="41" t="s">
        <v>551</v>
      </c>
      <c r="E2" s="26">
        <f>资产资本表!E17</f>
        <v>1879565759.4100001</v>
      </c>
      <c r="F2" s="26">
        <f>资产资本表!F17</f>
        <v>2138637929.79</v>
      </c>
      <c r="G2" s="26">
        <f>资产资本表!G17</f>
        <v>2595336562.6900001</v>
      </c>
      <c r="H2" s="26">
        <f>资产资本表!H17</f>
        <v>2547817682.6300001</v>
      </c>
      <c r="I2" s="26">
        <f>资产资本表!I17</f>
        <v>2773087308.23</v>
      </c>
      <c r="J2" s="26">
        <f>资产资本表!J17</f>
        <v>3319654242.46</v>
      </c>
      <c r="K2" s="26">
        <f>资产资本表!K17</f>
        <v>4058558171.04</v>
      </c>
      <c r="L2" s="26">
        <f>资产资本表!L17</f>
        <v>3942601282.4499998</v>
      </c>
      <c r="M2" s="26">
        <f>资产资本表!M17</f>
        <v>3596640930.6700001</v>
      </c>
      <c r="N2" s="26">
        <f>资产资本表!N17</f>
        <v>2496619003.8299999</v>
      </c>
      <c r="O2" s="26">
        <f>资产资本表!O17</f>
        <v>2311467821.3099999</v>
      </c>
      <c r="P2" s="26">
        <f>资产资本表!P17</f>
        <v>3065908760.3600001</v>
      </c>
      <c r="Q2" s="26">
        <f>资产资本表!Q17</f>
        <v>2698060561.48</v>
      </c>
      <c r="R2" s="26">
        <f>资产资本表!R17</f>
        <v>2503136168.48</v>
      </c>
      <c r="S2" s="26">
        <f>资产资本表!S17</f>
        <v>2257336804.0700002</v>
      </c>
      <c r="T2" s="26">
        <f>资产资本表!T17</f>
        <v>2303376783.6500001</v>
      </c>
      <c r="U2" s="26">
        <f>资产资本表!U17</f>
        <v>1782645395.4399998</v>
      </c>
      <c r="V2" s="26">
        <f>资产资本表!V17</f>
        <v>2268191684.0299997</v>
      </c>
      <c r="W2" s="26">
        <f>资产资本表!W17</f>
        <v>2040814494.2300003</v>
      </c>
      <c r="X2" s="26">
        <f>资产资本表!X17</f>
        <v>2052636261.3399999</v>
      </c>
      <c r="Y2" s="26">
        <f>资产资本表!Y17</f>
        <v>1820084487.8700001</v>
      </c>
      <c r="Z2" s="26">
        <f>资产资本表!Z17</f>
        <v>1805186196.54</v>
      </c>
      <c r="AA2" s="26">
        <f>资产资本表!AA17</f>
        <v>1576784250.97</v>
      </c>
      <c r="AB2" s="26">
        <f>资产资本表!AB17</f>
        <v>1054018437.67</v>
      </c>
      <c r="AC2" s="26">
        <f>资产资本表!AC17</f>
        <v>873194762.71000004</v>
      </c>
      <c r="AD2" s="26">
        <f>资产资本表!AD17</f>
        <v>954680185.75</v>
      </c>
      <c r="AE2" s="26">
        <f>资产资本表!AE17</f>
        <v>809544856.52999997</v>
      </c>
      <c r="AF2" s="26">
        <f>资产资本表!AF17</f>
        <v>829614901.82000005</v>
      </c>
      <c r="AG2" s="26">
        <f>资产资本表!AG17</f>
        <v>773877255.04999995</v>
      </c>
      <c r="AH2" s="26">
        <f>资产资本表!AH17</f>
        <v>809143541.53999996</v>
      </c>
      <c r="AI2" s="26">
        <f>资产资本表!AI17</f>
        <v>678805129.55999994</v>
      </c>
      <c r="AJ2" s="26">
        <f>资产资本表!AJ17</f>
        <v>695429835.62</v>
      </c>
      <c r="AK2" s="26">
        <f>资产资本表!AK17</f>
        <v>706934735.46000004</v>
      </c>
      <c r="AL2" s="26">
        <f>资产资本表!AL17</f>
        <v>701134777.55000007</v>
      </c>
      <c r="AM2" s="26">
        <f>资产资本表!AM17</f>
        <v>501812457.24000001</v>
      </c>
      <c r="AN2" s="26">
        <f>资产资本表!AN17</f>
        <v>534705686.70999998</v>
      </c>
      <c r="AO2" s="26">
        <f>资产资本表!AO17</f>
        <v>483998298.75</v>
      </c>
      <c r="AP2" s="26">
        <f>资产资本表!AP17</f>
        <v>471939004.80000001</v>
      </c>
      <c r="AQ2" s="26">
        <f>资产资本表!AQ17</f>
        <v>504966248.72000003</v>
      </c>
      <c r="AR2" s="26">
        <f>资产资本表!AR17</f>
        <v>415035458.31</v>
      </c>
      <c r="AS2" s="26">
        <f>资产资本表!AS17</f>
        <v>338228983.93000001</v>
      </c>
      <c r="AT2" s="26">
        <f>资产资本表!AT17</f>
        <v>466475913.38</v>
      </c>
      <c r="AU2" s="26">
        <f>资产资本表!AU17</f>
        <v>350319294.61000001</v>
      </c>
      <c r="AV2" s="26">
        <f>资产资本表!AV17</f>
        <v>262408866.76999998</v>
      </c>
      <c r="AW2" s="26">
        <f>资产资本表!AW17</f>
        <v>231916393.77000001</v>
      </c>
      <c r="AX2" s="26">
        <f>资产资本表!AX17</f>
        <v>230292110.24000001</v>
      </c>
      <c r="AY2" s="26">
        <f>资产资本表!AY17</f>
        <v>239606490.64000002</v>
      </c>
      <c r="AZ2" s="26">
        <f>资产资本表!AZ17</f>
        <v>478880660.77999997</v>
      </c>
      <c r="BA2" s="26">
        <f>资产资本表!BA17</f>
        <v>365031634.95000005</v>
      </c>
      <c r="BB2" s="26">
        <f>资产资本表!BB17</f>
        <v>245341636.41999999</v>
      </c>
      <c r="BC2" s="26">
        <f>资产资本表!BC17</f>
        <v>325215030.62</v>
      </c>
      <c r="BD2" s="26">
        <f>资产资本表!BD17</f>
        <v>310907557.19</v>
      </c>
      <c r="BE2" s="26">
        <f>资产资本表!BE17</f>
        <v>397013223.01999998</v>
      </c>
      <c r="BF2" s="26">
        <f>资产资本表!BF17</f>
        <v>411320662.96000004</v>
      </c>
      <c r="BG2" s="26">
        <f>资产资本表!BG17</f>
        <v>472121765.80000001</v>
      </c>
      <c r="BH2" s="26">
        <f>资产资本表!BH17</f>
        <v>432352656.40999997</v>
      </c>
      <c r="BI2" s="26">
        <f>资产资本表!BI17</f>
        <v>451157452.65999997</v>
      </c>
      <c r="BJ2" s="26">
        <f>资产资本表!BJ17</f>
        <v>508860395.50999999</v>
      </c>
      <c r="BK2" s="26">
        <f>资产资本表!BK17</f>
        <v>407676923.81999999</v>
      </c>
      <c r="BL2" s="26">
        <f>资产资本表!BL17</f>
        <v>412936577.91999996</v>
      </c>
      <c r="BM2" s="26">
        <f>资产资本表!BM17</f>
        <v>518402209.13</v>
      </c>
      <c r="BN2" s="26">
        <f>资产资本表!BN17</f>
        <v>688874266.04999995</v>
      </c>
      <c r="BO2" s="26">
        <f>资产资本表!BO17</f>
        <v>744304172.58999991</v>
      </c>
      <c r="BP2" s="26">
        <f>资产资本表!BP17</f>
        <v>710827958.76999998</v>
      </c>
      <c r="BQ2" s="26">
        <f>资产资本表!BQ17</f>
        <v>732924657.05999994</v>
      </c>
      <c r="BR2" s="26">
        <f>资产资本表!BR17</f>
        <v>871205319.63999999</v>
      </c>
      <c r="BS2" s="26">
        <f>资产资本表!BS17</f>
        <v>67127512.590000004</v>
      </c>
      <c r="BT2" s="26">
        <f>资产资本表!BT17</f>
        <v>74301081.659999996</v>
      </c>
      <c r="BU2" s="26">
        <f>资产资本表!BU17</f>
        <v>44155475.600000001</v>
      </c>
      <c r="BV2" s="26">
        <f>资产资本表!BV17</f>
        <v>50317733.219999999</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207045491.97</v>
      </c>
      <c r="F3" s="26">
        <f>资产资本表!F19</f>
        <v>194880010.28999999</v>
      </c>
      <c r="G3" s="26">
        <f>资产资本表!G19</f>
        <v>205669036.63999999</v>
      </c>
      <c r="H3" s="26">
        <f>资产资本表!H19</f>
        <v>207219060.93000001</v>
      </c>
      <c r="I3" s="26">
        <f>资产资本表!I19</f>
        <v>205101612.72</v>
      </c>
      <c r="J3" s="26">
        <f>资产资本表!J19</f>
        <v>212965977.13999999</v>
      </c>
      <c r="K3" s="26">
        <f>资产资本表!K19</f>
        <v>171657131.87</v>
      </c>
      <c r="L3" s="26">
        <f>资产资本表!L19</f>
        <v>170346402.28</v>
      </c>
      <c r="M3" s="26">
        <f>资产资本表!M19</f>
        <v>118202862.25</v>
      </c>
      <c r="N3" s="26">
        <f>资产资本表!N19</f>
        <v>115560201.05</v>
      </c>
      <c r="O3" s="26">
        <f>资产资本表!O19</f>
        <v>791942039.50999999</v>
      </c>
      <c r="P3" s="26">
        <f>资产资本表!P19</f>
        <v>744940292.03999996</v>
      </c>
      <c r="Q3" s="26">
        <f>资产资本表!Q19</f>
        <v>703752772.44000006</v>
      </c>
      <c r="R3" s="26">
        <f>资产资本表!R19</f>
        <v>655310620.20000005</v>
      </c>
      <c r="S3" s="26">
        <f>资产资本表!S19</f>
        <v>702282180.88</v>
      </c>
      <c r="T3" s="26">
        <f>资产资本表!T19</f>
        <v>675317161.55999994</v>
      </c>
      <c r="U3" s="26">
        <f>资产资本表!U19</f>
        <v>633868921.77999997</v>
      </c>
      <c r="V3" s="26">
        <f>资产资本表!V19</f>
        <v>598754113.67999995</v>
      </c>
      <c r="W3" s="26">
        <f>资产资本表!W19</f>
        <v>561767078.84000003</v>
      </c>
      <c r="X3" s="26">
        <f>资产资本表!X19</f>
        <v>543831936.99000001</v>
      </c>
      <c r="Y3" s="26">
        <f>资产资本表!Y19</f>
        <v>507798192.56</v>
      </c>
      <c r="Z3" s="26">
        <f>资产资本表!Z19</f>
        <v>481002211.52999997</v>
      </c>
      <c r="AA3" s="26">
        <f>资产资本表!AA19</f>
        <v>466395831.44</v>
      </c>
      <c r="AB3" s="26">
        <f>资产资本表!AB19</f>
        <v>387508464.47000003</v>
      </c>
      <c r="AC3" s="26">
        <f>资产资本表!AC19</f>
        <v>358473350.06</v>
      </c>
      <c r="AD3" s="26">
        <f>资产资本表!AD19</f>
        <v>341172083.88</v>
      </c>
      <c r="AE3" s="26">
        <f>资产资本表!AE19</f>
        <v>315011594</v>
      </c>
      <c r="AF3" s="26">
        <f>资产资本表!AF19</f>
        <v>307724741.49000001</v>
      </c>
      <c r="AG3" s="26">
        <f>资产资本表!AG19</f>
        <v>292012679.68000001</v>
      </c>
      <c r="AH3" s="26">
        <f>资产资本表!AH19</f>
        <v>244885572.72999999</v>
      </c>
      <c r="AI3" s="26">
        <f>资产资本表!AI19</f>
        <v>252299709.12</v>
      </c>
      <c r="AJ3" s="26">
        <f>资产资本表!AJ19</f>
        <v>239813620.88</v>
      </c>
      <c r="AK3" s="26">
        <f>资产资本表!AK19</f>
        <v>163932913.41999999</v>
      </c>
      <c r="AL3" s="26">
        <f>资产资本表!AL19</f>
        <v>198436551.91999999</v>
      </c>
      <c r="AM3" s="26">
        <f>资产资本表!AM19</f>
        <v>170625915.52000001</v>
      </c>
      <c r="AN3" s="26">
        <f>资产资本表!AN19</f>
        <v>177159526.24000001</v>
      </c>
      <c r="AO3" s="26">
        <f>资产资本表!AO19</f>
        <v>176249306.83000001</v>
      </c>
      <c r="AP3" s="26">
        <f>资产资本表!AP19</f>
        <v>175603618.08000001</v>
      </c>
      <c r="AQ3" s="26">
        <f>资产资本表!AQ19</f>
        <v>98140365.739999995</v>
      </c>
      <c r="AR3" s="26">
        <f>资产资本表!AR19</f>
        <v>103767804.09</v>
      </c>
      <c r="AS3" s="26">
        <f>资产资本表!AS19</f>
        <v>95057978.010000005</v>
      </c>
      <c r="AT3" s="26">
        <f>资产资本表!AT19</f>
        <v>108995616.31999999</v>
      </c>
      <c r="AU3" s="26">
        <f>资产资本表!AU19</f>
        <v>102201474.23</v>
      </c>
      <c r="AV3" s="26">
        <f>资产资本表!AV19</f>
        <v>99695249.099999994</v>
      </c>
      <c r="AW3" s="26">
        <f>资产资本表!AW19</f>
        <v>141214351.81999999</v>
      </c>
      <c r="AX3" s="26">
        <f>资产资本表!AX19</f>
        <v>139813863.02000001</v>
      </c>
      <c r="AY3" s="26">
        <f>资产资本表!AY19</f>
        <v>146797905.83000001</v>
      </c>
      <c r="AZ3" s="26">
        <f>资产资本表!AZ19</f>
        <v>151320459.31</v>
      </c>
      <c r="BA3" s="26">
        <f>资产资本表!BA19</f>
        <v>143150804.46000001</v>
      </c>
      <c r="BB3" s="26">
        <f>资产资本表!BB19</f>
        <v>132635980.97</v>
      </c>
      <c r="BC3" s="26">
        <f>资产资本表!BC19</f>
        <v>133275752.09</v>
      </c>
      <c r="BD3" s="26">
        <f>资产资本表!BD19</f>
        <v>137615001.56999999</v>
      </c>
      <c r="BE3" s="26">
        <f>资产资本表!BE19</f>
        <v>121066935.12</v>
      </c>
      <c r="BF3" s="26">
        <f>资产资本表!BF19</f>
        <v>120304394.26000001</v>
      </c>
      <c r="BG3" s="26">
        <f>资产资本表!BG19</f>
        <v>93157156.730000004</v>
      </c>
      <c r="BH3" s="26">
        <f>资产资本表!BH19</f>
        <v>109272597.03</v>
      </c>
      <c r="BI3" s="26">
        <f>资产资本表!BI19</f>
        <v>102102723.65000001</v>
      </c>
      <c r="BJ3" s="26">
        <f>资产资本表!BJ19</f>
        <v>96715504.489999995</v>
      </c>
      <c r="BK3" s="26">
        <f>资产资本表!BK19</f>
        <v>99318235.209999993</v>
      </c>
      <c r="BL3" s="26">
        <f>资产资本表!BL19</f>
        <v>66036505.789999999</v>
      </c>
      <c r="BM3" s="26">
        <f>资产资本表!BM19</f>
        <v>65235560.880000003</v>
      </c>
      <c r="BN3" s="26">
        <f>资产资本表!BN19</f>
        <v>59312928.140000001</v>
      </c>
      <c r="BO3" s="26">
        <f>资产资本表!BO19</f>
        <v>69028533.200000003</v>
      </c>
      <c r="BP3" s="26">
        <f>资产资本表!BP19</f>
        <v>11397799.52</v>
      </c>
      <c r="BQ3" s="26">
        <f>资产资本表!BQ19</f>
        <v>11457748.77</v>
      </c>
      <c r="BR3" s="26">
        <f>资产资本表!BR19</f>
        <v>23389260.390000001</v>
      </c>
      <c r="BS3" s="26">
        <f>资产资本表!BS19</f>
        <v>16239320.220000001</v>
      </c>
      <c r="BT3" s="26">
        <f>资产资本表!BT19</f>
        <v>15679775.9</v>
      </c>
      <c r="BU3" s="26">
        <f>资产资本表!BU19</f>
        <v>10421401.550000001</v>
      </c>
      <c r="BV3" s="26">
        <f>资产资本表!BV19</f>
        <v>14017346.949999999</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9805657.1599993706</v>
      </c>
      <c r="F4" s="26">
        <f>资产资本表!F50</f>
        <v>1532261291.1700001</v>
      </c>
      <c r="G4" s="26">
        <f>资产资本表!G50</f>
        <v>1004765458.1000004</v>
      </c>
      <c r="H4" s="26">
        <f>资产资本表!H50</f>
        <v>1019545604.2700005</v>
      </c>
      <c r="I4" s="26">
        <f>资产资本表!I50</f>
        <v>752863803.01000023</v>
      </c>
      <c r="J4" s="26">
        <f>资产资本表!J50</f>
        <v>501250923.10999966</v>
      </c>
      <c r="K4" s="26">
        <f>资产资本表!K50</f>
        <v>657755915.94000006</v>
      </c>
      <c r="L4" s="26">
        <f>资产资本表!L50</f>
        <v>693196335.21000004</v>
      </c>
      <c r="M4" s="26">
        <f>资产资本表!M50</f>
        <v>1019622266.23</v>
      </c>
      <c r="N4" s="26">
        <f>资产资本表!N50</f>
        <v>984172558.88999987</v>
      </c>
      <c r="O4" s="26">
        <f>资产资本表!O50</f>
        <v>422275582.10000038</v>
      </c>
      <c r="P4" s="26">
        <f>资产资本表!P50</f>
        <v>-336760387.14999986</v>
      </c>
      <c r="Q4" s="26">
        <f>资产资本表!Q50</f>
        <v>-29855944.700000286</v>
      </c>
      <c r="R4" s="26">
        <f>资产资本表!R50</f>
        <v>148252313.38999987</v>
      </c>
      <c r="S4" s="26">
        <f>资产资本表!S50</f>
        <v>199119892.86999989</v>
      </c>
      <c r="T4" s="26">
        <f>资产资本表!T50</f>
        <v>71352548.869999647</v>
      </c>
      <c r="U4" s="26">
        <f>资产资本表!U50</f>
        <v>438435219.93000007</v>
      </c>
      <c r="V4" s="26">
        <f>资产资本表!V50</f>
        <v>-130735498.15999985</v>
      </c>
      <c r="W4" s="26">
        <f>资产资本表!W50</f>
        <v>-14802113.920000076</v>
      </c>
      <c r="X4" s="26">
        <f>资产资本表!X50</f>
        <v>-123336996.75999999</v>
      </c>
      <c r="Y4" s="26">
        <f>资产资本表!Y50</f>
        <v>-25890513.840000033</v>
      </c>
      <c r="Z4" s="26">
        <f>资产资本表!Z50</f>
        <v>-182171818.95000005</v>
      </c>
      <c r="AA4" s="26">
        <f>资产资本表!AA50</f>
        <v>101118524.49000025</v>
      </c>
      <c r="AB4" s="26">
        <f>资产资本表!AB50</f>
        <v>25615763.189999938</v>
      </c>
      <c r="AC4" s="26">
        <f>资产资本表!AC50</f>
        <v>142141547.41999996</v>
      </c>
      <c r="AD4" s="26">
        <f>资产资本表!AD50</f>
        <v>-38414043.730000138</v>
      </c>
      <c r="AE4" s="26">
        <f>资产资本表!AE50</f>
        <v>51129659.470000029</v>
      </c>
      <c r="AF4" s="26">
        <f>资产资本表!AF50</f>
        <v>65202341.539999962</v>
      </c>
      <c r="AG4" s="26">
        <f>资产资本表!AG50</f>
        <v>75231032.50999999</v>
      </c>
      <c r="AH4" s="26">
        <f>资产资本表!AH50</f>
        <v>26412043.799999952</v>
      </c>
      <c r="AI4" s="26">
        <f>资产资本表!AI50</f>
        <v>92830363.730000019</v>
      </c>
      <c r="AJ4" s="26">
        <f>资产资本表!AJ50</f>
        <v>82126932.330000043</v>
      </c>
      <c r="AK4" s="26">
        <f>资产资本表!AK50</f>
        <v>116860169.96000004</v>
      </c>
      <c r="AL4" s="26">
        <f>资产资本表!AL50</f>
        <v>13915281.340000033</v>
      </c>
      <c r="AM4" s="26">
        <f>资产资本表!AM50</f>
        <v>186661102.66999996</v>
      </c>
      <c r="AN4" s="26">
        <f>资产资本表!AN50</f>
        <v>168109811.80000001</v>
      </c>
      <c r="AO4" s="26">
        <f>资产资本表!AO50</f>
        <v>181377687.31999993</v>
      </c>
      <c r="AP4" s="26">
        <f>资产资本表!AP50</f>
        <v>119345410.27000004</v>
      </c>
      <c r="AQ4" s="26">
        <f>资产资本表!AQ50</f>
        <v>193406956.79999995</v>
      </c>
      <c r="AR4" s="26">
        <f>资产资本表!AR50</f>
        <v>156880218.11000001</v>
      </c>
      <c r="AS4" s="26">
        <f>资产资本表!AS50</f>
        <v>202952210.58999991</v>
      </c>
      <c r="AT4" s="26">
        <f>资产资本表!AT50</f>
        <v>48865921.980000019</v>
      </c>
      <c r="AU4" s="26">
        <f>资产资本表!AU50</f>
        <v>159725193.74000013</v>
      </c>
      <c r="AV4" s="26">
        <f>资产资本表!AV50</f>
        <v>230974343.47000003</v>
      </c>
      <c r="AW4" s="26">
        <f>资产资本表!AW50</f>
        <v>189599144.3900001</v>
      </c>
      <c r="AX4" s="26">
        <f>资产资本表!AX50</f>
        <v>183452392.24000001</v>
      </c>
      <c r="AY4" s="26">
        <f>资产资本表!AY50</f>
        <v>274322255.02999997</v>
      </c>
      <c r="AZ4" s="26">
        <f>资产资本表!AZ50</f>
        <v>381942858.05000001</v>
      </c>
      <c r="BA4" s="26">
        <f>资产资本表!BA50</f>
        <v>421294049.93000001</v>
      </c>
      <c r="BB4" s="26">
        <f>资产资本表!BB50</f>
        <v>463893947.81000006</v>
      </c>
      <c r="BC4" s="26">
        <f>资产资本表!BC50</f>
        <v>436585207.71000004</v>
      </c>
      <c r="BD4" s="26">
        <f>资产资本表!BD50</f>
        <v>403608530.6500001</v>
      </c>
      <c r="BE4" s="26">
        <f>资产资本表!BE50</f>
        <v>347232905.76000005</v>
      </c>
      <c r="BF4" s="26">
        <f>资产资本表!BF50</f>
        <v>427749338.03999996</v>
      </c>
      <c r="BG4" s="26">
        <f>资产资本表!BG50</f>
        <v>411085038.74000001</v>
      </c>
      <c r="BH4" s="26">
        <f>资产资本表!BH50</f>
        <v>365848079.27999997</v>
      </c>
      <c r="BI4" s="26">
        <f>资产资本表!BI50</f>
        <v>328787644.13</v>
      </c>
      <c r="BJ4" s="26">
        <f>资产资本表!BJ50</f>
        <v>298104653.05000001</v>
      </c>
      <c r="BK4" s="26">
        <f>资产资本表!BK50</f>
        <v>305721279.41999996</v>
      </c>
      <c r="BL4" s="26">
        <f>资产资本表!BL50</f>
        <v>408742707.94999993</v>
      </c>
      <c r="BM4" s="26">
        <f>资产资本表!BM50</f>
        <v>290699401.81999999</v>
      </c>
      <c r="BN4" s="26">
        <f>资产资本表!BN50</f>
        <v>199012691.38</v>
      </c>
      <c r="BO4" s="26">
        <f>资产资本表!BO50</f>
        <v>167672024.51999992</v>
      </c>
      <c r="BP4" s="26">
        <f>资产资本表!BP50</f>
        <v>216487264.01999998</v>
      </c>
      <c r="BQ4" s="26">
        <f>资产资本表!BQ50</f>
        <v>186870903.86000001</v>
      </c>
      <c r="BR4" s="26">
        <f>资产资本表!BR50</f>
        <v>105715656.06</v>
      </c>
      <c r="BS4" s="26">
        <f>资产资本表!BS50</f>
        <v>148466414.48999998</v>
      </c>
      <c r="BT4" s="26">
        <f>资产资本表!BT50</f>
        <v>209309339.91999996</v>
      </c>
      <c r="BU4" s="26">
        <f>资产资本表!BU50</f>
        <v>227601611.15999997</v>
      </c>
      <c r="BV4" s="26">
        <f>资产资本表!BV50</f>
        <v>241764645.63999999</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3039035242.7399998</v>
      </c>
      <c r="F5" s="26">
        <f>资产资本表!F33</f>
        <v>3991143583.9099998</v>
      </c>
      <c r="G5" s="26">
        <f>资产资本表!G33</f>
        <v>3589704620.1800003</v>
      </c>
      <c r="H5" s="26">
        <f>资产资本表!H33</f>
        <v>3422420391.2700005</v>
      </c>
      <c r="I5" s="26">
        <f>资产资本表!I33</f>
        <v>3082680900.3099999</v>
      </c>
      <c r="J5" s="26">
        <f>资产资本表!J33</f>
        <v>2940913825.3999996</v>
      </c>
      <c r="K5" s="26">
        <f>资产资本表!K33</f>
        <v>2907314173.5900002</v>
      </c>
      <c r="L5" s="26">
        <f>资产资本表!L33</f>
        <v>3253139325.77</v>
      </c>
      <c r="M5" s="26">
        <f>资产资本表!M33</f>
        <v>3449080465.5900002</v>
      </c>
      <c r="N5" s="26">
        <f>资产资本表!N33</f>
        <v>3146044213.0799999</v>
      </c>
      <c r="O5" s="26">
        <f>资产资本表!O33</f>
        <v>2411442802.5700002</v>
      </c>
      <c r="P5" s="26">
        <f>资产资本表!P33</f>
        <v>1775642498.5799999</v>
      </c>
      <c r="Q5" s="26">
        <f>资产资本表!Q33</f>
        <v>1629665132.8899999</v>
      </c>
      <c r="R5" s="26">
        <f>资产资本表!R33</f>
        <v>1682753749.3299999</v>
      </c>
      <c r="S5" s="26">
        <f>资产资本表!S33</f>
        <v>1582640355.1799998</v>
      </c>
      <c r="T5" s="26">
        <f>资产资本表!T33</f>
        <v>1548637761.9499998</v>
      </c>
      <c r="U5" s="26">
        <f>资产资本表!U33</f>
        <v>1551253119.6300001</v>
      </c>
      <c r="V5" s="26">
        <f>资产资本表!V33</f>
        <v>997364554.26999998</v>
      </c>
      <c r="W5" s="26">
        <f>资产资本表!W33</f>
        <v>1112476780.5599999</v>
      </c>
      <c r="X5" s="26">
        <f>资产资本表!X33</f>
        <v>1020347854.4399998</v>
      </c>
      <c r="Y5" s="26">
        <f>资产资本表!Y33</f>
        <v>868644051.24000001</v>
      </c>
      <c r="Z5" s="26">
        <f>资产资本表!Z33</f>
        <v>940502004.5999999</v>
      </c>
      <c r="AA5" s="26">
        <f>资产资本表!AA33</f>
        <v>1095443675.0100002</v>
      </c>
      <c r="AB5" s="26">
        <f>资产资本表!AB33</f>
        <v>924027112.08000004</v>
      </c>
      <c r="AC5" s="26">
        <f>资产资本表!AC33</f>
        <v>894252727.03999996</v>
      </c>
      <c r="AD5" s="26">
        <f>资产资本表!AD33</f>
        <v>846978393.9799999</v>
      </c>
      <c r="AE5" s="26">
        <f>资产资本表!AE33</f>
        <v>954648617.16000009</v>
      </c>
      <c r="AF5" s="26">
        <f>资产资本表!AF33</f>
        <v>785316003.74000001</v>
      </c>
      <c r="AG5" s="26">
        <f>资产资本表!AG33</f>
        <v>660805433.21000004</v>
      </c>
      <c r="AH5" s="26">
        <f>资产资本表!AH33</f>
        <v>734790687</v>
      </c>
      <c r="AI5" s="26">
        <f>资产资本表!AI33</f>
        <v>809370463.26999998</v>
      </c>
      <c r="AJ5" s="26">
        <f>资产资本表!AJ33</f>
        <v>649708527.56000006</v>
      </c>
      <c r="AK5" s="26">
        <f>资产资本表!AK33</f>
        <v>592388939.72000003</v>
      </c>
      <c r="AL5" s="26">
        <f>资产资本表!AL33</f>
        <v>626210118.84000003</v>
      </c>
      <c r="AM5" s="26">
        <f>资产资本表!AM33</f>
        <v>728030872.05999994</v>
      </c>
      <c r="AN5" s="26">
        <f>资产资本表!AN33</f>
        <v>639519114.95000005</v>
      </c>
      <c r="AO5" s="26">
        <f>资产资本表!AO33</f>
        <v>611441114.76999998</v>
      </c>
      <c r="AP5" s="26">
        <f>资产资本表!AP33</f>
        <v>605924762.14999998</v>
      </c>
      <c r="AQ5" s="26">
        <f>资产资本表!AQ33</f>
        <v>820669838.32999992</v>
      </c>
      <c r="AR5" s="26">
        <f>资产资本表!AR33</f>
        <v>677133955.22000003</v>
      </c>
      <c r="AS5" s="26">
        <f>资产资本表!AS33</f>
        <v>575284376.11999989</v>
      </c>
      <c r="AT5" s="26">
        <f>资产资本表!AT33</f>
        <v>671931253.97000003</v>
      </c>
      <c r="AU5" s="26">
        <f>资产资本表!AU33</f>
        <v>710129333.35000002</v>
      </c>
      <c r="AV5" s="26">
        <f>资产资本表!AV33</f>
        <v>697195110.9000001</v>
      </c>
      <c r="AW5" s="26">
        <f>资产资本表!AW33</f>
        <v>652490027.21000004</v>
      </c>
      <c r="AX5" s="26">
        <f>资产资本表!AX33</f>
        <v>720708061.62</v>
      </c>
      <c r="AY5" s="26">
        <f>资产资本表!AY33</f>
        <v>774223167.00999999</v>
      </c>
      <c r="AZ5" s="26">
        <f>资产资本表!AZ33</f>
        <v>763812193.25999999</v>
      </c>
      <c r="BA5" s="26">
        <f>资产资本表!BA33</f>
        <v>756859870.38</v>
      </c>
      <c r="BB5" s="26">
        <f>资产资本表!BB33</f>
        <v>835543713.58000004</v>
      </c>
      <c r="BC5" s="26">
        <f>资产资本表!BC33</f>
        <v>841761111.85000002</v>
      </c>
      <c r="BD5" s="26">
        <f>资产资本表!BD33</f>
        <v>746336930.04000008</v>
      </c>
      <c r="BE5" s="26">
        <f>资产资本表!BE33</f>
        <v>711820879.79000008</v>
      </c>
      <c r="BF5" s="26">
        <f>资产资本表!BF33</f>
        <v>781127491.28999996</v>
      </c>
      <c r="BG5" s="26">
        <f>资产资本表!BG33</f>
        <v>746218438.80000007</v>
      </c>
      <c r="BH5" s="26">
        <f>资产资本表!BH33</f>
        <v>584030997.78999996</v>
      </c>
      <c r="BI5" s="26">
        <f>资产资本表!BI33</f>
        <v>599493170.51999998</v>
      </c>
      <c r="BJ5" s="26">
        <f>资产资本表!BJ33</f>
        <v>602694370.22000003</v>
      </c>
      <c r="BK5" s="26">
        <f>资产资本表!BK33</f>
        <v>597076810.10000002</v>
      </c>
      <c r="BL5" s="26">
        <f>资产资本表!BL33</f>
        <v>548509829.42999995</v>
      </c>
      <c r="BM5" s="26">
        <f>资产资本表!BM33</f>
        <v>542566208.86000001</v>
      </c>
      <c r="BN5" s="26">
        <f>资产资本表!BN33</f>
        <v>552803698.99000001</v>
      </c>
      <c r="BO5" s="26">
        <f>资产资本表!BO33</f>
        <v>551700090.13</v>
      </c>
      <c r="BP5" s="26">
        <f>资产资本表!BP33</f>
        <v>441838547.18000001</v>
      </c>
      <c r="BQ5" s="26">
        <f>资产资本表!BQ33</f>
        <v>448692181.11000001</v>
      </c>
      <c r="BR5" s="26">
        <f>资产资本表!BR33</f>
        <v>477887706.58999997</v>
      </c>
      <c r="BS5" s="26">
        <f>资产资本表!BS33</f>
        <v>401176633.25999999</v>
      </c>
      <c r="BT5" s="26">
        <f>资产资本表!BT33</f>
        <v>460627055.56999999</v>
      </c>
      <c r="BU5" s="26">
        <f>资产资本表!BU33</f>
        <v>511654235.88</v>
      </c>
      <c r="BV5" s="26">
        <f>资产资本表!BV33</f>
        <v>530639895.13999999</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3029229585.5800004</v>
      </c>
      <c r="F6" s="26">
        <f>资产资本表!F49</f>
        <v>2458882292.7399998</v>
      </c>
      <c r="G6" s="26">
        <f>资产资本表!G49</f>
        <v>2584939162.0799999</v>
      </c>
      <c r="H6" s="26">
        <f>资产资本表!H49</f>
        <v>2402874787</v>
      </c>
      <c r="I6" s="26">
        <f>资产资本表!I49</f>
        <v>2329817097.2999997</v>
      </c>
      <c r="J6" s="26">
        <f>资产资本表!J49</f>
        <v>2439662902.29</v>
      </c>
      <c r="K6" s="26">
        <f>资产资本表!K49</f>
        <v>2249558257.6500001</v>
      </c>
      <c r="L6" s="26">
        <f>资产资本表!L49</f>
        <v>2559942990.5599999</v>
      </c>
      <c r="M6" s="26">
        <f>资产资本表!M49</f>
        <v>2429458199.3600001</v>
      </c>
      <c r="N6" s="26">
        <f>资产资本表!N49</f>
        <v>2161871654.1900001</v>
      </c>
      <c r="O6" s="26">
        <f>资产资本表!O49</f>
        <v>1989167220.4699998</v>
      </c>
      <c r="P6" s="26">
        <f>资产资本表!P49</f>
        <v>2112402885.7299998</v>
      </c>
      <c r="Q6" s="26">
        <f>资产资本表!Q49</f>
        <v>1659521077.5900002</v>
      </c>
      <c r="R6" s="26">
        <f>资产资本表!R49</f>
        <v>1534501435.9400001</v>
      </c>
      <c r="S6" s="26">
        <f>资产资本表!S49</f>
        <v>1383520462.3099999</v>
      </c>
      <c r="T6" s="26">
        <f>资产资本表!T49</f>
        <v>1477285213.0800002</v>
      </c>
      <c r="U6" s="26">
        <f>资产资本表!U49</f>
        <v>1112817899.7</v>
      </c>
      <c r="V6" s="26">
        <f>资产资本表!V49</f>
        <v>1128100052.4299998</v>
      </c>
      <c r="W6" s="26">
        <f>资产资本表!W49</f>
        <v>1127278894.48</v>
      </c>
      <c r="X6" s="26">
        <f>资产资本表!X49</f>
        <v>1143684851.1999998</v>
      </c>
      <c r="Y6" s="26">
        <f>资产资本表!Y49</f>
        <v>894534565.08000004</v>
      </c>
      <c r="Z6" s="26">
        <f>资产资本表!Z49</f>
        <v>1122673823.55</v>
      </c>
      <c r="AA6" s="26">
        <f>资产资本表!AA49</f>
        <v>994325150.51999998</v>
      </c>
      <c r="AB6" s="26">
        <f>资产资本表!AB49</f>
        <v>898411348.8900001</v>
      </c>
      <c r="AC6" s="26">
        <f>资产资本表!AC49</f>
        <v>752111179.62</v>
      </c>
      <c r="AD6" s="26">
        <f>资产资本表!AD49</f>
        <v>885392437.71000004</v>
      </c>
      <c r="AE6" s="26">
        <f>资产资本表!AE49</f>
        <v>903518957.69000006</v>
      </c>
      <c r="AF6" s="26">
        <f>资产资本表!AF49</f>
        <v>720113662.20000005</v>
      </c>
      <c r="AG6" s="26">
        <f>资产资本表!AG49</f>
        <v>585574400.70000005</v>
      </c>
      <c r="AH6" s="26">
        <f>资产资本表!AH49</f>
        <v>708378643.20000005</v>
      </c>
      <c r="AI6" s="26">
        <f>资产资本表!AI49</f>
        <v>716540099.53999996</v>
      </c>
      <c r="AJ6" s="26">
        <f>资产资本表!AJ49</f>
        <v>567581595.23000002</v>
      </c>
      <c r="AK6" s="26">
        <f>资产资本表!AK49</f>
        <v>475528769.75999999</v>
      </c>
      <c r="AL6" s="26">
        <f>资产资本表!AL49</f>
        <v>612294837.5</v>
      </c>
      <c r="AM6" s="26">
        <f>资产资本表!AM49</f>
        <v>541369769.38999999</v>
      </c>
      <c r="AN6" s="26">
        <f>资产资本表!AN49</f>
        <v>471409303.15000004</v>
      </c>
      <c r="AO6" s="26">
        <f>资产资本表!AO49</f>
        <v>430063427.45000005</v>
      </c>
      <c r="AP6" s="26">
        <f>资产资本表!AP49</f>
        <v>486579351.87999994</v>
      </c>
      <c r="AQ6" s="26">
        <f>资产资本表!AQ49</f>
        <v>627262881.52999997</v>
      </c>
      <c r="AR6" s="26">
        <f>资产资本表!AR49</f>
        <v>520253737.11000001</v>
      </c>
      <c r="AS6" s="26">
        <f>资产资本表!AS49</f>
        <v>372332165.52999997</v>
      </c>
      <c r="AT6" s="26">
        <f>资产资本表!AT49</f>
        <v>623065331.99000001</v>
      </c>
      <c r="AU6" s="26">
        <f>资产资本表!AU49</f>
        <v>550404139.6099999</v>
      </c>
      <c r="AV6" s="26">
        <f>资产资本表!AV49</f>
        <v>466220767.43000007</v>
      </c>
      <c r="AW6" s="26">
        <f>资产资本表!AW49</f>
        <v>462890882.81999993</v>
      </c>
      <c r="AX6" s="26">
        <f>资产资本表!AX49</f>
        <v>537255669.38</v>
      </c>
      <c r="AY6" s="26">
        <f>资产资本表!AY49</f>
        <v>499900911.98000002</v>
      </c>
      <c r="AZ6" s="26">
        <f>资产资本表!AZ49</f>
        <v>381869335.20999998</v>
      </c>
      <c r="BA6" s="26">
        <f>资产资本表!BA49</f>
        <v>335565820.44999999</v>
      </c>
      <c r="BB6" s="26">
        <f>资产资本表!BB49</f>
        <v>371649765.76999998</v>
      </c>
      <c r="BC6" s="26">
        <f>资产资本表!BC49</f>
        <v>405175904.13999999</v>
      </c>
      <c r="BD6" s="26">
        <f>资产资本表!BD49</f>
        <v>342728399.38999999</v>
      </c>
      <c r="BE6" s="26">
        <f>资产资本表!BE49</f>
        <v>364587974.03000003</v>
      </c>
      <c r="BF6" s="26">
        <f>资产资本表!BF49</f>
        <v>353378153.25</v>
      </c>
      <c r="BG6" s="26">
        <f>资产资本表!BG49</f>
        <v>335133400.06000006</v>
      </c>
      <c r="BH6" s="26">
        <f>资产资本表!BH49</f>
        <v>218182918.51000002</v>
      </c>
      <c r="BI6" s="26">
        <f>资产资本表!BI49</f>
        <v>270705526.38999999</v>
      </c>
      <c r="BJ6" s="26">
        <f>资产资本表!BJ49</f>
        <v>304589717.17000002</v>
      </c>
      <c r="BK6" s="26">
        <f>资产资本表!BK49</f>
        <v>291355530.68000007</v>
      </c>
      <c r="BL6" s="26">
        <f>资产资本表!BL49</f>
        <v>139767121.47999999</v>
      </c>
      <c r="BM6" s="26">
        <f>资产资本表!BM49</f>
        <v>251866807.04000002</v>
      </c>
      <c r="BN6" s="26">
        <f>资产资本表!BN49</f>
        <v>353791007.61000001</v>
      </c>
      <c r="BO6" s="26">
        <f>资产资本表!BO49</f>
        <v>384028065.61000007</v>
      </c>
      <c r="BP6" s="26">
        <f>资产资本表!BP49</f>
        <v>225351283.16000003</v>
      </c>
      <c r="BQ6" s="26">
        <f>资产资本表!BQ49</f>
        <v>261821277.25</v>
      </c>
      <c r="BR6" s="26">
        <f>资产资本表!BR49</f>
        <v>372172050.52999997</v>
      </c>
      <c r="BS6" s="26">
        <f>资产资本表!BS49</f>
        <v>252710218.77000001</v>
      </c>
      <c r="BT6" s="26">
        <f>资产资本表!BT49</f>
        <v>251317715.65000004</v>
      </c>
      <c r="BU6" s="26">
        <f>资产资本表!BU49</f>
        <v>284052624.72000003</v>
      </c>
      <c r="BV6" s="26">
        <f>资产资本表!BV49</f>
        <v>288875249.5</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4383828479.4900007</v>
      </c>
      <c r="F7" s="26">
        <f>资产资本表!F68</f>
        <v>1718350582.2</v>
      </c>
      <c r="G7" s="26">
        <f>资产资本表!G68</f>
        <v>1681130727.52</v>
      </c>
      <c r="H7" s="26">
        <f>资产资本表!H68</f>
        <v>1636269623.4099998</v>
      </c>
      <c r="I7" s="26">
        <f>资产资本表!I68</f>
        <v>1571577624.21</v>
      </c>
      <c r="J7" s="26">
        <f>资产资本表!J68</f>
        <v>1462193209.1800001</v>
      </c>
      <c r="K7" s="26">
        <f>资产资本表!K68</f>
        <v>1204875566.6799998</v>
      </c>
      <c r="L7" s="26">
        <f>资产资本表!L68</f>
        <v>1048262082.96</v>
      </c>
      <c r="M7" s="26">
        <f>资产资本表!M68</f>
        <v>995465703.40999997</v>
      </c>
      <c r="N7" s="26">
        <f>资产资本表!N68</f>
        <v>751593493.05000007</v>
      </c>
      <c r="O7" s="26">
        <f>资产资本表!O68</f>
        <v>724223390.49000001</v>
      </c>
      <c r="P7" s="26">
        <f>资产资本表!P68</f>
        <v>538141712.79999995</v>
      </c>
      <c r="Q7" s="26">
        <f>资产资本表!Q68</f>
        <v>447549891.35000002</v>
      </c>
      <c r="R7" s="26">
        <f>资产资本表!R68</f>
        <v>510575995.69000006</v>
      </c>
      <c r="S7" s="26">
        <f>资产资本表!S68</f>
        <v>516523780.36000007</v>
      </c>
      <c r="T7" s="26">
        <f>资产资本表!T68</f>
        <v>534241662.29000008</v>
      </c>
      <c r="U7" s="26">
        <f>资产资本表!U68</f>
        <v>542298073.66000009</v>
      </c>
      <c r="V7" s="26">
        <f>资产资本表!V68</f>
        <v>487189479.06999999</v>
      </c>
      <c r="W7" s="26">
        <f>资产资本表!W68</f>
        <v>463600959.46000004</v>
      </c>
      <c r="X7" s="26">
        <f>资产资本表!X68</f>
        <v>450584853.49000001</v>
      </c>
      <c r="Y7" s="26">
        <f>资产资本表!Y68</f>
        <v>442269938.22000003</v>
      </c>
      <c r="Z7" s="26">
        <f>资产资本表!Z68</f>
        <v>446207188.13999999</v>
      </c>
      <c r="AA7" s="26">
        <f>资产资本表!AA68</f>
        <v>429361486.26999998</v>
      </c>
      <c r="AB7" s="26">
        <f>资产资本表!AB68</f>
        <v>416762924.85000002</v>
      </c>
      <c r="AC7" s="26">
        <f>资产资本表!AC68</f>
        <v>420862553.00999999</v>
      </c>
      <c r="AD7" s="26">
        <f>资产资本表!AD68</f>
        <v>452905963.09000003</v>
      </c>
      <c r="AE7" s="26">
        <f>资产资本表!AE68</f>
        <v>460055390.13999999</v>
      </c>
      <c r="AF7" s="26">
        <f>资产资本表!AF68</f>
        <v>393703755.92000002</v>
      </c>
      <c r="AG7" s="26">
        <f>资产资本表!AG68</f>
        <v>395648920.38999999</v>
      </c>
      <c r="AH7" s="26">
        <f>资产资本表!AH68</f>
        <v>410218436.71000004</v>
      </c>
      <c r="AI7" s="26">
        <f>资产资本表!AI68</f>
        <v>407764666.60000002</v>
      </c>
      <c r="AJ7" s="26">
        <f>资产资本表!AJ68</f>
        <v>415035293.76999998</v>
      </c>
      <c r="AK7" s="26">
        <f>资产资本表!AK68</f>
        <v>400395294.40000004</v>
      </c>
      <c r="AL7" s="26">
        <f>资产资本表!AL68</f>
        <v>412022864.50999999</v>
      </c>
      <c r="AM7" s="26">
        <f>资产资本表!AM68</f>
        <v>412488551.04000002</v>
      </c>
      <c r="AN7" s="26">
        <f>资产资本表!AN68</f>
        <v>413058111.08000004</v>
      </c>
      <c r="AO7" s="26">
        <f>资产资本表!AO68</f>
        <v>414160274.10000002</v>
      </c>
      <c r="AP7" s="26">
        <f>资产资本表!AP68</f>
        <v>411072473.17999995</v>
      </c>
      <c r="AQ7" s="26">
        <f>资产资本表!AQ68</f>
        <v>458708388.79000002</v>
      </c>
      <c r="AR7" s="26">
        <f>资产资本表!AR68</f>
        <v>464051258.11000007</v>
      </c>
      <c r="AS7" s="26">
        <f>资产资本表!AS68</f>
        <v>471805231.77999997</v>
      </c>
      <c r="AT7" s="26">
        <f>资产资本表!AT68</f>
        <v>501839767.88999999</v>
      </c>
      <c r="AU7" s="26">
        <f>资产资本表!AU68</f>
        <v>515887394.81999999</v>
      </c>
      <c r="AV7" s="26">
        <f>资产资本表!AV68</f>
        <v>528266355.42000002</v>
      </c>
      <c r="AW7" s="26">
        <f>资产资本表!AW68</f>
        <v>517440569.26999998</v>
      </c>
      <c r="AX7" s="26">
        <f>资产资本表!AX68</f>
        <v>533181265.14999998</v>
      </c>
      <c r="AY7" s="26">
        <f>资产资本表!AY68</f>
        <v>542067158.26999998</v>
      </c>
      <c r="AZ7" s="26">
        <f>资产资本表!AZ68</f>
        <v>542371453.54999995</v>
      </c>
      <c r="BA7" s="26">
        <f>资产资本表!BA68</f>
        <v>536966036.46000004</v>
      </c>
      <c r="BB7" s="26">
        <f>资产资本表!BB68</f>
        <v>521184426.32000005</v>
      </c>
      <c r="BC7" s="26">
        <f>资产资本表!BC68</f>
        <v>507665293.11000001</v>
      </c>
      <c r="BD7" s="26">
        <f>资产资本表!BD68</f>
        <v>513676677.65999997</v>
      </c>
      <c r="BE7" s="26">
        <f>资产资本表!BE68</f>
        <v>517141577.42999995</v>
      </c>
      <c r="BF7" s="26">
        <f>资产资本表!BF68</f>
        <v>418794959.89000005</v>
      </c>
      <c r="BG7" s="26">
        <f>资产资本表!BG68</f>
        <v>419967138.69999999</v>
      </c>
      <c r="BH7" s="26">
        <f>资产资本表!BH68</f>
        <v>413953243.10999995</v>
      </c>
      <c r="BI7" s="26">
        <f>资产资本表!BI68</f>
        <v>426604810.43000001</v>
      </c>
      <c r="BJ7" s="26">
        <f>资产资本表!BJ68</f>
        <v>414522856.66000003</v>
      </c>
      <c r="BK7" s="26">
        <f>资产资本表!BK68</f>
        <v>397466058.38999999</v>
      </c>
      <c r="BL7" s="26">
        <f>资产资本表!BL68</f>
        <v>394623238.92000002</v>
      </c>
      <c r="BM7" s="26">
        <f>资产资本表!BM68</f>
        <v>393709374.95999998</v>
      </c>
      <c r="BN7" s="26">
        <f>资产资本表!BN68</f>
        <v>383483266.17999995</v>
      </c>
      <c r="BO7" s="26">
        <f>资产资本表!BO68</f>
        <v>360646635.81000006</v>
      </c>
      <c r="BP7" s="26">
        <f>资产资本表!BP68</f>
        <v>317466751.67000002</v>
      </c>
      <c r="BQ7" s="26">
        <f>资产资本表!BQ68</f>
        <v>308797468.75</v>
      </c>
      <c r="BR7" s="26">
        <f>资产资本表!BR68</f>
        <v>297245268.27000004</v>
      </c>
      <c r="BS7" s="26">
        <f>资产资本表!BS68</f>
        <v>300769595.00999999</v>
      </c>
      <c r="BT7" s="26">
        <f>资产资本表!BT68</f>
        <v>331042005.76000005</v>
      </c>
      <c r="BU7" s="26">
        <f>资产资本表!BU68</f>
        <v>331949257.89000005</v>
      </c>
      <c r="BV7" s="26">
        <f>资产资本表!BV68</f>
        <v>307391915.62</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4393634136.6499996</v>
      </c>
      <c r="F8" s="26">
        <f>资产资本表!F69</f>
        <v>3250611873.3699999</v>
      </c>
      <c r="G8" s="26">
        <f>资产资本表!G69</f>
        <v>2685896185.6200004</v>
      </c>
      <c r="H8" s="26">
        <f>资产资本表!H69</f>
        <v>2655815227.6800003</v>
      </c>
      <c r="I8" s="26">
        <f>资产资本表!I69</f>
        <v>2324441427.2200003</v>
      </c>
      <c r="J8" s="26">
        <f>资产资本表!J69</f>
        <v>1963444132.2899997</v>
      </c>
      <c r="K8" s="26">
        <f>资产资本表!K69</f>
        <v>1862631482.6199999</v>
      </c>
      <c r="L8" s="26">
        <f>资产资本表!L69</f>
        <v>1741458418.1700001</v>
      </c>
      <c r="M8" s="26">
        <f>资产资本表!M69</f>
        <v>2015087969.6399999</v>
      </c>
      <c r="N8" s="26">
        <f>资产资本表!N69</f>
        <v>1735766051.9400001</v>
      </c>
      <c r="O8" s="26">
        <f>资产资本表!O69</f>
        <v>1146498972.5900004</v>
      </c>
      <c r="P8" s="26">
        <f>资产资本表!P69</f>
        <v>201381325.6500001</v>
      </c>
      <c r="Q8" s="26">
        <f>资产资本表!Q69</f>
        <v>417693946.64999974</v>
      </c>
      <c r="R8" s="26">
        <f>资产资本表!R69</f>
        <v>658828309.07999992</v>
      </c>
      <c r="S8" s="26">
        <f>资产资本表!S69</f>
        <v>715643673.23000002</v>
      </c>
      <c r="T8" s="26">
        <f>资产资本表!T69</f>
        <v>605594211.15999973</v>
      </c>
      <c r="U8" s="26">
        <f>资产资本表!U69</f>
        <v>980733293.59000015</v>
      </c>
      <c r="V8" s="26">
        <f>资产资本表!V69</f>
        <v>356453980.91000015</v>
      </c>
      <c r="W8" s="26">
        <f>资产资本表!W69</f>
        <v>448798845.53999996</v>
      </c>
      <c r="X8" s="26">
        <f>资产资本表!X69</f>
        <v>327247856.73000002</v>
      </c>
      <c r="Y8" s="26">
        <f>资产资本表!Y69</f>
        <v>416379424.38</v>
      </c>
      <c r="Z8" s="26">
        <f>资产资本表!Z69</f>
        <v>264035369.18999994</v>
      </c>
      <c r="AA8" s="26">
        <f>资产资本表!AA69</f>
        <v>530480010.76000023</v>
      </c>
      <c r="AB8" s="26">
        <f>资产资本表!AB69</f>
        <v>442378688.03999996</v>
      </c>
      <c r="AC8" s="26">
        <f>资产资本表!AC69</f>
        <v>563004100.42999995</v>
      </c>
      <c r="AD8" s="26">
        <f>资产资本表!AD69</f>
        <v>414491919.3599999</v>
      </c>
      <c r="AE8" s="26">
        <f>资产资本表!AE69</f>
        <v>511185049.61000001</v>
      </c>
      <c r="AF8" s="26">
        <f>资产资本表!AF69</f>
        <v>458906097.45999998</v>
      </c>
      <c r="AG8" s="26">
        <f>资产资本表!AG69</f>
        <v>470879952.89999998</v>
      </c>
      <c r="AH8" s="26">
        <f>资产资本表!AH69</f>
        <v>436630480.50999999</v>
      </c>
      <c r="AI8" s="26">
        <f>资产资本表!AI69</f>
        <v>500595030.33000004</v>
      </c>
      <c r="AJ8" s="26">
        <f>资产资本表!AJ69</f>
        <v>497162226.10000002</v>
      </c>
      <c r="AK8" s="26">
        <f>资产资本表!AK69</f>
        <v>517255464.36000007</v>
      </c>
      <c r="AL8" s="26">
        <f>资产资本表!AL69</f>
        <v>425938145.85000002</v>
      </c>
      <c r="AM8" s="26">
        <f>资产资本表!AM69</f>
        <v>599149653.71000004</v>
      </c>
      <c r="AN8" s="26">
        <f>资产资本表!AN69</f>
        <v>581167922.88000011</v>
      </c>
      <c r="AO8" s="26">
        <f>资产资本表!AO69</f>
        <v>595537961.41999996</v>
      </c>
      <c r="AP8" s="26">
        <f>资产资本表!AP69</f>
        <v>530417883.44999999</v>
      </c>
      <c r="AQ8" s="26">
        <f>资产资本表!AQ69</f>
        <v>652115345.58999991</v>
      </c>
      <c r="AR8" s="26">
        <f>资产资本表!AR69</f>
        <v>620931476.22000003</v>
      </c>
      <c r="AS8" s="26">
        <f>资产资本表!AS69</f>
        <v>674757442.36999989</v>
      </c>
      <c r="AT8" s="26">
        <f>资产资本表!AT69</f>
        <v>550705689.87</v>
      </c>
      <c r="AU8" s="26">
        <f>资产资本表!AU69</f>
        <v>675612588.56000018</v>
      </c>
      <c r="AV8" s="26">
        <f>资产资本表!AV69</f>
        <v>759240698.8900001</v>
      </c>
      <c r="AW8" s="26">
        <f>资产资本表!AW69</f>
        <v>707039713.66000009</v>
      </c>
      <c r="AX8" s="26">
        <f>资产资本表!AX69</f>
        <v>716633657.38999999</v>
      </c>
      <c r="AY8" s="26">
        <f>资产资本表!AY69</f>
        <v>816389413.29999995</v>
      </c>
      <c r="AZ8" s="26">
        <f>资产资本表!AZ69</f>
        <v>924314311.5999999</v>
      </c>
      <c r="BA8" s="26">
        <f>资产资本表!BA69</f>
        <v>958260086.3900001</v>
      </c>
      <c r="BB8" s="26">
        <f>资产资本表!BB69</f>
        <v>985078374.13000011</v>
      </c>
      <c r="BC8" s="26">
        <f>资产资本表!BC69</f>
        <v>944250500.82000005</v>
      </c>
      <c r="BD8" s="26">
        <f>资产资本表!BD69</f>
        <v>917285208.31000006</v>
      </c>
      <c r="BE8" s="26">
        <f>资产资本表!BE69</f>
        <v>864374483.19000006</v>
      </c>
      <c r="BF8" s="26">
        <f>资产资本表!BF69</f>
        <v>846544297.93000007</v>
      </c>
      <c r="BG8" s="26">
        <f>资产资本表!BG69</f>
        <v>831052177.44000006</v>
      </c>
      <c r="BH8" s="26">
        <f>资产资本表!BH69</f>
        <v>779801322.38999987</v>
      </c>
      <c r="BI8" s="26">
        <f>资产资本表!BI69</f>
        <v>755392454.55999994</v>
      </c>
      <c r="BJ8" s="26">
        <f>资产资本表!BJ69</f>
        <v>712627509.71000004</v>
      </c>
      <c r="BK8" s="26">
        <f>资产资本表!BK69</f>
        <v>703187337.80999994</v>
      </c>
      <c r="BL8" s="26">
        <f>资产资本表!BL69</f>
        <v>803365946.86999989</v>
      </c>
      <c r="BM8" s="26">
        <f>资产资本表!BM69</f>
        <v>684408776.77999997</v>
      </c>
      <c r="BN8" s="26">
        <f>资产资本表!BN69</f>
        <v>582495957.55999994</v>
      </c>
      <c r="BO8" s="26">
        <f>资产资本表!BO69</f>
        <v>528318660.32999998</v>
      </c>
      <c r="BP8" s="26">
        <f>资产资本表!BP69</f>
        <v>533954015.69</v>
      </c>
      <c r="BQ8" s="26">
        <f>资产资本表!BQ69</f>
        <v>495668372.61000001</v>
      </c>
      <c r="BR8" s="26">
        <f>资产资本表!BR69</f>
        <v>402960924.33000004</v>
      </c>
      <c r="BS8" s="26">
        <f>资产资本表!BS69</f>
        <v>449236009.5</v>
      </c>
      <c r="BT8" s="26">
        <f>资产资本表!BT69</f>
        <v>540351345.68000007</v>
      </c>
      <c r="BU8" s="26">
        <f>资产资本表!BU69</f>
        <v>559550869.04999995</v>
      </c>
      <c r="BV8" s="26">
        <f>资产资本表!BV69</f>
        <v>549156561.25999999</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6480245388.0299997</v>
      </c>
      <c r="F9" s="48">
        <f>资产资本表!F70</f>
        <v>5584129813.4499998</v>
      </c>
      <c r="G9" s="48">
        <f>资产资本表!G70</f>
        <v>5486901784.9500008</v>
      </c>
      <c r="H9" s="48">
        <f>资产资本表!H70</f>
        <v>5410851971.2399998</v>
      </c>
      <c r="I9" s="48">
        <f>资产资本表!I70</f>
        <v>5302630348.1700001</v>
      </c>
      <c r="J9" s="48">
        <f>资产资本表!J70</f>
        <v>5496064351.8899994</v>
      </c>
      <c r="K9" s="48">
        <f>资产资本表!K70</f>
        <v>6092846785.5299997</v>
      </c>
      <c r="L9" s="48">
        <f>资产资本表!L70</f>
        <v>5854406102.8999996</v>
      </c>
      <c r="M9" s="48">
        <f>资产资本表!M70</f>
        <v>5729931762.5599995</v>
      </c>
      <c r="N9" s="48">
        <f>资产资本表!N70</f>
        <v>4347945256.8199997</v>
      </c>
      <c r="O9" s="48">
        <f>资产资本表!O70</f>
        <v>4249908833.4099998</v>
      </c>
      <c r="P9" s="48">
        <f>资产资本表!P70</f>
        <v>4012230378.0500002</v>
      </c>
      <c r="Q9" s="48">
        <f>资产资本表!Q70</f>
        <v>3819507280.5699997</v>
      </c>
      <c r="R9" s="48">
        <f>资产资本表!R70</f>
        <v>3817275097.7600002</v>
      </c>
      <c r="S9" s="48">
        <f>资产资本表!S70</f>
        <v>3675262658.1800003</v>
      </c>
      <c r="T9" s="48">
        <f>资产资本表!T70</f>
        <v>3584288156.3699999</v>
      </c>
      <c r="U9" s="48">
        <f>资产资本表!U70</f>
        <v>3397247610.8099999</v>
      </c>
      <c r="V9" s="48">
        <f>资产资本表!V70</f>
        <v>3223399778.6199999</v>
      </c>
      <c r="W9" s="48">
        <f>资产资本表!W70</f>
        <v>3051380418.6100001</v>
      </c>
      <c r="X9" s="48">
        <f>资产资本表!X70</f>
        <v>2923716055.0599999</v>
      </c>
      <c r="Y9" s="48">
        <f>资产资本表!Y70</f>
        <v>2744262104.8100004</v>
      </c>
      <c r="Z9" s="48">
        <f>资产资本表!Z70</f>
        <v>2550223777.2599998</v>
      </c>
      <c r="AA9" s="48">
        <f>资产资本表!AA70</f>
        <v>2573660093.1700001</v>
      </c>
      <c r="AB9" s="48">
        <f>资产资本表!AB70</f>
        <v>1883905590.1799998</v>
      </c>
      <c r="AC9" s="48">
        <f>资产资本表!AC70</f>
        <v>1794672213.1999998</v>
      </c>
      <c r="AD9" s="48">
        <f>资产资本表!AD70</f>
        <v>1710344188.99</v>
      </c>
      <c r="AE9" s="48">
        <f>资产资本表!AE70</f>
        <v>1635741500.1399999</v>
      </c>
      <c r="AF9" s="48">
        <f>资产资本表!AF70</f>
        <v>1596245740.77</v>
      </c>
      <c r="AG9" s="48">
        <f>资产资本表!AG70</f>
        <v>1536769887.6300001</v>
      </c>
      <c r="AH9" s="48">
        <f>资产资本表!AH70</f>
        <v>1490659594.78</v>
      </c>
      <c r="AI9" s="48">
        <f>资产资本表!AI70</f>
        <v>1431699869.01</v>
      </c>
      <c r="AJ9" s="48">
        <f>资产资本表!AJ70</f>
        <v>1432405682.5999999</v>
      </c>
      <c r="AK9" s="48">
        <f>资产资本表!AK70</f>
        <v>1388123113.24</v>
      </c>
      <c r="AL9" s="48">
        <f>资产资本表!AL70</f>
        <v>1325509475.3200002</v>
      </c>
      <c r="AM9" s="48">
        <f>资产资本表!AM70</f>
        <v>1271588026.47</v>
      </c>
      <c r="AN9" s="48">
        <f>资产资本表!AN70</f>
        <v>1293033135.8300002</v>
      </c>
      <c r="AO9" s="48">
        <f>资产资本表!AO70</f>
        <v>1255785567</v>
      </c>
      <c r="AP9" s="48">
        <f>资产资本表!AP70</f>
        <v>1177960506.3299999</v>
      </c>
      <c r="AQ9" s="48">
        <f>资产资本表!AQ70</f>
        <v>1255221960.05</v>
      </c>
      <c r="AR9" s="48">
        <f>资产资本表!AR70</f>
        <v>1139734738.6199999</v>
      </c>
      <c r="AS9" s="48">
        <f>资产资本表!AS70</f>
        <v>1108044404.3099999</v>
      </c>
      <c r="AT9" s="48">
        <f>资产资本表!AT70</f>
        <v>1126177219.5700002</v>
      </c>
      <c r="AU9" s="48">
        <f>资产资本表!AU70</f>
        <v>1128133357.4000001</v>
      </c>
      <c r="AV9" s="48">
        <f>资产资本表!AV70</f>
        <v>1121344814.7600002</v>
      </c>
      <c r="AW9" s="48">
        <f>资产资本表!AW70</f>
        <v>1080170459.25</v>
      </c>
      <c r="AX9" s="48">
        <f>资产资本表!AX70</f>
        <v>1086739630.6500001</v>
      </c>
      <c r="AY9" s="48">
        <f>资产资本表!AY70</f>
        <v>1202793809.77</v>
      </c>
      <c r="AZ9" s="48">
        <f>资产资本表!AZ70</f>
        <v>1554515431.6899998</v>
      </c>
      <c r="BA9" s="48">
        <f>资产资本表!BA70</f>
        <v>1466442525.8000002</v>
      </c>
      <c r="BB9" s="48">
        <f>资产资本表!BB70</f>
        <v>1363055991.52</v>
      </c>
      <c r="BC9" s="48">
        <f>资产资本表!BC70</f>
        <v>1402741283.5300002</v>
      </c>
      <c r="BD9" s="48">
        <f>资产资本表!BD70</f>
        <v>1365807767.0700002</v>
      </c>
      <c r="BE9" s="48">
        <f>资产资本表!BE70</f>
        <v>1382454641.3299999</v>
      </c>
      <c r="BF9" s="48">
        <f>资产资本表!BF70</f>
        <v>1378169355.1500001</v>
      </c>
      <c r="BG9" s="48">
        <f>资产资本表!BG70</f>
        <v>1396331099.97</v>
      </c>
      <c r="BH9" s="48">
        <f>资产资本表!BH70</f>
        <v>1321426575.8299999</v>
      </c>
      <c r="BI9" s="48">
        <f>资产资本表!BI70</f>
        <v>1308652630.8699999</v>
      </c>
      <c r="BJ9" s="48">
        <f>资产资本表!BJ70</f>
        <v>1318203409.71</v>
      </c>
      <c r="BK9" s="48">
        <f>资产资本表!BK70</f>
        <v>1210182496.8399999</v>
      </c>
      <c r="BL9" s="48">
        <f>资产资本表!BL70</f>
        <v>1282339030.5799999</v>
      </c>
      <c r="BM9" s="48">
        <f>资产资本表!BM70</f>
        <v>1268046546.79</v>
      </c>
      <c r="BN9" s="48">
        <f>资产资本表!BN70</f>
        <v>1330683151.75</v>
      </c>
      <c r="BO9" s="48">
        <f>资产资本表!BO70</f>
        <v>1341651366.1199999</v>
      </c>
      <c r="BP9" s="48">
        <f>资产资本表!BP70</f>
        <v>1256179773.98</v>
      </c>
      <c r="BQ9" s="48">
        <f>资产资本表!BQ70</f>
        <v>1240050778.4400001</v>
      </c>
      <c r="BR9" s="48">
        <f>资产资本表!BR70</f>
        <v>1297555504.3600001</v>
      </c>
      <c r="BS9" s="48">
        <f>资产资本表!BS70</f>
        <v>532602842.31</v>
      </c>
      <c r="BT9" s="48">
        <f>资产资本表!BT70</f>
        <v>630332203.24000001</v>
      </c>
      <c r="BU9" s="48">
        <f>资产资本表!BU70</f>
        <v>614127746.19999993</v>
      </c>
      <c r="BV9" s="48">
        <f>资产资本表!BV70</f>
        <v>613491641.42999995</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22498649.439999998</v>
      </c>
      <c r="F10" s="26">
        <f>资产资本表!F72</f>
        <v>2981935.32</v>
      </c>
      <c r="G10" s="26">
        <f>资产资本表!G72</f>
        <v>3673740.88</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10000000</v>
      </c>
      <c r="AA10" s="26">
        <f>资产资本表!AA72</f>
        <v>10000000</v>
      </c>
      <c r="AB10" s="26">
        <f>资产资本表!AB72</f>
        <v>10000000</v>
      </c>
      <c r="AC10" s="26">
        <f>资产资本表!AC72</f>
        <v>10000000</v>
      </c>
      <c r="AD10" s="26">
        <f>资产资本表!AD72</f>
        <v>12000000</v>
      </c>
      <c r="AE10" s="26">
        <f>资产资本表!AE72</f>
        <v>12000000</v>
      </c>
      <c r="AF10" s="26">
        <f>资产资本表!AF72</f>
        <v>12000000</v>
      </c>
      <c r="AG10" s="26">
        <f>资产资本表!AG72</f>
        <v>14000000</v>
      </c>
      <c r="AH10" s="26">
        <f>资产资本表!AH72</f>
        <v>14000000</v>
      </c>
      <c r="AI10" s="26">
        <f>资产资本表!AI72</f>
        <v>14000000</v>
      </c>
      <c r="AJ10" s="26">
        <f>资产资本表!AJ72</f>
        <v>15000000</v>
      </c>
      <c r="AK10" s="26">
        <f>资产资本表!AK72</f>
        <v>12000000</v>
      </c>
      <c r="AL10" s="26">
        <f>资产资本表!AL72</f>
        <v>10000000</v>
      </c>
      <c r="AM10" s="26">
        <f>资产资本表!AM72</f>
        <v>7000000</v>
      </c>
      <c r="AN10" s="26">
        <f>资产资本表!AN72</f>
        <v>100000000</v>
      </c>
      <c r="AO10" s="26">
        <f>资产资本表!AO72</f>
        <v>103000000</v>
      </c>
      <c r="AP10" s="26">
        <f>资产资本表!AP72</f>
        <v>72100000</v>
      </c>
      <c r="AQ10" s="26">
        <f>资产资本表!AQ72</f>
        <v>157000000</v>
      </c>
      <c r="AR10" s="26">
        <f>资产资本表!AR72</f>
        <v>193000000</v>
      </c>
      <c r="AS10" s="26">
        <f>资产资本表!AS72</f>
        <v>196214636.59</v>
      </c>
      <c r="AT10" s="26">
        <f>资产资本表!AT72</f>
        <v>234668584.59</v>
      </c>
      <c r="AU10" s="26">
        <f>资产资本表!AU72</f>
        <v>270295000</v>
      </c>
      <c r="AV10" s="26">
        <f>资产资本表!AV72</f>
        <v>287983274.00999999</v>
      </c>
      <c r="AW10" s="26">
        <f>资产资本表!AW72</f>
        <v>229500000</v>
      </c>
      <c r="AX10" s="26">
        <f>资产资本表!AX72</f>
        <v>237500000</v>
      </c>
      <c r="AY10" s="26">
        <f>资产资本表!AY72</f>
        <v>373500000</v>
      </c>
      <c r="AZ10" s="26">
        <f>资产资本表!AZ72</f>
        <v>300000000</v>
      </c>
      <c r="BA10" s="26">
        <f>资产资本表!BA72</f>
        <v>213531825.30000001</v>
      </c>
      <c r="BB10" s="26">
        <f>资产资本表!BB72</f>
        <v>95000000</v>
      </c>
      <c r="BC10" s="26">
        <f>资产资本表!BC72</f>
        <v>104000000</v>
      </c>
      <c r="BD10" s="26">
        <f>资产资本表!BD72</f>
        <v>90800000</v>
      </c>
      <c r="BE10" s="26">
        <f>资产资本表!BE72</f>
        <v>115358159</v>
      </c>
      <c r="BF10" s="26">
        <f>资产资本表!BF72</f>
        <v>86800000</v>
      </c>
      <c r="BG10" s="26">
        <f>资产资本表!BG72</f>
        <v>86800000</v>
      </c>
      <c r="BH10" s="26">
        <f>资产资本表!BH72</f>
        <v>69710000</v>
      </c>
      <c r="BI10" s="26">
        <f>资产资本表!BI72</f>
        <v>66970000</v>
      </c>
      <c r="BJ10" s="26">
        <f>资产资本表!BJ72</f>
        <v>71350000</v>
      </c>
      <c r="BK10" s="26">
        <f>资产资本表!BK72</f>
        <v>83300000</v>
      </c>
      <c r="BL10" s="26">
        <f>资产资本表!BL72</f>
        <v>72350000</v>
      </c>
      <c r="BM10" s="26">
        <f>资产资本表!BM72</f>
        <v>72350000</v>
      </c>
      <c r="BN10" s="26">
        <f>资产资本表!BN72</f>
        <v>123000000</v>
      </c>
      <c r="BO10" s="26">
        <f>资产资本表!BO72</f>
        <v>138830000</v>
      </c>
      <c r="BP10" s="26">
        <f>资产资本表!BP72</f>
        <v>130180000</v>
      </c>
      <c r="BQ10" s="26">
        <f>资产资本表!BQ72</f>
        <v>130480000</v>
      </c>
      <c r="BR10" s="26">
        <f>资产资本表!BR72</f>
        <v>207630000</v>
      </c>
      <c r="BS10" s="26">
        <f>资产资本表!BS72</f>
        <v>212730000</v>
      </c>
      <c r="BT10" s="26">
        <f>资产资本表!BT72</f>
        <v>275759000</v>
      </c>
      <c r="BU10" s="26">
        <f>资产资本表!BU72</f>
        <v>248329000</v>
      </c>
      <c r="BV10" s="26">
        <f>资产资本表!BV72</f>
        <v>199539000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1078686422.9400001</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26756778.68</v>
      </c>
      <c r="S11" s="26">
        <f>资产资本表!S81</f>
        <v>23039767.309999999</v>
      </c>
      <c r="T11" s="26">
        <f>资产资本表!T81</f>
        <v>15490755.939999999</v>
      </c>
      <c r="U11" s="26">
        <f>资产资本表!U81</f>
        <v>15161744.57</v>
      </c>
      <c r="V11" s="26">
        <f>资产资本表!V81</f>
        <v>15799140.92</v>
      </c>
      <c r="W11" s="26">
        <f>资产资本表!W81</f>
        <v>2638330</v>
      </c>
      <c r="X11" s="26">
        <f>资产资本表!X81</f>
        <v>2638330</v>
      </c>
      <c r="Y11" s="26">
        <f>资产资本表!Y81</f>
        <v>2638330</v>
      </c>
      <c r="Z11" s="26">
        <f>资产资本表!Z81</f>
        <v>2682666.2799999998</v>
      </c>
      <c r="AA11" s="26">
        <f>资产资本表!AA81</f>
        <v>2540166.2799999998</v>
      </c>
      <c r="AB11" s="26">
        <f>资产资本表!AB81</f>
        <v>2285830</v>
      </c>
      <c r="AC11" s="26">
        <f>资产资本表!AC81</f>
        <v>2434385</v>
      </c>
      <c r="AD11" s="26">
        <f>资产资本表!AD81</f>
        <v>2575344.0499999998</v>
      </c>
      <c r="AE11" s="26">
        <f>资产资本表!AE81</f>
        <v>3910911.75</v>
      </c>
      <c r="AF11" s="26">
        <f>资产资本表!AF81</f>
        <v>4113235.91</v>
      </c>
      <c r="AG11" s="26">
        <f>资产资本表!AG81</f>
        <v>4332963.1100000003</v>
      </c>
      <c r="AH11" s="26">
        <f>资产资本表!AH81</f>
        <v>7486841.4100000001</v>
      </c>
      <c r="AI11" s="26">
        <f>资产资本表!AI81</f>
        <v>5599925.4100000001</v>
      </c>
      <c r="AJ11" s="26">
        <f>资产资本表!AJ81</f>
        <v>5599925.4100000001</v>
      </c>
      <c r="AK11" s="26">
        <f>资产资本表!AK81</f>
        <v>5599925.4100000001</v>
      </c>
      <c r="AL11" s="26">
        <f>资产资本表!AL81</f>
        <v>4939901.91</v>
      </c>
      <c r="AM11" s="26">
        <f>资产资本表!AM81</f>
        <v>4840901.91</v>
      </c>
      <c r="AN11" s="26">
        <f>资产资本表!AN81</f>
        <v>4840901.91</v>
      </c>
      <c r="AO11" s="26">
        <f>资产资本表!AO81</f>
        <v>4840901.91</v>
      </c>
      <c r="AP11" s="26">
        <f>资产资本表!AP81</f>
        <v>3260901.91</v>
      </c>
      <c r="AQ11" s="26">
        <f>资产资本表!AQ81</f>
        <v>4596521.18</v>
      </c>
      <c r="AR11" s="26">
        <f>资产资本表!AR81</f>
        <v>3996521.18</v>
      </c>
      <c r="AS11" s="26">
        <f>资产资本表!AS81</f>
        <v>3996521.18</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10000000</v>
      </c>
      <c r="BC11" s="26">
        <f>资产资本表!BC81</f>
        <v>10000000</v>
      </c>
      <c r="BD11" s="26">
        <f>资产资本表!BD81</f>
        <v>10000000</v>
      </c>
      <c r="BE11" s="26">
        <f>资产资本表!BE81</f>
        <v>10000000</v>
      </c>
      <c r="BF11" s="26">
        <f>资产资本表!BF81</f>
        <v>873264.3</v>
      </c>
      <c r="BG11" s="26">
        <f>资产资本表!BG81</f>
        <v>873264.3</v>
      </c>
      <c r="BH11" s="26">
        <f>资产资本表!BH81</f>
        <v>4873264.3</v>
      </c>
      <c r="BI11" s="26">
        <f>资产资本表!BI81</f>
        <v>4873264.3</v>
      </c>
      <c r="BJ11" s="26">
        <f>资产资本表!BJ81</f>
        <v>7314805.2400000002</v>
      </c>
      <c r="BK11" s="26">
        <f>资产资本表!BK81</f>
        <v>9398264.3000000007</v>
      </c>
      <c r="BL11" s="26">
        <f>资产资本表!BL81</f>
        <v>8873264.3000000007</v>
      </c>
      <c r="BM11" s="26">
        <f>资产资本表!BM81</f>
        <v>8073264.2999999998</v>
      </c>
      <c r="BN11" s="26">
        <f>资产资本表!BN81</f>
        <v>15043264.300000001</v>
      </c>
      <c r="BO11" s="26">
        <f>资产资本表!BO81</f>
        <v>15670000</v>
      </c>
      <c r="BP11" s="26">
        <f>资产资本表!BP81</f>
        <v>9000000</v>
      </c>
      <c r="BQ11" s="26">
        <f>资产资本表!BQ81</f>
        <v>9000000</v>
      </c>
      <c r="BR11" s="26">
        <f>资产资本表!BR81</f>
        <v>11250000</v>
      </c>
      <c r="BS11" s="26">
        <f>资产资本表!BS81</f>
        <v>13629375</v>
      </c>
      <c r="BT11" s="26">
        <f>资产资本表!BT81</f>
        <v>77136856.479999989</v>
      </c>
      <c r="BU11" s="26">
        <f>资产资本表!BU81</f>
        <v>117326806.86</v>
      </c>
      <c r="BV11" s="26">
        <f>资产资本表!BV81</f>
        <v>134447215.98000002</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1101185072.3800001</v>
      </c>
      <c r="F12" s="26">
        <f>资产资本表!F89</f>
        <v>2981935.32</v>
      </c>
      <c r="G12" s="26">
        <f>资产资本表!G89</f>
        <v>3673740.88</v>
      </c>
      <c r="H12" s="26">
        <f>资产资本表!H89</f>
        <v>0</v>
      </c>
      <c r="I12" s="26">
        <f>资产资本表!I89</f>
        <v>0</v>
      </c>
      <c r="J12" s="26">
        <f>资产资本表!J89</f>
        <v>0</v>
      </c>
      <c r="K12" s="26">
        <f>资产资本表!K89</f>
        <v>0</v>
      </c>
      <c r="L12" s="26">
        <f>资产资本表!L89</f>
        <v>0</v>
      </c>
      <c r="M12" s="26">
        <f>资产资本表!M89</f>
        <v>0</v>
      </c>
      <c r="N12" s="26">
        <f>资产资本表!N89</f>
        <v>0</v>
      </c>
      <c r="O12" s="26">
        <f>资产资本表!O89</f>
        <v>0</v>
      </c>
      <c r="P12" s="26">
        <f>资产资本表!P89</f>
        <v>0</v>
      </c>
      <c r="Q12" s="26">
        <f>资产资本表!Q89</f>
        <v>0</v>
      </c>
      <c r="R12" s="26">
        <f>资产资本表!R89</f>
        <v>26756778.68</v>
      </c>
      <c r="S12" s="26">
        <f>资产资本表!S89</f>
        <v>23039767.309999999</v>
      </c>
      <c r="T12" s="26">
        <f>资产资本表!T89</f>
        <v>15490755.939999999</v>
      </c>
      <c r="U12" s="26">
        <f>资产资本表!U89</f>
        <v>15161744.57</v>
      </c>
      <c r="V12" s="26">
        <f>资产资本表!V89</f>
        <v>15799140.92</v>
      </c>
      <c r="W12" s="26">
        <f>资产资本表!W89</f>
        <v>2638330</v>
      </c>
      <c r="X12" s="26">
        <f>资产资本表!X89</f>
        <v>2638330</v>
      </c>
      <c r="Y12" s="26">
        <f>资产资本表!Y89</f>
        <v>2638330</v>
      </c>
      <c r="Z12" s="26">
        <f>资产资本表!Z89</f>
        <v>12682666.279999999</v>
      </c>
      <c r="AA12" s="26">
        <f>资产资本表!AA89</f>
        <v>12540166.279999999</v>
      </c>
      <c r="AB12" s="26">
        <f>资产资本表!AB89</f>
        <v>12285830</v>
      </c>
      <c r="AC12" s="26">
        <f>资产资本表!AC89</f>
        <v>12434385</v>
      </c>
      <c r="AD12" s="26">
        <f>资产资本表!AD89</f>
        <v>14575344.050000001</v>
      </c>
      <c r="AE12" s="26">
        <f>资产资本表!AE89</f>
        <v>15910911.75</v>
      </c>
      <c r="AF12" s="26">
        <f>资产资本表!AF89</f>
        <v>16113235.91</v>
      </c>
      <c r="AG12" s="26">
        <f>资产资本表!AG89</f>
        <v>18332963.109999999</v>
      </c>
      <c r="AH12" s="26">
        <f>资产资本表!AH89</f>
        <v>21486841.41</v>
      </c>
      <c r="AI12" s="26">
        <f>资产资本表!AI89</f>
        <v>19599925.41</v>
      </c>
      <c r="AJ12" s="26">
        <f>资产资本表!AJ89</f>
        <v>20599925.41</v>
      </c>
      <c r="AK12" s="26">
        <f>资产资本表!AK89</f>
        <v>17599925.41</v>
      </c>
      <c r="AL12" s="26">
        <f>资产资本表!AL89</f>
        <v>14939901.91</v>
      </c>
      <c r="AM12" s="26">
        <f>资产资本表!AM89</f>
        <v>11840901.91</v>
      </c>
      <c r="AN12" s="26">
        <f>资产资本表!AN89</f>
        <v>104840901.91</v>
      </c>
      <c r="AO12" s="26">
        <f>资产资本表!AO89</f>
        <v>107840901.91</v>
      </c>
      <c r="AP12" s="26">
        <f>资产资本表!AP89</f>
        <v>75360901.909999996</v>
      </c>
      <c r="AQ12" s="26">
        <f>资产资本表!AQ89</f>
        <v>161596521.18000001</v>
      </c>
      <c r="AR12" s="26">
        <f>资产资本表!AR89</f>
        <v>196996521.18000001</v>
      </c>
      <c r="AS12" s="26">
        <f>资产资本表!AS89</f>
        <v>200211157.77000001</v>
      </c>
      <c r="AT12" s="26">
        <f>资产资本表!AT89</f>
        <v>234668584.59</v>
      </c>
      <c r="AU12" s="26">
        <f>资产资本表!AU89</f>
        <v>270295000</v>
      </c>
      <c r="AV12" s="26">
        <f>资产资本表!AV89</f>
        <v>287983274.00999999</v>
      </c>
      <c r="AW12" s="26">
        <f>资产资本表!AW89</f>
        <v>229500000</v>
      </c>
      <c r="AX12" s="26">
        <f>资产资本表!AX89</f>
        <v>237500000</v>
      </c>
      <c r="AY12" s="26">
        <f>资产资本表!AY89</f>
        <v>373500000</v>
      </c>
      <c r="AZ12" s="26">
        <f>资产资本表!AZ89</f>
        <v>300000000</v>
      </c>
      <c r="BA12" s="26">
        <f>资产资本表!BA89</f>
        <v>213531825.30000001</v>
      </c>
      <c r="BB12" s="26">
        <f>资产资本表!BB89</f>
        <v>105000000</v>
      </c>
      <c r="BC12" s="26">
        <f>资产资本表!BC89</f>
        <v>114000000</v>
      </c>
      <c r="BD12" s="26">
        <f>资产资本表!BD89</f>
        <v>100800000</v>
      </c>
      <c r="BE12" s="26">
        <f>资产资本表!BE89</f>
        <v>125358159</v>
      </c>
      <c r="BF12" s="26">
        <f>资产资本表!BF89</f>
        <v>87673264.299999997</v>
      </c>
      <c r="BG12" s="26">
        <f>资产资本表!BG89</f>
        <v>87673264.299999997</v>
      </c>
      <c r="BH12" s="26">
        <f>资产资本表!BH89</f>
        <v>74583264.299999997</v>
      </c>
      <c r="BI12" s="26">
        <f>资产资本表!BI89</f>
        <v>71843264.299999997</v>
      </c>
      <c r="BJ12" s="26">
        <f>资产资本表!BJ89</f>
        <v>78664805.239999995</v>
      </c>
      <c r="BK12" s="26">
        <f>资产资本表!BK89</f>
        <v>92698264.299999997</v>
      </c>
      <c r="BL12" s="26">
        <f>资产资本表!BL89</f>
        <v>81223264.299999997</v>
      </c>
      <c r="BM12" s="26">
        <f>资产资本表!BM89</f>
        <v>80423264.299999997</v>
      </c>
      <c r="BN12" s="26">
        <f>资产资本表!BN89</f>
        <v>138043264.30000001</v>
      </c>
      <c r="BO12" s="26">
        <f>资产资本表!BO89</f>
        <v>154500000</v>
      </c>
      <c r="BP12" s="26">
        <f>资产资本表!BP89</f>
        <v>139180000</v>
      </c>
      <c r="BQ12" s="26">
        <f>资产资本表!BQ89</f>
        <v>139480000</v>
      </c>
      <c r="BR12" s="26">
        <f>资产资本表!BR89</f>
        <v>218880000</v>
      </c>
      <c r="BS12" s="26">
        <f>资产资本表!BS89</f>
        <v>226359375</v>
      </c>
      <c r="BT12" s="26">
        <f>资产资本表!BT89</f>
        <v>352895856.48000002</v>
      </c>
      <c r="BU12" s="26">
        <f>资产资本表!BU89</f>
        <v>365655806.86000001</v>
      </c>
      <c r="BV12" s="26">
        <f>资产资本表!BV89</f>
        <v>333986215.98000002</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5379060315.6499996</v>
      </c>
      <c r="F13" s="26">
        <f t="shared" ref="F13:BQ13" si="0">F9-F12</f>
        <v>5581147878.1300001</v>
      </c>
      <c r="G13" s="26">
        <f t="shared" si="0"/>
        <v>5483228044.0700006</v>
      </c>
      <c r="H13" s="26">
        <f t="shared" si="0"/>
        <v>5410851971.2399998</v>
      </c>
      <c r="I13" s="26">
        <f t="shared" si="0"/>
        <v>5302630348.1700001</v>
      </c>
      <c r="J13" s="26">
        <f t="shared" si="0"/>
        <v>5496064351.8899994</v>
      </c>
      <c r="K13" s="26">
        <f t="shared" si="0"/>
        <v>6092846785.5299997</v>
      </c>
      <c r="L13" s="26">
        <f t="shared" si="0"/>
        <v>5854406102.8999996</v>
      </c>
      <c r="M13" s="26">
        <f t="shared" si="0"/>
        <v>5729931762.5599995</v>
      </c>
      <c r="N13" s="26">
        <f t="shared" si="0"/>
        <v>4347945256.8199997</v>
      </c>
      <c r="O13" s="26">
        <f t="shared" si="0"/>
        <v>4249908833.4099998</v>
      </c>
      <c r="P13" s="26">
        <f t="shared" si="0"/>
        <v>4012230378.0500002</v>
      </c>
      <c r="Q13" s="26">
        <f t="shared" si="0"/>
        <v>3819507280.5699997</v>
      </c>
      <c r="R13" s="26">
        <f t="shared" si="0"/>
        <v>3790518319.0800004</v>
      </c>
      <c r="S13" s="26">
        <f t="shared" si="0"/>
        <v>3652222890.8700004</v>
      </c>
      <c r="T13" s="26">
        <f t="shared" si="0"/>
        <v>3568797400.4299998</v>
      </c>
      <c r="U13" s="26">
        <f t="shared" si="0"/>
        <v>3382085866.2399998</v>
      </c>
      <c r="V13" s="26">
        <f t="shared" si="0"/>
        <v>3207600637.6999998</v>
      </c>
      <c r="W13" s="26">
        <f t="shared" si="0"/>
        <v>3048742088.6100001</v>
      </c>
      <c r="X13" s="26">
        <f t="shared" si="0"/>
        <v>2921077725.0599999</v>
      </c>
      <c r="Y13" s="26">
        <f t="shared" si="0"/>
        <v>2741623774.8100004</v>
      </c>
      <c r="Z13" s="26">
        <f t="shared" si="0"/>
        <v>2537541110.9799995</v>
      </c>
      <c r="AA13" s="26">
        <f t="shared" si="0"/>
        <v>2561119926.8899999</v>
      </c>
      <c r="AB13" s="26">
        <f t="shared" si="0"/>
        <v>1871619760.1799998</v>
      </c>
      <c r="AC13" s="26">
        <f t="shared" si="0"/>
        <v>1782237828.1999998</v>
      </c>
      <c r="AD13" s="26">
        <f t="shared" si="0"/>
        <v>1695768844.9400001</v>
      </c>
      <c r="AE13" s="26">
        <f t="shared" si="0"/>
        <v>1619830588.3899999</v>
      </c>
      <c r="AF13" s="26">
        <f t="shared" si="0"/>
        <v>1580132504.8599999</v>
      </c>
      <c r="AG13" s="26">
        <f t="shared" si="0"/>
        <v>1518436924.5200002</v>
      </c>
      <c r="AH13" s="26">
        <f t="shared" si="0"/>
        <v>1469172753.3699999</v>
      </c>
      <c r="AI13" s="26">
        <f t="shared" si="0"/>
        <v>1412099943.5999999</v>
      </c>
      <c r="AJ13" s="26">
        <f t="shared" si="0"/>
        <v>1411805757.1899998</v>
      </c>
      <c r="AK13" s="26">
        <f t="shared" si="0"/>
        <v>1370523187.8299999</v>
      </c>
      <c r="AL13" s="26">
        <f t="shared" si="0"/>
        <v>1310569573.4100001</v>
      </c>
      <c r="AM13" s="26">
        <f t="shared" si="0"/>
        <v>1259747124.5599999</v>
      </c>
      <c r="AN13" s="26">
        <f t="shared" si="0"/>
        <v>1188192233.9200001</v>
      </c>
      <c r="AO13" s="26">
        <f t="shared" si="0"/>
        <v>1147944665.0899999</v>
      </c>
      <c r="AP13" s="26">
        <f t="shared" si="0"/>
        <v>1102599604.4199998</v>
      </c>
      <c r="AQ13" s="26">
        <f t="shared" si="0"/>
        <v>1093625438.8699999</v>
      </c>
      <c r="AR13" s="26">
        <f t="shared" si="0"/>
        <v>942738217.43999982</v>
      </c>
      <c r="AS13" s="26">
        <f t="shared" si="0"/>
        <v>907833246.53999996</v>
      </c>
      <c r="AT13" s="26">
        <f t="shared" si="0"/>
        <v>891508634.98000014</v>
      </c>
      <c r="AU13" s="26">
        <f t="shared" si="0"/>
        <v>857838357.4000001</v>
      </c>
      <c r="AV13" s="26">
        <f t="shared" si="0"/>
        <v>833361540.75000024</v>
      </c>
      <c r="AW13" s="26">
        <f t="shared" si="0"/>
        <v>850670459.25</v>
      </c>
      <c r="AX13" s="26">
        <f t="shared" si="0"/>
        <v>849239630.6500001</v>
      </c>
      <c r="AY13" s="26">
        <f t="shared" si="0"/>
        <v>829293809.76999998</v>
      </c>
      <c r="AZ13" s="26">
        <f t="shared" si="0"/>
        <v>1254515431.6899998</v>
      </c>
      <c r="BA13" s="26">
        <f t="shared" si="0"/>
        <v>1252910700.5000002</v>
      </c>
      <c r="BB13" s="26">
        <f t="shared" si="0"/>
        <v>1258055991.52</v>
      </c>
      <c r="BC13" s="26">
        <f t="shared" si="0"/>
        <v>1288741283.5300002</v>
      </c>
      <c r="BD13" s="26">
        <f t="shared" si="0"/>
        <v>1265007767.0700002</v>
      </c>
      <c r="BE13" s="26">
        <f t="shared" si="0"/>
        <v>1257096482.3299999</v>
      </c>
      <c r="BF13" s="26">
        <f t="shared" si="0"/>
        <v>1290496090.8500001</v>
      </c>
      <c r="BG13" s="26">
        <f t="shared" si="0"/>
        <v>1308657835.6700001</v>
      </c>
      <c r="BH13" s="26">
        <f t="shared" si="0"/>
        <v>1246843311.53</v>
      </c>
      <c r="BI13" s="26">
        <f t="shared" si="0"/>
        <v>1236809366.5699999</v>
      </c>
      <c r="BJ13" s="26">
        <f t="shared" si="0"/>
        <v>1239538604.47</v>
      </c>
      <c r="BK13" s="26">
        <f t="shared" si="0"/>
        <v>1117484232.54</v>
      </c>
      <c r="BL13" s="26">
        <f t="shared" si="0"/>
        <v>1201115766.28</v>
      </c>
      <c r="BM13" s="26">
        <f t="shared" si="0"/>
        <v>1187623282.49</v>
      </c>
      <c r="BN13" s="26">
        <f t="shared" si="0"/>
        <v>1192639887.45</v>
      </c>
      <c r="BO13" s="26">
        <f t="shared" si="0"/>
        <v>1187151366.1199999</v>
      </c>
      <c r="BP13" s="26">
        <f t="shared" si="0"/>
        <v>1116999773.98</v>
      </c>
      <c r="BQ13" s="26">
        <f t="shared" si="0"/>
        <v>1100570778.4400001</v>
      </c>
      <c r="BR13" s="26">
        <f t="shared" ref="BR13:CL13" si="1">BR9-BR12</f>
        <v>1078675504.3600001</v>
      </c>
      <c r="BS13" s="26">
        <f t="shared" si="1"/>
        <v>306243467.31</v>
      </c>
      <c r="BT13" s="26">
        <f t="shared" si="1"/>
        <v>277436346.75999999</v>
      </c>
      <c r="BU13" s="26">
        <f t="shared" si="1"/>
        <v>248471939.33999991</v>
      </c>
      <c r="BV13" s="26">
        <f t="shared" si="1"/>
        <v>279505425.44999993</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6480245388.0299997</v>
      </c>
      <c r="F14" s="48">
        <f t="shared" ref="F14:BQ14" si="2">F9</f>
        <v>5584129813.4499998</v>
      </c>
      <c r="G14" s="48">
        <f t="shared" si="2"/>
        <v>5486901784.9500008</v>
      </c>
      <c r="H14" s="48">
        <f t="shared" si="2"/>
        <v>5410851971.2399998</v>
      </c>
      <c r="I14" s="48">
        <f t="shared" si="2"/>
        <v>5302630348.1700001</v>
      </c>
      <c r="J14" s="48">
        <f t="shared" si="2"/>
        <v>5496064351.8899994</v>
      </c>
      <c r="K14" s="48">
        <f t="shared" si="2"/>
        <v>6092846785.5299997</v>
      </c>
      <c r="L14" s="48">
        <f t="shared" si="2"/>
        <v>5854406102.8999996</v>
      </c>
      <c r="M14" s="48">
        <f t="shared" si="2"/>
        <v>5729931762.5599995</v>
      </c>
      <c r="N14" s="48">
        <f t="shared" si="2"/>
        <v>4347945256.8199997</v>
      </c>
      <c r="O14" s="48">
        <f t="shared" si="2"/>
        <v>4249908833.4099998</v>
      </c>
      <c r="P14" s="48">
        <f t="shared" si="2"/>
        <v>4012230378.0500002</v>
      </c>
      <c r="Q14" s="48">
        <f t="shared" si="2"/>
        <v>3819507280.5699997</v>
      </c>
      <c r="R14" s="48">
        <f t="shared" si="2"/>
        <v>3817275097.7600002</v>
      </c>
      <c r="S14" s="48">
        <f t="shared" si="2"/>
        <v>3675262658.1800003</v>
      </c>
      <c r="T14" s="48">
        <f t="shared" si="2"/>
        <v>3584288156.3699999</v>
      </c>
      <c r="U14" s="48">
        <f t="shared" si="2"/>
        <v>3397247610.8099999</v>
      </c>
      <c r="V14" s="48">
        <f t="shared" si="2"/>
        <v>3223399778.6199999</v>
      </c>
      <c r="W14" s="48">
        <f t="shared" si="2"/>
        <v>3051380418.6100001</v>
      </c>
      <c r="X14" s="48">
        <f t="shared" si="2"/>
        <v>2923716055.0599999</v>
      </c>
      <c r="Y14" s="48">
        <f t="shared" si="2"/>
        <v>2744262104.8100004</v>
      </c>
      <c r="Z14" s="48">
        <f t="shared" si="2"/>
        <v>2550223777.2599998</v>
      </c>
      <c r="AA14" s="48">
        <f t="shared" si="2"/>
        <v>2573660093.1700001</v>
      </c>
      <c r="AB14" s="48">
        <f t="shared" si="2"/>
        <v>1883905590.1799998</v>
      </c>
      <c r="AC14" s="48">
        <f t="shared" si="2"/>
        <v>1794672213.1999998</v>
      </c>
      <c r="AD14" s="48">
        <f t="shared" si="2"/>
        <v>1710344188.99</v>
      </c>
      <c r="AE14" s="48">
        <f t="shared" si="2"/>
        <v>1635741500.1399999</v>
      </c>
      <c r="AF14" s="48">
        <f t="shared" si="2"/>
        <v>1596245740.77</v>
      </c>
      <c r="AG14" s="48">
        <f t="shared" si="2"/>
        <v>1536769887.6300001</v>
      </c>
      <c r="AH14" s="48">
        <f t="shared" si="2"/>
        <v>1490659594.78</v>
      </c>
      <c r="AI14" s="48">
        <f t="shared" si="2"/>
        <v>1431699869.01</v>
      </c>
      <c r="AJ14" s="48">
        <f t="shared" si="2"/>
        <v>1432405682.5999999</v>
      </c>
      <c r="AK14" s="48">
        <f t="shared" si="2"/>
        <v>1388123113.24</v>
      </c>
      <c r="AL14" s="48">
        <f t="shared" si="2"/>
        <v>1325509475.3200002</v>
      </c>
      <c r="AM14" s="48">
        <f t="shared" si="2"/>
        <v>1271588026.47</v>
      </c>
      <c r="AN14" s="48">
        <f t="shared" si="2"/>
        <v>1293033135.8300002</v>
      </c>
      <c r="AO14" s="48">
        <f t="shared" si="2"/>
        <v>1255785567</v>
      </c>
      <c r="AP14" s="48">
        <f t="shared" si="2"/>
        <v>1177960506.3299999</v>
      </c>
      <c r="AQ14" s="48">
        <f t="shared" si="2"/>
        <v>1255221960.05</v>
      </c>
      <c r="AR14" s="48">
        <f t="shared" si="2"/>
        <v>1139734738.6199999</v>
      </c>
      <c r="AS14" s="48">
        <f t="shared" si="2"/>
        <v>1108044404.3099999</v>
      </c>
      <c r="AT14" s="48">
        <f t="shared" si="2"/>
        <v>1126177219.5700002</v>
      </c>
      <c r="AU14" s="48">
        <f t="shared" si="2"/>
        <v>1128133357.4000001</v>
      </c>
      <c r="AV14" s="48">
        <f t="shared" si="2"/>
        <v>1121344814.7600002</v>
      </c>
      <c r="AW14" s="48">
        <f t="shared" si="2"/>
        <v>1080170459.25</v>
      </c>
      <c r="AX14" s="48">
        <f t="shared" si="2"/>
        <v>1086739630.6500001</v>
      </c>
      <c r="AY14" s="48">
        <f t="shared" si="2"/>
        <v>1202793809.77</v>
      </c>
      <c r="AZ14" s="48">
        <f t="shared" si="2"/>
        <v>1554515431.6899998</v>
      </c>
      <c r="BA14" s="48">
        <f t="shared" si="2"/>
        <v>1466442525.8000002</v>
      </c>
      <c r="BB14" s="48">
        <f t="shared" si="2"/>
        <v>1363055991.52</v>
      </c>
      <c r="BC14" s="48">
        <f t="shared" si="2"/>
        <v>1402741283.5300002</v>
      </c>
      <c r="BD14" s="48">
        <f t="shared" si="2"/>
        <v>1365807767.0700002</v>
      </c>
      <c r="BE14" s="48">
        <f t="shared" si="2"/>
        <v>1382454641.3299999</v>
      </c>
      <c r="BF14" s="48">
        <f t="shared" si="2"/>
        <v>1378169355.1500001</v>
      </c>
      <c r="BG14" s="48">
        <f t="shared" si="2"/>
        <v>1396331099.97</v>
      </c>
      <c r="BH14" s="48">
        <f t="shared" si="2"/>
        <v>1321426575.8299999</v>
      </c>
      <c r="BI14" s="48">
        <f t="shared" si="2"/>
        <v>1308652630.8699999</v>
      </c>
      <c r="BJ14" s="48">
        <f t="shared" si="2"/>
        <v>1318203409.71</v>
      </c>
      <c r="BK14" s="48">
        <f t="shared" si="2"/>
        <v>1210182496.8399999</v>
      </c>
      <c r="BL14" s="48">
        <f t="shared" si="2"/>
        <v>1282339030.5799999</v>
      </c>
      <c r="BM14" s="48">
        <f t="shared" si="2"/>
        <v>1268046546.79</v>
      </c>
      <c r="BN14" s="48">
        <f t="shared" si="2"/>
        <v>1330683151.75</v>
      </c>
      <c r="BO14" s="48">
        <f t="shared" si="2"/>
        <v>1341651366.1199999</v>
      </c>
      <c r="BP14" s="48">
        <f t="shared" si="2"/>
        <v>1256179773.98</v>
      </c>
      <c r="BQ14" s="48">
        <f t="shared" si="2"/>
        <v>1240050778.4400001</v>
      </c>
      <c r="BR14" s="48">
        <f t="shared" ref="BR14:CL14" si="3">BR9</f>
        <v>1297555504.3600001</v>
      </c>
      <c r="BS14" s="48">
        <f t="shared" si="3"/>
        <v>532602842.31</v>
      </c>
      <c r="BT14" s="48">
        <f t="shared" si="3"/>
        <v>630332203.24000001</v>
      </c>
      <c r="BU14" s="48">
        <f t="shared" si="3"/>
        <v>614127746.19999993</v>
      </c>
      <c r="BV14" s="48">
        <f t="shared" si="3"/>
        <v>613491641.42999995</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1857067109.9700003</v>
      </c>
      <c r="F15" s="58">
        <f t="shared" ref="F15:BQ15" si="4">F11+F13-F3-F4-F7</f>
        <v>2135655994.47</v>
      </c>
      <c r="G15" s="58">
        <f t="shared" si="4"/>
        <v>2591662821.8099999</v>
      </c>
      <c r="H15" s="58">
        <f t="shared" si="4"/>
        <v>2547817682.6299992</v>
      </c>
      <c r="I15" s="58">
        <f t="shared" si="4"/>
        <v>2773087308.2299995</v>
      </c>
      <c r="J15" s="58">
        <f t="shared" si="4"/>
        <v>3319654242.4599991</v>
      </c>
      <c r="K15" s="58">
        <f t="shared" si="4"/>
        <v>4058558171.0399995</v>
      </c>
      <c r="L15" s="58">
        <f t="shared" si="4"/>
        <v>3942601282.4499998</v>
      </c>
      <c r="M15" s="58">
        <f t="shared" si="4"/>
        <v>3596640930.6700001</v>
      </c>
      <c r="N15" s="58">
        <f t="shared" si="4"/>
        <v>2496619003.8299994</v>
      </c>
      <c r="O15" s="58">
        <f t="shared" si="4"/>
        <v>2311467821.3099995</v>
      </c>
      <c r="P15" s="58">
        <f t="shared" si="4"/>
        <v>3065908760.3599997</v>
      </c>
      <c r="Q15" s="58">
        <f t="shared" si="4"/>
        <v>2698060561.48</v>
      </c>
      <c r="R15" s="58">
        <f t="shared" si="4"/>
        <v>2503136168.4800005</v>
      </c>
      <c r="S15" s="58">
        <f t="shared" si="4"/>
        <v>2257336804.0700002</v>
      </c>
      <c r="T15" s="58">
        <f t="shared" si="4"/>
        <v>2303376783.6500006</v>
      </c>
      <c r="U15" s="58">
        <f t="shared" si="4"/>
        <v>1782645395.4399993</v>
      </c>
      <c r="V15" s="58">
        <f t="shared" si="4"/>
        <v>2268191684.0299997</v>
      </c>
      <c r="W15" s="58">
        <f t="shared" si="4"/>
        <v>2040814494.23</v>
      </c>
      <c r="X15" s="58">
        <f t="shared" si="4"/>
        <v>2052636261.3399999</v>
      </c>
      <c r="Y15" s="58">
        <f t="shared" si="4"/>
        <v>1820084487.8700006</v>
      </c>
      <c r="Z15" s="58">
        <f t="shared" si="4"/>
        <v>1795186196.54</v>
      </c>
      <c r="AA15" s="58">
        <f t="shared" si="4"/>
        <v>1566784250.9699998</v>
      </c>
      <c r="AB15" s="58">
        <f t="shared" si="4"/>
        <v>1044018437.67</v>
      </c>
      <c r="AC15" s="58">
        <f t="shared" si="4"/>
        <v>863194762.7099998</v>
      </c>
      <c r="AD15" s="58">
        <f t="shared" si="4"/>
        <v>942680185.75000012</v>
      </c>
      <c r="AE15" s="58">
        <f t="shared" si="4"/>
        <v>797544856.52999985</v>
      </c>
      <c r="AF15" s="58">
        <f t="shared" si="4"/>
        <v>817614901.81999993</v>
      </c>
      <c r="AG15" s="58">
        <f t="shared" si="4"/>
        <v>759877255.05000007</v>
      </c>
      <c r="AH15" s="58">
        <f t="shared" si="4"/>
        <v>795143541.53999996</v>
      </c>
      <c r="AI15" s="58">
        <f t="shared" si="4"/>
        <v>664805129.55999982</v>
      </c>
      <c r="AJ15" s="58">
        <f t="shared" si="4"/>
        <v>680429835.61999989</v>
      </c>
      <c r="AK15" s="58">
        <f t="shared" si="4"/>
        <v>694934735.4599998</v>
      </c>
      <c r="AL15" s="58">
        <f t="shared" si="4"/>
        <v>691134777.54999995</v>
      </c>
      <c r="AM15" s="58">
        <f t="shared" si="4"/>
        <v>494812457.24000007</v>
      </c>
      <c r="AN15" s="58">
        <f t="shared" si="4"/>
        <v>434705686.71000016</v>
      </c>
      <c r="AO15" s="58">
        <f t="shared" si="4"/>
        <v>380998298.75</v>
      </c>
      <c r="AP15" s="58">
        <f t="shared" si="4"/>
        <v>399839004.79999983</v>
      </c>
      <c r="AQ15" s="58">
        <f t="shared" si="4"/>
        <v>347966248.71999997</v>
      </c>
      <c r="AR15" s="58">
        <f t="shared" si="4"/>
        <v>222035458.30999964</v>
      </c>
      <c r="AS15" s="58">
        <f t="shared" si="4"/>
        <v>142014347.34000003</v>
      </c>
      <c r="AT15" s="58">
        <f t="shared" si="4"/>
        <v>231807328.79000008</v>
      </c>
      <c r="AU15" s="58">
        <f t="shared" si="4"/>
        <v>80024294.609999955</v>
      </c>
      <c r="AV15" s="58">
        <f t="shared" si="4"/>
        <v>-25574407.239999831</v>
      </c>
      <c r="AW15" s="58">
        <f t="shared" si="4"/>
        <v>2416393.7699999809</v>
      </c>
      <c r="AX15" s="58">
        <f t="shared" si="4"/>
        <v>-7207889.7599998713</v>
      </c>
      <c r="AY15" s="58">
        <f t="shared" si="4"/>
        <v>-133893509.36000001</v>
      </c>
      <c r="AZ15" s="58">
        <f t="shared" si="4"/>
        <v>178880660.77999997</v>
      </c>
      <c r="BA15" s="58">
        <f t="shared" si="4"/>
        <v>151499809.6500001</v>
      </c>
      <c r="BB15" s="58">
        <f t="shared" si="4"/>
        <v>150341636.41999984</v>
      </c>
      <c r="BC15" s="58">
        <f t="shared" si="4"/>
        <v>221215030.62000024</v>
      </c>
      <c r="BD15" s="58">
        <f t="shared" si="4"/>
        <v>220107557.19000018</v>
      </c>
      <c r="BE15" s="58">
        <f t="shared" si="4"/>
        <v>281655064.0200001</v>
      </c>
      <c r="BF15" s="58">
        <f t="shared" si="4"/>
        <v>324520662.9600001</v>
      </c>
      <c r="BG15" s="58">
        <f t="shared" si="4"/>
        <v>385321765.80000001</v>
      </c>
      <c r="BH15" s="58">
        <f t="shared" si="4"/>
        <v>362642656.41000003</v>
      </c>
      <c r="BI15" s="58">
        <f t="shared" si="4"/>
        <v>384187452.65999979</v>
      </c>
      <c r="BJ15" s="58">
        <f t="shared" si="4"/>
        <v>437510395.51000005</v>
      </c>
      <c r="BK15" s="58">
        <f t="shared" si="4"/>
        <v>324376923.81999993</v>
      </c>
      <c r="BL15" s="58">
        <f t="shared" si="4"/>
        <v>340586577.92000002</v>
      </c>
      <c r="BM15" s="58">
        <f t="shared" si="4"/>
        <v>446052209.12999994</v>
      </c>
      <c r="BN15" s="58">
        <f t="shared" si="4"/>
        <v>565874266.04999995</v>
      </c>
      <c r="BO15" s="58">
        <f t="shared" si="4"/>
        <v>605474172.58999979</v>
      </c>
      <c r="BP15" s="58">
        <f t="shared" si="4"/>
        <v>580647958.76999998</v>
      </c>
      <c r="BQ15" s="58">
        <f t="shared" si="4"/>
        <v>602444657.06000006</v>
      </c>
      <c r="BR15" s="58">
        <f t="shared" ref="BR15:CL15" si="5">BR11+BR13-BR3-BR4-BR7</f>
        <v>663575319.6400001</v>
      </c>
      <c r="BS15" s="58">
        <f t="shared" si="5"/>
        <v>-145602487.41</v>
      </c>
      <c r="BT15" s="58">
        <f t="shared" si="5"/>
        <v>-201457918.33999997</v>
      </c>
      <c r="BU15" s="58">
        <f t="shared" si="5"/>
        <v>-204173524.4000001</v>
      </c>
      <c r="BV15" s="58">
        <f t="shared" si="5"/>
        <v>-149221266.78000003</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-1857067109.97</v>
      </c>
      <c r="F16" s="58">
        <f t="shared" ref="F16:BQ16" si="6">F10-F2</f>
        <v>-2135655994.47</v>
      </c>
      <c r="G16" s="58">
        <f t="shared" si="6"/>
        <v>-2591662821.8099999</v>
      </c>
      <c r="H16" s="58">
        <f t="shared" si="6"/>
        <v>-2547817682.6300001</v>
      </c>
      <c r="I16" s="58">
        <f t="shared" si="6"/>
        <v>-2773087308.23</v>
      </c>
      <c r="J16" s="58">
        <f t="shared" si="6"/>
        <v>-3319654242.46</v>
      </c>
      <c r="K16" s="58">
        <f t="shared" si="6"/>
        <v>-4058558171.04</v>
      </c>
      <c r="L16" s="58">
        <f t="shared" si="6"/>
        <v>-3942601282.4499998</v>
      </c>
      <c r="M16" s="58">
        <f t="shared" si="6"/>
        <v>-3596640930.6700001</v>
      </c>
      <c r="N16" s="58">
        <f t="shared" si="6"/>
        <v>-2496619003.8299999</v>
      </c>
      <c r="O16" s="58">
        <f t="shared" si="6"/>
        <v>-2311467821.3099999</v>
      </c>
      <c r="P16" s="58">
        <f t="shared" si="6"/>
        <v>-3065908760.3600001</v>
      </c>
      <c r="Q16" s="58">
        <f t="shared" si="6"/>
        <v>-2698060561.48</v>
      </c>
      <c r="R16" s="58">
        <f t="shared" si="6"/>
        <v>-2503136168.48</v>
      </c>
      <c r="S16" s="58">
        <f t="shared" si="6"/>
        <v>-2257336804.0700002</v>
      </c>
      <c r="T16" s="58">
        <f t="shared" si="6"/>
        <v>-2303376783.6500001</v>
      </c>
      <c r="U16" s="58">
        <f t="shared" si="6"/>
        <v>-1782645395.4399998</v>
      </c>
      <c r="V16" s="58">
        <f t="shared" si="6"/>
        <v>-2268191684.0299997</v>
      </c>
      <c r="W16" s="58">
        <f t="shared" si="6"/>
        <v>-2040814494.2300003</v>
      </c>
      <c r="X16" s="58">
        <f t="shared" si="6"/>
        <v>-2052636261.3399999</v>
      </c>
      <c r="Y16" s="58">
        <f t="shared" si="6"/>
        <v>-1820084487.8700001</v>
      </c>
      <c r="Z16" s="58">
        <f t="shared" si="6"/>
        <v>-1795186196.54</v>
      </c>
      <c r="AA16" s="58">
        <f t="shared" si="6"/>
        <v>-1566784250.97</v>
      </c>
      <c r="AB16" s="58">
        <f t="shared" si="6"/>
        <v>-1044018437.67</v>
      </c>
      <c r="AC16" s="58">
        <f t="shared" si="6"/>
        <v>-863194762.71000004</v>
      </c>
      <c r="AD16" s="58">
        <f t="shared" si="6"/>
        <v>-942680185.75</v>
      </c>
      <c r="AE16" s="58">
        <f t="shared" si="6"/>
        <v>-797544856.52999997</v>
      </c>
      <c r="AF16" s="58">
        <f t="shared" si="6"/>
        <v>-817614901.82000005</v>
      </c>
      <c r="AG16" s="58">
        <f t="shared" si="6"/>
        <v>-759877255.04999995</v>
      </c>
      <c r="AH16" s="58">
        <f t="shared" si="6"/>
        <v>-795143541.53999996</v>
      </c>
      <c r="AI16" s="58">
        <f t="shared" si="6"/>
        <v>-664805129.55999994</v>
      </c>
      <c r="AJ16" s="58">
        <f t="shared" si="6"/>
        <v>-680429835.62</v>
      </c>
      <c r="AK16" s="58">
        <f t="shared" si="6"/>
        <v>-694934735.46000004</v>
      </c>
      <c r="AL16" s="58">
        <f t="shared" si="6"/>
        <v>-691134777.55000007</v>
      </c>
      <c r="AM16" s="58">
        <f t="shared" si="6"/>
        <v>-494812457.24000001</v>
      </c>
      <c r="AN16" s="58">
        <f t="shared" si="6"/>
        <v>-434705686.70999998</v>
      </c>
      <c r="AO16" s="58">
        <f t="shared" si="6"/>
        <v>-380998298.75</v>
      </c>
      <c r="AP16" s="58">
        <f t="shared" si="6"/>
        <v>-399839004.80000001</v>
      </c>
      <c r="AQ16" s="58">
        <f t="shared" si="6"/>
        <v>-347966248.72000003</v>
      </c>
      <c r="AR16" s="58">
        <f t="shared" si="6"/>
        <v>-222035458.31</v>
      </c>
      <c r="AS16" s="58">
        <f t="shared" si="6"/>
        <v>-142014347.34</v>
      </c>
      <c r="AT16" s="58">
        <f t="shared" si="6"/>
        <v>-231807328.78999999</v>
      </c>
      <c r="AU16" s="58">
        <f t="shared" si="6"/>
        <v>-80024294.610000014</v>
      </c>
      <c r="AV16" s="58">
        <f t="shared" si="6"/>
        <v>25574407.24000001</v>
      </c>
      <c r="AW16" s="58">
        <f t="shared" si="6"/>
        <v>-2416393.7700000107</v>
      </c>
      <c r="AX16" s="58">
        <f t="shared" si="6"/>
        <v>7207889.7599999905</v>
      </c>
      <c r="AY16" s="58">
        <f t="shared" si="6"/>
        <v>133893509.35999998</v>
      </c>
      <c r="AZ16" s="58">
        <f t="shared" si="6"/>
        <v>-178880660.77999997</v>
      </c>
      <c r="BA16" s="58">
        <f t="shared" si="6"/>
        <v>-151499809.65000004</v>
      </c>
      <c r="BB16" s="58">
        <f t="shared" si="6"/>
        <v>-150341636.41999999</v>
      </c>
      <c r="BC16" s="58">
        <f t="shared" si="6"/>
        <v>-221215030.62</v>
      </c>
      <c r="BD16" s="58">
        <f t="shared" si="6"/>
        <v>-220107557.19</v>
      </c>
      <c r="BE16" s="58">
        <f t="shared" si="6"/>
        <v>-281655064.01999998</v>
      </c>
      <c r="BF16" s="58">
        <f t="shared" si="6"/>
        <v>-324520662.96000004</v>
      </c>
      <c r="BG16" s="58">
        <f t="shared" si="6"/>
        <v>-385321765.80000001</v>
      </c>
      <c r="BH16" s="58">
        <f t="shared" si="6"/>
        <v>-362642656.40999997</v>
      </c>
      <c r="BI16" s="58">
        <f t="shared" si="6"/>
        <v>-384187452.65999997</v>
      </c>
      <c r="BJ16" s="58">
        <f t="shared" si="6"/>
        <v>-437510395.50999999</v>
      </c>
      <c r="BK16" s="58">
        <f t="shared" si="6"/>
        <v>-324376923.81999999</v>
      </c>
      <c r="BL16" s="58">
        <f t="shared" si="6"/>
        <v>-340586577.91999996</v>
      </c>
      <c r="BM16" s="58">
        <f t="shared" si="6"/>
        <v>-446052209.13</v>
      </c>
      <c r="BN16" s="58">
        <f t="shared" si="6"/>
        <v>-565874266.04999995</v>
      </c>
      <c r="BO16" s="58">
        <f t="shared" si="6"/>
        <v>-605474172.58999991</v>
      </c>
      <c r="BP16" s="58">
        <f t="shared" si="6"/>
        <v>-580647958.76999998</v>
      </c>
      <c r="BQ16" s="58">
        <f t="shared" si="6"/>
        <v>-602444657.05999994</v>
      </c>
      <c r="BR16" s="58">
        <f t="shared" ref="BR16:CL16" si="7">BR10-BR2</f>
        <v>-663575319.63999999</v>
      </c>
      <c r="BS16" s="58">
        <f t="shared" si="7"/>
        <v>145602487.41</v>
      </c>
      <c r="BT16" s="58">
        <f t="shared" si="7"/>
        <v>201457918.34</v>
      </c>
      <c r="BU16" s="58">
        <f t="shared" si="7"/>
        <v>204173524.40000001</v>
      </c>
      <c r="BV16" s="58">
        <f t="shared" si="7"/>
        <v>149221266.78</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190.38731791945693</v>
      </c>
      <c r="F17" s="59">
        <f t="shared" ref="F17:BQ17" si="8">(F11+F13-F7-F3)/F4</f>
        <v>2.3937936086861931</v>
      </c>
      <c r="G17" s="59">
        <f t="shared" si="8"/>
        <v>3.5793709376821177</v>
      </c>
      <c r="H17" s="59">
        <f t="shared" si="8"/>
        <v>3.4989737310026943</v>
      </c>
      <c r="I17" s="59">
        <f t="shared" si="8"/>
        <v>4.6833850918891438</v>
      </c>
      <c r="J17" s="59">
        <f t="shared" si="8"/>
        <v>7.6227394093626444</v>
      </c>
      <c r="K17" s="59">
        <f t="shared" si="8"/>
        <v>7.1703104034266394</v>
      </c>
      <c r="L17" s="59">
        <f t="shared" si="8"/>
        <v>6.6875679835433788</v>
      </c>
      <c r="M17" s="59">
        <f t="shared" si="8"/>
        <v>4.5274248609422694</v>
      </c>
      <c r="N17" s="59">
        <f t="shared" si="8"/>
        <v>3.5367695748861498</v>
      </c>
      <c r="O17" s="59">
        <f t="shared" si="8"/>
        <v>6.4738372742627908</v>
      </c>
      <c r="P17" s="59">
        <f t="shared" si="8"/>
        <v>-8.1041252990197528</v>
      </c>
      <c r="Q17" s="59">
        <f t="shared" si="8"/>
        <v>-89.369291227953482</v>
      </c>
      <c r="R17" s="59">
        <f t="shared" si="8"/>
        <v>17.884297527925423</v>
      </c>
      <c r="S17" s="59">
        <f t="shared" si="8"/>
        <v>12.336571005207178</v>
      </c>
      <c r="T17" s="59">
        <f t="shared" si="8"/>
        <v>33.281632823609762</v>
      </c>
      <c r="U17" s="59">
        <f t="shared" si="8"/>
        <v>5.0659265369342688</v>
      </c>
      <c r="V17" s="59">
        <f t="shared" si="8"/>
        <v>-16.34947061779722</v>
      </c>
      <c r="W17" s="59">
        <f t="shared" si="8"/>
        <v>-136.87317847030795</v>
      </c>
      <c r="X17" s="59">
        <f t="shared" si="8"/>
        <v>-15.642502373673006</v>
      </c>
      <c r="Y17" s="59">
        <f t="shared" si="8"/>
        <v>-69.299280235142604</v>
      </c>
      <c r="Z17" s="59">
        <f t="shared" si="8"/>
        <v>-8.8543573143589089</v>
      </c>
      <c r="AA17" s="59">
        <f t="shared" si="8"/>
        <v>16.494532370524663</v>
      </c>
      <c r="AB17" s="59">
        <f t="shared" si="8"/>
        <v>41.75687419212133</v>
      </c>
      <c r="AC17" s="59">
        <f t="shared" si="8"/>
        <v>7.0727829292545366</v>
      </c>
      <c r="AD17" s="59">
        <f t="shared" si="8"/>
        <v>-23.539988353629045</v>
      </c>
      <c r="AE17" s="59">
        <f t="shared" si="8"/>
        <v>16.598477768035085</v>
      </c>
      <c r="AF17" s="59">
        <f t="shared" si="8"/>
        <v>13.539655517101547</v>
      </c>
      <c r="AG17" s="59">
        <f t="shared" si="8"/>
        <v>11.100582561444899</v>
      </c>
      <c r="AH17" s="59">
        <f t="shared" si="8"/>
        <v>31.105339350527707</v>
      </c>
      <c r="AI17" s="59">
        <f t="shared" si="8"/>
        <v>8.1615051675721766</v>
      </c>
      <c r="AJ17" s="59">
        <f t="shared" si="8"/>
        <v>9.2850998608582689</v>
      </c>
      <c r="AK17" s="59">
        <f t="shared" si="8"/>
        <v>6.9467202186841632</v>
      </c>
      <c r="AL17" s="59">
        <f t="shared" si="8"/>
        <v>50.667323330596673</v>
      </c>
      <c r="AM17" s="59">
        <f t="shared" si="8"/>
        <v>3.6508600354450067</v>
      </c>
      <c r="AN17" s="59">
        <f t="shared" si="8"/>
        <v>3.5858436343214088</v>
      </c>
      <c r="AO17" s="59">
        <f t="shared" si="8"/>
        <v>3.1005797591729936</v>
      </c>
      <c r="AP17" s="59">
        <f t="shared" si="8"/>
        <v>4.3502671271180651</v>
      </c>
      <c r="AQ17" s="59">
        <f t="shared" si="8"/>
        <v>2.7991402919380413</v>
      </c>
      <c r="AR17" s="59">
        <f t="shared" si="8"/>
        <v>2.4153183937717033</v>
      </c>
      <c r="AS17" s="59">
        <f t="shared" si="8"/>
        <v>1.699742796233418</v>
      </c>
      <c r="AT17" s="59">
        <f t="shared" si="8"/>
        <v>5.7437420475740719</v>
      </c>
      <c r="AU17" s="59">
        <f t="shared" si="8"/>
        <v>1.5010123496250887</v>
      </c>
      <c r="AV17" s="59">
        <f t="shared" si="8"/>
        <v>0.88927598253646933</v>
      </c>
      <c r="AW17" s="59">
        <f t="shared" si="8"/>
        <v>1.0127447503931213</v>
      </c>
      <c r="AX17" s="59">
        <f t="shared" si="8"/>
        <v>0.96070975323902974</v>
      </c>
      <c r="AY17" s="59">
        <f t="shared" si="8"/>
        <v>0.51191160430874505</v>
      </c>
      <c r="AZ17" s="59">
        <f t="shared" si="8"/>
        <v>1.4683440389310347</v>
      </c>
      <c r="BA17" s="59">
        <f t="shared" si="8"/>
        <v>1.3596058612153972</v>
      </c>
      <c r="BB17" s="59">
        <f t="shared" si="8"/>
        <v>1.3240862208479947</v>
      </c>
      <c r="BC17" s="59">
        <f t="shared" si="8"/>
        <v>1.5066938290931315</v>
      </c>
      <c r="BD17" s="59">
        <f t="shared" si="8"/>
        <v>1.5453491204349004</v>
      </c>
      <c r="BE17" s="59">
        <f t="shared" si="8"/>
        <v>1.8111416266944294</v>
      </c>
      <c r="BF17" s="59">
        <f t="shared" si="8"/>
        <v>1.7586701698873308</v>
      </c>
      <c r="BG17" s="59">
        <f t="shared" si="8"/>
        <v>1.9373286047603044</v>
      </c>
      <c r="BH17" s="59">
        <f t="shared" si="8"/>
        <v>1.9912383772075331</v>
      </c>
      <c r="BI17" s="59">
        <f t="shared" si="8"/>
        <v>2.1684972337588673</v>
      </c>
      <c r="BJ17" s="59">
        <f t="shared" si="8"/>
        <v>2.4676402767742704</v>
      </c>
      <c r="BK17" s="59">
        <f t="shared" si="8"/>
        <v>2.0610217399174586</v>
      </c>
      <c r="BL17" s="59">
        <f t="shared" si="8"/>
        <v>1.8332541995138485</v>
      </c>
      <c r="BM17" s="59">
        <f t="shared" si="8"/>
        <v>2.5344104815399442</v>
      </c>
      <c r="BN17" s="59">
        <f t="shared" si="8"/>
        <v>3.8434079360773281</v>
      </c>
      <c r="BO17" s="59">
        <f t="shared" si="8"/>
        <v>4.6110625748291056</v>
      </c>
      <c r="BP17" s="59">
        <f t="shared" si="8"/>
        <v>3.6821344959875209</v>
      </c>
      <c r="BQ17" s="59">
        <f t="shared" si="8"/>
        <v>4.2238547821834249</v>
      </c>
      <c r="BR17" s="59">
        <f t="shared" ref="BR17:CL17" si="9">(BR11+BR13-BR7-BR3)/BR4</f>
        <v>7.2769824676051877</v>
      </c>
      <c r="BS17" s="59">
        <f t="shared" si="9"/>
        <v>1.9290066981397413E-2</v>
      </c>
      <c r="BT17" s="59">
        <f t="shared" si="9"/>
        <v>3.7511090441548607E-2</v>
      </c>
      <c r="BU17" s="59">
        <f t="shared" si="9"/>
        <v>0.1029346261680474</v>
      </c>
      <c r="BV17" s="59">
        <f t="shared" si="9"/>
        <v>0.38278292764857685</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743</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0.13787053075604327</v>
      </c>
      <c r="F20" s="115"/>
      <c r="G20" s="115"/>
      <c r="H20" s="115"/>
      <c r="I20" s="115">
        <f>POWER(E9/Y9,1/6)-1</f>
        <v>0.15396944731342543</v>
      </c>
      <c r="M20" s="115">
        <f>POWER(E9/AC9,1/7)-1</f>
        <v>0.20131816683433712</v>
      </c>
    </row>
    <row r="21" spans="1:90" s="63" customFormat="1" ht="14.25" customHeight="1" x14ac:dyDescent="0.25">
      <c r="A21" s="113" t="s">
        <v>572</v>
      </c>
      <c r="B21" s="115"/>
      <c r="C21" s="115"/>
      <c r="D21" s="115"/>
      <c r="E21" s="115">
        <f>POWER(E4/U4,1/5)-1</f>
        <v>-0.53235719791808223</v>
      </c>
      <c r="F21" s="115"/>
      <c r="G21" s="115"/>
      <c r="H21" s="115"/>
      <c r="I21" s="115" t="e">
        <f>POWER(E4/Y4,1/6)-1</f>
        <v>#NUM!</v>
      </c>
      <c r="M21" s="115">
        <f>POWER(E4/AC4,1/7)-1</f>
        <v>-0.31749167638586939</v>
      </c>
    </row>
    <row r="22" spans="1:90" s="63" customFormat="1" ht="14.25" customHeight="1" x14ac:dyDescent="0.25">
      <c r="A22" s="113" t="s">
        <v>575</v>
      </c>
      <c r="B22" s="115"/>
      <c r="C22" s="115"/>
      <c r="D22" s="115"/>
      <c r="E22" s="115">
        <f>POWER(E5/U5,1/5)-1</f>
        <v>0.14395940641180682</v>
      </c>
      <c r="F22" s="115"/>
      <c r="G22" s="115"/>
      <c r="H22" s="115"/>
      <c r="I22" s="115">
        <f>POWER(E5/Y5,1/6)-1</f>
        <v>0.23210857785776029</v>
      </c>
      <c r="M22" s="115">
        <f>POWER(E5/AC5,1/7)-1</f>
        <v>0.19095813358036695</v>
      </c>
    </row>
    <row r="23" spans="1:90" s="63" customFormat="1" ht="14.25" customHeight="1" x14ac:dyDescent="0.25">
      <c r="A23" s="113" t="s">
        <v>576</v>
      </c>
      <c r="B23" s="115"/>
      <c r="C23" s="115"/>
      <c r="D23" s="115"/>
      <c r="E23" s="115">
        <f>POWER(E6/U6,1/5)-1</f>
        <v>0.22174794560164002</v>
      </c>
      <c r="F23" s="115"/>
      <c r="G23" s="115"/>
      <c r="H23" s="115"/>
      <c r="I23" s="115">
        <f>POWER(E6/Y6,1/6)-1</f>
        <v>0.22543188780250323</v>
      </c>
      <c r="M23" s="115">
        <f>POWER(E6/AC6,1/7)-1</f>
        <v>0.22021324579227786</v>
      </c>
    </row>
    <row r="24" spans="1:90" s="63" customFormat="1" ht="14.25" customHeight="1" x14ac:dyDescent="0.25">
      <c r="A24" s="113" t="s">
        <v>577</v>
      </c>
      <c r="B24" s="115"/>
      <c r="C24" s="115"/>
      <c r="D24" s="115"/>
      <c r="E24" s="115">
        <f>POWER(E7/U7,1/5)-1</f>
        <v>0.51887872299543036</v>
      </c>
      <c r="F24" s="115"/>
      <c r="G24" s="115"/>
      <c r="H24" s="115"/>
      <c r="I24" s="115">
        <f>POWER(E7/Y7,1/6)-1</f>
        <v>0.46564128126045157</v>
      </c>
      <c r="M24" s="115">
        <f>POWER(E7/AC7,1/7)-1</f>
        <v>0.39761518237667692</v>
      </c>
    </row>
    <row r="25" spans="1:90" s="107" customFormat="1" x14ac:dyDescent="0.25">
      <c r="A25" s="142" t="s">
        <v>553</v>
      </c>
      <c r="B25" s="108"/>
      <c r="C25" s="108"/>
      <c r="D25" s="108"/>
      <c r="E25" s="108">
        <f>(E2-I2)/I2</f>
        <v>-0.32221183450236007</v>
      </c>
      <c r="F25" s="108">
        <f t="shared" ref="F25:BQ25" si="10">(F2-J2)/J2</f>
        <v>-0.35576485573835498</v>
      </c>
      <c r="G25" s="108">
        <f t="shared" si="10"/>
        <v>-0.36052744513824508</v>
      </c>
      <c r="H25" s="108">
        <f t="shared" si="10"/>
        <v>-0.35377242076917736</v>
      </c>
      <c r="I25" s="108">
        <f t="shared" si="10"/>
        <v>-0.22897854923943836</v>
      </c>
      <c r="J25" s="107">
        <f t="shared" si="10"/>
        <v>0.32965992703227948</v>
      </c>
      <c r="K25" s="107">
        <f t="shared" si="10"/>
        <v>0.75583589510662319</v>
      </c>
      <c r="L25" s="107">
        <f t="shared" si="10"/>
        <v>0.28594866664820712</v>
      </c>
      <c r="M25" s="108">
        <f t="shared" si="10"/>
        <v>0.33304677516100334</v>
      </c>
      <c r="N25" s="108">
        <f t="shared" si="10"/>
        <v>-2.6035997290381396E-3</v>
      </c>
      <c r="O25" s="108">
        <f t="shared" si="10"/>
        <v>2.398003574052442E-2</v>
      </c>
      <c r="P25" s="108">
        <f t="shared" si="10"/>
        <v>0.33104960600569611</v>
      </c>
      <c r="Q25" s="108">
        <f t="shared" si="10"/>
        <v>0.51351500886358481</v>
      </c>
      <c r="R25" s="108">
        <f t="shared" si="10"/>
        <v>0.10358228808623603</v>
      </c>
      <c r="S25" s="108">
        <f t="shared" si="10"/>
        <v>0.10609602707750948</v>
      </c>
      <c r="T25" s="108">
        <f t="shared" si="10"/>
        <v>0.1221553604174916</v>
      </c>
      <c r="U25" s="108">
        <f t="shared" si="10"/>
        <v>-2.0569975009135068E-2</v>
      </c>
      <c r="V25" s="107">
        <f t="shared" si="10"/>
        <v>0.2564862773587801</v>
      </c>
      <c r="W25" s="107">
        <f t="shared" si="10"/>
        <v>0.29428898910839574</v>
      </c>
      <c r="X25" s="107">
        <f t="shared" si="10"/>
        <v>0.94743866708587388</v>
      </c>
      <c r="Y25" s="107">
        <f t="shared" si="10"/>
        <v>1.0843969359381913</v>
      </c>
      <c r="Z25" s="107">
        <f t="shared" si="10"/>
        <v>0.89088055192204452</v>
      </c>
      <c r="AA25" s="107">
        <f t="shared" si="10"/>
        <v>0.94774167021289424</v>
      </c>
      <c r="AB25" s="107">
        <f t="shared" si="10"/>
        <v>0.27049120665227433</v>
      </c>
      <c r="AC25" s="107">
        <f t="shared" si="10"/>
        <v>0.12833754579540294</v>
      </c>
      <c r="AD25" s="107">
        <f t="shared" si="10"/>
        <v>0.17986505080792942</v>
      </c>
      <c r="AE25" s="107">
        <f t="shared" si="10"/>
        <v>0.19260273866042416</v>
      </c>
      <c r="AF25" s="107">
        <f t="shared" si="10"/>
        <v>0.1929527025258693</v>
      </c>
      <c r="AG25" s="107">
        <f t="shared" si="10"/>
        <v>9.4694059058281585E-2</v>
      </c>
      <c r="AH25" s="107">
        <f t="shared" si="10"/>
        <v>0.15404850457913202</v>
      </c>
      <c r="AI25" s="107">
        <f t="shared" si="10"/>
        <v>0.35270681260778325</v>
      </c>
      <c r="AJ25" s="107">
        <f t="shared" si="10"/>
        <v>0.30058432686385378</v>
      </c>
      <c r="AK25" s="107">
        <f t="shared" si="10"/>
        <v>0.4606140915903375</v>
      </c>
      <c r="AL25" s="107">
        <f t="shared" si="10"/>
        <v>0.48564702306631652</v>
      </c>
      <c r="AM25" s="107">
        <f t="shared" si="10"/>
        <v>-6.2455490599506829E-3</v>
      </c>
      <c r="AN25" s="107">
        <f t="shared" si="10"/>
        <v>0.28833736010723066</v>
      </c>
      <c r="AO25" s="107">
        <f t="shared" si="10"/>
        <v>0.43097818858175818</v>
      </c>
      <c r="AP25" s="107">
        <f t="shared" si="10"/>
        <v>1.1711411593399208E-2</v>
      </c>
      <c r="AQ25" s="107">
        <f t="shared" si="10"/>
        <v>0.4414457224862931</v>
      </c>
      <c r="AR25" s="107">
        <f t="shared" si="10"/>
        <v>0.58163656365231153</v>
      </c>
      <c r="AS25" s="107">
        <f t="shared" si="10"/>
        <v>0.45840912076890128</v>
      </c>
      <c r="AT25" s="107">
        <f t="shared" si="10"/>
        <v>1.025583563821878</v>
      </c>
      <c r="AU25" s="107">
        <f t="shared" si="10"/>
        <v>0.46206095533673142</v>
      </c>
      <c r="AV25" s="107">
        <f t="shared" si="10"/>
        <v>-0.45203703498364523</v>
      </c>
      <c r="AW25" s="107">
        <f t="shared" si="10"/>
        <v>-0.36466768475623601</v>
      </c>
      <c r="AX25" s="107">
        <f t="shared" si="10"/>
        <v>-6.134110132956281E-2</v>
      </c>
      <c r="AY25" s="107">
        <f t="shared" si="10"/>
        <v>-0.26323672622631622</v>
      </c>
      <c r="AZ25" s="107">
        <f t="shared" si="10"/>
        <v>0.54026703341710425</v>
      </c>
      <c r="BA25" s="107">
        <f t="shared" si="10"/>
        <v>-8.0555473257848703E-2</v>
      </c>
      <c r="BB25" s="107">
        <f t="shared" si="10"/>
        <v>-0.40352708114773489</v>
      </c>
      <c r="BC25" s="107">
        <f t="shared" si="10"/>
        <v>-0.31116280972784588</v>
      </c>
      <c r="BD25" s="107">
        <f t="shared" si="10"/>
        <v>-0.280893611776109</v>
      </c>
      <c r="BE25" s="107">
        <f t="shared" si="10"/>
        <v>-0.12001182585097184</v>
      </c>
      <c r="BF25" s="107">
        <f t="shared" si="10"/>
        <v>-0.19168269610025709</v>
      </c>
      <c r="BG25" s="107">
        <f t="shared" si="10"/>
        <v>0.15807821884089299</v>
      </c>
      <c r="BH25" s="107">
        <f t="shared" si="10"/>
        <v>4.7019517107931216E-2</v>
      </c>
      <c r="BI25" s="107">
        <f t="shared" si="10"/>
        <v>-0.12971541263848477</v>
      </c>
      <c r="BJ25" s="107">
        <f t="shared" si="10"/>
        <v>-0.2613160041123298</v>
      </c>
      <c r="BK25" s="107">
        <f t="shared" si="10"/>
        <v>-0.45227107567947372</v>
      </c>
      <c r="BL25" s="107">
        <f t="shared" si="10"/>
        <v>-0.41907662349897473</v>
      </c>
      <c r="BM25" s="107">
        <f t="shared" si="10"/>
        <v>-0.29269372487824263</v>
      </c>
      <c r="BN25" s="107">
        <f t="shared" si="10"/>
        <v>-0.20928597367305216</v>
      </c>
      <c r="BO25" s="107">
        <f t="shared" si="10"/>
        <v>10.087915280520598</v>
      </c>
      <c r="BP25" s="107">
        <f t="shared" si="10"/>
        <v>8.5668588247844362</v>
      </c>
      <c r="BQ25" s="107">
        <f t="shared" si="10"/>
        <v>15.598726366339941</v>
      </c>
      <c r="BR25" s="107">
        <f t="shared" ref="BR25:CK25" si="11">(BR2-BV2)/BV2</f>
        <v>16.314081217269905</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561</v>
      </c>
      <c r="E26" s="108">
        <f>E2/E9</f>
        <v>0.29004546076015025</v>
      </c>
      <c r="F26" s="108">
        <f t="shared" ref="F26:BQ26" si="12">F2/F9</f>
        <v>0.38298499519815099</v>
      </c>
      <c r="G26" s="108">
        <f t="shared" si="12"/>
        <v>0.47300583542587504</v>
      </c>
      <c r="H26" s="108">
        <f t="shared" si="12"/>
        <v>0.47087181393471372</v>
      </c>
      <c r="I26" s="108">
        <f t="shared" si="12"/>
        <v>0.52296447727815398</v>
      </c>
      <c r="J26" s="108">
        <f t="shared" si="12"/>
        <v>0.60400570843360479</v>
      </c>
      <c r="K26" s="108">
        <f t="shared" si="12"/>
        <v>0.66611853438998914</v>
      </c>
      <c r="L26" s="108">
        <f t="shared" si="12"/>
        <v>0.67344171435203637</v>
      </c>
      <c r="M26" s="108">
        <f t="shared" si="12"/>
        <v>0.6276935013730609</v>
      </c>
      <c r="N26" s="108">
        <f t="shared" si="12"/>
        <v>0.57420663241192171</v>
      </c>
      <c r="O26" s="108">
        <f t="shared" si="12"/>
        <v>0.54388644837243416</v>
      </c>
      <c r="P26" s="108">
        <f t="shared" si="12"/>
        <v>0.76414075750308097</v>
      </c>
      <c r="Q26" s="108">
        <f t="shared" si="12"/>
        <v>0.70638968937306446</v>
      </c>
      <c r="R26" s="108">
        <f t="shared" si="12"/>
        <v>0.65573900344485392</v>
      </c>
      <c r="S26" s="108">
        <f t="shared" si="12"/>
        <v>0.61419740954999913</v>
      </c>
      <c r="T26" s="108">
        <f t="shared" si="12"/>
        <v>0.64263158629041506</v>
      </c>
      <c r="U26" s="108">
        <f t="shared" si="12"/>
        <v>0.5247322537714485</v>
      </c>
      <c r="V26" s="108">
        <f t="shared" si="12"/>
        <v>0.70366440398561314</v>
      </c>
      <c r="W26" s="108">
        <f t="shared" si="12"/>
        <v>0.66881680231783602</v>
      </c>
      <c r="X26" s="108">
        <f t="shared" si="12"/>
        <v>0.70206416173265362</v>
      </c>
      <c r="Y26" s="108">
        <f t="shared" si="12"/>
        <v>0.66323274467109039</v>
      </c>
      <c r="Z26" s="108">
        <f t="shared" si="12"/>
        <v>0.70785403721689089</v>
      </c>
      <c r="AA26" s="108">
        <f t="shared" si="12"/>
        <v>0.61266219853759352</v>
      </c>
      <c r="AB26" s="108">
        <f t="shared" si="12"/>
        <v>0.55948580606382325</v>
      </c>
      <c r="AC26" s="108">
        <f t="shared" si="12"/>
        <v>0.48654832692430527</v>
      </c>
      <c r="AD26" s="108">
        <f t="shared" si="12"/>
        <v>0.55818015572278579</v>
      </c>
      <c r="AE26" s="108">
        <f t="shared" si="12"/>
        <v>0.49491001876562563</v>
      </c>
      <c r="AF26" s="108">
        <f t="shared" si="12"/>
        <v>0.51972881156745254</v>
      </c>
      <c r="AG26" s="108">
        <f t="shared" si="12"/>
        <v>0.50357393210213797</v>
      </c>
      <c r="AH26" s="108">
        <f t="shared" si="12"/>
        <v>0.5428090654455674</v>
      </c>
      <c r="AI26" s="108">
        <f t="shared" si="12"/>
        <v>0.4741252997594978</v>
      </c>
      <c r="AJ26" s="108">
        <f t="shared" si="12"/>
        <v>0.48549781955465698</v>
      </c>
      <c r="AK26" s="108">
        <f t="shared" si="12"/>
        <v>0.50927380195403049</v>
      </c>
      <c r="AL26" s="108">
        <f t="shared" si="12"/>
        <v>0.52895493438908414</v>
      </c>
      <c r="AM26" s="108">
        <f t="shared" si="12"/>
        <v>0.39463446241551964</v>
      </c>
      <c r="AN26" s="108">
        <f t="shared" si="12"/>
        <v>0.41352821663519973</v>
      </c>
      <c r="AO26" s="108">
        <f t="shared" si="12"/>
        <v>0.38541476464508528</v>
      </c>
      <c r="AP26" s="108">
        <f t="shared" si="12"/>
        <v>0.40064077043665214</v>
      </c>
      <c r="AQ26" s="108">
        <f t="shared" si="12"/>
        <v>0.40229239512339748</v>
      </c>
      <c r="AR26" s="108">
        <f t="shared" si="12"/>
        <v>0.36415092411110356</v>
      </c>
      <c r="AS26" s="108">
        <f t="shared" si="12"/>
        <v>0.30524858265100085</v>
      </c>
      <c r="AT26" s="108">
        <f t="shared" si="12"/>
        <v>0.41421181788609701</v>
      </c>
      <c r="AU26" s="108">
        <f t="shared" si="12"/>
        <v>0.3105300382371266</v>
      </c>
      <c r="AV26" s="108">
        <f t="shared" si="12"/>
        <v>0.23401264563403984</v>
      </c>
      <c r="AW26" s="108">
        <f t="shared" si="12"/>
        <v>0.2147035144166298</v>
      </c>
      <c r="AX26" s="108">
        <f t="shared" si="12"/>
        <v>0.2119110261049906</v>
      </c>
      <c r="AY26" s="108">
        <f t="shared" si="12"/>
        <v>0.19920828382531991</v>
      </c>
      <c r="AZ26" s="108">
        <f t="shared" si="12"/>
        <v>0.30805783655642599</v>
      </c>
      <c r="BA26" s="108">
        <f t="shared" si="12"/>
        <v>0.24892324692429482</v>
      </c>
      <c r="BB26" s="108">
        <f t="shared" si="12"/>
        <v>0.17999380652471172</v>
      </c>
      <c r="BC26" s="108">
        <f t="shared" si="12"/>
        <v>0.231842489016646</v>
      </c>
      <c r="BD26" s="108">
        <f t="shared" si="12"/>
        <v>0.22763639560856694</v>
      </c>
      <c r="BE26" s="108">
        <f t="shared" si="12"/>
        <v>0.28717992703040923</v>
      </c>
      <c r="BF26" s="108">
        <f t="shared" si="12"/>
        <v>0.29845436732645375</v>
      </c>
      <c r="BG26" s="108">
        <f t="shared" si="12"/>
        <v>0.33811591377585409</v>
      </c>
      <c r="BH26" s="108">
        <f t="shared" si="12"/>
        <v>0.32718628815107292</v>
      </c>
      <c r="BI26" s="108">
        <f t="shared" si="12"/>
        <v>0.34474958596160682</v>
      </c>
      <c r="BJ26" s="108">
        <f t="shared" si="12"/>
        <v>0.38602570116394058</v>
      </c>
      <c r="BK26" s="108">
        <f t="shared" si="12"/>
        <v>0.33687226916974622</v>
      </c>
      <c r="BL26" s="108">
        <f t="shared" si="12"/>
        <v>0.32201825575973414</v>
      </c>
      <c r="BM26" s="108">
        <f t="shared" si="12"/>
        <v>0.40881954250205621</v>
      </c>
      <c r="BN26" s="108">
        <f t="shared" si="12"/>
        <v>0.51768466831796267</v>
      </c>
      <c r="BO26" s="108">
        <f t="shared" si="12"/>
        <v>0.55476720061970852</v>
      </c>
      <c r="BP26" s="108">
        <f t="shared" si="12"/>
        <v>0.5658648335961165</v>
      </c>
      <c r="BQ26" s="108">
        <f t="shared" si="12"/>
        <v>0.59104406835825596</v>
      </c>
      <c r="BR26" s="108">
        <f t="shared" ref="BR26:CK26" si="13">BR2/BR9</f>
        <v>0.67142046464494709</v>
      </c>
      <c r="BS26" s="108">
        <f t="shared" si="13"/>
        <v>0.12603671489783116</v>
      </c>
      <c r="BT26" s="108">
        <f t="shared" si="13"/>
        <v>0.11787606801315487</v>
      </c>
      <c r="BU26" s="108">
        <f t="shared" si="13"/>
        <v>7.1899496274542382E-2</v>
      </c>
      <c r="BV26" s="108">
        <f t="shared" si="13"/>
        <v>8.201861251558927E-2</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554</v>
      </c>
      <c r="E27" s="109">
        <f>(E3-I3)/I3</f>
        <v>9.4776400059503156E-3</v>
      </c>
      <c r="F27" s="109">
        <f t="shared" ref="F27:BQ27" si="14">(F3-J3)/J3</f>
        <v>-8.4924207579460481E-2</v>
      </c>
      <c r="G27" s="109">
        <f t="shared" si="14"/>
        <v>0.19813860571641148</v>
      </c>
      <c r="H27" s="109">
        <f t="shared" si="14"/>
        <v>0.21645692633644276</v>
      </c>
      <c r="I27" s="109">
        <f t="shared" si="14"/>
        <v>0.7351662118486475</v>
      </c>
      <c r="J27" s="109">
        <f t="shared" si="14"/>
        <v>0.84290071499490515</v>
      </c>
      <c r="K27" s="109">
        <f t="shared" si="14"/>
        <v>-0.78324533449921441</v>
      </c>
      <c r="L27" s="109">
        <f t="shared" si="14"/>
        <v>-0.77132878419891793</v>
      </c>
      <c r="M27" s="109">
        <f t="shared" si="14"/>
        <v>-0.83203922331961022</v>
      </c>
      <c r="N27" s="109">
        <f t="shared" si="14"/>
        <v>-0.82365583970738776</v>
      </c>
      <c r="O27" s="109">
        <f t="shared" si="14"/>
        <v>0.12766927749419904</v>
      </c>
      <c r="P27" s="109">
        <f t="shared" si="14"/>
        <v>0.10309693643675337</v>
      </c>
      <c r="Q27" s="109">
        <f t="shared" si="14"/>
        <v>0.11024968768583203</v>
      </c>
      <c r="R27" s="109">
        <f t="shared" si="14"/>
        <v>9.4456981969440523E-2</v>
      </c>
      <c r="S27" s="109">
        <f t="shared" si="14"/>
        <v>0.25013053867476781</v>
      </c>
      <c r="T27" s="109">
        <f t="shared" si="14"/>
        <v>0.24177547441907166</v>
      </c>
      <c r="U27" s="109">
        <f t="shared" si="14"/>
        <v>0.24826935398180608</v>
      </c>
      <c r="V27" s="109">
        <f t="shared" si="14"/>
        <v>0.24480532381638712</v>
      </c>
      <c r="W27" s="109">
        <f t="shared" si="14"/>
        <v>0.20448563424235744</v>
      </c>
      <c r="X27" s="109">
        <f t="shared" si="14"/>
        <v>0.40340660102432979</v>
      </c>
      <c r="Y27" s="109">
        <f t="shared" si="14"/>
        <v>0.41655772311946349</v>
      </c>
      <c r="Z27" s="109">
        <f t="shared" si="14"/>
        <v>0.40985219558345298</v>
      </c>
      <c r="AA27" s="109">
        <f t="shared" si="14"/>
        <v>0.48056719283798804</v>
      </c>
      <c r="AB27" s="109">
        <f t="shared" si="14"/>
        <v>0.25926977009936886</v>
      </c>
      <c r="AC27" s="109">
        <f t="shared" si="14"/>
        <v>0.22759515255580834</v>
      </c>
      <c r="AD27" s="109">
        <f t="shared" si="14"/>
        <v>0.39318980729077602</v>
      </c>
      <c r="AE27" s="109">
        <f t="shared" si="14"/>
        <v>0.24856106691019872</v>
      </c>
      <c r="AF27" s="109">
        <f t="shared" si="14"/>
        <v>0.28318291663667411</v>
      </c>
      <c r="AG27" s="109">
        <f t="shared" si="14"/>
        <v>0.7812937840728581</v>
      </c>
      <c r="AH27" s="109">
        <f t="shared" si="14"/>
        <v>0.2340749240025396</v>
      </c>
      <c r="AI27" s="109">
        <f t="shared" si="14"/>
        <v>0.47867167980368464</v>
      </c>
      <c r="AJ27" s="109">
        <f t="shared" si="14"/>
        <v>0.35365919050337591</v>
      </c>
      <c r="AK27" s="109">
        <f t="shared" si="14"/>
        <v>-6.9880521129536771E-2</v>
      </c>
      <c r="AL27" s="109">
        <f t="shared" si="14"/>
        <v>0.13002541798197995</v>
      </c>
      <c r="AM27" s="109">
        <f t="shared" si="14"/>
        <v>0.73859058129081734</v>
      </c>
      <c r="AN27" s="109">
        <f t="shared" si="14"/>
        <v>0.70726872167735011</v>
      </c>
      <c r="AO27" s="109">
        <f t="shared" si="14"/>
        <v>0.85412429887219732</v>
      </c>
      <c r="AP27" s="109">
        <f t="shared" si="14"/>
        <v>0.61110716200223802</v>
      </c>
      <c r="AQ27" s="109">
        <f t="shared" si="14"/>
        <v>-3.9736300484870306E-2</v>
      </c>
      <c r="AR27" s="109">
        <f t="shared" si="14"/>
        <v>4.0850040766887558E-2</v>
      </c>
      <c r="AS27" s="109">
        <f t="shared" si="14"/>
        <v>-0.32685327812029741</v>
      </c>
      <c r="AT27" s="109">
        <f t="shared" si="14"/>
        <v>-0.22042339746804326</v>
      </c>
      <c r="AU27" s="109">
        <f t="shared" si="14"/>
        <v>-0.30379473976723559</v>
      </c>
      <c r="AV27" s="109">
        <f t="shared" si="14"/>
        <v>-0.34116477339154072</v>
      </c>
      <c r="AW27" s="109">
        <f t="shared" si="14"/>
        <v>-1.3527361213964466E-2</v>
      </c>
      <c r="AX27" s="109">
        <f t="shared" si="14"/>
        <v>5.4117155823829782E-2</v>
      </c>
      <c r="AY27" s="109">
        <f t="shared" si="14"/>
        <v>0.10145996948393592</v>
      </c>
      <c r="AZ27" s="109">
        <f t="shared" si="14"/>
        <v>9.9592759391340907E-2</v>
      </c>
      <c r="BA27" s="109">
        <f t="shared" si="14"/>
        <v>0.1824104105560346</v>
      </c>
      <c r="BB27" s="109">
        <f t="shared" si="14"/>
        <v>0.10250321100781372</v>
      </c>
      <c r="BC27" s="109">
        <f t="shared" si="14"/>
        <v>0.4306550003053104</v>
      </c>
      <c r="BD27" s="109">
        <f t="shared" si="14"/>
        <v>0.25937339562103379</v>
      </c>
      <c r="BE27" s="109">
        <f t="shared" si="14"/>
        <v>0.18573658754694736</v>
      </c>
      <c r="BF27" s="109">
        <f t="shared" si="14"/>
        <v>0.24389977485397918</v>
      </c>
      <c r="BG27" s="109">
        <f t="shared" si="14"/>
        <v>-6.2033708784423235E-2</v>
      </c>
      <c r="BH27" s="109">
        <f t="shared" si="14"/>
        <v>0.65473014846505251</v>
      </c>
      <c r="BI27" s="109">
        <f t="shared" si="14"/>
        <v>0.56513904797747794</v>
      </c>
      <c r="BJ27" s="109">
        <f t="shared" si="14"/>
        <v>0.6305973676045189</v>
      </c>
      <c r="BK27" s="109">
        <f t="shared" si="14"/>
        <v>0.43879973404968697</v>
      </c>
      <c r="BL27" s="109">
        <f t="shared" si="14"/>
        <v>4.7937942910931284</v>
      </c>
      <c r="BM27" s="109">
        <f t="shared" si="14"/>
        <v>4.693575779110053</v>
      </c>
      <c r="BN27" s="109">
        <f t="shared" si="14"/>
        <v>1.5359043916309145</v>
      </c>
      <c r="BO27" s="109">
        <f t="shared" si="14"/>
        <v>3.2507033708828486</v>
      </c>
      <c r="BP27" s="109">
        <f t="shared" si="14"/>
        <v>-0.27308913133127116</v>
      </c>
      <c r="BQ27" s="109">
        <f t="shared" si="14"/>
        <v>9.9444130909627865E-2</v>
      </c>
      <c r="BR27" s="109">
        <f t="shared" ref="BR27:CL27" si="15">(BR3-BV3)/BV3</f>
        <v>0.66859395529194643</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562</v>
      </c>
      <c r="E28" s="109">
        <f>E3/E9</f>
        <v>3.1950254901217869E-2</v>
      </c>
      <c r="F28" s="109">
        <f t="shared" ref="F28:BQ28" si="16">F3/F9</f>
        <v>3.4898904001230371E-2</v>
      </c>
      <c r="G28" s="109">
        <f t="shared" si="16"/>
        <v>3.7483637342321068E-2</v>
      </c>
      <c r="H28" s="109">
        <f t="shared" si="16"/>
        <v>3.829693771543187E-2</v>
      </c>
      <c r="I28" s="109">
        <f t="shared" si="16"/>
        <v>3.8679221302081332E-2</v>
      </c>
      <c r="J28" s="109">
        <f t="shared" si="16"/>
        <v>3.8748814334163453E-2</v>
      </c>
      <c r="K28" s="109">
        <f t="shared" si="16"/>
        <v>2.8173551364802294E-2</v>
      </c>
      <c r="L28" s="109">
        <f t="shared" si="16"/>
        <v>2.9097127750604513E-2</v>
      </c>
      <c r="M28" s="109">
        <f t="shared" si="16"/>
        <v>2.0629017438279183E-2</v>
      </c>
      <c r="N28" s="109">
        <f t="shared" si="16"/>
        <v>2.6578117760047058E-2</v>
      </c>
      <c r="O28" s="109">
        <f t="shared" si="16"/>
        <v>0.18634330065724478</v>
      </c>
      <c r="P28" s="109">
        <f t="shared" si="16"/>
        <v>0.18566737745554165</v>
      </c>
      <c r="Q28" s="109">
        <f t="shared" si="16"/>
        <v>0.18425224007819571</v>
      </c>
      <c r="R28" s="109">
        <f t="shared" si="16"/>
        <v>0.1716697391247857</v>
      </c>
      <c r="S28" s="109">
        <f t="shared" si="16"/>
        <v>0.19108353502760861</v>
      </c>
      <c r="T28" s="109">
        <f t="shared" si="16"/>
        <v>0.18841039896857226</v>
      </c>
      <c r="U28" s="109">
        <f t="shared" si="16"/>
        <v>0.1865830797151897</v>
      </c>
      <c r="V28" s="109">
        <f t="shared" si="16"/>
        <v>0.18575235924857519</v>
      </c>
      <c r="W28" s="109">
        <f t="shared" si="16"/>
        <v>0.18410260333777151</v>
      </c>
      <c r="X28" s="109">
        <f t="shared" si="16"/>
        <v>0.18600709738854568</v>
      </c>
      <c r="Y28" s="109">
        <f t="shared" si="16"/>
        <v>0.18503997547098641</v>
      </c>
      <c r="Z28" s="109">
        <f t="shared" si="16"/>
        <v>0.18861176647282155</v>
      </c>
      <c r="AA28" s="109">
        <f t="shared" si="16"/>
        <v>0.18121889237732869</v>
      </c>
      <c r="AB28" s="109">
        <f t="shared" si="16"/>
        <v>0.20569420595698487</v>
      </c>
      <c r="AC28" s="109">
        <f t="shared" si="16"/>
        <v>0.1997430769938886</v>
      </c>
      <c r="AD28" s="109">
        <f t="shared" si="16"/>
        <v>0.19947568803766361</v>
      </c>
      <c r="AE28" s="109">
        <f t="shared" si="16"/>
        <v>0.19258030316711949</v>
      </c>
      <c r="AF28" s="109">
        <f t="shared" si="16"/>
        <v>0.19278030545695249</v>
      </c>
      <c r="AG28" s="109">
        <f t="shared" si="16"/>
        <v>0.19001717955987588</v>
      </c>
      <c r="AH28" s="109">
        <f t="shared" si="16"/>
        <v>0.16428000972693005</v>
      </c>
      <c r="AI28" s="109">
        <f t="shared" si="16"/>
        <v>0.17622388224038998</v>
      </c>
      <c r="AJ28" s="109">
        <f t="shared" si="16"/>
        <v>0.16742018255939026</v>
      </c>
      <c r="AK28" s="109">
        <f t="shared" si="16"/>
        <v>0.11809681133928122</v>
      </c>
      <c r="AL28" s="109">
        <f t="shared" si="16"/>
        <v>0.14970587205504063</v>
      </c>
      <c r="AM28" s="109">
        <f t="shared" si="16"/>
        <v>0.13418332979563133</v>
      </c>
      <c r="AN28" s="109">
        <f t="shared" si="16"/>
        <v>0.13701081691636696</v>
      </c>
      <c r="AO28" s="109">
        <f t="shared" si="16"/>
        <v>0.14034984272916079</v>
      </c>
      <c r="AP28" s="109">
        <f t="shared" si="16"/>
        <v>0.14907428316684626</v>
      </c>
      <c r="AQ28" s="109">
        <f t="shared" si="16"/>
        <v>7.8185666649817631E-2</v>
      </c>
      <c r="AR28" s="109">
        <f t="shared" si="16"/>
        <v>9.1045574530476195E-2</v>
      </c>
      <c r="AS28" s="109">
        <f t="shared" si="16"/>
        <v>8.578896083970064E-2</v>
      </c>
      <c r="AT28" s="109">
        <f t="shared" si="16"/>
        <v>9.6783716120289645E-2</v>
      </c>
      <c r="AU28" s="109">
        <f t="shared" si="16"/>
        <v>9.0593433444378355E-2</v>
      </c>
      <c r="AV28" s="109">
        <f t="shared" si="16"/>
        <v>8.8906862356462252E-2</v>
      </c>
      <c r="AW28" s="109">
        <f t="shared" si="16"/>
        <v>0.13073339546616564</v>
      </c>
      <c r="AX28" s="109">
        <f t="shared" si="16"/>
        <v>0.12865442565702204</v>
      </c>
      <c r="AY28" s="109">
        <f t="shared" si="16"/>
        <v>0.12204744041546982</v>
      </c>
      <c r="AZ28" s="109">
        <f t="shared" si="16"/>
        <v>9.7342526310910366E-2</v>
      </c>
      <c r="BA28" s="109">
        <f t="shared" si="16"/>
        <v>9.7617739489589475E-2</v>
      </c>
      <c r="BB28" s="109">
        <f t="shared" si="16"/>
        <v>9.7307800849833134E-2</v>
      </c>
      <c r="BC28" s="109">
        <f t="shared" si="16"/>
        <v>9.5010928711395312E-2</v>
      </c>
      <c r="BD28" s="109">
        <f t="shared" si="16"/>
        <v>0.10075722578823713</v>
      </c>
      <c r="BE28" s="109">
        <f t="shared" si="16"/>
        <v>8.7573893204573233E-2</v>
      </c>
      <c r="BF28" s="109">
        <f t="shared" si="16"/>
        <v>8.7292896051157712E-2</v>
      </c>
      <c r="BG28" s="109">
        <f t="shared" si="16"/>
        <v>6.6715664165899816E-2</v>
      </c>
      <c r="BH28" s="109">
        <f t="shared" si="16"/>
        <v>8.269290101219956E-2</v>
      </c>
      <c r="BI28" s="109">
        <f t="shared" si="16"/>
        <v>7.8021257315718323E-2</v>
      </c>
      <c r="BJ28" s="109">
        <f t="shared" si="16"/>
        <v>7.3369180945509052E-2</v>
      </c>
      <c r="BK28" s="109">
        <f t="shared" si="16"/>
        <v>8.206880819160535E-2</v>
      </c>
      <c r="BL28" s="109">
        <f t="shared" si="16"/>
        <v>5.1496916349907711E-2</v>
      </c>
      <c r="BM28" s="109">
        <f t="shared" si="16"/>
        <v>5.1445714705931539E-2</v>
      </c>
      <c r="BN28" s="109">
        <f t="shared" si="16"/>
        <v>4.4573291592364978E-2</v>
      </c>
      <c r="BO28" s="109">
        <f t="shared" si="16"/>
        <v>5.1450425157489058E-2</v>
      </c>
      <c r="BP28" s="109">
        <f t="shared" si="16"/>
        <v>9.073382453761325E-3</v>
      </c>
      <c r="BQ28" s="109">
        <f t="shared" si="16"/>
        <v>9.2397416051091044E-3</v>
      </c>
      <c r="BR28" s="109">
        <f t="shared" ref="BR28:CK28" si="17">BR3/BR9</f>
        <v>1.8025633825611495E-2</v>
      </c>
      <c r="BS28" s="109">
        <f t="shared" si="17"/>
        <v>3.0490487338683689E-2</v>
      </c>
      <c r="BT28" s="109">
        <f t="shared" si="17"/>
        <v>2.4875416200225296E-2</v>
      </c>
      <c r="BU28" s="109">
        <f t="shared" si="17"/>
        <v>1.6969436105897934E-2</v>
      </c>
      <c r="BV28" s="109">
        <f t="shared" si="17"/>
        <v>2.2848472584445789E-2</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571</v>
      </c>
      <c r="E29" s="108">
        <f>(E4-I4)/I4</f>
        <v>-0.98697552316794124</v>
      </c>
      <c r="F29" s="108">
        <f t="shared" ref="F29:BQ29" si="18">(F4-J4)/J4</f>
        <v>2.056874751797205</v>
      </c>
      <c r="G29" s="108">
        <f t="shared" si="18"/>
        <v>0.52756582457200463</v>
      </c>
      <c r="H29" s="108">
        <f t="shared" si="18"/>
        <v>0.47078908598259495</v>
      </c>
      <c r="I29" s="108">
        <f t="shared" si="18"/>
        <v>-0.261624791900951</v>
      </c>
      <c r="J29" s="108">
        <f t="shared" si="18"/>
        <v>-0.49068797074027742</v>
      </c>
      <c r="K29" s="108">
        <f t="shared" si="18"/>
        <v>0.55764610558096361</v>
      </c>
      <c r="L29" s="108">
        <f t="shared" si="18"/>
        <v>-3.0584259956359903</v>
      </c>
      <c r="M29" s="108">
        <f t="shared" si="18"/>
        <v>-35.151398539735048</v>
      </c>
      <c r="N29" s="108">
        <f t="shared" si="18"/>
        <v>5.6384971430495447</v>
      </c>
      <c r="O29" s="108">
        <f t="shared" si="18"/>
        <v>1.120710171211738</v>
      </c>
      <c r="P29" s="108">
        <f t="shared" si="18"/>
        <v>-5.7196686380967057</v>
      </c>
      <c r="Q29" s="108">
        <f t="shared" si="18"/>
        <v>-1.0680965929351365</v>
      </c>
      <c r="R29" s="108">
        <f t="shared" si="18"/>
        <v>-2.1339866790315982</v>
      </c>
      <c r="S29" s="108">
        <f t="shared" si="18"/>
        <v>-14.452125415745947</v>
      </c>
      <c r="T29" s="108">
        <f t="shared" si="18"/>
        <v>-1.5785169960708849</v>
      </c>
      <c r="U29" s="108">
        <f t="shared" si="18"/>
        <v>-17.934203107727871</v>
      </c>
      <c r="V29" s="108">
        <f t="shared" si="18"/>
        <v>-0.28235059125208445</v>
      </c>
      <c r="W29" s="108">
        <f t="shared" si="18"/>
        <v>-1.1463838005415503</v>
      </c>
      <c r="X29" s="108">
        <f t="shared" si="18"/>
        <v>-5.8148866713504423</v>
      </c>
      <c r="Y29" s="108">
        <f t="shared" si="18"/>
        <v>-1.1821459967893744</v>
      </c>
      <c r="Z29" s="108">
        <f t="shared" si="18"/>
        <v>3.7423234125109741</v>
      </c>
      <c r="AA29" s="108">
        <f t="shared" si="18"/>
        <v>0.97768820559680902</v>
      </c>
      <c r="AB29" s="108">
        <f t="shared" si="18"/>
        <v>-0.60713430553279557</v>
      </c>
      <c r="AC29" s="108">
        <f t="shared" si="18"/>
        <v>0.88940045985818383</v>
      </c>
      <c r="AD29" s="108">
        <f t="shared" si="18"/>
        <v>-2.454413903781282</v>
      </c>
      <c r="AE29" s="108">
        <f t="shared" si="18"/>
        <v>-0.44921405652667457</v>
      </c>
      <c r="AF29" s="108">
        <f t="shared" si="18"/>
        <v>-0.20607844844361389</v>
      </c>
      <c r="AG29" s="108">
        <f t="shared" si="18"/>
        <v>-0.35623033463197296</v>
      </c>
      <c r="AH29" s="108">
        <f t="shared" si="18"/>
        <v>0.89806035211645163</v>
      </c>
      <c r="AI29" s="108">
        <f t="shared" si="18"/>
        <v>-0.5026796563282081</v>
      </c>
      <c r="AJ29" s="108">
        <f t="shared" si="18"/>
        <v>-0.51146853684122651</v>
      </c>
      <c r="AK29" s="108">
        <f t="shared" si="18"/>
        <v>-0.35570812657994322</v>
      </c>
      <c r="AL29" s="108">
        <f t="shared" si="18"/>
        <v>-0.88340329713125187</v>
      </c>
      <c r="AM29" s="108">
        <f t="shared" si="18"/>
        <v>-3.487906661483646E-2</v>
      </c>
      <c r="AN29" s="108">
        <f t="shared" si="18"/>
        <v>7.1580686368794569E-2</v>
      </c>
      <c r="AO29" s="108">
        <f t="shared" si="18"/>
        <v>-0.10630346527037546</v>
      </c>
      <c r="AP29" s="108">
        <f t="shared" si="18"/>
        <v>1.44230345881627</v>
      </c>
      <c r="AQ29" s="108">
        <f t="shared" si="18"/>
        <v>0.21087320210001953</v>
      </c>
      <c r="AR29" s="108">
        <f t="shared" si="18"/>
        <v>-0.32078941862918936</v>
      </c>
      <c r="AS29" s="108">
        <f t="shared" si="18"/>
        <v>7.0427882166666997E-2</v>
      </c>
      <c r="AT29" s="108">
        <f t="shared" si="18"/>
        <v>-0.73363159028162683</v>
      </c>
      <c r="AU29" s="108">
        <f t="shared" si="18"/>
        <v>-0.41774613320187043</v>
      </c>
      <c r="AV29" s="108">
        <f t="shared" si="18"/>
        <v>-0.3952646617108278</v>
      </c>
      <c r="AW29" s="108">
        <f t="shared" si="18"/>
        <v>-0.54996007083056864</v>
      </c>
      <c r="AX29" s="108">
        <f t="shared" si="18"/>
        <v>-0.60453807792478953</v>
      </c>
      <c r="AY29" s="108">
        <f t="shared" si="18"/>
        <v>-0.37166388098925829</v>
      </c>
      <c r="AZ29" s="108">
        <f t="shared" si="18"/>
        <v>-5.3679917431646282E-2</v>
      </c>
      <c r="BA29" s="108">
        <f t="shared" si="18"/>
        <v>0.21328953259167618</v>
      </c>
      <c r="BB29" s="108">
        <f t="shared" si="18"/>
        <v>8.4499510707881267E-2</v>
      </c>
      <c r="BC29" s="108">
        <f t="shared" si="18"/>
        <v>6.2031372020153193E-2</v>
      </c>
      <c r="BD29" s="108">
        <f t="shared" si="18"/>
        <v>0.10321347441351565</v>
      </c>
      <c r="BE29" s="108">
        <f t="shared" si="18"/>
        <v>5.6100835780516577E-2</v>
      </c>
      <c r="BF29" s="108">
        <f t="shared" si="18"/>
        <v>0.43489654946196066</v>
      </c>
      <c r="BG29" s="108">
        <f t="shared" si="18"/>
        <v>0.34463992666749016</v>
      </c>
      <c r="BH29" s="108">
        <f t="shared" si="18"/>
        <v>-0.10494285973964607</v>
      </c>
      <c r="BI29" s="108">
        <f t="shared" si="18"/>
        <v>0.13102277497490036</v>
      </c>
      <c r="BJ29" s="108">
        <f t="shared" si="18"/>
        <v>0.49791780103506694</v>
      </c>
      <c r="BK29" s="108">
        <f t="shared" si="18"/>
        <v>0.82332908721772791</v>
      </c>
      <c r="BL29" s="108">
        <f t="shared" si="18"/>
        <v>0.88806814941427037</v>
      </c>
      <c r="BM29" s="108">
        <f t="shared" si="18"/>
        <v>0.55561618109251631</v>
      </c>
      <c r="BN29" s="108">
        <f t="shared" si="18"/>
        <v>0.88252808332427413</v>
      </c>
      <c r="BO29" s="108">
        <f t="shared" si="18"/>
        <v>0.12935996397551275</v>
      </c>
      <c r="BP29" s="108">
        <f t="shared" si="18"/>
        <v>3.4293376983289402E-2</v>
      </c>
      <c r="BQ29" s="108">
        <f t="shared" si="18"/>
        <v>-0.17895614663011755</v>
      </c>
      <c r="BR29" s="108">
        <f t="shared" ref="BR29:CK29" si="19">(BR4-BV4)/BV4</f>
        <v>-0.56273318714508791</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555</v>
      </c>
      <c r="E30" s="108">
        <f>(E5-I5)/I5</f>
        <v>-1.4158344305312653E-2</v>
      </c>
      <c r="F30" s="108">
        <f t="shared" ref="F30:BQ30" si="20">(F5-J5)/J5</f>
        <v>0.35711000758995592</v>
      </c>
      <c r="G30" s="108">
        <f t="shared" si="20"/>
        <v>0.23471506890752472</v>
      </c>
      <c r="H30" s="108">
        <f t="shared" si="20"/>
        <v>5.2036217495828464E-2</v>
      </c>
      <c r="I30" s="108">
        <f t="shared" si="20"/>
        <v>-0.10623108649839048</v>
      </c>
      <c r="J30" s="108">
        <f t="shared" si="20"/>
        <v>-6.5202639818966873E-2</v>
      </c>
      <c r="K30" s="108">
        <f t="shared" si="20"/>
        <v>0.20563264884057131</v>
      </c>
      <c r="L30" s="108">
        <f t="shared" si="20"/>
        <v>0.83209138572182739</v>
      </c>
      <c r="M30" s="108">
        <f t="shared" si="20"/>
        <v>1.1164350859452352</v>
      </c>
      <c r="N30" s="108">
        <f t="shared" si="20"/>
        <v>0.86958086667916756</v>
      </c>
      <c r="O30" s="108">
        <f t="shared" si="20"/>
        <v>0.52368337801909359</v>
      </c>
      <c r="P30" s="108">
        <f t="shared" si="20"/>
        <v>0.14658349564210699</v>
      </c>
      <c r="Q30" s="108">
        <f t="shared" si="20"/>
        <v>5.0547529779474243E-2</v>
      </c>
      <c r="R30" s="108">
        <f t="shared" si="20"/>
        <v>0.687200274088</v>
      </c>
      <c r="S30" s="108">
        <f t="shared" si="20"/>
        <v>0.4226277643146209</v>
      </c>
      <c r="T30" s="108">
        <f t="shared" si="20"/>
        <v>0.51775471003459184</v>
      </c>
      <c r="U30" s="108">
        <f t="shared" si="20"/>
        <v>0.78583289371010756</v>
      </c>
      <c r="V30" s="108">
        <f t="shared" si="20"/>
        <v>6.0459785722821499E-2</v>
      </c>
      <c r="W30" s="108">
        <f t="shared" si="20"/>
        <v>1.5549047329927046E-2</v>
      </c>
      <c r="X30" s="108">
        <f t="shared" si="20"/>
        <v>0.10424016903917485</v>
      </c>
      <c r="Y30" s="108">
        <f t="shared" si="20"/>
        <v>-2.8636955779565071E-2</v>
      </c>
      <c r="Z30" s="108">
        <f t="shared" si="20"/>
        <v>0.11042030267209912</v>
      </c>
      <c r="AA30" s="108">
        <f t="shared" si="20"/>
        <v>0.14748364510164344</v>
      </c>
      <c r="AB30" s="108">
        <f t="shared" si="20"/>
        <v>0.17663094560584566</v>
      </c>
      <c r="AC30" s="108">
        <f t="shared" si="20"/>
        <v>0.35327689830875192</v>
      </c>
      <c r="AD30" s="108">
        <f t="shared" si="20"/>
        <v>0.15267981612292794</v>
      </c>
      <c r="AE30" s="108">
        <f t="shared" si="20"/>
        <v>0.17949525029990673</v>
      </c>
      <c r="AF30" s="108">
        <f t="shared" si="20"/>
        <v>0.20872048068889892</v>
      </c>
      <c r="AG30" s="108">
        <f t="shared" si="20"/>
        <v>0.11549252341263817</v>
      </c>
      <c r="AH30" s="108">
        <f t="shared" si="20"/>
        <v>0.17339318687653285</v>
      </c>
      <c r="AI30" s="108">
        <f t="shared" si="20"/>
        <v>0.11172546980026489</v>
      </c>
      <c r="AJ30" s="108">
        <f t="shared" si="20"/>
        <v>1.5932928933323064E-2</v>
      </c>
      <c r="AK30" s="108">
        <f t="shared" si="20"/>
        <v>-3.115946015041306E-2</v>
      </c>
      <c r="AL30" s="108">
        <f t="shared" si="20"/>
        <v>3.347834245628388E-2</v>
      </c>
      <c r="AM30" s="108">
        <f t="shared" si="20"/>
        <v>-0.11288213839869291</v>
      </c>
      <c r="AN30" s="108">
        <f t="shared" si="20"/>
        <v>-5.555007244878004E-2</v>
      </c>
      <c r="AO30" s="108">
        <f t="shared" si="20"/>
        <v>6.2850200962972225E-2</v>
      </c>
      <c r="AP30" s="108">
        <f t="shared" si="20"/>
        <v>-9.8233995561318344E-2</v>
      </c>
      <c r="AQ30" s="108">
        <f t="shared" si="20"/>
        <v>0.15566249665892623</v>
      </c>
      <c r="AR30" s="108">
        <f t="shared" si="20"/>
        <v>-2.8774091163811206E-2</v>
      </c>
      <c r="AS30" s="108">
        <f t="shared" si="20"/>
        <v>-0.11832464538979379</v>
      </c>
      <c r="AT30" s="108">
        <f t="shared" si="20"/>
        <v>-6.7679009362487191E-2</v>
      </c>
      <c r="AU30" s="108">
        <f t="shared" si="20"/>
        <v>-8.2784701351066803E-2</v>
      </c>
      <c r="AV30" s="108">
        <f t="shared" si="20"/>
        <v>-8.721657358685761E-2</v>
      </c>
      <c r="AW30" s="108">
        <f t="shared" si="20"/>
        <v>-0.13789850308432725</v>
      </c>
      <c r="AX30" s="108">
        <f t="shared" si="20"/>
        <v>-0.13743823344438935</v>
      </c>
      <c r="AY30" s="108">
        <f t="shared" si="20"/>
        <v>-8.0234099543476115E-2</v>
      </c>
      <c r="AZ30" s="108">
        <f t="shared" si="20"/>
        <v>2.3414710590648809E-2</v>
      </c>
      <c r="BA30" s="108">
        <f t="shared" si="20"/>
        <v>6.327292703648596E-2</v>
      </c>
      <c r="BB30" s="108">
        <f t="shared" si="20"/>
        <v>6.9663688574235078E-2</v>
      </c>
      <c r="BC30" s="108">
        <f t="shared" si="20"/>
        <v>0.12803579767292123</v>
      </c>
      <c r="BD30" s="108">
        <f t="shared" si="20"/>
        <v>0.27790636603908558</v>
      </c>
      <c r="BE30" s="108">
        <f t="shared" si="20"/>
        <v>0.18737112413235185</v>
      </c>
      <c r="BF30" s="108">
        <f t="shared" si="20"/>
        <v>0.29605904731591726</v>
      </c>
      <c r="BG30" s="108">
        <f t="shared" si="20"/>
        <v>0.24978633599087763</v>
      </c>
      <c r="BH30" s="108">
        <f t="shared" si="20"/>
        <v>6.4759401662706537E-2</v>
      </c>
      <c r="BI30" s="108">
        <f t="shared" si="20"/>
        <v>0.10492168647879986</v>
      </c>
      <c r="BJ30" s="108">
        <f t="shared" si="20"/>
        <v>9.0250248544198913E-2</v>
      </c>
      <c r="BK30" s="108">
        <f t="shared" si="20"/>
        <v>8.2248889898328043E-2</v>
      </c>
      <c r="BL30" s="108">
        <f t="shared" si="20"/>
        <v>0.24142593019740144</v>
      </c>
      <c r="BM30" s="108">
        <f t="shared" si="20"/>
        <v>0.20921699040480077</v>
      </c>
      <c r="BN30" s="108">
        <f t="shared" si="20"/>
        <v>0.15676484531181636</v>
      </c>
      <c r="BO30" s="108">
        <f t="shared" si="20"/>
        <v>0.3752049456291407</v>
      </c>
      <c r="BP30" s="108">
        <f t="shared" si="20"/>
        <v>-4.0788981373988696E-2</v>
      </c>
      <c r="BQ30" s="108">
        <f t="shared" si="20"/>
        <v>-0.12305586537695876</v>
      </c>
      <c r="BR30" s="108">
        <f t="shared" ref="BR30:CK30" si="21">(BR5-BV5)/BV5</f>
        <v>-9.9412405725887373E-2</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556</v>
      </c>
      <c r="E31" s="108">
        <f>(E6-I6)/I6</f>
        <v>0.30020059904725671</v>
      </c>
      <c r="F31" s="108">
        <f t="shared" ref="F31:BQ31" si="22">(F6-J6)/J6</f>
        <v>7.8778877327517031E-3</v>
      </c>
      <c r="G31" s="108">
        <f t="shared" si="22"/>
        <v>0.14908745007580079</v>
      </c>
      <c r="H31" s="108">
        <f t="shared" si="22"/>
        <v>-6.1356133374532891E-2</v>
      </c>
      <c r="I31" s="108">
        <f t="shared" si="22"/>
        <v>-4.1013713298812544E-2</v>
      </c>
      <c r="J31" s="108">
        <f t="shared" si="22"/>
        <v>0.12849571692269651</v>
      </c>
      <c r="K31" s="108">
        <f t="shared" si="22"/>
        <v>0.13090454864748635</v>
      </c>
      <c r="L31" s="108">
        <f t="shared" si="22"/>
        <v>0.21186304367092368</v>
      </c>
      <c r="M31" s="108">
        <f t="shared" si="22"/>
        <v>0.46395139668133817</v>
      </c>
      <c r="N31" s="108">
        <f t="shared" si="22"/>
        <v>0.40884303106936326</v>
      </c>
      <c r="O31" s="108">
        <f t="shared" si="22"/>
        <v>0.43775771639024375</v>
      </c>
      <c r="P31" s="108">
        <f t="shared" si="22"/>
        <v>0.42992217550586542</v>
      </c>
      <c r="Q31" s="108">
        <f t="shared" si="22"/>
        <v>0.49127820287342927</v>
      </c>
      <c r="R31" s="108">
        <f t="shared" si="22"/>
        <v>0.36025296039529969</v>
      </c>
      <c r="S31" s="108">
        <f t="shared" si="22"/>
        <v>0.22730982464477084</v>
      </c>
      <c r="T31" s="108">
        <f t="shared" si="22"/>
        <v>0.29168906235837044</v>
      </c>
      <c r="U31" s="108">
        <f t="shared" si="22"/>
        <v>0.24401889333418714</v>
      </c>
      <c r="V31" s="108">
        <f t="shared" si="22"/>
        <v>4.8333084518187401E-3</v>
      </c>
      <c r="W31" s="108">
        <f t="shared" si="22"/>
        <v>0.13371254251234571</v>
      </c>
      <c r="X31" s="108">
        <f t="shared" si="22"/>
        <v>0.27300801866877411</v>
      </c>
      <c r="Y31" s="108">
        <f t="shared" si="22"/>
        <v>0.18936480312918452</v>
      </c>
      <c r="Z31" s="108">
        <f t="shared" si="22"/>
        <v>0.26799572227396712</v>
      </c>
      <c r="AA31" s="108">
        <f t="shared" si="22"/>
        <v>0.10050280855441197</v>
      </c>
      <c r="AB31" s="108">
        <f t="shared" si="22"/>
        <v>0.24759658932908946</v>
      </c>
      <c r="AC31" s="108">
        <f t="shared" si="22"/>
        <v>0.28439900842817006</v>
      </c>
      <c r="AD31" s="108">
        <f t="shared" si="22"/>
        <v>0.24988584312814016</v>
      </c>
      <c r="AE31" s="108">
        <f t="shared" si="22"/>
        <v>0.26094681689138632</v>
      </c>
      <c r="AF31" s="108">
        <f t="shared" si="22"/>
        <v>0.2687403331113824</v>
      </c>
      <c r="AG31" s="108">
        <f t="shared" si="22"/>
        <v>0.2314173987738749</v>
      </c>
      <c r="AH31" s="108">
        <f t="shared" si="22"/>
        <v>0.15692408267283495</v>
      </c>
      <c r="AI31" s="108">
        <f t="shared" si="22"/>
        <v>0.3235687326009668</v>
      </c>
      <c r="AJ31" s="108">
        <f t="shared" si="22"/>
        <v>0.20401017001015453</v>
      </c>
      <c r="AK31" s="108">
        <f t="shared" si="22"/>
        <v>0.1057177602373218</v>
      </c>
      <c r="AL31" s="108">
        <f t="shared" si="22"/>
        <v>0.25836584543563612</v>
      </c>
      <c r="AM31" s="108">
        <f t="shared" si="22"/>
        <v>-0.13693319765788181</v>
      </c>
      <c r="AN31" s="108">
        <f t="shared" si="22"/>
        <v>-9.3885791635692842E-2</v>
      </c>
      <c r="AO31" s="108">
        <f t="shared" si="22"/>
        <v>0.15505311456994839</v>
      </c>
      <c r="AP31" s="108">
        <f t="shared" si="22"/>
        <v>-0.2190556481036737</v>
      </c>
      <c r="AQ31" s="108">
        <f t="shared" si="22"/>
        <v>0.13964055934328529</v>
      </c>
      <c r="AR31" s="108">
        <f t="shared" si="22"/>
        <v>0.11589567315469841</v>
      </c>
      <c r="AS31" s="108">
        <f t="shared" si="22"/>
        <v>-0.1956372887240786</v>
      </c>
      <c r="AT31" s="108">
        <f t="shared" si="22"/>
        <v>0.15971848693383817</v>
      </c>
      <c r="AU31" s="108">
        <f t="shared" si="22"/>
        <v>0.10102647628700547</v>
      </c>
      <c r="AV31" s="108">
        <f t="shared" si="22"/>
        <v>0.22089082427530615</v>
      </c>
      <c r="AW31" s="108">
        <f t="shared" si="22"/>
        <v>0.3794339429422659</v>
      </c>
      <c r="AX31" s="108">
        <f t="shared" si="22"/>
        <v>0.44559668500500887</v>
      </c>
      <c r="AY31" s="108">
        <f t="shared" si="22"/>
        <v>0.23378736709690862</v>
      </c>
      <c r="AZ31" s="108">
        <f t="shared" si="22"/>
        <v>0.11420394659346701</v>
      </c>
      <c r="BA31" s="108">
        <f t="shared" si="22"/>
        <v>-7.9602608004870623E-2</v>
      </c>
      <c r="BB31" s="108">
        <f t="shared" si="22"/>
        <v>5.1705552117347765E-2</v>
      </c>
      <c r="BC31" s="108">
        <f t="shared" si="22"/>
        <v>0.20899887646966844</v>
      </c>
      <c r="BD31" s="108">
        <f t="shared" si="22"/>
        <v>0.57083057523722536</v>
      </c>
      <c r="BE31" s="108">
        <f t="shared" si="22"/>
        <v>0.34680654248907167</v>
      </c>
      <c r="BF31" s="108">
        <f t="shared" si="22"/>
        <v>0.16017755468996939</v>
      </c>
      <c r="BG31" s="108">
        <f t="shared" si="22"/>
        <v>0.15025583786868921</v>
      </c>
      <c r="BH31" s="108">
        <f t="shared" si="22"/>
        <v>0.56104609009366313</v>
      </c>
      <c r="BI31" s="108">
        <f t="shared" si="22"/>
        <v>7.4796355944624762E-2</v>
      </c>
      <c r="BJ31" s="108">
        <f t="shared" si="22"/>
        <v>-0.13906879875883343</v>
      </c>
      <c r="BK31" s="108">
        <f t="shared" si="22"/>
        <v>-0.24131708911117358</v>
      </c>
      <c r="BL31" s="108">
        <f t="shared" si="22"/>
        <v>-0.37978111542074089</v>
      </c>
      <c r="BM31" s="108">
        <f t="shared" si="22"/>
        <v>-3.8020096435840679E-2</v>
      </c>
      <c r="BN31" s="108">
        <f t="shared" si="22"/>
        <v>-4.9388563417978378E-2</v>
      </c>
      <c r="BO31" s="108">
        <f t="shared" si="22"/>
        <v>0.51963805610693092</v>
      </c>
      <c r="BP31" s="108">
        <f t="shared" si="22"/>
        <v>-0.10332113843563023</v>
      </c>
      <c r="BQ31" s="108">
        <f t="shared" si="22"/>
        <v>-7.8264890148134328E-2</v>
      </c>
      <c r="BR31" s="108">
        <f t="shared" ref="BR31:CK31" si="23">(BR6-BV6)/BV6</f>
        <v>0.2883486943730012</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558</v>
      </c>
      <c r="E32" s="109">
        <f>(E7-I7)/I7</f>
        <v>1.7894444486594556</v>
      </c>
      <c r="F32" s="109">
        <f t="shared" ref="F32:BQ32" si="24">(F7-J7)/J7</f>
        <v>0.17518708978525033</v>
      </c>
      <c r="G32" s="109">
        <f t="shared" si="24"/>
        <v>0.39527331619173556</v>
      </c>
      <c r="H32" s="109">
        <f t="shared" si="24"/>
        <v>0.56093561906735223</v>
      </c>
      <c r="I32" s="109">
        <f t="shared" si="24"/>
        <v>0.5787360818424081</v>
      </c>
      <c r="J32" s="109">
        <f t="shared" si="24"/>
        <v>0.94545751486798335</v>
      </c>
      <c r="K32" s="109">
        <f t="shared" si="24"/>
        <v>0.66367944269902257</v>
      </c>
      <c r="L32" s="109">
        <f t="shared" si="24"/>
        <v>0.94792943573505517</v>
      </c>
      <c r="M32" s="109">
        <f t="shared" si="24"/>
        <v>1.2242563849300774</v>
      </c>
      <c r="N32" s="109">
        <f t="shared" si="24"/>
        <v>0.47205019310452573</v>
      </c>
      <c r="O32" s="109">
        <f t="shared" si="24"/>
        <v>0.40211045072356622</v>
      </c>
      <c r="P32" s="109">
        <f t="shared" si="24"/>
        <v>7.300161678298357E-3</v>
      </c>
      <c r="Q32" s="109">
        <f t="shared" si="24"/>
        <v>-0.17471605914168065</v>
      </c>
      <c r="R32" s="109">
        <f t="shared" si="24"/>
        <v>4.800291801178215E-2</v>
      </c>
      <c r="S32" s="109">
        <f t="shared" si="24"/>
        <v>0.11415597793767351</v>
      </c>
      <c r="T32" s="109">
        <f t="shared" si="24"/>
        <v>0.18566271846920104</v>
      </c>
      <c r="U32" s="109">
        <f t="shared" si="24"/>
        <v>0.22616987227886756</v>
      </c>
      <c r="V32" s="109">
        <f t="shared" si="24"/>
        <v>9.1845877922391489E-2</v>
      </c>
      <c r="W32" s="109">
        <f t="shared" si="24"/>
        <v>7.9745096579223421E-2</v>
      </c>
      <c r="X32" s="109">
        <f t="shared" si="24"/>
        <v>8.1153880595720138E-2</v>
      </c>
      <c r="Y32" s="109">
        <f t="shared" si="24"/>
        <v>5.0865502423284935E-2</v>
      </c>
      <c r="Z32" s="109">
        <f t="shared" si="24"/>
        <v>-1.4790653018337249E-2</v>
      </c>
      <c r="AA32" s="109">
        <f t="shared" si="24"/>
        <v>-6.6717844259273879E-2</v>
      </c>
      <c r="AB32" s="109">
        <f t="shared" si="24"/>
        <v>5.8569847463394768E-2</v>
      </c>
      <c r="AC32" s="109">
        <f t="shared" si="24"/>
        <v>6.3727287806437993E-2</v>
      </c>
      <c r="AD32" s="109">
        <f t="shared" si="24"/>
        <v>0.10406047744308852</v>
      </c>
      <c r="AE32" s="109">
        <f t="shared" si="24"/>
        <v>0.12823750516690785</v>
      </c>
      <c r="AF32" s="109">
        <f t="shared" si="24"/>
        <v>-5.1396924960847447E-2</v>
      </c>
      <c r="AG32" s="109">
        <f t="shared" si="24"/>
        <v>-1.1854220257789448E-2</v>
      </c>
      <c r="AH32" s="109">
        <f t="shared" si="24"/>
        <v>-4.3794360833491024E-3</v>
      </c>
      <c r="AI32" s="109">
        <f t="shared" si="24"/>
        <v>-1.1452158921962203E-2</v>
      </c>
      <c r="AJ32" s="109">
        <f t="shared" si="24"/>
        <v>4.7866937773726522E-3</v>
      </c>
      <c r="AK32" s="109">
        <f t="shared" si="24"/>
        <v>-3.3235876448827154E-2</v>
      </c>
      <c r="AL32" s="109">
        <f t="shared" si="24"/>
        <v>2.311979984083942E-3</v>
      </c>
      <c r="AM32" s="109">
        <f t="shared" si="24"/>
        <v>-0.10076082949326609</v>
      </c>
      <c r="AN32" s="109">
        <f t="shared" si="24"/>
        <v>-0.10988688456030964</v>
      </c>
      <c r="AO32" s="109">
        <f t="shared" si="24"/>
        <v>-0.12217956435650433</v>
      </c>
      <c r="AP32" s="109">
        <f t="shared" si="24"/>
        <v>-0.18086907518635637</v>
      </c>
      <c r="AQ32" s="109">
        <f t="shared" si="24"/>
        <v>-0.11083621465484826</v>
      </c>
      <c r="AR32" s="109">
        <f t="shared" si="24"/>
        <v>-0.1215581811166935</v>
      </c>
      <c r="AS32" s="109">
        <f t="shared" si="24"/>
        <v>-8.8194355449132816E-2</v>
      </c>
      <c r="AT32" s="109">
        <f t="shared" si="24"/>
        <v>-5.8782067766733483E-2</v>
      </c>
      <c r="AU32" s="109">
        <f t="shared" si="24"/>
        <v>-4.8296162293897958E-2</v>
      </c>
      <c r="AV32" s="109">
        <f t="shared" si="24"/>
        <v>-2.6006343139332682E-2</v>
      </c>
      <c r="AW32" s="109">
        <f t="shared" si="24"/>
        <v>-3.6362573913842983E-2</v>
      </c>
      <c r="AX32" s="109">
        <f t="shared" si="24"/>
        <v>2.3018413874542808E-2</v>
      </c>
      <c r="AY32" s="109">
        <f t="shared" si="24"/>
        <v>6.7764855362184143E-2</v>
      </c>
      <c r="AZ32" s="109">
        <f t="shared" si="24"/>
        <v>5.5861550928720409E-2</v>
      </c>
      <c r="BA32" s="109">
        <f t="shared" si="24"/>
        <v>3.8334684146883395E-2</v>
      </c>
      <c r="BB32" s="109">
        <f t="shared" si="24"/>
        <v>0.24448590894430403</v>
      </c>
      <c r="BC32" s="109">
        <f t="shared" si="24"/>
        <v>0.20882146798787146</v>
      </c>
      <c r="BD32" s="109">
        <f t="shared" si="24"/>
        <v>0.24090506889325292</v>
      </c>
      <c r="BE32" s="109">
        <f t="shared" si="24"/>
        <v>0.21222631528402744</v>
      </c>
      <c r="BF32" s="109">
        <f t="shared" si="24"/>
        <v>1.0306073986902208E-2</v>
      </c>
      <c r="BG32" s="109">
        <f t="shared" si="24"/>
        <v>5.6611325256662764E-2</v>
      </c>
      <c r="BH32" s="109">
        <f t="shared" si="24"/>
        <v>4.8983441124506637E-2</v>
      </c>
      <c r="BI32" s="109">
        <f t="shared" si="24"/>
        <v>8.3552583611558998E-2</v>
      </c>
      <c r="BJ32" s="109">
        <f t="shared" si="24"/>
        <v>8.0941186271816803E-2</v>
      </c>
      <c r="BK32" s="109">
        <f t="shared" si="24"/>
        <v>0.10209279367684868</v>
      </c>
      <c r="BL32" s="109">
        <f t="shared" si="24"/>
        <v>0.24303800900134115</v>
      </c>
      <c r="BM32" s="109">
        <f t="shared" si="24"/>
        <v>0.27497604353338784</v>
      </c>
      <c r="BN32" s="109">
        <f t="shared" si="24"/>
        <v>0.29012403935616699</v>
      </c>
      <c r="BO32" s="109">
        <f t="shared" si="24"/>
        <v>0.19907943420281321</v>
      </c>
      <c r="BP32" s="109">
        <f t="shared" si="24"/>
        <v>-4.1007648134665627E-2</v>
      </c>
      <c r="BQ32" s="109">
        <f t="shared" si="24"/>
        <v>-6.9744964297139625E-2</v>
      </c>
      <c r="BR32" s="109">
        <f t="shared" ref="BR32:CK32" si="25">(BR7-BV7)/BV7</f>
        <v>-3.3008829557324204E-2</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565</v>
      </c>
      <c r="E33" s="109">
        <f>E7/E9</f>
        <v>0.67649112294228853</v>
      </c>
      <c r="F33" s="109">
        <f t="shared" ref="F33:BQ33" si="26">F7/F9</f>
        <v>0.30772038609510133</v>
      </c>
      <c r="G33" s="109">
        <f t="shared" si="26"/>
        <v>0.30638979763245738</v>
      </c>
      <c r="H33" s="109">
        <f t="shared" si="26"/>
        <v>0.302405172439973</v>
      </c>
      <c r="I33" s="109">
        <f t="shared" si="26"/>
        <v>0.29637699047838961</v>
      </c>
      <c r="J33" s="109">
        <f t="shared" si="26"/>
        <v>0.26604368427330688</v>
      </c>
      <c r="K33" s="109">
        <f t="shared" si="26"/>
        <v>0.19775248075193327</v>
      </c>
      <c r="L33" s="109">
        <f t="shared" si="26"/>
        <v>0.1790552388295612</v>
      </c>
      <c r="M33" s="109">
        <f t="shared" si="26"/>
        <v>0.17373081297660151</v>
      </c>
      <c r="N33" s="109">
        <f t="shared" si="26"/>
        <v>0.17286176542151327</v>
      </c>
      <c r="O33" s="109">
        <f t="shared" si="26"/>
        <v>0.17040915908516202</v>
      </c>
      <c r="P33" s="109">
        <f t="shared" si="26"/>
        <v>0.13412532733515276</v>
      </c>
      <c r="Q33" s="109">
        <f t="shared" si="26"/>
        <v>0.11717477110901342</v>
      </c>
      <c r="R33" s="109">
        <f t="shared" si="26"/>
        <v>0.13375404774720301</v>
      </c>
      <c r="S33" s="109">
        <f t="shared" si="26"/>
        <v>0.14054064386673903</v>
      </c>
      <c r="T33" s="109">
        <f t="shared" si="26"/>
        <v>0.14905097999460376</v>
      </c>
      <c r="U33" s="109">
        <f t="shared" si="26"/>
        <v>0.15962865701470047</v>
      </c>
      <c r="V33" s="109">
        <f t="shared" si="26"/>
        <v>0.15114150044353955</v>
      </c>
      <c r="W33" s="109">
        <f t="shared" si="26"/>
        <v>0.15193155092447794</v>
      </c>
      <c r="X33" s="109">
        <f t="shared" si="26"/>
        <v>0.15411375284210121</v>
      </c>
      <c r="Y33" s="109">
        <f t="shared" si="26"/>
        <v>0.16116169714431147</v>
      </c>
      <c r="Z33" s="109">
        <f t="shared" si="26"/>
        <v>0.17496785659312297</v>
      </c>
      <c r="AA33" s="109">
        <f t="shared" si="26"/>
        <v>0.1668291346667895</v>
      </c>
      <c r="AB33" s="109">
        <f t="shared" si="26"/>
        <v>0.22122282932988163</v>
      </c>
      <c r="AC33" s="109">
        <f t="shared" si="26"/>
        <v>0.23450664133233487</v>
      </c>
      <c r="AD33" s="109">
        <f t="shared" si="26"/>
        <v>0.26480398858048104</v>
      </c>
      <c r="AE33" s="109">
        <f t="shared" si="26"/>
        <v>0.28125189102350512</v>
      </c>
      <c r="AF33" s="109">
        <f t="shared" si="26"/>
        <v>0.24664357489848929</v>
      </c>
      <c r="AG33" s="109">
        <f t="shared" si="26"/>
        <v>0.25745488870826849</v>
      </c>
      <c r="AH33" s="109">
        <f t="shared" si="26"/>
        <v>0.27519256451741581</v>
      </c>
      <c r="AI33" s="109">
        <f t="shared" si="26"/>
        <v>0.28481155542883679</v>
      </c>
      <c r="AJ33" s="109">
        <f t="shared" si="26"/>
        <v>0.28974703103429311</v>
      </c>
      <c r="AK33" s="109">
        <f t="shared" si="26"/>
        <v>0.28844364781553317</v>
      </c>
      <c r="AL33" s="109">
        <f t="shared" si="26"/>
        <v>0.31084113103795863</v>
      </c>
      <c r="AM33" s="109">
        <f t="shared" si="26"/>
        <v>0.32438851456087664</v>
      </c>
      <c r="AN33" s="109">
        <f t="shared" si="26"/>
        <v>0.31944897592655841</v>
      </c>
      <c r="AO33" s="109">
        <f t="shared" si="26"/>
        <v>0.32980174719590483</v>
      </c>
      <c r="AP33" s="109">
        <f t="shared" si="26"/>
        <v>0.34896965642822664</v>
      </c>
      <c r="AQ33" s="109">
        <f t="shared" si="26"/>
        <v>0.36544006031549037</v>
      </c>
      <c r="AR33" s="109">
        <f t="shared" si="26"/>
        <v>0.40715724666941111</v>
      </c>
      <c r="AS33" s="109">
        <f t="shared" si="26"/>
        <v>0.425799931794071</v>
      </c>
      <c r="AT33" s="109">
        <f t="shared" si="26"/>
        <v>0.44561349596612665</v>
      </c>
      <c r="AU33" s="109">
        <f t="shared" si="26"/>
        <v>0.45729291793034249</v>
      </c>
      <c r="AV33" s="109">
        <f t="shared" si="26"/>
        <v>0.47110072518867813</v>
      </c>
      <c r="AW33" s="109">
        <f t="shared" si="26"/>
        <v>0.47903603069211598</v>
      </c>
      <c r="AX33" s="109">
        <f t="shared" si="26"/>
        <v>0.49062466308612845</v>
      </c>
      <c r="AY33" s="109">
        <f t="shared" si="26"/>
        <v>0.45067338546883184</v>
      </c>
      <c r="AZ33" s="109">
        <f t="shared" si="26"/>
        <v>0.34890065578851021</v>
      </c>
      <c r="BA33" s="109">
        <f t="shared" si="26"/>
        <v>0.36616916586421594</v>
      </c>
      <c r="BB33" s="109">
        <f t="shared" si="26"/>
        <v>0.38236464940725273</v>
      </c>
      <c r="BC33" s="109">
        <f t="shared" si="26"/>
        <v>0.36190942625746331</v>
      </c>
      <c r="BD33" s="109">
        <f t="shared" si="26"/>
        <v>0.37609734696557273</v>
      </c>
      <c r="BE33" s="109">
        <f t="shared" si="26"/>
        <v>0.3740748969040173</v>
      </c>
      <c r="BF33" s="109">
        <f t="shared" si="26"/>
        <v>0.30387771889211568</v>
      </c>
      <c r="BG33" s="109">
        <f t="shared" si="26"/>
        <v>0.30076472457644388</v>
      </c>
      <c r="BH33" s="109">
        <f t="shared" si="26"/>
        <v>0.31326238678830276</v>
      </c>
      <c r="BI33" s="109">
        <f t="shared" si="26"/>
        <v>0.32598781400560867</v>
      </c>
      <c r="BJ33" s="109">
        <f t="shared" si="26"/>
        <v>0.3144604646040125</v>
      </c>
      <c r="BK33" s="109">
        <f t="shared" si="26"/>
        <v>0.32843480997936592</v>
      </c>
      <c r="BL33" s="109">
        <f t="shared" si="26"/>
        <v>0.30773705666707546</v>
      </c>
      <c r="BM33" s="109">
        <f t="shared" si="26"/>
        <v>0.31048495495426148</v>
      </c>
      <c r="BN33" s="109">
        <f t="shared" si="26"/>
        <v>0.28818525708067749</v>
      </c>
      <c r="BO33" s="109">
        <f t="shared" si="26"/>
        <v>0.26880801146796812</v>
      </c>
      <c r="BP33" s="109">
        <f t="shared" si="26"/>
        <v>0.25272397967701593</v>
      </c>
      <c r="BQ33" s="109">
        <f t="shared" si="26"/>
        <v>0.24902001927571968</v>
      </c>
      <c r="BR33" s="109">
        <f t="shared" ref="BR33:CK33" si="27">BR7/BR9</f>
        <v>0.22908096591722435</v>
      </c>
      <c r="BS33" s="109">
        <f t="shared" si="27"/>
        <v>0.56471646622369676</v>
      </c>
      <c r="BT33" s="109">
        <f t="shared" si="27"/>
        <v>0.52518656679508924</v>
      </c>
      <c r="BU33" s="109">
        <f t="shared" si="27"/>
        <v>0.54052151192318187</v>
      </c>
      <c r="BV33" s="109">
        <f t="shared" si="27"/>
        <v>0.50105314377795607</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559</v>
      </c>
      <c r="E34" s="108" t="e">
        <f>(E10-I10)/I10</f>
        <v>#DIV/0!</v>
      </c>
      <c r="F34" s="108" t="e">
        <f t="shared" ref="F34:BQ34" si="28">(F10-J10)/J10</f>
        <v>#DIV/0!</v>
      </c>
      <c r="G34" s="108" t="e">
        <f t="shared" si="28"/>
        <v>#DIV/0!</v>
      </c>
      <c r="H34" s="108" t="e">
        <f t="shared" si="28"/>
        <v>#DIV/0!</v>
      </c>
      <c r="I34" s="108" t="e">
        <f t="shared" si="28"/>
        <v>#DIV/0!</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f t="shared" si="28"/>
        <v>-1</v>
      </c>
      <c r="W34" s="108">
        <f t="shared" si="28"/>
        <v>-1</v>
      </c>
      <c r="X34" s="108">
        <f t="shared" si="28"/>
        <v>-1</v>
      </c>
      <c r="Y34" s="108">
        <f t="shared" si="28"/>
        <v>-1</v>
      </c>
      <c r="Z34" s="108">
        <f t="shared" si="28"/>
        <v>-0.16666666666666666</v>
      </c>
      <c r="AA34" s="108">
        <f t="shared" si="28"/>
        <v>-0.16666666666666666</v>
      </c>
      <c r="AB34" s="108">
        <f t="shared" si="28"/>
        <v>-0.16666666666666666</v>
      </c>
      <c r="AC34" s="108">
        <f t="shared" si="28"/>
        <v>-0.2857142857142857</v>
      </c>
      <c r="AD34" s="108">
        <f t="shared" si="28"/>
        <v>-0.14285714285714285</v>
      </c>
      <c r="AE34" s="108">
        <f t="shared" si="28"/>
        <v>-0.14285714285714285</v>
      </c>
      <c r="AF34" s="108">
        <f t="shared" si="28"/>
        <v>-0.2</v>
      </c>
      <c r="AG34" s="108">
        <f t="shared" si="28"/>
        <v>0.16666666666666666</v>
      </c>
      <c r="AH34" s="108">
        <f t="shared" si="28"/>
        <v>0.4</v>
      </c>
      <c r="AI34" s="108">
        <f t="shared" si="28"/>
        <v>1</v>
      </c>
      <c r="AJ34" s="108">
        <f t="shared" si="28"/>
        <v>-0.85</v>
      </c>
      <c r="AK34" s="108">
        <f t="shared" si="28"/>
        <v>-0.88349514563106801</v>
      </c>
      <c r="AL34" s="108">
        <f t="shared" si="28"/>
        <v>-0.86130374479889038</v>
      </c>
      <c r="AM34" s="108">
        <f t="shared" si="28"/>
        <v>-0.95541401273885351</v>
      </c>
      <c r="AN34" s="108">
        <f t="shared" si="28"/>
        <v>-0.48186528497409326</v>
      </c>
      <c r="AO34" s="108">
        <f t="shared" si="28"/>
        <v>-0.4750646445645974</v>
      </c>
      <c r="AP34" s="108">
        <f t="shared" si="28"/>
        <v>-0.69275819289586993</v>
      </c>
      <c r="AQ34" s="108">
        <f t="shared" si="28"/>
        <v>-0.41915314748700494</v>
      </c>
      <c r="AR34" s="108">
        <f t="shared" si="28"/>
        <v>-0.32982218962724125</v>
      </c>
      <c r="AS34" s="108">
        <f t="shared" si="28"/>
        <v>-0.14503426322440086</v>
      </c>
      <c r="AT34" s="108">
        <f t="shared" si="28"/>
        <v>-1.1921749094736827E-2</v>
      </c>
      <c r="AU34" s="108">
        <f t="shared" si="28"/>
        <v>-0.27631860776439088</v>
      </c>
      <c r="AV34" s="108">
        <f t="shared" si="28"/>
        <v>-4.0055753300000031E-2</v>
      </c>
      <c r="AW34" s="108">
        <f t="shared" si="28"/>
        <v>7.4781240115217557E-2</v>
      </c>
      <c r="AX34" s="108">
        <f t="shared" si="28"/>
        <v>1.5</v>
      </c>
      <c r="AY34" s="108">
        <f t="shared" si="28"/>
        <v>2.5913461538461537</v>
      </c>
      <c r="AZ34" s="108">
        <f t="shared" si="28"/>
        <v>2.303964757709251</v>
      </c>
      <c r="BA34" s="108">
        <f t="shared" si="28"/>
        <v>0.85103357362005072</v>
      </c>
      <c r="BB34" s="108">
        <f t="shared" si="28"/>
        <v>9.4470046082949302E-2</v>
      </c>
      <c r="BC34" s="108">
        <f t="shared" si="28"/>
        <v>0.19815668202764977</v>
      </c>
      <c r="BD34" s="108">
        <f t="shared" si="28"/>
        <v>0.30253909051785971</v>
      </c>
      <c r="BE34" s="108">
        <f t="shared" si="28"/>
        <v>0.72253485142601159</v>
      </c>
      <c r="BF34" s="108">
        <f t="shared" si="28"/>
        <v>0.21653819201121233</v>
      </c>
      <c r="BG34" s="108">
        <f t="shared" si="28"/>
        <v>4.2016806722689079E-2</v>
      </c>
      <c r="BH34" s="108">
        <f t="shared" si="28"/>
        <v>-3.6489288182446442E-2</v>
      </c>
      <c r="BI34" s="108">
        <f t="shared" si="28"/>
        <v>-7.4360746371803732E-2</v>
      </c>
      <c r="BJ34" s="108">
        <f t="shared" si="28"/>
        <v>-0.41991869918699187</v>
      </c>
      <c r="BK34" s="108">
        <f t="shared" si="28"/>
        <v>-0.39998559389181015</v>
      </c>
      <c r="BL34" s="108">
        <f t="shared" si="28"/>
        <v>-0.44423106467967427</v>
      </c>
      <c r="BM34" s="108">
        <f t="shared" si="28"/>
        <v>-0.44550889025137952</v>
      </c>
      <c r="BN34" s="108">
        <f t="shared" si="28"/>
        <v>-0.40760005779511632</v>
      </c>
      <c r="BO34" s="108">
        <f t="shared" si="28"/>
        <v>-0.34738870869176891</v>
      </c>
      <c r="BP34" s="108">
        <f t="shared" si="28"/>
        <v>-0.5279211195282838</v>
      </c>
      <c r="BQ34" s="108">
        <f t="shared" si="28"/>
        <v>-0.47456801259619297</v>
      </c>
      <c r="BR34" s="108">
        <f t="shared" ref="BR34:CK34" si="29">(BR10-BV10)/BV10</f>
        <v>4.0548464210004062E-2</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563</v>
      </c>
      <c r="E35" s="108">
        <f>E10/E12</f>
        <v>2.0431306239353107E-2</v>
      </c>
      <c r="F35" s="108">
        <f t="shared" ref="F35:BQ35" si="30">F10/F12</f>
        <v>1</v>
      </c>
      <c r="G35" s="108">
        <f t="shared" si="30"/>
        <v>1</v>
      </c>
      <c r="H35" s="108" t="e">
        <f t="shared" si="30"/>
        <v>#DIV/0!</v>
      </c>
      <c r="I35" s="108" t="e">
        <f t="shared" si="30"/>
        <v>#DIV/0!</v>
      </c>
      <c r="J35" s="108" t="e">
        <f t="shared" si="30"/>
        <v>#DIV/0!</v>
      </c>
      <c r="K35" s="108" t="e">
        <f t="shared" si="30"/>
        <v>#DIV/0!</v>
      </c>
      <c r="L35" s="108" t="e">
        <f t="shared" si="30"/>
        <v>#DIV/0!</v>
      </c>
      <c r="M35" s="108" t="e">
        <f t="shared" si="30"/>
        <v>#DIV/0!</v>
      </c>
      <c r="N35" s="108" t="e">
        <f t="shared" si="30"/>
        <v>#DIV/0!</v>
      </c>
      <c r="O35" s="108" t="e">
        <f t="shared" si="30"/>
        <v>#DIV/0!</v>
      </c>
      <c r="P35" s="108" t="e">
        <f t="shared" si="30"/>
        <v>#DIV/0!</v>
      </c>
      <c r="Q35" s="108" t="e">
        <f t="shared" si="30"/>
        <v>#DIV/0!</v>
      </c>
      <c r="R35" s="108">
        <f t="shared" si="30"/>
        <v>0</v>
      </c>
      <c r="S35" s="108">
        <f t="shared" si="30"/>
        <v>0</v>
      </c>
      <c r="T35" s="108">
        <f t="shared" si="30"/>
        <v>0</v>
      </c>
      <c r="U35" s="108">
        <f t="shared" si="30"/>
        <v>0</v>
      </c>
      <c r="V35" s="108">
        <f t="shared" si="30"/>
        <v>0</v>
      </c>
      <c r="W35" s="108">
        <f t="shared" si="30"/>
        <v>0</v>
      </c>
      <c r="X35" s="108">
        <f t="shared" si="30"/>
        <v>0</v>
      </c>
      <c r="Y35" s="108">
        <f t="shared" si="30"/>
        <v>0</v>
      </c>
      <c r="Z35" s="108">
        <f t="shared" si="30"/>
        <v>0.78847773640228591</v>
      </c>
      <c r="AA35" s="108">
        <f t="shared" si="30"/>
        <v>0.79743759187218688</v>
      </c>
      <c r="AB35" s="108">
        <f t="shared" si="30"/>
        <v>0.81394582213818689</v>
      </c>
      <c r="AC35" s="108">
        <f t="shared" si="30"/>
        <v>0.80422151960068788</v>
      </c>
      <c r="AD35" s="108">
        <f t="shared" si="30"/>
        <v>0.82330818118835414</v>
      </c>
      <c r="AE35" s="108">
        <f t="shared" si="30"/>
        <v>0.75419939401021441</v>
      </c>
      <c r="AF35" s="108">
        <f t="shared" si="30"/>
        <v>0.74472936826753133</v>
      </c>
      <c r="AG35" s="108">
        <f t="shared" si="30"/>
        <v>0.76365178482050633</v>
      </c>
      <c r="AH35" s="108">
        <f t="shared" si="30"/>
        <v>0.65156156425506007</v>
      </c>
      <c r="AI35" s="108">
        <f t="shared" si="30"/>
        <v>0.71428843259051977</v>
      </c>
      <c r="AJ35" s="108">
        <f t="shared" si="30"/>
        <v>0.7281579763739543</v>
      </c>
      <c r="AK35" s="108">
        <f t="shared" si="30"/>
        <v>0.68182107142237025</v>
      </c>
      <c r="AL35" s="108">
        <f t="shared" si="30"/>
        <v>0.66934843750925266</v>
      </c>
      <c r="AM35" s="108">
        <f t="shared" si="30"/>
        <v>0.59117118385114631</v>
      </c>
      <c r="AN35" s="108">
        <f t="shared" si="30"/>
        <v>0.95382620883826774</v>
      </c>
      <c r="AO35" s="108">
        <f t="shared" si="30"/>
        <v>0.95511070638077533</v>
      </c>
      <c r="AP35" s="108">
        <f t="shared" si="30"/>
        <v>0.95672952648716525</v>
      </c>
      <c r="AQ35" s="108">
        <f t="shared" si="30"/>
        <v>0.97155556848355662</v>
      </c>
      <c r="AR35" s="108">
        <f t="shared" si="30"/>
        <v>0.97971273220429966</v>
      </c>
      <c r="AS35" s="108">
        <f t="shared" si="30"/>
        <v>0.98003846926158256</v>
      </c>
      <c r="AT35" s="108">
        <f t="shared" si="30"/>
        <v>1</v>
      </c>
      <c r="AU35" s="108">
        <f t="shared" si="30"/>
        <v>1</v>
      </c>
      <c r="AV35" s="108">
        <f t="shared" si="30"/>
        <v>1</v>
      </c>
      <c r="AW35" s="108">
        <f t="shared" si="30"/>
        <v>1</v>
      </c>
      <c r="AX35" s="108">
        <f t="shared" si="30"/>
        <v>1</v>
      </c>
      <c r="AY35" s="108">
        <f t="shared" si="30"/>
        <v>1</v>
      </c>
      <c r="AZ35" s="108">
        <f t="shared" si="30"/>
        <v>1</v>
      </c>
      <c r="BA35" s="108">
        <f t="shared" si="30"/>
        <v>1</v>
      </c>
      <c r="BB35" s="108">
        <f t="shared" si="30"/>
        <v>0.90476190476190477</v>
      </c>
      <c r="BC35" s="108">
        <f t="shared" si="30"/>
        <v>0.91228070175438591</v>
      </c>
      <c r="BD35" s="108">
        <f t="shared" si="30"/>
        <v>0.90079365079365081</v>
      </c>
      <c r="BE35" s="108">
        <f t="shared" si="30"/>
        <v>0.92022856685379373</v>
      </c>
      <c r="BF35" s="108">
        <f t="shared" si="30"/>
        <v>0.99003955987070513</v>
      </c>
      <c r="BG35" s="108">
        <f t="shared" si="30"/>
        <v>0.99003955987070513</v>
      </c>
      <c r="BH35" s="108">
        <f t="shared" si="30"/>
        <v>0.93466008298593606</v>
      </c>
      <c r="BI35" s="108">
        <f t="shared" si="30"/>
        <v>0.93216811140915823</v>
      </c>
      <c r="BJ35" s="108">
        <f t="shared" si="30"/>
        <v>0.90701298734951274</v>
      </c>
      <c r="BK35" s="108">
        <f t="shared" si="30"/>
        <v>0.89861445226650272</v>
      </c>
      <c r="BL35" s="108">
        <f t="shared" si="30"/>
        <v>0.89075464552586325</v>
      </c>
      <c r="BM35" s="108">
        <f t="shared" si="30"/>
        <v>0.89961531193406186</v>
      </c>
      <c r="BN35" s="108">
        <f t="shared" si="30"/>
        <v>0.89102500309390309</v>
      </c>
      <c r="BO35" s="108">
        <f t="shared" si="30"/>
        <v>0.89857605177993527</v>
      </c>
      <c r="BP35" s="108">
        <f t="shared" si="30"/>
        <v>0.93533553671504521</v>
      </c>
      <c r="BQ35" s="108">
        <f t="shared" si="30"/>
        <v>0.93547462001720671</v>
      </c>
      <c r="BR35" s="108">
        <f t="shared" ref="BR35:CK35" si="31">BR10/BR12</f>
        <v>0.94860197368421051</v>
      </c>
      <c r="BS35" s="108">
        <f t="shared" si="31"/>
        <v>0.93978877614412926</v>
      </c>
      <c r="BT35" s="108">
        <f t="shared" si="31"/>
        <v>0.78141750586303171</v>
      </c>
      <c r="BU35" s="108">
        <f t="shared" si="31"/>
        <v>0.67913320489144768</v>
      </c>
      <c r="BV35" s="108">
        <f t="shared" si="31"/>
        <v>0.59744681203235328</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560</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0.69355908751524697</v>
      </c>
      <c r="S36" s="108">
        <f t="shared" si="32"/>
        <v>7.7327086869345374</v>
      </c>
      <c r="T36" s="108">
        <f t="shared" si="32"/>
        <v>4.8714247042636813</v>
      </c>
      <c r="U36" s="108">
        <f t="shared" si="32"/>
        <v>4.7467203003415044</v>
      </c>
      <c r="V36" s="108">
        <f t="shared" si="32"/>
        <v>4.8893426430961071</v>
      </c>
      <c r="W36" s="108">
        <f t="shared" si="32"/>
        <v>3.8644604006002399E-2</v>
      </c>
      <c r="X36" s="108">
        <f t="shared" si="32"/>
        <v>0.15421094307100702</v>
      </c>
      <c r="Y36" s="108">
        <f t="shared" si="32"/>
        <v>8.3776806051631111E-2</v>
      </c>
      <c r="Z36" s="108">
        <f t="shared" si="32"/>
        <v>4.1672967928304563E-2</v>
      </c>
      <c r="AA36" s="108">
        <f t="shared" si="32"/>
        <v>-0.35049255969531917</v>
      </c>
      <c r="AB36" s="108">
        <f t="shared" si="32"/>
        <v>-0.44427452010648233</v>
      </c>
      <c r="AC36" s="108">
        <f t="shared" si="32"/>
        <v>-0.43817084563177833</v>
      </c>
      <c r="AD36" s="108">
        <f t="shared" si="32"/>
        <v>-0.65601728299464546</v>
      </c>
      <c r="AE36" s="108">
        <f t="shared" si="32"/>
        <v>-0.30161359952828376</v>
      </c>
      <c r="AF36" s="108">
        <f t="shared" si="32"/>
        <v>-0.26548380400659655</v>
      </c>
      <c r="AG36" s="108">
        <f t="shared" si="32"/>
        <v>-0.22624628137680852</v>
      </c>
      <c r="AH36" s="108">
        <f t="shared" si="32"/>
        <v>0.51558503516925092</v>
      </c>
      <c r="AI36" s="108">
        <f t="shared" si="32"/>
        <v>0.15679381943932014</v>
      </c>
      <c r="AJ36" s="108">
        <f t="shared" si="32"/>
        <v>0.15679381943932014</v>
      </c>
      <c r="AK36" s="108">
        <f t="shared" si="32"/>
        <v>0.15679381943932014</v>
      </c>
      <c r="AL36" s="108">
        <f t="shared" si="32"/>
        <v>0.51488822612269247</v>
      </c>
      <c r="AM36" s="108">
        <f t="shared" si="32"/>
        <v>5.3166453591757507E-2</v>
      </c>
      <c r="AN36" s="108">
        <f t="shared" si="32"/>
        <v>0.21127893284428934</v>
      </c>
      <c r="AO36" s="108">
        <f t="shared" si="32"/>
        <v>0.21127893284428934</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f t="shared" si="32"/>
        <v>-1</v>
      </c>
      <c r="AY36" s="108">
        <f t="shared" si="32"/>
        <v>-1</v>
      </c>
      <c r="AZ36" s="108">
        <f t="shared" si="32"/>
        <v>-1</v>
      </c>
      <c r="BA36" s="108">
        <f t="shared" si="32"/>
        <v>-1</v>
      </c>
      <c r="BB36" s="108">
        <f t="shared" si="32"/>
        <v>10.451286855537321</v>
      </c>
      <c r="BC36" s="108">
        <f t="shared" si="32"/>
        <v>10.451286855537321</v>
      </c>
      <c r="BD36" s="108">
        <f t="shared" si="32"/>
        <v>1.0520126519712876</v>
      </c>
      <c r="BE36" s="108">
        <f t="shared" si="32"/>
        <v>1.0520126519712876</v>
      </c>
      <c r="BF36" s="108">
        <f t="shared" si="32"/>
        <v>-0.88061687613708772</v>
      </c>
      <c r="BG36" s="108">
        <f t="shared" si="32"/>
        <v>-0.9070823854145067</v>
      </c>
      <c r="BH36" s="108">
        <f t="shared" si="32"/>
        <v>-0.45079238764475893</v>
      </c>
      <c r="BI36" s="108">
        <f t="shared" si="32"/>
        <v>-0.3963700284158912</v>
      </c>
      <c r="BJ36" s="108">
        <f t="shared" si="32"/>
        <v>-0.51374880517122867</v>
      </c>
      <c r="BK36" s="108">
        <f t="shared" si="32"/>
        <v>-0.40023839821314611</v>
      </c>
      <c r="BL36" s="108">
        <f t="shared" si="32"/>
        <v>-1.4081744444444362E-2</v>
      </c>
      <c r="BM36" s="108">
        <f t="shared" si="32"/>
        <v>-0.10297063333333335</v>
      </c>
      <c r="BN36" s="108">
        <f t="shared" si="32"/>
        <v>0.33717904888888894</v>
      </c>
      <c r="BO36" s="108">
        <f t="shared" si="32"/>
        <v>0.14972256614848442</v>
      </c>
      <c r="BP36" s="108">
        <f t="shared" si="32"/>
        <v>-0.88332425755081789</v>
      </c>
      <c r="BQ36" s="108">
        <f t="shared" si="32"/>
        <v>-0.92329118774416796</v>
      </c>
      <c r="BR36" s="108">
        <f t="shared" ref="BR36:CK36" si="33">(BR11-BV11)/BV11</f>
        <v>-0.9163240390067019</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564</v>
      </c>
      <c r="B37" s="108"/>
      <c r="C37" s="108"/>
      <c r="D37" s="108"/>
      <c r="E37" s="108">
        <f>E11/E12</f>
        <v>0.97956869376064681</v>
      </c>
      <c r="F37" s="108">
        <f t="shared" ref="F37:BQ37" si="34">F11/F12</f>
        <v>0</v>
      </c>
      <c r="G37" s="108">
        <f t="shared" si="34"/>
        <v>0</v>
      </c>
      <c r="H37" s="108" t="e">
        <f t="shared" si="34"/>
        <v>#DIV/0!</v>
      </c>
      <c r="I37" s="108" t="e">
        <f t="shared" si="34"/>
        <v>#DIV/0!</v>
      </c>
      <c r="J37" s="108" t="e">
        <f t="shared" si="34"/>
        <v>#DIV/0!</v>
      </c>
      <c r="K37" s="108" t="e">
        <f t="shared" si="34"/>
        <v>#DIV/0!</v>
      </c>
      <c r="L37" s="108" t="e">
        <f t="shared" si="34"/>
        <v>#DIV/0!</v>
      </c>
      <c r="M37" s="108" t="e">
        <f t="shared" si="34"/>
        <v>#DIV/0!</v>
      </c>
      <c r="N37" s="108" t="e">
        <f t="shared" si="34"/>
        <v>#DIV/0!</v>
      </c>
      <c r="O37" s="110" t="e">
        <f t="shared" si="34"/>
        <v>#DIV/0!</v>
      </c>
      <c r="P37" s="110" t="e">
        <f t="shared" si="34"/>
        <v>#DIV/0!</v>
      </c>
      <c r="Q37" s="110" t="e">
        <f t="shared" si="34"/>
        <v>#DIV/0!</v>
      </c>
      <c r="R37" s="110">
        <f t="shared" si="34"/>
        <v>1</v>
      </c>
      <c r="S37" s="110">
        <f t="shared" si="34"/>
        <v>1</v>
      </c>
      <c r="T37" s="110">
        <f t="shared" si="34"/>
        <v>1</v>
      </c>
      <c r="U37" s="110">
        <f t="shared" si="34"/>
        <v>1</v>
      </c>
      <c r="V37" s="110">
        <f t="shared" si="34"/>
        <v>1</v>
      </c>
      <c r="W37" s="110">
        <f t="shared" si="34"/>
        <v>1</v>
      </c>
      <c r="X37" s="110">
        <f t="shared" si="34"/>
        <v>1</v>
      </c>
      <c r="Y37" s="110">
        <f t="shared" si="34"/>
        <v>1</v>
      </c>
      <c r="Z37" s="110">
        <f t="shared" si="34"/>
        <v>0.21152226359771409</v>
      </c>
      <c r="AA37" s="110">
        <f t="shared" si="34"/>
        <v>0.20256240812781312</v>
      </c>
      <c r="AB37" s="110">
        <f t="shared" si="34"/>
        <v>0.18605417786181316</v>
      </c>
      <c r="AC37" s="110">
        <f t="shared" si="34"/>
        <v>0.19577848039931206</v>
      </c>
      <c r="AD37" s="110">
        <f t="shared" si="34"/>
        <v>0.17669181881164581</v>
      </c>
      <c r="AE37" s="110">
        <f t="shared" si="34"/>
        <v>0.24580060598978559</v>
      </c>
      <c r="AF37" s="110">
        <f t="shared" si="34"/>
        <v>0.25527063173246872</v>
      </c>
      <c r="AG37" s="110">
        <f t="shared" si="34"/>
        <v>0.23634821517949373</v>
      </c>
      <c r="AH37" s="110">
        <f t="shared" si="34"/>
        <v>0.34843843574493993</v>
      </c>
      <c r="AI37" s="110">
        <f t="shared" si="34"/>
        <v>0.28571156740948028</v>
      </c>
      <c r="AJ37" s="110">
        <f t="shared" si="34"/>
        <v>0.27184202362604576</v>
      </c>
      <c r="AK37" s="110">
        <f t="shared" si="34"/>
        <v>0.31817892857762969</v>
      </c>
      <c r="AL37" s="110">
        <f t="shared" si="34"/>
        <v>0.33065156249074729</v>
      </c>
      <c r="AM37" s="110">
        <f t="shared" si="34"/>
        <v>0.40882881614885364</v>
      </c>
      <c r="AN37" s="110">
        <f t="shared" si="34"/>
        <v>4.6173791161732293E-2</v>
      </c>
      <c r="AO37" s="110">
        <f t="shared" si="34"/>
        <v>4.4889293619224703E-2</v>
      </c>
      <c r="AP37" s="110">
        <f t="shared" si="34"/>
        <v>4.3270473512834848E-2</v>
      </c>
      <c r="AQ37" s="110">
        <f t="shared" si="34"/>
        <v>2.8444431516443363E-2</v>
      </c>
      <c r="AR37" s="110">
        <f t="shared" si="34"/>
        <v>2.0287267795700271E-2</v>
      </c>
      <c r="AS37" s="110">
        <f t="shared" si="34"/>
        <v>1.9961530738417447E-2</v>
      </c>
      <c r="AT37" s="110">
        <f t="shared" si="34"/>
        <v>0</v>
      </c>
      <c r="AU37" s="110">
        <f t="shared" si="34"/>
        <v>0</v>
      </c>
      <c r="AV37" s="110">
        <f t="shared" si="34"/>
        <v>0</v>
      </c>
      <c r="AW37" s="110">
        <f t="shared" si="34"/>
        <v>0</v>
      </c>
      <c r="AX37" s="110">
        <f t="shared" si="34"/>
        <v>0</v>
      </c>
      <c r="AY37" s="110">
        <f t="shared" si="34"/>
        <v>0</v>
      </c>
      <c r="AZ37" s="110">
        <f t="shared" si="34"/>
        <v>0</v>
      </c>
      <c r="BA37" s="110">
        <f t="shared" si="34"/>
        <v>0</v>
      </c>
      <c r="BB37" s="110">
        <f t="shared" si="34"/>
        <v>9.5238095238095233E-2</v>
      </c>
      <c r="BC37" s="110">
        <f t="shared" si="34"/>
        <v>8.771929824561403E-2</v>
      </c>
      <c r="BD37" s="110">
        <f t="shared" si="34"/>
        <v>9.9206349206349201E-2</v>
      </c>
      <c r="BE37" s="110">
        <f t="shared" si="34"/>
        <v>7.97714331462063E-2</v>
      </c>
      <c r="BF37" s="110">
        <f t="shared" si="34"/>
        <v>9.9604401292949247E-3</v>
      </c>
      <c r="BG37" s="110">
        <f t="shared" si="34"/>
        <v>9.9604401292949247E-3</v>
      </c>
      <c r="BH37" s="110">
        <f t="shared" si="34"/>
        <v>6.533991701406397E-2</v>
      </c>
      <c r="BI37" s="110">
        <f t="shared" si="34"/>
        <v>6.7831888590841771E-2</v>
      </c>
      <c r="BJ37" s="110">
        <f t="shared" si="34"/>
        <v>9.2987012650487311E-2</v>
      </c>
      <c r="BK37" s="110">
        <f t="shared" si="34"/>
        <v>0.10138554773349732</v>
      </c>
      <c r="BL37" s="110">
        <f t="shared" si="34"/>
        <v>0.1092453544741368</v>
      </c>
      <c r="BM37" s="110">
        <f t="shared" si="34"/>
        <v>0.10038468806593816</v>
      </c>
      <c r="BN37" s="110">
        <f t="shared" si="34"/>
        <v>0.10897499690609677</v>
      </c>
      <c r="BO37" s="110">
        <f t="shared" si="34"/>
        <v>0.10142394822006473</v>
      </c>
      <c r="BP37" s="110">
        <f t="shared" si="34"/>
        <v>6.4664463284954732E-2</v>
      </c>
      <c r="BQ37" s="110">
        <f t="shared" si="34"/>
        <v>6.452537998279323E-2</v>
      </c>
      <c r="BR37" s="110">
        <f t="shared" ref="BR37:CK37" si="35">BR11/BR12</f>
        <v>5.139802631578947E-2</v>
      </c>
      <c r="BS37" s="110">
        <f t="shared" si="35"/>
        <v>6.0211223855870778E-2</v>
      </c>
      <c r="BT37" s="110">
        <f t="shared" si="35"/>
        <v>0.21858249413696823</v>
      </c>
      <c r="BU37" s="110">
        <f t="shared" si="35"/>
        <v>0.32086679510855232</v>
      </c>
      <c r="BV37" s="110">
        <f t="shared" si="35"/>
        <v>0.40255318796764678</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634</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551</v>
      </c>
      <c r="B39" s="222"/>
      <c r="C39" s="222"/>
      <c r="D39" s="222"/>
      <c r="E39" s="223">
        <f>E2/E9</f>
        <v>0.29004546076015025</v>
      </c>
      <c r="F39" s="223">
        <f t="shared" ref="F39:U39" si="37">F2/F9</f>
        <v>0.38298499519815099</v>
      </c>
      <c r="G39" s="223">
        <f t="shared" si="37"/>
        <v>0.47300583542587504</v>
      </c>
      <c r="H39" s="223">
        <f t="shared" si="37"/>
        <v>0.47087181393471372</v>
      </c>
      <c r="I39" s="223">
        <f t="shared" si="37"/>
        <v>0.52296447727815398</v>
      </c>
      <c r="J39" s="223">
        <f t="shared" si="37"/>
        <v>0.60400570843360479</v>
      </c>
      <c r="K39" s="223">
        <f t="shared" si="37"/>
        <v>0.66611853438998914</v>
      </c>
      <c r="L39" s="223">
        <f t="shared" si="37"/>
        <v>0.67344171435203637</v>
      </c>
      <c r="M39" s="223">
        <f t="shared" si="37"/>
        <v>0.6276935013730609</v>
      </c>
      <c r="N39" s="223">
        <f t="shared" si="37"/>
        <v>0.57420663241192171</v>
      </c>
      <c r="O39" s="223">
        <f t="shared" si="37"/>
        <v>0.54388644837243416</v>
      </c>
      <c r="P39" s="223">
        <f t="shared" si="37"/>
        <v>0.76414075750308097</v>
      </c>
      <c r="Q39" s="223">
        <f t="shared" si="37"/>
        <v>0.70638968937306446</v>
      </c>
      <c r="R39" s="223">
        <f t="shared" si="37"/>
        <v>0.65573900344485392</v>
      </c>
      <c r="S39" s="223">
        <f t="shared" si="37"/>
        <v>0.61419740954999913</v>
      </c>
      <c r="T39" s="223">
        <f t="shared" si="37"/>
        <v>0.64263158629041506</v>
      </c>
      <c r="U39" s="223">
        <f t="shared" si="37"/>
        <v>0.5247322537714485</v>
      </c>
    </row>
    <row r="40" spans="1:89" s="224" customFormat="1" x14ac:dyDescent="0.25">
      <c r="A40" s="221" t="s">
        <v>552</v>
      </c>
      <c r="B40" s="222"/>
      <c r="C40" s="222"/>
      <c r="D40" s="222"/>
      <c r="E40" s="223">
        <f>E3/E9</f>
        <v>3.1950254901217869E-2</v>
      </c>
      <c r="F40" s="223">
        <f t="shared" ref="F40:U40" si="38">F3/F9</f>
        <v>3.4898904001230371E-2</v>
      </c>
      <c r="G40" s="223">
        <f t="shared" si="38"/>
        <v>3.7483637342321068E-2</v>
      </c>
      <c r="H40" s="223">
        <f t="shared" si="38"/>
        <v>3.829693771543187E-2</v>
      </c>
      <c r="I40" s="223">
        <f t="shared" si="38"/>
        <v>3.8679221302081332E-2</v>
      </c>
      <c r="J40" s="223">
        <f t="shared" si="38"/>
        <v>3.8748814334163453E-2</v>
      </c>
      <c r="K40" s="223">
        <f t="shared" si="38"/>
        <v>2.8173551364802294E-2</v>
      </c>
      <c r="L40" s="223">
        <f t="shared" si="38"/>
        <v>2.9097127750604513E-2</v>
      </c>
      <c r="M40" s="223">
        <f t="shared" si="38"/>
        <v>2.0629017438279183E-2</v>
      </c>
      <c r="N40" s="223">
        <f t="shared" si="38"/>
        <v>2.6578117760047058E-2</v>
      </c>
      <c r="O40" s="223">
        <f t="shared" si="38"/>
        <v>0.18634330065724478</v>
      </c>
      <c r="P40" s="223">
        <f t="shared" si="38"/>
        <v>0.18566737745554165</v>
      </c>
      <c r="Q40" s="223">
        <f t="shared" si="38"/>
        <v>0.18425224007819571</v>
      </c>
      <c r="R40" s="223">
        <f t="shared" si="38"/>
        <v>0.1716697391247857</v>
      </c>
      <c r="S40" s="223">
        <f t="shared" si="38"/>
        <v>0.19108353502760861</v>
      </c>
      <c r="T40" s="223">
        <f t="shared" si="38"/>
        <v>0.18841039896857226</v>
      </c>
      <c r="U40" s="223">
        <f t="shared" si="38"/>
        <v>0.1865830797151897</v>
      </c>
    </row>
    <row r="41" spans="1:89" x14ac:dyDescent="0.25">
      <c r="A41" s="183" t="s">
        <v>557</v>
      </c>
      <c r="B41" s="64"/>
      <c r="C41" s="64"/>
      <c r="D41" s="64"/>
      <c r="E41" s="90">
        <f>E4/E9</f>
        <v>1.5131613963434028E-3</v>
      </c>
      <c r="F41" s="90">
        <f t="shared" ref="F41:U41" si="39">F4/F9</f>
        <v>0.27439571470551738</v>
      </c>
      <c r="G41" s="90">
        <f t="shared" si="39"/>
        <v>0.18312072959934644</v>
      </c>
      <c r="H41" s="90">
        <f t="shared" si="39"/>
        <v>0.18842607590988156</v>
      </c>
      <c r="I41" s="90">
        <f t="shared" si="39"/>
        <v>0.14197931094137503</v>
      </c>
      <c r="J41" s="90">
        <f t="shared" si="39"/>
        <v>9.1201792958924929E-2</v>
      </c>
      <c r="K41" s="90">
        <f t="shared" si="39"/>
        <v>0.1079554334932753</v>
      </c>
      <c r="L41" s="90">
        <f t="shared" si="39"/>
        <v>0.118405919067798</v>
      </c>
      <c r="M41" s="90">
        <f t="shared" si="39"/>
        <v>0.17794666821205854</v>
      </c>
      <c r="N41" s="213">
        <f t="shared" si="39"/>
        <v>0.22635348440651804</v>
      </c>
      <c r="O41" s="213">
        <f t="shared" si="39"/>
        <v>9.9361091885159111E-2</v>
      </c>
      <c r="P41" s="213">
        <f t="shared" si="39"/>
        <v>-8.3933462293775393E-2</v>
      </c>
      <c r="Q41" s="213">
        <f t="shared" si="39"/>
        <v>-7.8167005602735144E-3</v>
      </c>
      <c r="R41" s="213">
        <f t="shared" si="39"/>
        <v>3.8837209683157285E-2</v>
      </c>
      <c r="S41" s="213">
        <f t="shared" si="39"/>
        <v>5.4178411555653165E-2</v>
      </c>
      <c r="T41" s="213">
        <f t="shared" si="39"/>
        <v>1.9907034746408946E-2</v>
      </c>
      <c r="U41" s="213">
        <f t="shared" si="39"/>
        <v>0.12905600949866139</v>
      </c>
    </row>
    <row r="42" spans="1:89" x14ac:dyDescent="0.25">
      <c r="A42" s="183" t="s">
        <v>334</v>
      </c>
      <c r="B42" s="64"/>
      <c r="C42" s="64"/>
      <c r="D42" s="64"/>
      <c r="E42" s="90">
        <f>E5/E9</f>
        <v>0.46896916100639657</v>
      </c>
      <c r="F42" s="90">
        <f t="shared" ref="F42:U42" si="40">F5/F9</f>
        <v>0.71472972821958491</v>
      </c>
      <c r="G42" s="90">
        <f t="shared" si="40"/>
        <v>0.6542316157409972</v>
      </c>
      <c r="H42" s="90">
        <f t="shared" si="40"/>
        <v>0.63251044557511482</v>
      </c>
      <c r="I42" s="90">
        <f t="shared" si="40"/>
        <v>0.58134938660656765</v>
      </c>
      <c r="J42" s="90">
        <f t="shared" si="40"/>
        <v>0.53509450346749876</v>
      </c>
      <c r="K42" s="90">
        <f t="shared" si="40"/>
        <v>0.47716843635304068</v>
      </c>
      <c r="L42" s="90">
        <f t="shared" si="40"/>
        <v>0.55567367015392843</v>
      </c>
      <c r="M42" s="90">
        <f t="shared" si="40"/>
        <v>0.60194093202412446</v>
      </c>
      <c r="N42" s="213">
        <f t="shared" si="40"/>
        <v>0.72357033661940673</v>
      </c>
      <c r="O42" s="213">
        <f t="shared" si="40"/>
        <v>0.56741047798786082</v>
      </c>
      <c r="P42" s="213">
        <f t="shared" si="40"/>
        <v>0.44255746337352314</v>
      </c>
      <c r="Q42" s="213">
        <f t="shared" si="40"/>
        <v>0.42666894266183952</v>
      </c>
      <c r="R42" s="213">
        <f t="shared" si="40"/>
        <v>0.44082590492821694</v>
      </c>
      <c r="S42" s="213">
        <f t="shared" si="40"/>
        <v>0.43061965970174426</v>
      </c>
      <c r="T42" s="213">
        <f t="shared" si="40"/>
        <v>0.4320628516425945</v>
      </c>
      <c r="U42" s="213">
        <f t="shared" si="40"/>
        <v>0.45662056386291416</v>
      </c>
    </row>
    <row r="43" spans="1:89" x14ac:dyDescent="0.25">
      <c r="A43" s="183" t="s">
        <v>335</v>
      </c>
      <c r="B43" s="64"/>
      <c r="C43" s="64"/>
      <c r="D43" s="64"/>
      <c r="E43" s="90">
        <f>E6/E9</f>
        <v>0.46745599961005319</v>
      </c>
      <c r="F43" s="90">
        <f t="shared" ref="F43:U43" si="41">F6/F9</f>
        <v>0.44033401351406753</v>
      </c>
      <c r="G43" s="90">
        <f t="shared" si="41"/>
        <v>0.4711108861416507</v>
      </c>
      <c r="H43" s="90">
        <f t="shared" si="41"/>
        <v>0.44408436966523324</v>
      </c>
      <c r="I43" s="90">
        <f t="shared" si="41"/>
        <v>0.43937007566519265</v>
      </c>
      <c r="J43" s="90">
        <f t="shared" si="41"/>
        <v>0.44389271050857382</v>
      </c>
      <c r="K43" s="90">
        <f t="shared" si="41"/>
        <v>0.36921300285976538</v>
      </c>
      <c r="L43" s="90">
        <f t="shared" si="41"/>
        <v>0.43726775108613042</v>
      </c>
      <c r="M43" s="90">
        <f t="shared" si="41"/>
        <v>0.4239942638120659</v>
      </c>
      <c r="N43" s="213">
        <f t="shared" si="41"/>
        <v>0.49721685221288869</v>
      </c>
      <c r="O43" s="213">
        <f t="shared" si="41"/>
        <v>0.46804938610270175</v>
      </c>
      <c r="P43" s="213">
        <f t="shared" si="41"/>
        <v>0.52649092566729849</v>
      </c>
      <c r="Q43" s="213">
        <f t="shared" si="41"/>
        <v>0.43448564322211303</v>
      </c>
      <c r="R43" s="213">
        <f t="shared" si="41"/>
        <v>0.40198869524505965</v>
      </c>
      <c r="S43" s="213">
        <f t="shared" si="41"/>
        <v>0.37644124814609109</v>
      </c>
      <c r="T43" s="213">
        <f t="shared" si="41"/>
        <v>0.41215581689618558</v>
      </c>
      <c r="U43" s="213">
        <f t="shared" si="41"/>
        <v>0.32756455436425275</v>
      </c>
    </row>
    <row r="44" spans="1:89" x14ac:dyDescent="0.25">
      <c r="A44" s="183" t="s">
        <v>336</v>
      </c>
      <c r="B44" s="64"/>
      <c r="C44" s="64"/>
      <c r="D44" s="64"/>
      <c r="E44" s="90">
        <f>E7/E9</f>
        <v>0.67649112294228853</v>
      </c>
      <c r="F44" s="90">
        <f t="shared" ref="F44:U44" si="42">F7/F9</f>
        <v>0.30772038609510133</v>
      </c>
      <c r="G44" s="90">
        <f t="shared" si="42"/>
        <v>0.30638979763245738</v>
      </c>
      <c r="H44" s="90">
        <f t="shared" si="42"/>
        <v>0.302405172439973</v>
      </c>
      <c r="I44" s="90">
        <f t="shared" si="42"/>
        <v>0.29637699047838961</v>
      </c>
      <c r="J44" s="90">
        <f t="shared" si="42"/>
        <v>0.26604368427330688</v>
      </c>
      <c r="K44" s="90">
        <f t="shared" si="42"/>
        <v>0.19775248075193327</v>
      </c>
      <c r="L44" s="90">
        <f t="shared" si="42"/>
        <v>0.1790552388295612</v>
      </c>
      <c r="M44" s="90">
        <f t="shared" si="42"/>
        <v>0.17373081297660151</v>
      </c>
      <c r="N44" s="213">
        <f t="shared" si="42"/>
        <v>0.17286176542151327</v>
      </c>
      <c r="O44" s="213">
        <f t="shared" si="42"/>
        <v>0.17040915908516202</v>
      </c>
      <c r="P44" s="213">
        <f t="shared" si="42"/>
        <v>0.13412532733515276</v>
      </c>
      <c r="Q44" s="213">
        <f t="shared" si="42"/>
        <v>0.11717477110901342</v>
      </c>
      <c r="R44" s="213">
        <f t="shared" si="42"/>
        <v>0.13375404774720301</v>
      </c>
      <c r="S44" s="213">
        <f t="shared" si="42"/>
        <v>0.14054064386673903</v>
      </c>
      <c r="T44" s="213">
        <f t="shared" si="42"/>
        <v>0.14905097999460376</v>
      </c>
      <c r="U44" s="213">
        <f t="shared" si="42"/>
        <v>0.15962865701470047</v>
      </c>
    </row>
    <row r="45" spans="1:89" s="224" customFormat="1" x14ac:dyDescent="0.25">
      <c r="A45" s="221" t="s">
        <v>337</v>
      </c>
      <c r="B45" s="222"/>
      <c r="C45" s="222"/>
      <c r="D45" s="222"/>
      <c r="E45" s="223">
        <f>E8/E9</f>
        <v>0.6780042843386318</v>
      </c>
      <c r="F45" s="223">
        <f t="shared" ref="F45:U45" si="43">F8/F9</f>
        <v>0.5821161008006186</v>
      </c>
      <c r="G45" s="223">
        <f t="shared" si="43"/>
        <v>0.48951052723180383</v>
      </c>
      <c r="H45" s="223">
        <f t="shared" si="43"/>
        <v>0.49083124834985453</v>
      </c>
      <c r="I45" s="223">
        <f t="shared" si="43"/>
        <v>0.43835630141976467</v>
      </c>
      <c r="J45" s="223">
        <f t="shared" si="43"/>
        <v>0.35724547723223182</v>
      </c>
      <c r="K45" s="223">
        <f t="shared" si="43"/>
        <v>0.3057079142452086</v>
      </c>
      <c r="L45" s="223">
        <f t="shared" si="43"/>
        <v>0.29746115789735922</v>
      </c>
      <c r="M45" s="223">
        <f t="shared" si="43"/>
        <v>0.35167748118866005</v>
      </c>
      <c r="N45" s="223">
        <f t="shared" si="43"/>
        <v>0.39921524982803136</v>
      </c>
      <c r="O45" s="223">
        <f t="shared" si="43"/>
        <v>0.26977025097032115</v>
      </c>
      <c r="P45" s="223">
        <f t="shared" si="43"/>
        <v>5.0191865041377362E-2</v>
      </c>
      <c r="Q45" s="223">
        <f t="shared" si="43"/>
        <v>0.1093580705487399</v>
      </c>
      <c r="R45" s="223">
        <f t="shared" si="43"/>
        <v>0.17259125743036027</v>
      </c>
      <c r="S45" s="223">
        <f t="shared" si="43"/>
        <v>0.19471905542239221</v>
      </c>
      <c r="T45" s="223">
        <f t="shared" si="43"/>
        <v>0.16895801474101271</v>
      </c>
      <c r="U45" s="223">
        <f t="shared" si="43"/>
        <v>0.28868466651336183</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3.4718823274128524E-3</v>
      </c>
      <c r="F47" s="90">
        <f t="shared" ref="F47:U47" si="45">F10/F14</f>
        <v>5.340017907208525E-4</v>
      </c>
      <c r="G47" s="90">
        <f t="shared" si="45"/>
        <v>6.6954741017539044E-4</v>
      </c>
      <c r="H47" s="90">
        <f t="shared" si="45"/>
        <v>0</v>
      </c>
      <c r="I47" s="90">
        <f t="shared" si="45"/>
        <v>0</v>
      </c>
      <c r="J47" s="90">
        <f t="shared" si="45"/>
        <v>0</v>
      </c>
      <c r="K47" s="90">
        <f t="shared" si="45"/>
        <v>0</v>
      </c>
      <c r="L47" s="90">
        <f t="shared" si="45"/>
        <v>0</v>
      </c>
      <c r="M47" s="90">
        <f t="shared" si="45"/>
        <v>0</v>
      </c>
      <c r="N47" s="213">
        <f t="shared" si="45"/>
        <v>0</v>
      </c>
      <c r="O47" s="213">
        <f t="shared" si="45"/>
        <v>0</v>
      </c>
      <c r="P47" s="213">
        <f t="shared" si="45"/>
        <v>0</v>
      </c>
      <c r="Q47" s="213">
        <f t="shared" si="45"/>
        <v>0</v>
      </c>
      <c r="R47" s="213">
        <f t="shared" si="45"/>
        <v>0</v>
      </c>
      <c r="S47" s="213">
        <f t="shared" si="45"/>
        <v>0</v>
      </c>
      <c r="T47" s="213">
        <f t="shared" si="45"/>
        <v>0</v>
      </c>
      <c r="U47" s="213">
        <f t="shared" si="45"/>
        <v>0</v>
      </c>
    </row>
    <row r="48" spans="1:89" x14ac:dyDescent="0.25">
      <c r="A48" s="183" t="s">
        <v>340</v>
      </c>
      <c r="B48" s="64"/>
      <c r="C48" s="64"/>
      <c r="D48" s="64"/>
      <c r="E48" s="90">
        <f>E11/E14</f>
        <v>0.16645765065201051</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0</v>
      </c>
      <c r="O48" s="213">
        <f t="shared" si="46"/>
        <v>0</v>
      </c>
      <c r="P48" s="213">
        <f t="shared" si="46"/>
        <v>0</v>
      </c>
      <c r="Q48" s="213">
        <f t="shared" si="46"/>
        <v>0</v>
      </c>
      <c r="R48" s="213">
        <f t="shared" si="46"/>
        <v>7.0093923007280862E-3</v>
      </c>
      <c r="S48" s="213">
        <f t="shared" si="46"/>
        <v>6.2688763913840515E-3</v>
      </c>
      <c r="T48" s="213">
        <f t="shared" si="46"/>
        <v>4.321850047817672E-3</v>
      </c>
      <c r="U48" s="213">
        <f t="shared" si="46"/>
        <v>4.4629495129396854E-3</v>
      </c>
    </row>
    <row r="49" spans="1:21" x14ac:dyDescent="0.25">
      <c r="A49" s="183" t="s">
        <v>341</v>
      </c>
      <c r="B49" s="64"/>
      <c r="C49" s="64"/>
      <c r="D49" s="64"/>
      <c r="E49" s="90">
        <f>E12/E14</f>
        <v>0.16992953297942337</v>
      </c>
      <c r="F49" s="90">
        <f t="shared" ref="F49:U49" si="47">F12/F14</f>
        <v>5.340017907208525E-4</v>
      </c>
      <c r="G49" s="90">
        <f t="shared" si="47"/>
        <v>6.6954741017539044E-4</v>
      </c>
      <c r="H49" s="90">
        <f t="shared" si="47"/>
        <v>0</v>
      </c>
      <c r="I49" s="90">
        <f t="shared" si="47"/>
        <v>0</v>
      </c>
      <c r="J49" s="90">
        <f t="shared" si="47"/>
        <v>0</v>
      </c>
      <c r="K49" s="90">
        <f t="shared" si="47"/>
        <v>0</v>
      </c>
      <c r="L49" s="90">
        <f t="shared" si="47"/>
        <v>0</v>
      </c>
      <c r="M49" s="90">
        <f t="shared" si="47"/>
        <v>0</v>
      </c>
      <c r="N49" s="213">
        <f t="shared" si="47"/>
        <v>0</v>
      </c>
      <c r="O49" s="213">
        <f t="shared" si="47"/>
        <v>0</v>
      </c>
      <c r="P49" s="213">
        <f t="shared" si="47"/>
        <v>0</v>
      </c>
      <c r="Q49" s="213">
        <f t="shared" si="47"/>
        <v>0</v>
      </c>
      <c r="R49" s="213">
        <f t="shared" si="47"/>
        <v>7.0093923007280862E-3</v>
      </c>
      <c r="S49" s="213">
        <f t="shared" si="47"/>
        <v>6.2688763913840515E-3</v>
      </c>
      <c r="T49" s="213">
        <f t="shared" si="47"/>
        <v>4.321850047817672E-3</v>
      </c>
      <c r="U49" s="213">
        <f t="shared" si="47"/>
        <v>4.4629495129396854E-3</v>
      </c>
    </row>
    <row r="50" spans="1:21" x14ac:dyDescent="0.25">
      <c r="A50" s="183" t="s">
        <v>345</v>
      </c>
      <c r="B50" s="64"/>
      <c r="C50" s="64"/>
      <c r="D50" s="64"/>
      <c r="E50" s="90">
        <f>E13/E14</f>
        <v>0.83007046702057663</v>
      </c>
      <c r="F50" s="90">
        <f t="shared" ref="F50:U50" si="48">F13/F14</f>
        <v>0.99946599820927917</v>
      </c>
      <c r="G50" s="90">
        <f t="shared" si="48"/>
        <v>0.99933045258982456</v>
      </c>
      <c r="H50" s="90">
        <f t="shared" si="48"/>
        <v>1</v>
      </c>
      <c r="I50" s="90">
        <f t="shared" si="48"/>
        <v>1</v>
      </c>
      <c r="J50" s="90">
        <f t="shared" si="48"/>
        <v>1</v>
      </c>
      <c r="K50" s="90">
        <f t="shared" si="48"/>
        <v>1</v>
      </c>
      <c r="L50" s="90">
        <f t="shared" si="48"/>
        <v>1</v>
      </c>
      <c r="M50" s="90">
        <f t="shared" si="48"/>
        <v>1</v>
      </c>
      <c r="N50" s="213">
        <f t="shared" si="48"/>
        <v>1</v>
      </c>
      <c r="O50" s="213">
        <f t="shared" si="48"/>
        <v>1</v>
      </c>
      <c r="P50" s="213">
        <f t="shared" si="48"/>
        <v>1</v>
      </c>
      <c r="Q50" s="213">
        <f t="shared" si="48"/>
        <v>1</v>
      </c>
      <c r="R50" s="213">
        <f t="shared" si="48"/>
        <v>0.99299060769927194</v>
      </c>
      <c r="S50" s="213">
        <f t="shared" si="48"/>
        <v>0.99373112360861593</v>
      </c>
      <c r="T50" s="213">
        <f t="shared" si="48"/>
        <v>0.99567814995218229</v>
      </c>
      <c r="U50" s="213">
        <f t="shared" si="48"/>
        <v>0.99553705048706032</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640</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644</v>
      </c>
      <c r="B55" s="64"/>
      <c r="C55" s="64"/>
      <c r="D55" s="64"/>
      <c r="E55" s="213">
        <f>E2/E9</f>
        <v>0.29004546076015025</v>
      </c>
      <c r="F55" s="213">
        <f t="shared" ref="F55:U55" si="51">F2/F9</f>
        <v>0.38298499519815099</v>
      </c>
      <c r="G55" s="213">
        <f t="shared" si="51"/>
        <v>0.47300583542587504</v>
      </c>
      <c r="H55" s="213">
        <f t="shared" si="51"/>
        <v>0.47087181393471372</v>
      </c>
      <c r="I55" s="213">
        <f t="shared" si="51"/>
        <v>0.52296447727815398</v>
      </c>
      <c r="J55" s="213">
        <f t="shared" si="51"/>
        <v>0.60400570843360479</v>
      </c>
      <c r="K55" s="213">
        <f t="shared" si="51"/>
        <v>0.66611853438998914</v>
      </c>
      <c r="L55" s="213">
        <f t="shared" si="51"/>
        <v>0.67344171435203637</v>
      </c>
      <c r="M55" s="213">
        <f t="shared" si="51"/>
        <v>0.6276935013730609</v>
      </c>
      <c r="N55" s="213">
        <f t="shared" si="51"/>
        <v>0.57420663241192171</v>
      </c>
      <c r="O55" s="213">
        <f t="shared" si="51"/>
        <v>0.54388644837243416</v>
      </c>
      <c r="P55" s="213">
        <f t="shared" si="51"/>
        <v>0.76414075750308097</v>
      </c>
      <c r="Q55" s="213">
        <f t="shared" si="51"/>
        <v>0.70638968937306446</v>
      </c>
      <c r="R55" s="213">
        <f t="shared" si="51"/>
        <v>0.65573900344485392</v>
      </c>
      <c r="S55" s="213">
        <f t="shared" si="51"/>
        <v>0.61419740954999913</v>
      </c>
      <c r="T55" s="213">
        <f t="shared" si="51"/>
        <v>0.64263158629041506</v>
      </c>
      <c r="U55" s="213">
        <f t="shared" si="51"/>
        <v>0.5247322537714485</v>
      </c>
    </row>
    <row r="56" spans="1:21" x14ac:dyDescent="0.25">
      <c r="A56" s="183" t="s">
        <v>645</v>
      </c>
      <c r="B56" s="64"/>
      <c r="C56" s="64"/>
      <c r="D56" s="64"/>
      <c r="E56" s="213">
        <f>E4/E9</f>
        <v>1.5131613963434028E-3</v>
      </c>
      <c r="F56" s="213">
        <f t="shared" ref="F56:U56" si="52">F4/F9</f>
        <v>0.27439571470551738</v>
      </c>
      <c r="G56" s="213">
        <f t="shared" si="52"/>
        <v>0.18312072959934644</v>
      </c>
      <c r="H56" s="213">
        <f t="shared" si="52"/>
        <v>0.18842607590988156</v>
      </c>
      <c r="I56" s="213">
        <f t="shared" si="52"/>
        <v>0.14197931094137503</v>
      </c>
      <c r="J56" s="213">
        <f t="shared" si="52"/>
        <v>9.1201792958924929E-2</v>
      </c>
      <c r="K56" s="213">
        <f t="shared" si="52"/>
        <v>0.1079554334932753</v>
      </c>
      <c r="L56" s="213">
        <f t="shared" si="52"/>
        <v>0.118405919067798</v>
      </c>
      <c r="M56" s="213">
        <f t="shared" si="52"/>
        <v>0.17794666821205854</v>
      </c>
      <c r="N56" s="213">
        <f t="shared" si="52"/>
        <v>0.22635348440651804</v>
      </c>
      <c r="O56" s="213">
        <f t="shared" si="52"/>
        <v>9.9361091885159111E-2</v>
      </c>
      <c r="P56" s="213">
        <f t="shared" si="52"/>
        <v>-8.3933462293775393E-2</v>
      </c>
      <c r="Q56" s="213">
        <f t="shared" si="52"/>
        <v>-7.8167005602735144E-3</v>
      </c>
      <c r="R56" s="213">
        <f t="shared" si="52"/>
        <v>3.8837209683157285E-2</v>
      </c>
      <c r="S56" s="213">
        <f t="shared" si="52"/>
        <v>5.4178411555653165E-2</v>
      </c>
      <c r="T56" s="213">
        <f t="shared" si="52"/>
        <v>1.9907034746408946E-2</v>
      </c>
      <c r="U56" s="213">
        <f t="shared" si="52"/>
        <v>0.12905600949866139</v>
      </c>
    </row>
    <row r="57" spans="1:21" x14ac:dyDescent="0.25">
      <c r="A57" s="183" t="s">
        <v>646</v>
      </c>
      <c r="B57" s="64"/>
      <c r="C57" s="64"/>
      <c r="D57" s="64"/>
      <c r="E57" s="213">
        <f>E5/E9</f>
        <v>0.46896916100639657</v>
      </c>
      <c r="F57" s="213">
        <f t="shared" ref="F57:U57" si="53">F5/F9</f>
        <v>0.71472972821958491</v>
      </c>
      <c r="G57" s="213">
        <f t="shared" si="53"/>
        <v>0.6542316157409972</v>
      </c>
      <c r="H57" s="213">
        <f t="shared" si="53"/>
        <v>0.63251044557511482</v>
      </c>
      <c r="I57" s="213">
        <f t="shared" si="53"/>
        <v>0.58134938660656765</v>
      </c>
      <c r="J57" s="213">
        <f t="shared" si="53"/>
        <v>0.53509450346749876</v>
      </c>
      <c r="K57" s="213">
        <f t="shared" si="53"/>
        <v>0.47716843635304068</v>
      </c>
      <c r="L57" s="213">
        <f t="shared" si="53"/>
        <v>0.55567367015392843</v>
      </c>
      <c r="M57" s="213">
        <f t="shared" si="53"/>
        <v>0.60194093202412446</v>
      </c>
      <c r="N57" s="213">
        <f t="shared" si="53"/>
        <v>0.72357033661940673</v>
      </c>
      <c r="O57" s="213">
        <f t="shared" si="53"/>
        <v>0.56741047798786082</v>
      </c>
      <c r="P57" s="213">
        <f t="shared" si="53"/>
        <v>0.44255746337352314</v>
      </c>
      <c r="Q57" s="213">
        <f t="shared" si="53"/>
        <v>0.42666894266183952</v>
      </c>
      <c r="R57" s="213">
        <f t="shared" si="53"/>
        <v>0.44082590492821694</v>
      </c>
      <c r="S57" s="213">
        <f t="shared" si="53"/>
        <v>0.43061965970174426</v>
      </c>
      <c r="T57" s="213">
        <f t="shared" si="53"/>
        <v>0.4320628516425945</v>
      </c>
      <c r="U57" s="213">
        <f t="shared" si="53"/>
        <v>0.45662056386291416</v>
      </c>
    </row>
    <row r="58" spans="1:21" x14ac:dyDescent="0.25">
      <c r="A58" s="183" t="s">
        <v>647</v>
      </c>
      <c r="B58" s="64"/>
      <c r="C58" s="64"/>
      <c r="D58" s="64"/>
      <c r="E58" s="213">
        <f>E6/E9</f>
        <v>0.46745599961005319</v>
      </c>
      <c r="F58" s="213">
        <f t="shared" ref="F58:U58" si="54">F6/F9</f>
        <v>0.44033401351406753</v>
      </c>
      <c r="G58" s="213">
        <f t="shared" si="54"/>
        <v>0.4711108861416507</v>
      </c>
      <c r="H58" s="213">
        <f t="shared" si="54"/>
        <v>0.44408436966523324</v>
      </c>
      <c r="I58" s="213">
        <f t="shared" si="54"/>
        <v>0.43937007566519265</v>
      </c>
      <c r="J58" s="213">
        <f t="shared" si="54"/>
        <v>0.44389271050857382</v>
      </c>
      <c r="K58" s="213">
        <f t="shared" si="54"/>
        <v>0.36921300285976538</v>
      </c>
      <c r="L58" s="213">
        <f t="shared" si="54"/>
        <v>0.43726775108613042</v>
      </c>
      <c r="M58" s="213">
        <f t="shared" si="54"/>
        <v>0.4239942638120659</v>
      </c>
      <c r="N58" s="213">
        <f t="shared" si="54"/>
        <v>0.49721685221288869</v>
      </c>
      <c r="O58" s="213">
        <f t="shared" si="54"/>
        <v>0.46804938610270175</v>
      </c>
      <c r="P58" s="213">
        <f t="shared" si="54"/>
        <v>0.52649092566729849</v>
      </c>
      <c r="Q58" s="213">
        <f t="shared" si="54"/>
        <v>0.43448564322211303</v>
      </c>
      <c r="R58" s="213">
        <f t="shared" si="54"/>
        <v>0.40198869524505965</v>
      </c>
      <c r="S58" s="213">
        <f t="shared" si="54"/>
        <v>0.37644124814609109</v>
      </c>
      <c r="T58" s="213">
        <f t="shared" si="54"/>
        <v>0.41215581689618558</v>
      </c>
      <c r="U58" s="213">
        <f t="shared" si="54"/>
        <v>0.32756455436425275</v>
      </c>
    </row>
    <row r="59" spans="1:21" s="224" customFormat="1" x14ac:dyDescent="0.25">
      <c r="A59" s="226" t="s">
        <v>641</v>
      </c>
      <c r="B59" s="222"/>
      <c r="C59" s="222"/>
      <c r="D59" s="222"/>
      <c r="E59" s="223">
        <f>E55+E56</f>
        <v>0.29155862215649364</v>
      </c>
      <c r="F59" s="223">
        <f t="shared" ref="F59:U59" si="55">F55+F56</f>
        <v>0.65738070990366837</v>
      </c>
      <c r="G59" s="223">
        <f t="shared" si="55"/>
        <v>0.65612656502522149</v>
      </c>
      <c r="H59" s="223">
        <f t="shared" si="55"/>
        <v>0.65929788984459525</v>
      </c>
      <c r="I59" s="223">
        <f t="shared" si="55"/>
        <v>0.66494378821952904</v>
      </c>
      <c r="J59" s="223">
        <f t="shared" si="55"/>
        <v>0.69520750139252974</v>
      </c>
      <c r="K59" s="223">
        <f t="shared" si="55"/>
        <v>0.77407396788326444</v>
      </c>
      <c r="L59" s="223">
        <f t="shared" si="55"/>
        <v>0.79184763341983433</v>
      </c>
      <c r="M59" s="223">
        <f t="shared" si="55"/>
        <v>0.80564016958511941</v>
      </c>
      <c r="N59" s="223">
        <f t="shared" si="55"/>
        <v>0.80056011681843975</v>
      </c>
      <c r="O59" s="223">
        <f t="shared" si="55"/>
        <v>0.64324754025759323</v>
      </c>
      <c r="P59" s="223">
        <f t="shared" si="55"/>
        <v>0.68020729520930556</v>
      </c>
      <c r="Q59" s="223">
        <f t="shared" si="55"/>
        <v>0.69857298881279095</v>
      </c>
      <c r="R59" s="223">
        <f t="shared" si="55"/>
        <v>0.69457621312801121</v>
      </c>
      <c r="S59" s="223">
        <f t="shared" si="55"/>
        <v>0.6683758211056523</v>
      </c>
      <c r="T59" s="223">
        <f t="shared" si="55"/>
        <v>0.66253862103682404</v>
      </c>
      <c r="U59" s="223">
        <f t="shared" si="55"/>
        <v>0.65378826327010986</v>
      </c>
    </row>
    <row r="60" spans="1:21" x14ac:dyDescent="0.25">
      <c r="A60" s="183" t="s">
        <v>648</v>
      </c>
      <c r="B60" s="64"/>
      <c r="C60" s="64"/>
      <c r="D60" s="64"/>
      <c r="E60" s="213">
        <f>E3/E9</f>
        <v>3.1950254901217869E-2</v>
      </c>
      <c r="F60" s="213">
        <f t="shared" ref="F60:U60" si="56">F3/F9</f>
        <v>3.4898904001230371E-2</v>
      </c>
      <c r="G60" s="213">
        <f t="shared" si="56"/>
        <v>3.7483637342321068E-2</v>
      </c>
      <c r="H60" s="213">
        <f t="shared" si="56"/>
        <v>3.829693771543187E-2</v>
      </c>
      <c r="I60" s="213">
        <f t="shared" si="56"/>
        <v>3.8679221302081332E-2</v>
      </c>
      <c r="J60" s="213">
        <f t="shared" si="56"/>
        <v>3.8748814334163453E-2</v>
      </c>
      <c r="K60" s="213">
        <f t="shared" si="56"/>
        <v>2.8173551364802294E-2</v>
      </c>
      <c r="L60" s="213">
        <f t="shared" si="56"/>
        <v>2.9097127750604513E-2</v>
      </c>
      <c r="M60" s="213">
        <f t="shared" si="56"/>
        <v>2.0629017438279183E-2</v>
      </c>
      <c r="N60" s="213">
        <f t="shared" si="56"/>
        <v>2.6578117760047058E-2</v>
      </c>
      <c r="O60" s="213">
        <f t="shared" si="56"/>
        <v>0.18634330065724478</v>
      </c>
      <c r="P60" s="213">
        <f t="shared" si="56"/>
        <v>0.18566737745554165</v>
      </c>
      <c r="Q60" s="213">
        <f t="shared" si="56"/>
        <v>0.18425224007819571</v>
      </c>
      <c r="R60" s="213">
        <f t="shared" si="56"/>
        <v>0.1716697391247857</v>
      </c>
      <c r="S60" s="213">
        <f t="shared" si="56"/>
        <v>0.19108353502760861</v>
      </c>
      <c r="T60" s="213">
        <f t="shared" si="56"/>
        <v>0.18841039896857226</v>
      </c>
      <c r="U60" s="213">
        <f t="shared" si="56"/>
        <v>0.1865830797151897</v>
      </c>
    </row>
    <row r="61" spans="1:21" x14ac:dyDescent="0.25">
      <c r="A61" s="183" t="s">
        <v>649</v>
      </c>
      <c r="B61" s="64"/>
      <c r="C61" s="64"/>
      <c r="D61" s="64"/>
      <c r="E61" s="213">
        <f>E7/E9</f>
        <v>0.67649112294228853</v>
      </c>
      <c r="F61" s="213">
        <f t="shared" ref="F61:U61" si="57">F7/F9</f>
        <v>0.30772038609510133</v>
      </c>
      <c r="G61" s="213">
        <f t="shared" si="57"/>
        <v>0.30638979763245738</v>
      </c>
      <c r="H61" s="213">
        <f t="shared" si="57"/>
        <v>0.302405172439973</v>
      </c>
      <c r="I61" s="213">
        <f t="shared" si="57"/>
        <v>0.29637699047838961</v>
      </c>
      <c r="J61" s="213">
        <f t="shared" si="57"/>
        <v>0.26604368427330688</v>
      </c>
      <c r="K61" s="213">
        <f t="shared" si="57"/>
        <v>0.19775248075193327</v>
      </c>
      <c r="L61" s="213">
        <f t="shared" si="57"/>
        <v>0.1790552388295612</v>
      </c>
      <c r="M61" s="213">
        <f t="shared" si="57"/>
        <v>0.17373081297660151</v>
      </c>
      <c r="N61" s="213">
        <f t="shared" si="57"/>
        <v>0.17286176542151327</v>
      </c>
      <c r="O61" s="213">
        <f t="shared" si="57"/>
        <v>0.17040915908516202</v>
      </c>
      <c r="P61" s="213">
        <f t="shared" si="57"/>
        <v>0.13412532733515276</v>
      </c>
      <c r="Q61" s="213">
        <f t="shared" si="57"/>
        <v>0.11717477110901342</v>
      </c>
      <c r="R61" s="213">
        <f t="shared" si="57"/>
        <v>0.13375404774720301</v>
      </c>
      <c r="S61" s="213">
        <f t="shared" si="57"/>
        <v>0.14054064386673903</v>
      </c>
      <c r="T61" s="213">
        <f t="shared" si="57"/>
        <v>0.14905097999460376</v>
      </c>
      <c r="U61" s="213">
        <f t="shared" si="57"/>
        <v>0.15962865701470047</v>
      </c>
    </row>
    <row r="62" spans="1:21" s="224" customFormat="1" x14ac:dyDescent="0.25">
      <c r="A62" s="226" t="s">
        <v>642</v>
      </c>
      <c r="B62" s="222"/>
      <c r="C62" s="222"/>
      <c r="D62" s="222"/>
      <c r="E62" s="223">
        <f>E60+E61</f>
        <v>0.70844137784350636</v>
      </c>
      <c r="F62" s="223">
        <f t="shared" ref="F62:M62" si="58">F60+F61</f>
        <v>0.34261929009633169</v>
      </c>
      <c r="G62" s="223">
        <f t="shared" si="58"/>
        <v>0.34387343497477846</v>
      </c>
      <c r="H62" s="223">
        <f t="shared" si="58"/>
        <v>0.34070211015540486</v>
      </c>
      <c r="I62" s="223">
        <f t="shared" si="58"/>
        <v>0.33505621178047096</v>
      </c>
      <c r="J62" s="223">
        <f t="shared" si="58"/>
        <v>0.30479249860747032</v>
      </c>
      <c r="K62" s="223">
        <f t="shared" si="58"/>
        <v>0.22592603211673556</v>
      </c>
      <c r="L62" s="223">
        <f t="shared" si="58"/>
        <v>0.20815236658016573</v>
      </c>
      <c r="M62" s="223">
        <f t="shared" si="58"/>
        <v>0.1943598304148807</v>
      </c>
      <c r="N62" s="223">
        <f t="shared" ref="N62" si="59">N60+N61</f>
        <v>0.19943988318156033</v>
      </c>
      <c r="O62" s="223">
        <f t="shared" ref="O62" si="60">O60+O61</f>
        <v>0.35675245974240677</v>
      </c>
      <c r="P62" s="223">
        <f t="shared" ref="P62" si="61">P60+P61</f>
        <v>0.31979270479069444</v>
      </c>
      <c r="Q62" s="223">
        <f t="shared" ref="Q62" si="62">Q60+Q61</f>
        <v>0.30142701118720916</v>
      </c>
      <c r="R62" s="223">
        <f t="shared" ref="R62" si="63">R60+R61</f>
        <v>0.30542378687198868</v>
      </c>
      <c r="S62" s="223">
        <f t="shared" ref="S62" si="64">S60+S61</f>
        <v>0.33162417889434764</v>
      </c>
      <c r="T62" s="223">
        <f t="shared" ref="T62" si="65">T60+T61</f>
        <v>0.33746137896317602</v>
      </c>
      <c r="U62" s="223">
        <f t="shared" ref="U62" si="66">U60+U61</f>
        <v>0.34621173672989014</v>
      </c>
    </row>
    <row r="63" spans="1:21" x14ac:dyDescent="0.25">
      <c r="A63" s="225" t="s">
        <v>643</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0" t="s">
        <v>699</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1" t="s">
        <v>650</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651</v>
      </c>
      <c r="E67" s="192">
        <f>E10</f>
        <v>22498649.439999998</v>
      </c>
      <c r="F67" s="192">
        <f t="shared" ref="F67:U67" si="68">F10</f>
        <v>2981935.32</v>
      </c>
      <c r="G67" s="192">
        <f t="shared" si="68"/>
        <v>3673740.88</v>
      </c>
      <c r="H67" s="192">
        <f t="shared" si="68"/>
        <v>0</v>
      </c>
      <c r="I67" s="192">
        <f t="shared" si="68"/>
        <v>0</v>
      </c>
      <c r="J67" s="192">
        <f t="shared" si="68"/>
        <v>0</v>
      </c>
      <c r="K67" s="192">
        <f t="shared" si="68"/>
        <v>0</v>
      </c>
      <c r="L67" s="192">
        <f t="shared" si="68"/>
        <v>0</v>
      </c>
      <c r="M67" s="192">
        <f t="shared" si="68"/>
        <v>0</v>
      </c>
      <c r="N67" s="192">
        <f t="shared" si="68"/>
        <v>0</v>
      </c>
      <c r="O67" s="192">
        <f t="shared" si="68"/>
        <v>0</v>
      </c>
      <c r="P67" s="192">
        <f t="shared" si="68"/>
        <v>0</v>
      </c>
      <c r="Q67" s="192">
        <f t="shared" si="68"/>
        <v>0</v>
      </c>
      <c r="R67" s="192">
        <f t="shared" si="68"/>
        <v>0</v>
      </c>
      <c r="S67" s="192">
        <f t="shared" si="68"/>
        <v>0</v>
      </c>
      <c r="T67" s="192">
        <f t="shared" si="68"/>
        <v>0</v>
      </c>
      <c r="U67" s="192">
        <f t="shared" si="68"/>
        <v>0</v>
      </c>
    </row>
    <row r="68" spans="1:21" x14ac:dyDescent="0.25">
      <c r="A68" s="17" t="s">
        <v>652</v>
      </c>
      <c r="E68" s="192">
        <f>E11</f>
        <v>1078686422.9400001</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0</v>
      </c>
      <c r="O68" s="192">
        <f t="shared" si="69"/>
        <v>0</v>
      </c>
      <c r="P68" s="192">
        <f t="shared" si="69"/>
        <v>0</v>
      </c>
      <c r="Q68" s="192">
        <f t="shared" si="69"/>
        <v>0</v>
      </c>
      <c r="R68" s="192">
        <f t="shared" si="69"/>
        <v>26756778.68</v>
      </c>
      <c r="S68" s="192">
        <f t="shared" si="69"/>
        <v>23039767.309999999</v>
      </c>
      <c r="T68" s="192">
        <f t="shared" si="69"/>
        <v>15490755.939999999</v>
      </c>
      <c r="U68" s="192">
        <f t="shared" si="69"/>
        <v>15161744.57</v>
      </c>
    </row>
    <row r="69" spans="1:21" x14ac:dyDescent="0.25">
      <c r="A69" s="17" t="s">
        <v>653</v>
      </c>
      <c r="E69" s="192">
        <f>E12</f>
        <v>1101185072.3800001</v>
      </c>
      <c r="F69" s="192">
        <f t="shared" ref="F69:U69" si="70">F12</f>
        <v>2981935.32</v>
      </c>
      <c r="G69" s="192">
        <f t="shared" si="70"/>
        <v>3673740.88</v>
      </c>
      <c r="H69" s="192">
        <f t="shared" si="70"/>
        <v>0</v>
      </c>
      <c r="I69" s="192">
        <f t="shared" si="70"/>
        <v>0</v>
      </c>
      <c r="J69" s="192">
        <f t="shared" si="70"/>
        <v>0</v>
      </c>
      <c r="K69" s="192">
        <f t="shared" si="70"/>
        <v>0</v>
      </c>
      <c r="L69" s="192">
        <f t="shared" si="70"/>
        <v>0</v>
      </c>
      <c r="M69" s="192">
        <f t="shared" si="70"/>
        <v>0</v>
      </c>
      <c r="N69" s="192">
        <f t="shared" si="70"/>
        <v>0</v>
      </c>
      <c r="O69" s="192">
        <f t="shared" si="70"/>
        <v>0</v>
      </c>
      <c r="P69" s="192">
        <f t="shared" si="70"/>
        <v>0</v>
      </c>
      <c r="Q69" s="192">
        <f t="shared" si="70"/>
        <v>0</v>
      </c>
      <c r="R69" s="192">
        <f t="shared" si="70"/>
        <v>26756778.68</v>
      </c>
      <c r="S69" s="192">
        <f t="shared" si="70"/>
        <v>23039767.309999999</v>
      </c>
      <c r="T69" s="192">
        <f t="shared" si="70"/>
        <v>15490755.939999999</v>
      </c>
      <c r="U69" s="192">
        <f t="shared" si="70"/>
        <v>15161744.57</v>
      </c>
    </row>
    <row r="70" spans="1:21" s="233" customFormat="1" x14ac:dyDescent="0.25">
      <c r="A70" s="233" t="s">
        <v>656</v>
      </c>
      <c r="E70" s="233">
        <f>E69/E74</f>
        <v>0.16992953297942337</v>
      </c>
      <c r="F70" s="233">
        <f t="shared" ref="F70:U70" si="71">F69/F74</f>
        <v>5.340017907208525E-4</v>
      </c>
      <c r="G70" s="233">
        <f t="shared" si="71"/>
        <v>6.6954741017539044E-4</v>
      </c>
      <c r="H70" s="233">
        <f t="shared" si="71"/>
        <v>0</v>
      </c>
      <c r="I70" s="233">
        <f t="shared" si="71"/>
        <v>0</v>
      </c>
      <c r="J70" s="233">
        <f t="shared" si="71"/>
        <v>0</v>
      </c>
      <c r="K70" s="233">
        <f t="shared" si="71"/>
        <v>0</v>
      </c>
      <c r="L70" s="233">
        <f t="shared" si="71"/>
        <v>0</v>
      </c>
      <c r="M70" s="233">
        <f t="shared" si="71"/>
        <v>0</v>
      </c>
      <c r="N70" s="233">
        <f t="shared" si="71"/>
        <v>0</v>
      </c>
      <c r="O70" s="233">
        <f t="shared" si="71"/>
        <v>0</v>
      </c>
      <c r="P70" s="233">
        <f t="shared" si="71"/>
        <v>0</v>
      </c>
      <c r="Q70" s="233">
        <f t="shared" si="71"/>
        <v>0</v>
      </c>
      <c r="R70" s="233">
        <f t="shared" si="71"/>
        <v>7.0093923007280862E-3</v>
      </c>
      <c r="S70" s="233">
        <f t="shared" si="71"/>
        <v>6.2688763913840515E-3</v>
      </c>
      <c r="T70" s="233">
        <f t="shared" si="71"/>
        <v>4.321850047817672E-3</v>
      </c>
      <c r="U70" s="233">
        <f t="shared" si="71"/>
        <v>4.4629495129396854E-3</v>
      </c>
    </row>
    <row r="71" spans="1:21" x14ac:dyDescent="0.25">
      <c r="A71" s="17" t="s">
        <v>654</v>
      </c>
      <c r="E71" s="192">
        <f>E13</f>
        <v>5379060315.6499996</v>
      </c>
      <c r="F71" s="192">
        <f t="shared" ref="F71:U71" si="72">F13</f>
        <v>5581147878.1300001</v>
      </c>
      <c r="G71" s="192">
        <f t="shared" si="72"/>
        <v>5483228044.0700006</v>
      </c>
      <c r="H71" s="192">
        <f t="shared" si="72"/>
        <v>5410851971.2399998</v>
      </c>
      <c r="I71" s="192">
        <f t="shared" si="72"/>
        <v>5302630348.1700001</v>
      </c>
      <c r="J71" s="192">
        <f t="shared" si="72"/>
        <v>5496064351.8899994</v>
      </c>
      <c r="K71" s="192">
        <f t="shared" si="72"/>
        <v>6092846785.5299997</v>
      </c>
      <c r="L71" s="192">
        <f t="shared" si="72"/>
        <v>5854406102.8999996</v>
      </c>
      <c r="M71" s="192">
        <f t="shared" si="72"/>
        <v>5729931762.5599995</v>
      </c>
      <c r="N71" s="192">
        <f t="shared" si="72"/>
        <v>4347945256.8199997</v>
      </c>
      <c r="O71" s="192">
        <f t="shared" si="72"/>
        <v>4249908833.4099998</v>
      </c>
      <c r="P71" s="192">
        <f t="shared" si="72"/>
        <v>4012230378.0500002</v>
      </c>
      <c r="Q71" s="192">
        <f t="shared" si="72"/>
        <v>3819507280.5699997</v>
      </c>
      <c r="R71" s="192">
        <f t="shared" si="72"/>
        <v>3790518319.0800004</v>
      </c>
      <c r="S71" s="192">
        <f t="shared" si="72"/>
        <v>3652222890.8700004</v>
      </c>
      <c r="T71" s="192">
        <f t="shared" si="72"/>
        <v>3568797400.4299998</v>
      </c>
      <c r="U71" s="192">
        <f t="shared" si="72"/>
        <v>3382085866.2399998</v>
      </c>
    </row>
    <row r="72" spans="1:21" s="233" customFormat="1" x14ac:dyDescent="0.25">
      <c r="A72" s="233" t="s">
        <v>657</v>
      </c>
      <c r="E72" s="233">
        <f>E71/E74</f>
        <v>0.83007046702057663</v>
      </c>
      <c r="F72" s="233">
        <f t="shared" ref="F72:U72" si="73">F71/F74</f>
        <v>0.99946599820927917</v>
      </c>
      <c r="G72" s="233">
        <f t="shared" si="73"/>
        <v>0.99933045258982456</v>
      </c>
      <c r="H72" s="233">
        <f t="shared" si="73"/>
        <v>1</v>
      </c>
      <c r="I72" s="233">
        <f t="shared" si="73"/>
        <v>1</v>
      </c>
      <c r="J72" s="233">
        <f t="shared" si="73"/>
        <v>1</v>
      </c>
      <c r="K72" s="233">
        <f t="shared" si="73"/>
        <v>1</v>
      </c>
      <c r="L72" s="233">
        <f t="shared" si="73"/>
        <v>1</v>
      </c>
      <c r="M72" s="233">
        <f t="shared" si="73"/>
        <v>1</v>
      </c>
      <c r="N72" s="233">
        <f t="shared" si="73"/>
        <v>1</v>
      </c>
      <c r="O72" s="233">
        <f t="shared" si="73"/>
        <v>1</v>
      </c>
      <c r="P72" s="233">
        <f t="shared" si="73"/>
        <v>1</v>
      </c>
      <c r="Q72" s="233">
        <f t="shared" si="73"/>
        <v>1</v>
      </c>
      <c r="R72" s="233">
        <f t="shared" si="73"/>
        <v>0.99299060769927194</v>
      </c>
      <c r="S72" s="233">
        <f t="shared" si="73"/>
        <v>0.99373112360861593</v>
      </c>
      <c r="T72" s="233">
        <f t="shared" si="73"/>
        <v>0.99567814995218229</v>
      </c>
      <c r="U72" s="233">
        <f t="shared" si="73"/>
        <v>0.99553705048706032</v>
      </c>
    </row>
    <row r="73" spans="1:21" s="235" customFormat="1" x14ac:dyDescent="0.25">
      <c r="A73" s="234" t="s">
        <v>658</v>
      </c>
      <c r="E73" s="236">
        <f>E74/E71</f>
        <v>1.2047169966055558</v>
      </c>
      <c r="F73" s="236">
        <f t="shared" ref="F73:U73" si="74">F74/F71</f>
        <v>1.0005342871009895</v>
      </c>
      <c r="G73" s="236">
        <f t="shared" si="74"/>
        <v>1.0006699960042649</v>
      </c>
      <c r="H73" s="236">
        <f t="shared" si="74"/>
        <v>1</v>
      </c>
      <c r="I73" s="236">
        <f t="shared" si="74"/>
        <v>1</v>
      </c>
      <c r="J73" s="236">
        <f t="shared" si="74"/>
        <v>1</v>
      </c>
      <c r="K73" s="236">
        <f t="shared" si="74"/>
        <v>1</v>
      </c>
      <c r="L73" s="236">
        <f t="shared" si="74"/>
        <v>1</v>
      </c>
      <c r="M73" s="236">
        <f t="shared" si="74"/>
        <v>1</v>
      </c>
      <c r="N73" s="236">
        <f t="shared" si="74"/>
        <v>1</v>
      </c>
      <c r="O73" s="236">
        <f t="shared" si="74"/>
        <v>1</v>
      </c>
      <c r="P73" s="236">
        <f t="shared" si="74"/>
        <v>1</v>
      </c>
      <c r="Q73" s="236">
        <f t="shared" si="74"/>
        <v>1</v>
      </c>
      <c r="R73" s="236">
        <f t="shared" si="74"/>
        <v>1.0070588706946269</v>
      </c>
      <c r="S73" s="236">
        <f t="shared" si="74"/>
        <v>1.0063084231161237</v>
      </c>
      <c r="T73" s="236">
        <f t="shared" si="74"/>
        <v>1.0043406095112415</v>
      </c>
      <c r="U73" s="236">
        <f t="shared" si="74"/>
        <v>1.0044829567224607</v>
      </c>
    </row>
    <row r="74" spans="1:21" x14ac:dyDescent="0.25">
      <c r="A74" s="17" t="s">
        <v>655</v>
      </c>
      <c r="E74" s="192">
        <f>E14</f>
        <v>6480245388.0299997</v>
      </c>
      <c r="F74" s="192">
        <f t="shared" ref="F74:U74" si="75">F14</f>
        <v>5584129813.4499998</v>
      </c>
      <c r="G74" s="192">
        <f t="shared" si="75"/>
        <v>5486901784.9500008</v>
      </c>
      <c r="H74" s="192">
        <f t="shared" si="75"/>
        <v>5410851971.2399998</v>
      </c>
      <c r="I74" s="192">
        <f t="shared" si="75"/>
        <v>5302630348.1700001</v>
      </c>
      <c r="J74" s="192">
        <f t="shared" si="75"/>
        <v>5496064351.8899994</v>
      </c>
      <c r="K74" s="192">
        <f t="shared" si="75"/>
        <v>6092846785.5299997</v>
      </c>
      <c r="L74" s="192">
        <f t="shared" si="75"/>
        <v>5854406102.8999996</v>
      </c>
      <c r="M74" s="192">
        <f t="shared" si="75"/>
        <v>5729931762.5599995</v>
      </c>
      <c r="N74" s="192">
        <f t="shared" si="75"/>
        <v>4347945256.8199997</v>
      </c>
      <c r="O74" s="192">
        <f t="shared" si="75"/>
        <v>4249908833.4099998</v>
      </c>
      <c r="P74" s="192">
        <f t="shared" si="75"/>
        <v>4012230378.0500002</v>
      </c>
      <c r="Q74" s="192">
        <f t="shared" si="75"/>
        <v>3819507280.5699997</v>
      </c>
      <c r="R74" s="192">
        <f t="shared" si="75"/>
        <v>3817275097.7600002</v>
      </c>
      <c r="S74" s="192">
        <f t="shared" si="75"/>
        <v>3675262658.1800003</v>
      </c>
      <c r="T74" s="192">
        <f t="shared" si="75"/>
        <v>3584288156.3699999</v>
      </c>
      <c r="U74" s="192">
        <f t="shared" si="75"/>
        <v>3397247610.8099999</v>
      </c>
    </row>
    <row r="75" spans="1:21" ht="83.4" customHeight="1" x14ac:dyDescent="0.25">
      <c r="A75" s="278" t="s">
        <v>700</v>
      </c>
      <c r="B75" s="277"/>
      <c r="C75" s="277"/>
      <c r="D75" s="277"/>
      <c r="E75" s="277"/>
      <c r="F75" s="277"/>
      <c r="G75" s="277"/>
      <c r="H75" s="277"/>
      <c r="I75" s="277"/>
      <c r="J75" s="277"/>
      <c r="K75" s="277"/>
      <c r="L75" s="277"/>
      <c r="M75" s="277"/>
      <c r="N75" s="277"/>
      <c r="O75" s="277"/>
      <c r="P75" s="277"/>
      <c r="Q75" s="277"/>
      <c r="R75" s="277"/>
      <c r="S75" s="277"/>
      <c r="T75" s="277"/>
      <c r="U75" s="277"/>
    </row>
    <row r="77" spans="1:21" s="237" customFormat="1" x14ac:dyDescent="0.25">
      <c r="A77" s="238" t="s">
        <v>659</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651</v>
      </c>
      <c r="B78" s="64"/>
      <c r="C78" s="64"/>
      <c r="D78" s="64"/>
      <c r="E78" s="89">
        <f>E10</f>
        <v>22498649.439999998</v>
      </c>
      <c r="F78" s="89">
        <f t="shared" ref="F78:U78" si="77">F10</f>
        <v>2981935.32</v>
      </c>
      <c r="G78" s="89">
        <f t="shared" si="77"/>
        <v>3673740.88</v>
      </c>
      <c r="H78" s="89">
        <f t="shared" si="77"/>
        <v>0</v>
      </c>
      <c r="I78" s="89">
        <f t="shared" si="77"/>
        <v>0</v>
      </c>
      <c r="J78" s="89">
        <f t="shared" si="77"/>
        <v>0</v>
      </c>
      <c r="K78" s="89">
        <f t="shared" si="77"/>
        <v>0</v>
      </c>
      <c r="L78" s="89">
        <f t="shared" si="77"/>
        <v>0</v>
      </c>
      <c r="M78" s="89">
        <f t="shared" si="77"/>
        <v>0</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3" t="s">
        <v>660</v>
      </c>
      <c r="B79" s="64"/>
      <c r="C79" s="64"/>
      <c r="D79" s="64"/>
      <c r="E79" s="89">
        <f>E78</f>
        <v>22498649.439999998</v>
      </c>
      <c r="F79" s="89">
        <f t="shared" ref="F79:U79" si="78">F78</f>
        <v>2981935.32</v>
      </c>
      <c r="G79" s="89">
        <f t="shared" si="78"/>
        <v>3673740.88</v>
      </c>
      <c r="H79" s="89">
        <f t="shared" si="78"/>
        <v>0</v>
      </c>
      <c r="I79" s="89">
        <f t="shared" si="78"/>
        <v>0</v>
      </c>
      <c r="J79" s="89">
        <f t="shared" si="78"/>
        <v>0</v>
      </c>
      <c r="K79" s="89">
        <f t="shared" si="78"/>
        <v>0</v>
      </c>
      <c r="L79" s="89">
        <f t="shared" si="78"/>
        <v>0</v>
      </c>
      <c r="M79" s="89">
        <f t="shared" si="78"/>
        <v>0</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19" customFormat="1" x14ac:dyDescent="0.25">
      <c r="A80" s="223" t="s">
        <v>661</v>
      </c>
      <c r="B80" s="223"/>
      <c r="C80" s="223"/>
      <c r="D80" s="223"/>
      <c r="E80" s="223">
        <f>E79/E85</f>
        <v>3.4718823274128524E-3</v>
      </c>
      <c r="F80" s="223">
        <f t="shared" ref="F80:U80" si="79">F79/F85</f>
        <v>5.340017907208525E-4</v>
      </c>
      <c r="G80" s="223">
        <f t="shared" si="79"/>
        <v>6.6954741017539044E-4</v>
      </c>
      <c r="H80" s="223">
        <f t="shared" si="79"/>
        <v>0</v>
      </c>
      <c r="I80" s="223">
        <f t="shared" si="79"/>
        <v>0</v>
      </c>
      <c r="J80" s="223">
        <f t="shared" si="79"/>
        <v>0</v>
      </c>
      <c r="K80" s="223">
        <f t="shared" si="79"/>
        <v>0</v>
      </c>
      <c r="L80" s="223">
        <f t="shared" si="79"/>
        <v>0</v>
      </c>
      <c r="M80" s="223">
        <f t="shared" si="79"/>
        <v>0</v>
      </c>
      <c r="N80" s="223">
        <f t="shared" si="79"/>
        <v>0</v>
      </c>
      <c r="O80" s="223">
        <f t="shared" si="79"/>
        <v>0</v>
      </c>
      <c r="P80" s="223">
        <f t="shared" si="79"/>
        <v>0</v>
      </c>
      <c r="Q80" s="223">
        <f t="shared" si="79"/>
        <v>0</v>
      </c>
      <c r="R80" s="223">
        <f t="shared" si="79"/>
        <v>0</v>
      </c>
      <c r="S80" s="223">
        <f t="shared" si="79"/>
        <v>0</v>
      </c>
      <c r="T80" s="223">
        <f t="shared" si="79"/>
        <v>0</v>
      </c>
      <c r="U80" s="223">
        <f t="shared" si="79"/>
        <v>0</v>
      </c>
    </row>
    <row r="81" spans="1:21" x14ac:dyDescent="0.25">
      <c r="A81" s="183" t="s">
        <v>652</v>
      </c>
      <c r="B81" s="64"/>
      <c r="C81" s="64"/>
      <c r="D81" s="64"/>
      <c r="E81" s="89">
        <f>E11</f>
        <v>1078686422.9400001</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26756778.68</v>
      </c>
      <c r="S81" s="89">
        <f t="shared" si="80"/>
        <v>23039767.309999999</v>
      </c>
      <c r="T81" s="89">
        <f t="shared" si="80"/>
        <v>15490755.939999999</v>
      </c>
      <c r="U81" s="89">
        <f t="shared" si="80"/>
        <v>15161744.57</v>
      </c>
    </row>
    <row r="82" spans="1:21" x14ac:dyDescent="0.25">
      <c r="A82" s="183" t="s">
        <v>654</v>
      </c>
      <c r="B82" s="64"/>
      <c r="C82" s="64"/>
      <c r="D82" s="64"/>
      <c r="E82" s="89">
        <f>E13</f>
        <v>5379060315.6499996</v>
      </c>
      <c r="F82" s="89">
        <f t="shared" ref="F82:U82" si="81">F13</f>
        <v>5581147878.1300001</v>
      </c>
      <c r="G82" s="89">
        <f t="shared" si="81"/>
        <v>5483228044.0700006</v>
      </c>
      <c r="H82" s="89">
        <f t="shared" si="81"/>
        <v>5410851971.2399998</v>
      </c>
      <c r="I82" s="89">
        <f t="shared" si="81"/>
        <v>5302630348.1700001</v>
      </c>
      <c r="J82" s="89">
        <f t="shared" si="81"/>
        <v>5496064351.8899994</v>
      </c>
      <c r="K82" s="89">
        <f t="shared" si="81"/>
        <v>6092846785.5299997</v>
      </c>
      <c r="L82" s="89">
        <f t="shared" si="81"/>
        <v>5854406102.8999996</v>
      </c>
      <c r="M82" s="89">
        <f t="shared" si="81"/>
        <v>5729931762.5599995</v>
      </c>
      <c r="N82" s="89">
        <f t="shared" si="81"/>
        <v>4347945256.8199997</v>
      </c>
      <c r="O82" s="89">
        <f t="shared" si="81"/>
        <v>4249908833.4099998</v>
      </c>
      <c r="P82" s="89">
        <f t="shared" si="81"/>
        <v>4012230378.0500002</v>
      </c>
      <c r="Q82" s="89">
        <f t="shared" si="81"/>
        <v>3819507280.5699997</v>
      </c>
      <c r="R82" s="89">
        <f t="shared" si="81"/>
        <v>3790518319.0800004</v>
      </c>
      <c r="S82" s="89">
        <f t="shared" si="81"/>
        <v>3652222890.8700004</v>
      </c>
      <c r="T82" s="89">
        <f t="shared" si="81"/>
        <v>3568797400.4299998</v>
      </c>
      <c r="U82" s="89">
        <f t="shared" si="81"/>
        <v>3382085866.2399998</v>
      </c>
    </row>
    <row r="83" spans="1:21" x14ac:dyDescent="0.25">
      <c r="A83" s="183" t="s">
        <v>662</v>
      </c>
      <c r="B83" s="64"/>
      <c r="C83" s="64"/>
      <c r="D83" s="64"/>
      <c r="E83" s="89">
        <f>E81+E82</f>
        <v>6457746738.5900002</v>
      </c>
      <c r="F83" s="89">
        <f t="shared" ref="F83:U83" si="82">F81+F82</f>
        <v>5581147878.1300001</v>
      </c>
      <c r="G83" s="89">
        <f t="shared" si="82"/>
        <v>5483228044.0700006</v>
      </c>
      <c r="H83" s="89">
        <f t="shared" si="82"/>
        <v>5410851971.2399998</v>
      </c>
      <c r="I83" s="89">
        <f t="shared" si="82"/>
        <v>5302630348.1700001</v>
      </c>
      <c r="J83" s="89">
        <f t="shared" si="82"/>
        <v>5496064351.8899994</v>
      </c>
      <c r="K83" s="89">
        <f t="shared" si="82"/>
        <v>6092846785.5299997</v>
      </c>
      <c r="L83" s="89">
        <f t="shared" si="82"/>
        <v>5854406102.8999996</v>
      </c>
      <c r="M83" s="89">
        <f t="shared" si="82"/>
        <v>5729931762.5599995</v>
      </c>
      <c r="N83" s="89">
        <f t="shared" si="82"/>
        <v>4347945256.8199997</v>
      </c>
      <c r="O83" s="89">
        <f t="shared" si="82"/>
        <v>4249908833.4099998</v>
      </c>
      <c r="P83" s="89">
        <f t="shared" si="82"/>
        <v>4012230378.0500002</v>
      </c>
      <c r="Q83" s="89">
        <f t="shared" si="82"/>
        <v>3819507280.5699997</v>
      </c>
      <c r="R83" s="89">
        <f t="shared" si="82"/>
        <v>3817275097.7600002</v>
      </c>
      <c r="S83" s="89">
        <f t="shared" si="82"/>
        <v>3675262658.1800003</v>
      </c>
      <c r="T83" s="89">
        <f t="shared" si="82"/>
        <v>3584288156.3699999</v>
      </c>
      <c r="U83" s="89">
        <f t="shared" si="82"/>
        <v>3397247610.8099999</v>
      </c>
    </row>
    <row r="84" spans="1:21" s="219" customFormat="1" x14ac:dyDescent="0.25">
      <c r="A84" s="223" t="s">
        <v>663</v>
      </c>
      <c r="B84" s="223"/>
      <c r="C84" s="223"/>
      <c r="D84" s="223"/>
      <c r="E84" s="223">
        <f>E83/E85</f>
        <v>0.9965281176725872</v>
      </c>
      <c r="F84" s="223">
        <f t="shared" ref="F84:U84" si="83">F83/F85</f>
        <v>0.99946599820927917</v>
      </c>
      <c r="G84" s="223">
        <f t="shared" si="83"/>
        <v>0.99933045258982456</v>
      </c>
      <c r="H84" s="223">
        <f t="shared" si="83"/>
        <v>1</v>
      </c>
      <c r="I84" s="223">
        <f t="shared" si="83"/>
        <v>1</v>
      </c>
      <c r="J84" s="223">
        <f t="shared" si="83"/>
        <v>1</v>
      </c>
      <c r="K84" s="223">
        <f t="shared" si="83"/>
        <v>1</v>
      </c>
      <c r="L84" s="223">
        <f t="shared" si="83"/>
        <v>1</v>
      </c>
      <c r="M84" s="223">
        <f t="shared" si="83"/>
        <v>1</v>
      </c>
      <c r="N84" s="223">
        <f t="shared" si="83"/>
        <v>1</v>
      </c>
      <c r="O84" s="223">
        <f t="shared" si="83"/>
        <v>1</v>
      </c>
      <c r="P84" s="223">
        <f t="shared" si="83"/>
        <v>1</v>
      </c>
      <c r="Q84" s="223">
        <f t="shared" si="83"/>
        <v>1</v>
      </c>
      <c r="R84" s="223">
        <f t="shared" si="83"/>
        <v>1</v>
      </c>
      <c r="S84" s="223">
        <f t="shared" si="83"/>
        <v>1</v>
      </c>
      <c r="T84" s="223">
        <f t="shared" si="83"/>
        <v>1</v>
      </c>
      <c r="U84" s="223">
        <f t="shared" si="83"/>
        <v>1</v>
      </c>
    </row>
    <row r="85" spans="1:21" x14ac:dyDescent="0.25">
      <c r="A85" s="183" t="s">
        <v>655</v>
      </c>
      <c r="B85" s="64"/>
      <c r="C85" s="64"/>
      <c r="D85" s="64"/>
      <c r="E85" s="89">
        <f>E14</f>
        <v>6480245388.0299997</v>
      </c>
      <c r="F85" s="89">
        <f t="shared" ref="F85:U85" si="84">F14</f>
        <v>5584129813.4499998</v>
      </c>
      <c r="G85" s="89">
        <f t="shared" si="84"/>
        <v>5486901784.9500008</v>
      </c>
      <c r="H85" s="89">
        <f t="shared" si="84"/>
        <v>5410851971.2399998</v>
      </c>
      <c r="I85" s="89">
        <f t="shared" si="84"/>
        <v>5302630348.1700001</v>
      </c>
      <c r="J85" s="89">
        <f t="shared" si="84"/>
        <v>5496064351.8899994</v>
      </c>
      <c r="K85" s="89">
        <f t="shared" si="84"/>
        <v>6092846785.5299997</v>
      </c>
      <c r="L85" s="89">
        <f t="shared" si="84"/>
        <v>5854406102.8999996</v>
      </c>
      <c r="M85" s="89">
        <f t="shared" si="84"/>
        <v>5729931762.5599995</v>
      </c>
      <c r="N85" s="89">
        <f t="shared" si="84"/>
        <v>4347945256.8199997</v>
      </c>
      <c r="O85" s="89">
        <f t="shared" si="84"/>
        <v>4249908833.4099998</v>
      </c>
      <c r="P85" s="89">
        <f t="shared" si="84"/>
        <v>4012230378.0500002</v>
      </c>
      <c r="Q85" s="89">
        <f t="shared" si="84"/>
        <v>3819507280.5699997</v>
      </c>
      <c r="R85" s="89">
        <f t="shared" si="84"/>
        <v>3817275097.7600002</v>
      </c>
      <c r="S85" s="89">
        <f t="shared" si="84"/>
        <v>3675262658.1800003</v>
      </c>
      <c r="T85" s="89">
        <f t="shared" si="84"/>
        <v>3584288156.3699999</v>
      </c>
      <c r="U85" s="89">
        <f t="shared" si="84"/>
        <v>3397247610.8099999</v>
      </c>
    </row>
    <row r="87" spans="1:21" s="56" customFormat="1" ht="85.8" customHeight="1" x14ac:dyDescent="0.25">
      <c r="A87" s="276" t="s">
        <v>701</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4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7.21875" hidden="1" customWidth="1"/>
    <col min="33" max="33" width="19.33203125" bestFit="1" customWidth="1"/>
    <col min="34" max="35" width="19.33203125" hidden="1" customWidth="1"/>
    <col min="36" max="36" width="17.21875" hidden="1" customWidth="1"/>
    <col min="37" max="37" width="19.33203125" bestFit="1" customWidth="1"/>
    <col min="38" max="39" width="19.33203125" hidden="1" customWidth="1"/>
    <col min="40" max="40" width="17.21875" hidden="1" customWidth="1"/>
    <col min="41" max="41" width="19.33203125" bestFit="1" customWidth="1"/>
    <col min="42" max="43" width="19.33203125" hidden="1" customWidth="1"/>
    <col min="44" max="44" width="17.21875" hidden="1" customWidth="1"/>
    <col min="45" max="45" width="19.33203125" bestFit="1" customWidth="1"/>
    <col min="46" max="47" width="19.33203125" hidden="1" customWidth="1"/>
    <col min="48" max="48" width="17.21875" hidden="1" customWidth="1"/>
    <col min="49" max="49" width="19.33203125" bestFit="1" customWidth="1"/>
    <col min="50" max="51" width="19.33203125" hidden="1" customWidth="1"/>
    <col min="52" max="52" width="17.21875" hidden="1" customWidth="1"/>
    <col min="53" max="53" width="19.33203125" bestFit="1" customWidth="1"/>
    <col min="54" max="54" width="19.33203125" hidden="1" customWidth="1"/>
    <col min="55" max="56" width="17.21875" hidden="1" customWidth="1"/>
    <col min="57" max="57" width="19.33203125" bestFit="1" customWidth="1"/>
    <col min="58" max="58" width="19.33203125" hidden="1" customWidth="1"/>
    <col min="59" max="60" width="17.21875" hidden="1" customWidth="1"/>
    <col min="61" max="61" width="19.33203125" bestFit="1" customWidth="1"/>
    <col min="62" max="62" width="19.33203125" hidden="1" customWidth="1"/>
    <col min="63"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2" width="19.33203125" bestFit="1" customWidth="1"/>
    <col min="73" max="74" width="17.21875" bestFit="1" customWidth="1"/>
    <col min="75" max="75" width="9.5546875" hidden="1" customWidth="1"/>
    <col min="76"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s="26" customFormat="1" x14ac:dyDescent="0.25">
      <c r="A2" s="17" t="s">
        <v>351</v>
      </c>
      <c r="E2" s="26">
        <f>股权价值增加表!E4</f>
        <v>6488246212.1400003</v>
      </c>
      <c r="F2" s="26">
        <f>股权价值增加表!F4</f>
        <v>3894561232.4000001</v>
      </c>
      <c r="G2" s="26">
        <f>股权价值增加表!G4</f>
        <v>2651881094.0700002</v>
      </c>
      <c r="H2" s="26">
        <f>股权价值增加表!H4</f>
        <v>1340165773.9200001</v>
      </c>
      <c r="I2" s="26">
        <f>股权价值增加表!I4</f>
        <v>5321198258.4899998</v>
      </c>
      <c r="J2" s="26">
        <f>股权价值增加表!J4</f>
        <v>4287852830.3699999</v>
      </c>
      <c r="K2" s="26">
        <f>股权价值增加表!K4</f>
        <v>3065730831.52</v>
      </c>
      <c r="L2" s="26">
        <f>股权价值增加表!L4</f>
        <v>1541097064.8199999</v>
      </c>
      <c r="M2" s="26">
        <f>股权价值增加表!M4</f>
        <v>5845865322.6400003</v>
      </c>
      <c r="N2" s="26">
        <f>股权价值增加表!N4</f>
        <v>4617561352.0799999</v>
      </c>
      <c r="O2" s="26">
        <f>股权价值增加表!O4</f>
        <v>3215056319.77</v>
      </c>
      <c r="P2" s="26">
        <f>股权价值增加表!P4</f>
        <v>1594897366.8599999</v>
      </c>
      <c r="Q2" s="26">
        <f>股权价值增加表!Q4</f>
        <v>5334659318.1000004</v>
      </c>
      <c r="R2" s="26">
        <f>股权价值增加表!R4</f>
        <v>4168265729.0900002</v>
      </c>
      <c r="S2" s="26">
        <f>股权价值增加表!S4</f>
        <v>2819379057.3400002</v>
      </c>
      <c r="T2" s="26">
        <f>股权价值增加表!T4</f>
        <v>1345701240.8900001</v>
      </c>
      <c r="U2" s="26">
        <f>股权价值增加表!U4</f>
        <v>4468503687.0100002</v>
      </c>
      <c r="V2" s="26">
        <f>股权价值增加表!V4</f>
        <v>4012363480.3899999</v>
      </c>
      <c r="W2" s="26">
        <f>股权价值增加表!W4</f>
        <v>2746693074.4099998</v>
      </c>
      <c r="X2" s="26">
        <f>股权价值增加表!X4</f>
        <v>1325026458.9300001</v>
      </c>
      <c r="Y2" s="26">
        <f>股权价值增加表!Y4</f>
        <v>4504122570.4099998</v>
      </c>
      <c r="Z2" s="26">
        <f>股权价值增加表!Z4</f>
        <v>3540725102.4299998</v>
      </c>
      <c r="AA2" s="26">
        <f>股权价值增加表!AA4</f>
        <v>2339090706.9299998</v>
      </c>
      <c r="AB2" s="26">
        <f>股权价值增加表!AB4</f>
        <v>1054933573.1</v>
      </c>
      <c r="AC2" s="26">
        <f>股权价值增加表!AC4</f>
        <v>3576607562.8699999</v>
      </c>
      <c r="AD2" s="26">
        <f>股权价值增加表!AD4</f>
        <v>2866766635.29</v>
      </c>
      <c r="AE2" s="26">
        <f>股权价值增加表!AE4</f>
        <v>1922161683.6400001</v>
      </c>
      <c r="AF2" s="26">
        <f>股权价值增加表!AF4</f>
        <v>843584272.85000002</v>
      </c>
      <c r="AG2" s="26">
        <f>股权价值增加表!AG4</f>
        <v>3093956633.8400002</v>
      </c>
      <c r="AH2" s="26">
        <f>股权价值增加表!AH4</f>
        <v>2429911851.9899998</v>
      </c>
      <c r="AI2" s="26">
        <f>股权价值增加表!AI4</f>
        <v>1577163658.76</v>
      </c>
      <c r="AJ2" s="26">
        <f>股权价值增加表!AJ4</f>
        <v>667913696.38999999</v>
      </c>
      <c r="AK2" s="26">
        <f>股权价值增加表!AK4</f>
        <v>2697115334.0700002</v>
      </c>
      <c r="AL2" s="26">
        <f>股权价值增加表!AL4</f>
        <v>2181544628.0999999</v>
      </c>
      <c r="AM2" s="26">
        <f>股权价值增加表!AM4</f>
        <v>1424803943.8</v>
      </c>
      <c r="AN2" s="26">
        <f>股权价值增加表!AN4</f>
        <v>582376592.78999996</v>
      </c>
      <c r="AO2" s="26">
        <f>股权价值增加表!AO4</f>
        <v>2493498067.6100001</v>
      </c>
      <c r="AP2" s="26">
        <f>股权价值增加表!AP4</f>
        <v>2097820988.5799999</v>
      </c>
      <c r="AQ2" s="26">
        <f>股权价值增加表!AQ4</f>
        <v>1384626050.21</v>
      </c>
      <c r="AR2" s="26">
        <f>股权价值增加表!AR4</f>
        <v>526135808.88</v>
      </c>
      <c r="AS2" s="26">
        <f>股权价值增加表!AS4</f>
        <v>2260798925.3600001</v>
      </c>
      <c r="AT2" s="26">
        <f>股权价值增加表!AT4</f>
        <v>1779982978.72</v>
      </c>
      <c r="AU2" s="26">
        <f>股权价值增加表!AU4</f>
        <v>1161985620.8</v>
      </c>
      <c r="AV2" s="26">
        <f>股权价值增加表!AV4</f>
        <v>475691864.44999999</v>
      </c>
      <c r="AW2" s="26">
        <f>股权价值增加表!AW4</f>
        <v>2159134465.3499999</v>
      </c>
      <c r="AX2" s="26">
        <f>股权价值增加表!AX4</f>
        <v>1746067860.55</v>
      </c>
      <c r="AY2" s="26">
        <f>股权价值增加表!AY4</f>
        <v>1096306129.48</v>
      </c>
      <c r="AZ2" s="26">
        <f>股权价值增加表!AZ4</f>
        <v>447802819.93000001</v>
      </c>
      <c r="BA2" s="26">
        <f>股权价值增加表!BA4</f>
        <v>1948870048.5599999</v>
      </c>
      <c r="BB2" s="26">
        <f>股权价值增加表!BB4</f>
        <v>1541480316.0799999</v>
      </c>
      <c r="BC2" s="26">
        <f>股权价值增加表!BC4</f>
        <v>969805968.16999996</v>
      </c>
      <c r="BD2" s="26">
        <f>股权价值增加表!BD4</f>
        <v>382578384.36000001</v>
      </c>
      <c r="BE2" s="26">
        <f>股权价值增加表!BE4</f>
        <v>1668957522.3699999</v>
      </c>
      <c r="BF2" s="26">
        <f>股权价值增加表!BF4</f>
        <v>1285500262.4200001</v>
      </c>
      <c r="BG2" s="26">
        <f>股权价值增加表!BG4</f>
        <v>774355804.61000001</v>
      </c>
      <c r="BH2" s="26">
        <f>股权价值增加表!BH4</f>
        <v>286183658.49000001</v>
      </c>
      <c r="BI2" s="26">
        <f>股权价值增加表!BI4</f>
        <v>1486376396.5599999</v>
      </c>
      <c r="BJ2" s="26">
        <f>股权价值增加表!BJ4</f>
        <v>1141838235.2</v>
      </c>
      <c r="BK2" s="26">
        <f>股权价值增加表!BK4</f>
        <v>736124241.46000004</v>
      </c>
      <c r="BL2" s="26">
        <f>股权价值增加表!BL4</f>
        <v>228125275.19999999</v>
      </c>
      <c r="BM2" s="26">
        <f>股权价值增加表!BM4</f>
        <v>1363884564.2</v>
      </c>
      <c r="BN2" s="26">
        <f>股权价值增加表!BN4</f>
        <v>1040814054.48</v>
      </c>
      <c r="BO2" s="26">
        <f>股权价值增加表!BO4</f>
        <v>686272256.01999998</v>
      </c>
      <c r="BP2" s="26">
        <f>股权价值增加表!BP4</f>
        <v>223232689.66</v>
      </c>
      <c r="BQ2" s="26">
        <f>股权价值增加表!BQ4</f>
        <v>1305853059.24</v>
      </c>
      <c r="BR2" s="26">
        <f>股权价值增加表!BR4</f>
        <v>638897219.44000006</v>
      </c>
      <c r="BS2" s="26">
        <f>股权价值增加表!BS4</f>
        <v>1187217478.3199999</v>
      </c>
      <c r="BT2" s="26">
        <f>股权价值增加表!BT4</f>
        <v>1082865772.29</v>
      </c>
      <c r="BU2" s="26">
        <f>股权价值增加表!BU4</f>
        <v>982009491.25</v>
      </c>
      <c r="BV2" s="26">
        <f>股权价值增加表!BV4</f>
        <v>899768289.63999999</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0.21932051710119416</v>
      </c>
      <c r="F3" s="66">
        <f t="shared" ref="F3:BQ3" si="0">(F2-J2)/J2</f>
        <v>-9.1722270686249871E-2</v>
      </c>
      <c r="G3" s="66">
        <f t="shared" si="0"/>
        <v>-0.13499219605160565</v>
      </c>
      <c r="H3" s="66">
        <f t="shared" si="0"/>
        <v>-0.13038198273608978</v>
      </c>
      <c r="I3" s="66">
        <f t="shared" si="0"/>
        <v>-8.9750111436549526E-2</v>
      </c>
      <c r="J3" s="66">
        <f t="shared" si="0"/>
        <v>-7.1403170758409407E-2</v>
      </c>
      <c r="K3" s="66">
        <f t="shared" si="0"/>
        <v>-4.6445683496046039E-2</v>
      </c>
      <c r="L3" s="66">
        <f t="shared" si="0"/>
        <v>-3.3732767485798072E-2</v>
      </c>
      <c r="M3" s="66">
        <f t="shared" si="0"/>
        <v>9.5827301062230114E-2</v>
      </c>
      <c r="N3" s="66">
        <f t="shared" si="0"/>
        <v>0.10778958257253149</v>
      </c>
      <c r="O3" s="66">
        <f t="shared" si="0"/>
        <v>0.14034198821186872</v>
      </c>
      <c r="P3" s="66">
        <f t="shared" si="0"/>
        <v>0.18517938335643513</v>
      </c>
      <c r="Q3" s="66">
        <f t="shared" si="0"/>
        <v>0.1938357203571133</v>
      </c>
      <c r="R3" s="66">
        <f t="shared" si="0"/>
        <v>3.8855464980168411E-2</v>
      </c>
      <c r="S3" s="66">
        <f t="shared" si="0"/>
        <v>2.6463088871192326E-2</v>
      </c>
      <c r="T3" s="66">
        <f t="shared" si="0"/>
        <v>1.5603297444109581E-2</v>
      </c>
      <c r="U3" s="66">
        <f t="shared" si="0"/>
        <v>-7.9080626344405439E-3</v>
      </c>
      <c r="V3" s="66">
        <f t="shared" si="0"/>
        <v>0.1332038959015244</v>
      </c>
      <c r="W3" s="66">
        <f t="shared" si="0"/>
        <v>0.17425675980516733</v>
      </c>
      <c r="X3" s="66">
        <f t="shared" si="0"/>
        <v>0.25602833459580987</v>
      </c>
      <c r="Y3" s="66">
        <f t="shared" si="0"/>
        <v>0.25932814580186375</v>
      </c>
      <c r="Z3" s="66">
        <f t="shared" si="0"/>
        <v>0.23509359249669889</v>
      </c>
      <c r="AA3" s="66">
        <f t="shared" si="0"/>
        <v>0.21690632314575156</v>
      </c>
      <c r="AB3" s="66">
        <f t="shared" si="0"/>
        <v>0.25053726942533999</v>
      </c>
      <c r="AC3" s="66">
        <f t="shared" si="0"/>
        <v>0.15599796188189216</v>
      </c>
      <c r="AD3" s="66">
        <f t="shared" si="0"/>
        <v>0.17978215256748253</v>
      </c>
      <c r="AE3" s="66">
        <f t="shared" si="0"/>
        <v>0.21874586252592518</v>
      </c>
      <c r="AF3" s="66">
        <f t="shared" si="0"/>
        <v>0.26301388549071558</v>
      </c>
      <c r="AG3" s="66">
        <f t="shared" si="0"/>
        <v>0.14713545793058788</v>
      </c>
      <c r="AH3" s="66">
        <f t="shared" si="0"/>
        <v>0.11384925189741062</v>
      </c>
      <c r="AI3" s="66">
        <f t="shared" si="0"/>
        <v>0.10693381052388974</v>
      </c>
      <c r="AJ3" s="66">
        <f t="shared" si="0"/>
        <v>0.14687592986904949</v>
      </c>
      <c r="AK3" s="66">
        <f t="shared" si="0"/>
        <v>8.1659283841020058E-2</v>
      </c>
      <c r="AL3" s="66">
        <f t="shared" si="0"/>
        <v>3.990981116871746E-2</v>
      </c>
      <c r="AM3" s="66">
        <f t="shared" si="0"/>
        <v>2.9017144075764219E-2</v>
      </c>
      <c r="AN3" s="66">
        <f t="shared" si="0"/>
        <v>0.10689404325039441</v>
      </c>
      <c r="AO3" s="66">
        <f t="shared" si="0"/>
        <v>0.10292783654474975</v>
      </c>
      <c r="AP3" s="66">
        <f t="shared" si="0"/>
        <v>0.17856238720246626</v>
      </c>
      <c r="AQ3" s="66">
        <f t="shared" si="0"/>
        <v>0.19160342901379224</v>
      </c>
      <c r="AR3" s="66">
        <f t="shared" si="0"/>
        <v>0.10604331963575588</v>
      </c>
      <c r="AS3" s="66">
        <f t="shared" si="0"/>
        <v>4.7085747386983713E-2</v>
      </c>
      <c r="AT3" s="66">
        <f t="shared" si="0"/>
        <v>1.9423711378157453E-2</v>
      </c>
      <c r="AU3" s="66">
        <f t="shared" si="0"/>
        <v>5.9909809453635943E-2</v>
      </c>
      <c r="AV3" s="66">
        <f t="shared" si="0"/>
        <v>6.2279742955525741E-2</v>
      </c>
      <c r="AW3" s="66">
        <f t="shared" si="0"/>
        <v>0.10789042447717957</v>
      </c>
      <c r="AX3" s="66">
        <f t="shared" si="0"/>
        <v>0.13272147709953783</v>
      </c>
      <c r="AY3" s="66">
        <f t="shared" si="0"/>
        <v>0.13043862943914725</v>
      </c>
      <c r="AZ3" s="66">
        <f t="shared" si="0"/>
        <v>0.17048646300054648</v>
      </c>
      <c r="BA3" s="66">
        <f t="shared" si="0"/>
        <v>0.16771698646500649</v>
      </c>
      <c r="BB3" s="66">
        <f t="shared" si="0"/>
        <v>0.19912874477217785</v>
      </c>
      <c r="BC3" s="66">
        <f t="shared" si="0"/>
        <v>0.25240356228547589</v>
      </c>
      <c r="BD3" s="66">
        <f t="shared" si="0"/>
        <v>0.33682819759384786</v>
      </c>
      <c r="BE3" s="66">
        <f t="shared" si="0"/>
        <v>0.12283640014235772</v>
      </c>
      <c r="BF3" s="66">
        <f t="shared" si="0"/>
        <v>0.12581644473907175</v>
      </c>
      <c r="BG3" s="66">
        <f t="shared" si="0"/>
        <v>5.1936291452884351E-2</v>
      </c>
      <c r="BH3" s="66">
        <f t="shared" si="0"/>
        <v>0.25450219507285893</v>
      </c>
      <c r="BI3" s="66">
        <f t="shared" si="0"/>
        <v>8.981099689462993E-2</v>
      </c>
      <c r="BJ3" s="66">
        <f t="shared" si="0"/>
        <v>9.7062660025735922E-2</v>
      </c>
      <c r="BK3" s="66">
        <f t="shared" si="0"/>
        <v>7.2641703059823565E-2</v>
      </c>
      <c r="BL3" s="66">
        <f t="shared" si="0"/>
        <v>2.1916976171598181E-2</v>
      </c>
      <c r="BM3" s="66">
        <f t="shared" si="0"/>
        <v>4.4439536706966161E-2</v>
      </c>
      <c r="BN3" s="66">
        <f t="shared" si="0"/>
        <v>0.62907901742362282</v>
      </c>
      <c r="BO3" s="66">
        <f t="shared" si="0"/>
        <v>-0.42194899540130953</v>
      </c>
      <c r="BP3" s="66">
        <f t="shared" si="0"/>
        <v>-0.79385008246412969</v>
      </c>
      <c r="BQ3" s="66">
        <f t="shared" si="0"/>
        <v>0.32977641344156411</v>
      </c>
      <c r="BR3" s="66">
        <f t="shared" ref="BR3:CJ3" si="1">(BR2-BV2)/BV2</f>
        <v>-0.28993138922952622</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2275570034.3000002</v>
      </c>
      <c r="F4" s="26">
        <f>股权价值增加表!F5</f>
        <v>1189227793.3399999</v>
      </c>
      <c r="G4" s="26">
        <f>股权价值增加表!G5</f>
        <v>797774483.53999996</v>
      </c>
      <c r="H4" s="26">
        <f>股权价值增加表!H5</f>
        <v>370371507.20999998</v>
      </c>
      <c r="I4" s="26">
        <f>股权价值增加表!I5</f>
        <v>2061394524.6800001</v>
      </c>
      <c r="J4" s="26">
        <f>股权价值增加表!J5</f>
        <v>1673475318.98</v>
      </c>
      <c r="K4" s="26">
        <f>股权价值增加表!K5</f>
        <v>1200051250.8900001</v>
      </c>
      <c r="L4" s="26">
        <f>股权价值增加表!L5</f>
        <v>617981098.01999998</v>
      </c>
      <c r="M4" s="26">
        <f>股权价值增加表!M5</f>
        <v>2386308497.6300001</v>
      </c>
      <c r="N4" s="26">
        <f>股权价值增加表!N5</f>
        <v>1844309552.8099999</v>
      </c>
      <c r="O4" s="26">
        <f>股权价值增加表!O5</f>
        <v>1263571654.3</v>
      </c>
      <c r="P4" s="26">
        <f>股权价值增加表!P5</f>
        <v>622849948.12</v>
      </c>
      <c r="Q4" s="26">
        <f>股权价值增加表!Q5</f>
        <v>2036991589.78</v>
      </c>
      <c r="R4" s="26">
        <f>股权价值增加表!R5</f>
        <v>1587796996.1099999</v>
      </c>
      <c r="S4" s="26">
        <f>股权价值增加表!S5</f>
        <v>1028397908.3</v>
      </c>
      <c r="T4" s="26">
        <f>股权价值增加表!T5</f>
        <v>491360185.73000002</v>
      </c>
      <c r="U4" s="26">
        <f>股权价值增加表!U5</f>
        <v>1655189245.2</v>
      </c>
      <c r="V4" s="26">
        <f>股权价值增加表!V5</f>
        <v>1746064380.22</v>
      </c>
      <c r="W4" s="26">
        <f>股权价值增加表!W5</f>
        <v>1170805288.22</v>
      </c>
      <c r="X4" s="26">
        <f>股权价值增加表!X5</f>
        <v>575765912.85000002</v>
      </c>
      <c r="Y4" s="26">
        <f>股权价值增加表!Y5</f>
        <v>2026284289.9200001</v>
      </c>
      <c r="Z4" s="26">
        <f>股权价值增加表!Z5</f>
        <v>1600833142.96</v>
      </c>
      <c r="AA4" s="26">
        <f>股权价值增加表!AA5</f>
        <v>1067581427.03</v>
      </c>
      <c r="AB4" s="26">
        <f>股权价值增加表!AB5</f>
        <v>528393933.55000001</v>
      </c>
      <c r="AC4" s="26">
        <f>股权价值增加表!AC5</f>
        <v>1519290854</v>
      </c>
      <c r="AD4" s="26">
        <f>股权价值增加表!AD5</f>
        <v>1295421349.95</v>
      </c>
      <c r="AE4" s="26">
        <f>股权价值增加表!AE5</f>
        <v>887275860.91999996</v>
      </c>
      <c r="AF4" s="26">
        <f>股权价值增加表!AF5</f>
        <v>426499884.14999998</v>
      </c>
      <c r="AG4" s="26">
        <f>股权价值增加表!AG5</f>
        <v>1398717078.0999999</v>
      </c>
      <c r="AH4" s="26">
        <f>股权价值增加表!AH5</f>
        <v>1135606768.6400001</v>
      </c>
      <c r="AI4" s="26">
        <f>股权价值增加表!AI5</f>
        <v>747682978.33000004</v>
      </c>
      <c r="AJ4" s="26">
        <f>股权价值增加表!AJ5</f>
        <v>342547696.07999998</v>
      </c>
      <c r="AK4" s="26">
        <f>股权价值增加表!AK5</f>
        <v>1214789438.05</v>
      </c>
      <c r="AL4" s="26">
        <f>股权价值增加表!AL5</f>
        <v>1018272015.98</v>
      </c>
      <c r="AM4" s="26">
        <f>股权价值增加表!AM5</f>
        <v>679582414.24000001</v>
      </c>
      <c r="AN4" s="26">
        <f>股权价值增加表!AN5</f>
        <v>311262192.52999997</v>
      </c>
      <c r="AO4" s="26">
        <f>股权价值增加表!AO5</f>
        <v>1211140032.72</v>
      </c>
      <c r="AP4" s="26">
        <f>股权价值增加表!AP5</f>
        <v>1068324221.09</v>
      </c>
      <c r="AQ4" s="26">
        <f>股权价值增加表!AQ5</f>
        <v>686070308.13999999</v>
      </c>
      <c r="AR4" s="26">
        <f>股权价值增加表!AR5</f>
        <v>281219677.25999999</v>
      </c>
      <c r="AS4" s="26">
        <f>股权价值增加表!AS5</f>
        <v>1227440965.48</v>
      </c>
      <c r="AT4" s="26">
        <f>股权价值增加表!AT5</f>
        <v>947013822.67999995</v>
      </c>
      <c r="AU4" s="26">
        <f>股权价值增加表!AU5</f>
        <v>611840186.25999999</v>
      </c>
      <c r="AV4" s="26">
        <f>股权价值增加表!AV5</f>
        <v>269980522.58999997</v>
      </c>
      <c r="AW4" s="26">
        <f>股权价值增加表!AW5</f>
        <v>1204725887.3199999</v>
      </c>
      <c r="AX4" s="26">
        <f>股权价值增加表!AX5</f>
        <v>962951387.10000002</v>
      </c>
      <c r="AY4" s="26">
        <f>股权价值增加表!AY5</f>
        <v>597117167.48000002</v>
      </c>
      <c r="AZ4" s="26">
        <f>股权价值增加表!AZ5</f>
        <v>256410377.24000001</v>
      </c>
      <c r="BA4" s="26">
        <f>股权价值增加表!BA5</f>
        <v>1178868883.04</v>
      </c>
      <c r="BB4" s="26">
        <f>股权价值增加表!BB5</f>
        <v>936172938.35000002</v>
      </c>
      <c r="BC4" s="26">
        <f>股权价值增加表!BC5</f>
        <v>584316729.75999999</v>
      </c>
      <c r="BD4" s="26">
        <f>股权价值增加表!BD5</f>
        <v>231227648.68000001</v>
      </c>
      <c r="BE4" s="26">
        <f>股权价值增加表!BE5</f>
        <v>1011576898.9299999</v>
      </c>
      <c r="BF4" s="26">
        <f>股权价值增加表!BF5</f>
        <v>770915558.69000006</v>
      </c>
      <c r="BG4" s="26">
        <f>股权价值增加表!BG5</f>
        <v>461976639.87</v>
      </c>
      <c r="BH4" s="26">
        <f>股权价值增加表!BH5</f>
        <v>162602074.06999999</v>
      </c>
      <c r="BI4" s="26">
        <f>股权价值增加表!BI5</f>
        <v>886419074.60000002</v>
      </c>
      <c r="BJ4" s="26">
        <f>股权价值增加表!BJ5</f>
        <v>678874036.90999997</v>
      </c>
      <c r="BK4" s="26">
        <f>股权价值增加表!BK5</f>
        <v>436111523.74000001</v>
      </c>
      <c r="BL4" s="26">
        <f>股权价值增加表!BL5</f>
        <v>135293823.31999999</v>
      </c>
      <c r="BM4" s="26">
        <f>股权价值增加表!BM5</f>
        <v>813612864.95000005</v>
      </c>
      <c r="BN4" s="26">
        <f>股权价值增加表!BN5</f>
        <v>622844547.99000001</v>
      </c>
      <c r="BO4" s="26">
        <f>股权价值增加表!BO5</f>
        <v>416238818.20999998</v>
      </c>
      <c r="BP4" s="26">
        <f>股权价值增加表!BP5</f>
        <v>127007375.92</v>
      </c>
      <c r="BQ4" s="26">
        <f>股权价值增加表!BQ5</f>
        <v>806010835.77999997</v>
      </c>
      <c r="BR4" s="26">
        <f>股权价值增加表!BR5</f>
        <v>396734690.39999998</v>
      </c>
      <c r="BS4" s="26">
        <f>股权价值增加表!BS5</f>
        <v>745112400.61000001</v>
      </c>
      <c r="BT4" s="26">
        <f>股权价值增加表!BT5</f>
        <v>684553298.67999995</v>
      </c>
      <c r="BU4" s="26">
        <f>股权价值增加表!BU5</f>
        <v>614343901.25999999</v>
      </c>
      <c r="BV4" s="26">
        <f>股权价值增加表!BV5</f>
        <v>507100280.88999999</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0.35072189924639979</v>
      </c>
      <c r="F5" s="66">
        <f t="shared" si="2"/>
        <v>0.30535603945483364</v>
      </c>
      <c r="G5" s="66">
        <f t="shared" si="2"/>
        <v>0.30083342926797968</v>
      </c>
      <c r="H5" s="66">
        <f t="shared" si="2"/>
        <v>0.27636245785225444</v>
      </c>
      <c r="I5" s="66">
        <f t="shared" si="2"/>
        <v>0.3873929187643092</v>
      </c>
      <c r="J5" s="66">
        <f t="shared" si="2"/>
        <v>0.39028282573672085</v>
      </c>
      <c r="K5" s="66">
        <f t="shared" si="2"/>
        <v>0.39144051348272169</v>
      </c>
      <c r="L5" s="66">
        <f t="shared" si="2"/>
        <v>0.40100076246150018</v>
      </c>
      <c r="M5" s="66">
        <f t="shared" si="2"/>
        <v>0.40820449427533856</v>
      </c>
      <c r="N5" s="66">
        <f t="shared" si="2"/>
        <v>0.39941202989738794</v>
      </c>
      <c r="O5" s="66">
        <f t="shared" si="2"/>
        <v>0.39301695790834351</v>
      </c>
      <c r="P5" s="66">
        <f t="shared" si="2"/>
        <v>0.39052666401114811</v>
      </c>
      <c r="Q5" s="66">
        <f t="shared" si="2"/>
        <v>0.38184098895850349</v>
      </c>
      <c r="R5" s="66">
        <f t="shared" si="2"/>
        <v>0.38092508954716803</v>
      </c>
      <c r="S5" s="66">
        <f t="shared" si="2"/>
        <v>0.36476042681194581</v>
      </c>
      <c r="T5" s="66">
        <f t="shared" si="2"/>
        <v>0.36513318915053644</v>
      </c>
      <c r="U5" s="66">
        <f t="shared" si="2"/>
        <v>0.37041241568439504</v>
      </c>
      <c r="V5" s="66">
        <f t="shared" si="2"/>
        <v>0.43517103790663636</v>
      </c>
      <c r="W5" s="66">
        <f t="shared" si="2"/>
        <v>0.42625996298166424</v>
      </c>
      <c r="X5" s="66">
        <f t="shared" si="2"/>
        <v>0.43453163442105813</v>
      </c>
      <c r="Y5" s="66">
        <f t="shared" si="2"/>
        <v>0.44987325683180779</v>
      </c>
      <c r="Z5" s="66">
        <f t="shared" si="2"/>
        <v>0.45212014393925926</v>
      </c>
      <c r="AA5" s="66">
        <f t="shared" si="2"/>
        <v>0.45640873347369021</v>
      </c>
      <c r="AB5" s="66">
        <f t="shared" si="2"/>
        <v>0.5008788676591982</v>
      </c>
      <c r="AC5" s="66">
        <f t="shared" si="2"/>
        <v>0.42478545026082365</v>
      </c>
      <c r="AD5" s="66">
        <f t="shared" si="2"/>
        <v>0.4518754104374304</v>
      </c>
      <c r="AE5" s="66">
        <f t="shared" si="2"/>
        <v>0.46160313592338625</v>
      </c>
      <c r="AF5" s="66">
        <f t="shared" si="2"/>
        <v>0.50558064899561861</v>
      </c>
      <c r="AG5" s="66">
        <f t="shared" si="2"/>
        <v>0.45208037591787809</v>
      </c>
      <c r="AH5" s="66">
        <f t="shared" si="2"/>
        <v>0.46734484121717584</v>
      </c>
      <c r="AI5" s="66">
        <f t="shared" si="2"/>
        <v>0.47406809951342938</v>
      </c>
      <c r="AJ5" s="66">
        <f t="shared" si="2"/>
        <v>0.51286221248558395</v>
      </c>
      <c r="AK5" s="66">
        <f t="shared" ref="AK5:BP5" si="3">AK4/AK2</f>
        <v>0.4504032225484621</v>
      </c>
      <c r="AL5" s="66">
        <f t="shared" si="3"/>
        <v>0.46676652994573686</v>
      </c>
      <c r="AM5" s="66">
        <f t="shared" si="3"/>
        <v>0.47696556231275644</v>
      </c>
      <c r="AN5" s="66">
        <f t="shared" si="3"/>
        <v>0.53446892677954605</v>
      </c>
      <c r="AO5" s="66">
        <f t="shared" si="3"/>
        <v>0.48571925859997517</v>
      </c>
      <c r="AP5" s="66">
        <f t="shared" si="3"/>
        <v>0.50925423422955696</v>
      </c>
      <c r="AQ5" s="66">
        <f t="shared" si="3"/>
        <v>0.49549140581021622</v>
      </c>
      <c r="AR5" s="66">
        <f t="shared" si="3"/>
        <v>0.53450016614273066</v>
      </c>
      <c r="AS5" s="66">
        <f t="shared" si="3"/>
        <v>0.54292354428846323</v>
      </c>
      <c r="AT5" s="66">
        <f t="shared" si="3"/>
        <v>0.53203532505743689</v>
      </c>
      <c r="AU5" s="66">
        <f t="shared" si="3"/>
        <v>0.52654712356832978</v>
      </c>
      <c r="AV5" s="66">
        <f t="shared" si="3"/>
        <v>0.56755337386767024</v>
      </c>
      <c r="AW5" s="66">
        <f t="shared" si="3"/>
        <v>0.55796704959953081</v>
      </c>
      <c r="AX5" s="66">
        <f t="shared" si="3"/>
        <v>0.5514971146635026</v>
      </c>
      <c r="AY5" s="66">
        <f t="shared" si="3"/>
        <v>0.54466280122252408</v>
      </c>
      <c r="AZ5" s="66">
        <f t="shared" si="3"/>
        <v>0.57259661133907502</v>
      </c>
      <c r="BA5" s="66">
        <f t="shared" si="3"/>
        <v>0.60489866110418911</v>
      </c>
      <c r="BB5" s="66">
        <f t="shared" si="3"/>
        <v>0.60732072189588338</v>
      </c>
      <c r="BC5" s="66">
        <f t="shared" si="3"/>
        <v>0.60250890274741375</v>
      </c>
      <c r="BD5" s="66">
        <f t="shared" si="3"/>
        <v>0.60439287250065488</v>
      </c>
      <c r="BE5" s="66">
        <f t="shared" si="3"/>
        <v>0.60611302886457663</v>
      </c>
      <c r="BF5" s="66">
        <f t="shared" si="3"/>
        <v>0.59970081782692441</v>
      </c>
      <c r="BG5" s="66">
        <f t="shared" si="3"/>
        <v>0.59659479159282858</v>
      </c>
      <c r="BH5" s="66">
        <f t="shared" si="3"/>
        <v>0.56817386054795205</v>
      </c>
      <c r="BI5" s="66">
        <f t="shared" si="3"/>
        <v>0.59636245344818906</v>
      </c>
      <c r="BJ5" s="66">
        <f t="shared" si="3"/>
        <v>0.59454484530472129</v>
      </c>
      <c r="BK5" s="66">
        <f t="shared" si="3"/>
        <v>0.59244282306887963</v>
      </c>
      <c r="BL5" s="66">
        <f t="shared" si="3"/>
        <v>0.59306809910206737</v>
      </c>
      <c r="BM5" s="66">
        <f t="shared" si="3"/>
        <v>0.5965408556604882</v>
      </c>
      <c r="BN5" s="66">
        <f t="shared" si="3"/>
        <v>0.59842057792078784</v>
      </c>
      <c r="BO5" s="66">
        <f t="shared" si="3"/>
        <v>0.60652141268824589</v>
      </c>
      <c r="BP5" s="66">
        <f t="shared" si="3"/>
        <v>0.56894613469667765</v>
      </c>
      <c r="BQ5" s="66">
        <f t="shared" ref="BQ5:CK5" si="4">BQ4/BQ2</f>
        <v>0.61722935063543383</v>
      </c>
      <c r="BR5" s="66">
        <f t="shared" si="4"/>
        <v>0.62096794027017677</v>
      </c>
      <c r="BS5" s="66">
        <f t="shared" si="4"/>
        <v>0.62761239134079194</v>
      </c>
      <c r="BT5" s="66">
        <f t="shared" si="4"/>
        <v>0.63216819313841166</v>
      </c>
      <c r="BU5" s="66">
        <f t="shared" si="4"/>
        <v>0.62559874088182343</v>
      </c>
      <c r="BV5" s="66">
        <f t="shared" si="4"/>
        <v>0.5635898561093905</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0.10389835960840518</v>
      </c>
      <c r="F6" s="66">
        <f t="shared" ref="F6:BQ6" si="5">(F4-J4)/J4</f>
        <v>-0.28936639826582794</v>
      </c>
      <c r="G6" s="66">
        <f t="shared" si="5"/>
        <v>-0.33521632267926688</v>
      </c>
      <c r="H6" s="66">
        <f t="shared" si="5"/>
        <v>-0.40067502323831028</v>
      </c>
      <c r="I6" s="66">
        <f t="shared" si="5"/>
        <v>-0.13615757278352464</v>
      </c>
      <c r="J6" s="66">
        <f t="shared" si="5"/>
        <v>-9.2627744387983005E-2</v>
      </c>
      <c r="K6" s="66">
        <f t="shared" si="5"/>
        <v>-5.0270519438954345E-2</v>
      </c>
      <c r="L6" s="66">
        <f t="shared" si="5"/>
        <v>-7.8170514659206131E-3</v>
      </c>
      <c r="M6" s="66">
        <f t="shared" si="5"/>
        <v>0.17148667162034145</v>
      </c>
      <c r="N6" s="66">
        <f t="shared" si="5"/>
        <v>0.16155248896958443</v>
      </c>
      <c r="O6" s="66">
        <f t="shared" si="5"/>
        <v>0.22867972027360065</v>
      </c>
      <c r="P6" s="66">
        <f t="shared" si="5"/>
        <v>0.26760361585798681</v>
      </c>
      <c r="Q6" s="66">
        <f t="shared" si="5"/>
        <v>0.23066990417392783</v>
      </c>
      <c r="R6" s="66">
        <f t="shared" si="5"/>
        <v>-9.0642353113038601E-2</v>
      </c>
      <c r="S6" s="66">
        <f t="shared" si="5"/>
        <v>-0.12163199240114897</v>
      </c>
      <c r="T6" s="66">
        <f t="shared" si="5"/>
        <v>-0.14659729802724461</v>
      </c>
      <c r="U6" s="66">
        <f t="shared" si="5"/>
        <v>-0.18314066124188885</v>
      </c>
      <c r="V6" s="66">
        <f t="shared" si="5"/>
        <v>9.0722282892932882E-2</v>
      </c>
      <c r="W6" s="66">
        <f t="shared" si="5"/>
        <v>9.6689450168843533E-2</v>
      </c>
      <c r="X6" s="66">
        <f t="shared" si="5"/>
        <v>8.9652769065179605E-2</v>
      </c>
      <c r="Y6" s="66">
        <f t="shared" si="5"/>
        <v>0.33370400051128069</v>
      </c>
      <c r="Z6" s="66">
        <f t="shared" si="5"/>
        <v>0.2357625131172866</v>
      </c>
      <c r="AA6" s="66">
        <f t="shared" si="5"/>
        <v>0.2032125227920035</v>
      </c>
      <c r="AB6" s="66">
        <f t="shared" si="5"/>
        <v>0.23890756641838595</v>
      </c>
      <c r="AC6" s="66">
        <f t="shared" si="5"/>
        <v>8.6203119835918524E-2</v>
      </c>
      <c r="AD6" s="66">
        <f t="shared" si="5"/>
        <v>0.14073056424398869</v>
      </c>
      <c r="AE6" s="66">
        <f t="shared" si="5"/>
        <v>0.18670062932526557</v>
      </c>
      <c r="AF6" s="66">
        <f t="shared" si="5"/>
        <v>0.24508174782875625</v>
      </c>
      <c r="AG6" s="66">
        <f t="shared" si="5"/>
        <v>0.15140701284433591</v>
      </c>
      <c r="AH6" s="66">
        <f t="shared" si="5"/>
        <v>0.11522928138909463</v>
      </c>
      <c r="AI6" s="66">
        <f t="shared" si="5"/>
        <v>0.10020942664644905</v>
      </c>
      <c r="AJ6" s="66">
        <f t="shared" si="5"/>
        <v>0.10051173673135604</v>
      </c>
      <c r="AK6" s="66">
        <f t="shared" si="5"/>
        <v>3.0131985000974855E-3</v>
      </c>
      <c r="AL6" s="66">
        <f t="shared" si="5"/>
        <v>-4.6851137624617623E-2</v>
      </c>
      <c r="AM6" s="66">
        <f t="shared" si="5"/>
        <v>-9.4566020756520659E-3</v>
      </c>
      <c r="AN6" s="66">
        <f t="shared" si="5"/>
        <v>0.10682934979057085</v>
      </c>
      <c r="AO6" s="66">
        <f t="shared" si="5"/>
        <v>-1.3280420988414207E-2</v>
      </c>
      <c r="AP6" s="66">
        <f t="shared" si="5"/>
        <v>0.12809781177923882</v>
      </c>
      <c r="AQ6" s="66">
        <f t="shared" si="5"/>
        <v>0.12132273026024493</v>
      </c>
      <c r="AR6" s="66">
        <f t="shared" si="5"/>
        <v>4.162950186991124E-2</v>
      </c>
      <c r="AS6" s="66">
        <f t="shared" si="5"/>
        <v>1.885497638847242E-2</v>
      </c>
      <c r="AT6" s="66">
        <f t="shared" si="5"/>
        <v>-1.6550746624912439E-2</v>
      </c>
      <c r="AU6" s="66">
        <f t="shared" si="5"/>
        <v>2.4656833837377667E-2</v>
      </c>
      <c r="AV6" s="66">
        <f t="shared" si="5"/>
        <v>5.2923541925521657E-2</v>
      </c>
      <c r="AW6" s="66">
        <f t="shared" si="5"/>
        <v>2.1933740598294019E-2</v>
      </c>
      <c r="AX6" s="66">
        <f t="shared" si="5"/>
        <v>2.8604168795134024E-2</v>
      </c>
      <c r="AY6" s="66">
        <f t="shared" si="5"/>
        <v>2.1906676752619477E-2</v>
      </c>
      <c r="AZ6" s="66">
        <f t="shared" si="5"/>
        <v>0.10890881217605089</v>
      </c>
      <c r="BA6" s="66">
        <f t="shared" si="5"/>
        <v>0.16537742635972991</v>
      </c>
      <c r="BB6" s="66">
        <f t="shared" si="5"/>
        <v>0.21436508551055608</v>
      </c>
      <c r="BC6" s="66">
        <f t="shared" si="5"/>
        <v>0.26481877941799487</v>
      </c>
      <c r="BD6" s="66">
        <f t="shared" si="5"/>
        <v>0.42204612089054161</v>
      </c>
      <c r="BE6" s="66">
        <f t="shared" si="5"/>
        <v>0.14119486811187798</v>
      </c>
      <c r="BF6" s="66">
        <f t="shared" si="5"/>
        <v>0.1355796757214951</v>
      </c>
      <c r="BG6" s="66">
        <f t="shared" si="5"/>
        <v>5.9308490425078061E-2</v>
      </c>
      <c r="BH6" s="66">
        <f t="shared" si="5"/>
        <v>0.20184403160379252</v>
      </c>
      <c r="BI6" s="66">
        <f t="shared" si="5"/>
        <v>8.9485076731762619E-2</v>
      </c>
      <c r="BJ6" s="66">
        <f t="shared" si="5"/>
        <v>8.9957420516586964E-2</v>
      </c>
      <c r="BK6" s="66">
        <f t="shared" si="5"/>
        <v>4.7743518049231756E-2</v>
      </c>
      <c r="BL6" s="66">
        <f t="shared" si="5"/>
        <v>6.5243828084594849E-2</v>
      </c>
      <c r="BM6" s="66">
        <f t="shared" si="5"/>
        <v>9.4316711792632076E-3</v>
      </c>
      <c r="BN6" s="66">
        <f t="shared" si="5"/>
        <v>0.56992711517621308</v>
      </c>
      <c r="BO6" s="66">
        <f t="shared" si="5"/>
        <v>-0.44137445857935209</v>
      </c>
      <c r="BP6" s="66">
        <f t="shared" si="5"/>
        <v>-0.81446678269624317</v>
      </c>
      <c r="BQ6" s="66">
        <f t="shared" si="5"/>
        <v>0.31198638763548747</v>
      </c>
      <c r="BR6" s="66">
        <f t="shared" ref="BR6:CJ6" si="6">(BR4-BV4)/BV4</f>
        <v>-0.21764056272321505</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4212676177.8400002</v>
      </c>
      <c r="F7" s="27">
        <f>股权价值增加表!F6</f>
        <v>2705333439.0600004</v>
      </c>
      <c r="G7" s="27">
        <f>股权价值增加表!G6</f>
        <v>1854106610.5300002</v>
      </c>
      <c r="H7" s="27">
        <f>股权价值增加表!H6</f>
        <v>969794266.71000004</v>
      </c>
      <c r="I7" s="27">
        <f>股权价值增加表!I6</f>
        <v>3259803733.8099995</v>
      </c>
      <c r="J7" s="27">
        <f>股权价值增加表!J6</f>
        <v>2614377511.3899999</v>
      </c>
      <c r="K7" s="27">
        <f>股权价值增加表!K6</f>
        <v>1865679580.6299999</v>
      </c>
      <c r="L7" s="27">
        <f>股权价值增加表!L6</f>
        <v>923115966.79999995</v>
      </c>
      <c r="M7" s="27">
        <f>股权价值增加表!M6</f>
        <v>3459556825.0100002</v>
      </c>
      <c r="N7" s="27">
        <f>股权价值增加表!N6</f>
        <v>2773251799.27</v>
      </c>
      <c r="O7" s="27">
        <f>股权价值增加表!O6</f>
        <v>1951484665.47</v>
      </c>
      <c r="P7" s="27">
        <f>股权价值增加表!P6</f>
        <v>972047418.73999989</v>
      </c>
      <c r="Q7" s="27">
        <f>股权价值增加表!Q6</f>
        <v>3297667728.3200006</v>
      </c>
      <c r="R7" s="27">
        <f>股权价值增加表!R6</f>
        <v>2580468732.9800005</v>
      </c>
      <c r="S7" s="27">
        <f>股权价值增加表!S6</f>
        <v>1790981149.0400002</v>
      </c>
      <c r="T7" s="27">
        <f>股权价值增加表!T6</f>
        <v>854341055.16000009</v>
      </c>
      <c r="U7" s="27">
        <f>股权价值增加表!U6</f>
        <v>2813314441.8100004</v>
      </c>
      <c r="V7" s="27">
        <f>股权价值增加表!V6</f>
        <v>2266299100.1700001</v>
      </c>
      <c r="W7" s="27">
        <f>股权价值增加表!W6</f>
        <v>1575887786.1899998</v>
      </c>
      <c r="X7" s="27">
        <f>股权价值增加表!X6</f>
        <v>749260546.08000004</v>
      </c>
      <c r="Y7" s="27">
        <f>股权价值增加表!Y6</f>
        <v>2477838280.4899998</v>
      </c>
      <c r="Z7" s="27">
        <f>股权价值增加表!Z6</f>
        <v>1939891959.4699998</v>
      </c>
      <c r="AA7" s="27">
        <f>股权价值增加表!AA6</f>
        <v>1271509279.8999999</v>
      </c>
      <c r="AB7" s="27">
        <f>股权价值增加表!AB6</f>
        <v>526539639.55000001</v>
      </c>
      <c r="AC7" s="27">
        <f>股权价值增加表!AC6</f>
        <v>2057316708.8699999</v>
      </c>
      <c r="AD7" s="27">
        <f>股权价值增加表!AD6</f>
        <v>1571345285.3399999</v>
      </c>
      <c r="AE7" s="27">
        <f>股权价值增加表!AE6</f>
        <v>1034885822.7200001</v>
      </c>
      <c r="AF7" s="27">
        <f>股权价值增加表!AF6</f>
        <v>417084388.70000005</v>
      </c>
      <c r="AG7" s="27">
        <f>股权价值增加表!AG6</f>
        <v>1695239555.7400002</v>
      </c>
      <c r="AH7" s="27">
        <f>股权价值增加表!AH6</f>
        <v>1294305083.3499997</v>
      </c>
      <c r="AI7" s="27">
        <f>股权价值增加表!AI6</f>
        <v>829480680.42999995</v>
      </c>
      <c r="AJ7" s="27">
        <f>股权价值增加表!AJ6</f>
        <v>325366000.31</v>
      </c>
      <c r="AK7" s="27">
        <f>股权价值增加表!AK6</f>
        <v>1482325896.0200002</v>
      </c>
      <c r="AL7" s="27">
        <f>股权价值增加表!AL6</f>
        <v>1163272612.1199999</v>
      </c>
      <c r="AM7" s="27">
        <f>股权价值增加表!AM6</f>
        <v>745221529.55999994</v>
      </c>
      <c r="AN7" s="27">
        <f>股权价值增加表!AN6</f>
        <v>271114400.25999999</v>
      </c>
      <c r="AO7" s="27">
        <f>股权价值增加表!AO6</f>
        <v>1282358034.8900001</v>
      </c>
      <c r="AP7" s="27">
        <f>股权价值增加表!AP6</f>
        <v>1029496767.4899999</v>
      </c>
      <c r="AQ7" s="27">
        <f>股权价值增加表!AQ6</f>
        <v>698555742.07000005</v>
      </c>
      <c r="AR7" s="27">
        <f>股权价值增加表!AR6</f>
        <v>244916131.62</v>
      </c>
      <c r="AS7" s="27">
        <f>股权价值增加表!AS6</f>
        <v>1033357959.8800001</v>
      </c>
      <c r="AT7" s="27">
        <f>股权价值增加表!AT6</f>
        <v>832969156.04000008</v>
      </c>
      <c r="AU7" s="27">
        <f>股权价值增加表!AU6</f>
        <v>550145434.53999996</v>
      </c>
      <c r="AV7" s="27">
        <f>股权价值增加表!AV6</f>
        <v>205711341.86000001</v>
      </c>
      <c r="AW7" s="27">
        <f>股权价值增加表!AW6</f>
        <v>954408578.02999997</v>
      </c>
      <c r="AX7" s="27">
        <f>股权价值增加表!AX6</f>
        <v>783116473.44999993</v>
      </c>
      <c r="AY7" s="27">
        <f>股权价值增加表!AY6</f>
        <v>499188962</v>
      </c>
      <c r="AZ7" s="27">
        <f>股权价值增加表!AZ6</f>
        <v>191392442.69</v>
      </c>
      <c r="BA7" s="27">
        <f>股权价值增加表!BA6</f>
        <v>770001165.51999998</v>
      </c>
      <c r="BB7" s="27">
        <f>股权价值增加表!BB6</f>
        <v>605307377.7299999</v>
      </c>
      <c r="BC7" s="27">
        <f>股权价值增加表!BC6</f>
        <v>385489238.40999997</v>
      </c>
      <c r="BD7" s="27">
        <f>股权价值增加表!BD6</f>
        <v>151350735.68000001</v>
      </c>
      <c r="BE7" s="27">
        <f>股权价值增加表!BE6</f>
        <v>657380623.43999994</v>
      </c>
      <c r="BF7" s="27">
        <f>股权价值增加表!BF6</f>
        <v>514584703.73000002</v>
      </c>
      <c r="BG7" s="27">
        <f>股权价值增加表!BG6</f>
        <v>312379164.74000001</v>
      </c>
      <c r="BH7" s="27">
        <f>股权价值增加表!BH6</f>
        <v>123581584.42000002</v>
      </c>
      <c r="BI7" s="27">
        <f>股权价值增加表!BI6</f>
        <v>599957321.95999992</v>
      </c>
      <c r="BJ7" s="27">
        <f>股权价值增加表!BJ6</f>
        <v>462964198.29000008</v>
      </c>
      <c r="BK7" s="27">
        <f>股权价值增加表!BK6</f>
        <v>300012717.72000003</v>
      </c>
      <c r="BL7" s="27">
        <f>股权价值增加表!BL6</f>
        <v>92831451.879999995</v>
      </c>
      <c r="BM7" s="27">
        <f>股权价值增加表!BM6</f>
        <v>550271699.25</v>
      </c>
      <c r="BN7" s="27">
        <f>股权价值增加表!BN6</f>
        <v>417969506.49000001</v>
      </c>
      <c r="BO7" s="27">
        <f>股权价值增加表!BO6</f>
        <v>270033437.81</v>
      </c>
      <c r="BP7" s="27">
        <f>股权价值增加表!BP6</f>
        <v>96225313.739999995</v>
      </c>
      <c r="BQ7" s="27">
        <f>股权价值增加表!BQ6</f>
        <v>499842223.46000004</v>
      </c>
      <c r="BR7" s="27">
        <f>股权价值增加表!BR6</f>
        <v>242162529.04000008</v>
      </c>
      <c r="BS7" s="27">
        <f>股权价值增加表!BS6</f>
        <v>442105077.70999992</v>
      </c>
      <c r="BT7" s="27">
        <f>股权价值增加表!BT6</f>
        <v>398312473.61000001</v>
      </c>
      <c r="BU7" s="27">
        <f>股权价值增加表!BU6</f>
        <v>367665589.99000001</v>
      </c>
      <c r="BV7" s="27">
        <f>股权价值增加表!BV6</f>
        <v>392668008.75</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0.64927810075360026</v>
      </c>
      <c r="F8" s="66">
        <f t="shared" ref="F8:BQ8" si="7">F7/F2</f>
        <v>0.69464396054516642</v>
      </c>
      <c r="G8" s="66">
        <f t="shared" si="7"/>
        <v>0.69916657073202038</v>
      </c>
      <c r="H8" s="66">
        <f t="shared" si="7"/>
        <v>0.72363754214774556</v>
      </c>
      <c r="I8" s="66">
        <f t="shared" si="7"/>
        <v>0.61260708123569074</v>
      </c>
      <c r="J8" s="66">
        <f t="shared" si="7"/>
        <v>0.60971717426327909</v>
      </c>
      <c r="K8" s="66">
        <f t="shared" si="7"/>
        <v>0.60855948651727831</v>
      </c>
      <c r="L8" s="66">
        <f t="shared" si="7"/>
        <v>0.59899923753849982</v>
      </c>
      <c r="M8" s="66">
        <f t="shared" si="7"/>
        <v>0.59179550572466144</v>
      </c>
      <c r="N8" s="66">
        <f t="shared" si="7"/>
        <v>0.60058797010261211</v>
      </c>
      <c r="O8" s="66">
        <f t="shared" si="7"/>
        <v>0.60698304209165643</v>
      </c>
      <c r="P8" s="66">
        <f t="shared" si="7"/>
        <v>0.60947333598885189</v>
      </c>
      <c r="Q8" s="66">
        <f t="shared" si="7"/>
        <v>0.61815901104149651</v>
      </c>
      <c r="R8" s="66">
        <f t="shared" si="7"/>
        <v>0.61907491045283203</v>
      </c>
      <c r="S8" s="66">
        <f t="shared" si="7"/>
        <v>0.63523957318805413</v>
      </c>
      <c r="T8" s="66">
        <f t="shared" si="7"/>
        <v>0.6348668108494635</v>
      </c>
      <c r="U8" s="66">
        <f t="shared" si="7"/>
        <v>0.62958758431560502</v>
      </c>
      <c r="V8" s="66">
        <f t="shared" si="7"/>
        <v>0.56482896209336375</v>
      </c>
      <c r="W8" s="66">
        <f t="shared" si="7"/>
        <v>0.57374003701833576</v>
      </c>
      <c r="X8" s="66">
        <f t="shared" si="7"/>
        <v>0.56546836557894187</v>
      </c>
      <c r="Y8" s="66">
        <f t="shared" si="7"/>
        <v>0.55012674316819221</v>
      </c>
      <c r="Z8" s="66">
        <f t="shared" si="7"/>
        <v>0.54787985606074074</v>
      </c>
      <c r="AA8" s="66">
        <f t="shared" si="7"/>
        <v>0.54359126652630974</v>
      </c>
      <c r="AB8" s="66">
        <f t="shared" si="7"/>
        <v>0.4991211323408018</v>
      </c>
      <c r="AC8" s="66">
        <f t="shared" si="7"/>
        <v>0.57521454973917641</v>
      </c>
      <c r="AD8" s="66">
        <f t="shared" si="7"/>
        <v>0.5481245895625696</v>
      </c>
      <c r="AE8" s="66">
        <f t="shared" si="7"/>
        <v>0.53839686407661369</v>
      </c>
      <c r="AF8" s="66">
        <f t="shared" si="7"/>
        <v>0.49441935100438145</v>
      </c>
      <c r="AG8" s="66">
        <f t="shared" si="7"/>
        <v>0.54791962408212191</v>
      </c>
      <c r="AH8" s="66">
        <f t="shared" si="7"/>
        <v>0.53265515878282421</v>
      </c>
      <c r="AI8" s="66">
        <f t="shared" si="7"/>
        <v>0.52593190048657068</v>
      </c>
      <c r="AJ8" s="66">
        <f t="shared" si="7"/>
        <v>0.48713778751441605</v>
      </c>
      <c r="AK8" s="66">
        <f t="shared" si="7"/>
        <v>0.5495967774515379</v>
      </c>
      <c r="AL8" s="66">
        <f t="shared" si="7"/>
        <v>0.53323347005426314</v>
      </c>
      <c r="AM8" s="66">
        <f t="shared" si="7"/>
        <v>0.52303443768724356</v>
      </c>
      <c r="AN8" s="66">
        <f t="shared" si="7"/>
        <v>0.46553107322045401</v>
      </c>
      <c r="AO8" s="66">
        <f t="shared" si="7"/>
        <v>0.51428074140002478</v>
      </c>
      <c r="AP8" s="66">
        <f t="shared" si="7"/>
        <v>0.49074576577044304</v>
      </c>
      <c r="AQ8" s="66">
        <f t="shared" si="7"/>
        <v>0.50450859418978378</v>
      </c>
      <c r="AR8" s="66">
        <f t="shared" si="7"/>
        <v>0.46549983385726934</v>
      </c>
      <c r="AS8" s="66">
        <f t="shared" si="7"/>
        <v>0.45707645571153682</v>
      </c>
      <c r="AT8" s="66">
        <f t="shared" si="7"/>
        <v>0.46796467494256311</v>
      </c>
      <c r="AU8" s="66">
        <f t="shared" si="7"/>
        <v>0.47345287643167022</v>
      </c>
      <c r="AV8" s="66">
        <f t="shared" si="7"/>
        <v>0.4324466261323297</v>
      </c>
      <c r="AW8" s="66">
        <f t="shared" si="7"/>
        <v>0.44203295040046914</v>
      </c>
      <c r="AX8" s="66">
        <f t="shared" si="7"/>
        <v>0.4485028853364974</v>
      </c>
      <c r="AY8" s="66">
        <f t="shared" si="7"/>
        <v>0.45533719877747592</v>
      </c>
      <c r="AZ8" s="66">
        <f t="shared" si="7"/>
        <v>0.42740338866092498</v>
      </c>
      <c r="BA8" s="66">
        <f t="shared" si="7"/>
        <v>0.39510133889581089</v>
      </c>
      <c r="BB8" s="66">
        <f t="shared" si="7"/>
        <v>0.39267927810411662</v>
      </c>
      <c r="BC8" s="66">
        <f t="shared" si="7"/>
        <v>0.39749109725258619</v>
      </c>
      <c r="BD8" s="66">
        <f t="shared" si="7"/>
        <v>0.39560712749934518</v>
      </c>
      <c r="BE8" s="66">
        <f t="shared" si="7"/>
        <v>0.39388697113542342</v>
      </c>
      <c r="BF8" s="66">
        <f t="shared" si="7"/>
        <v>0.40029918217307553</v>
      </c>
      <c r="BG8" s="66">
        <f t="shared" si="7"/>
        <v>0.40340520840717148</v>
      </c>
      <c r="BH8" s="66">
        <f t="shared" si="7"/>
        <v>0.43182613945204795</v>
      </c>
      <c r="BI8" s="66">
        <f t="shared" si="7"/>
        <v>0.40363754655181089</v>
      </c>
      <c r="BJ8" s="66">
        <f t="shared" si="7"/>
        <v>0.40545515469527871</v>
      </c>
      <c r="BK8" s="66">
        <f t="shared" si="7"/>
        <v>0.40755717693112042</v>
      </c>
      <c r="BL8" s="66">
        <f t="shared" si="7"/>
        <v>0.40693190089793257</v>
      </c>
      <c r="BM8" s="66">
        <f t="shared" si="7"/>
        <v>0.4034591443395118</v>
      </c>
      <c r="BN8" s="66">
        <f t="shared" si="7"/>
        <v>0.4015794220792121</v>
      </c>
      <c r="BO8" s="66">
        <f t="shared" si="7"/>
        <v>0.39347858731175406</v>
      </c>
      <c r="BP8" s="66">
        <f t="shared" si="7"/>
        <v>0.43105386530332235</v>
      </c>
      <c r="BQ8" s="66">
        <f t="shared" si="7"/>
        <v>0.38277064936456612</v>
      </c>
      <c r="BR8" s="66">
        <f t="shared" ref="BR8:CJ8" si="8">BR7/BR2</f>
        <v>0.37903205972982323</v>
      </c>
      <c r="BS8" s="66">
        <f t="shared" si="8"/>
        <v>0.372387608659208</v>
      </c>
      <c r="BT8" s="66">
        <f t="shared" si="8"/>
        <v>0.3678318068615884</v>
      </c>
      <c r="BU8" s="66">
        <f t="shared" si="8"/>
        <v>0.37440125911817657</v>
      </c>
      <c r="BV8" s="66">
        <f t="shared" si="8"/>
        <v>0.4364101438906095</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0.2923097590652492</v>
      </c>
      <c r="F9" s="66">
        <f t="shared" ref="F9:BQ9" si="9">(F7-J7)/J7</f>
        <v>3.4790663274043211E-2</v>
      </c>
      <c r="G9" s="66">
        <f t="shared" si="9"/>
        <v>-6.2030855781203993E-3</v>
      </c>
      <c r="H9" s="66">
        <f t="shared" si="9"/>
        <v>5.0566019426368881E-2</v>
      </c>
      <c r="I9" s="66">
        <f t="shared" si="9"/>
        <v>-5.7739502862313399E-2</v>
      </c>
      <c r="J9" s="66">
        <f t="shared" si="9"/>
        <v>-5.7288086109534092E-2</v>
      </c>
      <c r="K9" s="66">
        <f t="shared" si="9"/>
        <v>-4.396913096897672E-2</v>
      </c>
      <c r="L9" s="66">
        <f t="shared" si="9"/>
        <v>-5.0338544186894207E-2</v>
      </c>
      <c r="M9" s="66">
        <f t="shared" si="9"/>
        <v>4.9091997747290964E-2</v>
      </c>
      <c r="N9" s="66">
        <f t="shared" si="9"/>
        <v>7.4708545709588195E-2</v>
      </c>
      <c r="O9" s="66">
        <f t="shared" si="9"/>
        <v>8.9617647017687901E-2</v>
      </c>
      <c r="P9" s="66">
        <f t="shared" si="9"/>
        <v>0.13777444367104175</v>
      </c>
      <c r="Q9" s="66">
        <f t="shared" si="9"/>
        <v>0.17216464655062949</v>
      </c>
      <c r="R9" s="66">
        <f t="shared" si="9"/>
        <v>0.13862672971384662</v>
      </c>
      <c r="S9" s="66">
        <f t="shared" si="9"/>
        <v>0.13649027851788126</v>
      </c>
      <c r="T9" s="66">
        <f t="shared" si="9"/>
        <v>0.14024561900364682</v>
      </c>
      <c r="U9" s="66">
        <f t="shared" si="9"/>
        <v>0.13539066046459627</v>
      </c>
      <c r="V9" s="66">
        <f t="shared" si="9"/>
        <v>0.16826047404680122</v>
      </c>
      <c r="W9" s="66">
        <f t="shared" si="9"/>
        <v>0.23938362944070557</v>
      </c>
      <c r="X9" s="66">
        <f t="shared" si="9"/>
        <v>0.42298981843104055</v>
      </c>
      <c r="Y9" s="66">
        <f t="shared" si="9"/>
        <v>0.20440293407764876</v>
      </c>
      <c r="Z9" s="66">
        <f t="shared" si="9"/>
        <v>0.23454213250797742</v>
      </c>
      <c r="AA9" s="66">
        <f t="shared" si="9"/>
        <v>0.22864692122081648</v>
      </c>
      <c r="AB9" s="66">
        <f t="shared" si="9"/>
        <v>0.26242950782971836</v>
      </c>
      <c r="AC9" s="66">
        <f t="shared" si="9"/>
        <v>0.21358465351048686</v>
      </c>
      <c r="AD9" s="66">
        <f t="shared" si="9"/>
        <v>0.21404551798015645</v>
      </c>
      <c r="AE9" s="66">
        <f t="shared" si="9"/>
        <v>0.24763101436373283</v>
      </c>
      <c r="AF9" s="66">
        <f t="shared" si="9"/>
        <v>0.28189297069335217</v>
      </c>
      <c r="AG9" s="66">
        <f t="shared" si="9"/>
        <v>0.14363485134521814</v>
      </c>
      <c r="AH9" s="66">
        <f t="shared" si="9"/>
        <v>0.1126412414981561</v>
      </c>
      <c r="AI9" s="66">
        <f t="shared" si="9"/>
        <v>0.11306591064236833</v>
      </c>
      <c r="AJ9" s="66">
        <f t="shared" si="9"/>
        <v>0.20010593313366046</v>
      </c>
      <c r="AK9" s="66">
        <f t="shared" si="9"/>
        <v>0.15593762092125327</v>
      </c>
      <c r="AL9" s="66">
        <f t="shared" si="9"/>
        <v>0.1299429477143059</v>
      </c>
      <c r="AM9" s="66">
        <f t="shared" si="9"/>
        <v>6.6803240857654655E-2</v>
      </c>
      <c r="AN9" s="66">
        <f t="shared" si="9"/>
        <v>0.10696832612336026</v>
      </c>
      <c r="AO9" s="66">
        <f t="shared" si="9"/>
        <v>0.24096207188350821</v>
      </c>
      <c r="AP9" s="66">
        <f t="shared" si="9"/>
        <v>0.23593624088592585</v>
      </c>
      <c r="AQ9" s="66">
        <f t="shared" si="9"/>
        <v>0.26976558962829944</v>
      </c>
      <c r="AR9" s="66">
        <f t="shared" si="9"/>
        <v>0.19058156641008839</v>
      </c>
      <c r="AS9" s="66">
        <f t="shared" si="9"/>
        <v>8.2720737918093742E-2</v>
      </c>
      <c r="AT9" s="66">
        <f t="shared" si="9"/>
        <v>6.3659346061736399E-2</v>
      </c>
      <c r="AU9" s="66">
        <f t="shared" si="9"/>
        <v>0.10207852420422701</v>
      </c>
      <c r="AV9" s="66">
        <f t="shared" si="9"/>
        <v>7.4814339420874953E-2</v>
      </c>
      <c r="AW9" s="66">
        <f t="shared" si="9"/>
        <v>0.23948978361021742</v>
      </c>
      <c r="AX9" s="66">
        <f t="shared" si="9"/>
        <v>0.29375008840436201</v>
      </c>
      <c r="AY9" s="66">
        <f t="shared" si="9"/>
        <v>0.29494915100346042</v>
      </c>
      <c r="AZ9" s="66">
        <f t="shared" si="9"/>
        <v>0.26456235465323369</v>
      </c>
      <c r="BA9" s="66">
        <f t="shared" si="9"/>
        <v>0.17131710011571261</v>
      </c>
      <c r="BB9" s="66">
        <f t="shared" si="9"/>
        <v>0.17630270263066664</v>
      </c>
      <c r="BC9" s="66">
        <f t="shared" si="9"/>
        <v>0.23404273371065276</v>
      </c>
      <c r="BD9" s="66">
        <f t="shared" si="9"/>
        <v>0.22470298783049045</v>
      </c>
      <c r="BE9" s="66">
        <f t="shared" si="9"/>
        <v>9.571231048969267E-2</v>
      </c>
      <c r="BF9" s="66">
        <f t="shared" si="9"/>
        <v>0.11149999423425164</v>
      </c>
      <c r="BG9" s="66">
        <f t="shared" si="9"/>
        <v>4.1219742662847739E-2</v>
      </c>
      <c r="BH9" s="66">
        <f t="shared" si="9"/>
        <v>0.33124692027600361</v>
      </c>
      <c r="BI9" s="66">
        <f t="shared" si="9"/>
        <v>9.0292891271202186E-2</v>
      </c>
      <c r="BJ9" s="66">
        <f t="shared" si="9"/>
        <v>0.10765065657026962</v>
      </c>
      <c r="BK9" s="66">
        <f t="shared" si="9"/>
        <v>0.11102062082805443</v>
      </c>
      <c r="BL9" s="66">
        <f t="shared" si="9"/>
        <v>-3.5269948499936164E-2</v>
      </c>
      <c r="BM9" s="66">
        <f t="shared" si="9"/>
        <v>0.10089078797889028</v>
      </c>
      <c r="BN9" s="66">
        <f t="shared" si="9"/>
        <v>0.72598753468155419</v>
      </c>
      <c r="BO9" s="66">
        <f t="shared" si="9"/>
        <v>-0.38920982493865586</v>
      </c>
      <c r="BP9" s="66">
        <f t="shared" si="9"/>
        <v>-0.75841752363945003</v>
      </c>
      <c r="BQ9" s="66">
        <f t="shared" si="9"/>
        <v>0.35950232240551816</v>
      </c>
      <c r="BR9" s="66">
        <f t="shared" ref="BR9:CK9" si="10">(BR7-BV7)/BV7</f>
        <v>-0.38328938532352469</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57631247.090000004</v>
      </c>
      <c r="F10" s="27">
        <f>股权价值增加表!F8</f>
        <v>40695499.689999998</v>
      </c>
      <c r="G10" s="27">
        <f>股权价值增加表!G8</f>
        <v>27560181.59</v>
      </c>
      <c r="H10" s="27">
        <f>股权价值增加表!H8</f>
        <v>15002220.710000001</v>
      </c>
      <c r="I10" s="27">
        <f>股权价值增加表!I8</f>
        <v>54876964.950000003</v>
      </c>
      <c r="J10" s="27">
        <f>股权价值增加表!J8</f>
        <v>39067898.759999998</v>
      </c>
      <c r="K10" s="27">
        <f>股权价值增加表!K8</f>
        <v>28660758.109999999</v>
      </c>
      <c r="L10" s="27">
        <f>股权价值增加表!L8</f>
        <v>14162463.960000001</v>
      </c>
      <c r="M10" s="27">
        <f>股权价值增加表!M8</f>
        <v>53271692.960000001</v>
      </c>
      <c r="N10" s="27">
        <f>股权价值增加表!N8</f>
        <v>39032129.200000003</v>
      </c>
      <c r="O10" s="27">
        <f>股权价值增加表!O8</f>
        <v>26720531.32</v>
      </c>
      <c r="P10" s="27">
        <f>股权价值增加表!P8</f>
        <v>12397289.550000001</v>
      </c>
      <c r="Q10" s="27">
        <f>股权价值增加表!Q8</f>
        <v>49016624.950000003</v>
      </c>
      <c r="R10" s="27">
        <f>股权价值增加表!R8</f>
        <v>36938026.619999997</v>
      </c>
      <c r="S10" s="27">
        <f>股权价值增加表!S8</f>
        <v>25580343.379999999</v>
      </c>
      <c r="T10" s="27">
        <f>股权价值增加表!T8</f>
        <v>13484998.689999999</v>
      </c>
      <c r="U10" s="27">
        <f>股权价值增加表!U8</f>
        <v>42391244.020000003</v>
      </c>
      <c r="V10" s="27">
        <f>股权价值增加表!V8</f>
        <v>32973704.579999998</v>
      </c>
      <c r="W10" s="27">
        <f>股权价值增加表!W8</f>
        <v>23220510.48</v>
      </c>
      <c r="X10" s="27">
        <f>股权价值增加表!X8</f>
        <v>10855615.199999999</v>
      </c>
      <c r="Y10" s="27">
        <f>股权价值增加表!Y8</f>
        <v>42712762.039999999</v>
      </c>
      <c r="Z10" s="27">
        <f>股权价值增加表!Z8</f>
        <v>32243777.530000001</v>
      </c>
      <c r="AA10" s="27">
        <f>股权价值增加表!AA8</f>
        <v>21627404.109999999</v>
      </c>
      <c r="AB10" s="27">
        <f>股权价值增加表!AB8</f>
        <v>9982834.8900000006</v>
      </c>
      <c r="AC10" s="27">
        <f>股权价值增加表!AC8</f>
        <v>37305340.57</v>
      </c>
      <c r="AD10" s="27">
        <f>股权价值增加表!AD8</f>
        <v>28815053.899999999</v>
      </c>
      <c r="AE10" s="27">
        <f>股权价值增加表!AE8</f>
        <v>19917063.800000001</v>
      </c>
      <c r="AF10" s="27">
        <f>股权价值增加表!AF8</f>
        <v>8951172.3200000003</v>
      </c>
      <c r="AG10" s="27">
        <f>股权价值增加表!AG8</f>
        <v>24898578.940000001</v>
      </c>
      <c r="AH10" s="27">
        <f>股权价值增加表!AH8</f>
        <v>19135700.510000002</v>
      </c>
      <c r="AI10" s="27">
        <f>股权价值增加表!AI8</f>
        <v>13190818.609999999</v>
      </c>
      <c r="AJ10" s="27">
        <f>股权价值增加表!AJ8</f>
        <v>5680096.5499999998</v>
      </c>
      <c r="AK10" s="27">
        <f>股权价值增加表!AK8</f>
        <v>24131689.260000002</v>
      </c>
      <c r="AL10" s="27">
        <f>股权价值增加表!AL8</f>
        <v>19607593.059999999</v>
      </c>
      <c r="AM10" s="27">
        <f>股权价值增加表!AM8</f>
        <v>13508124.689999999</v>
      </c>
      <c r="AN10" s="27">
        <f>股权价值增加表!AN8</f>
        <v>5270095.57</v>
      </c>
      <c r="AO10" s="27">
        <f>股权价值增加表!AO8</f>
        <v>26137711.710000001</v>
      </c>
      <c r="AP10" s="27">
        <f>股权价值增加表!AP8</f>
        <v>21600078.949999999</v>
      </c>
      <c r="AQ10" s="27">
        <f>股权价值增加表!AQ8</f>
        <v>14157745.9</v>
      </c>
      <c r="AR10" s="27">
        <f>股权价值增加表!AR8</f>
        <v>6272272.1900000004</v>
      </c>
      <c r="AS10" s="27">
        <f>股权价值增加表!AS8</f>
        <v>19311737.25</v>
      </c>
      <c r="AT10" s="27">
        <f>股权价值增加表!AT8</f>
        <v>14822084.77</v>
      </c>
      <c r="AU10" s="27">
        <f>股权价值增加表!AU8</f>
        <v>8949459.5399999991</v>
      </c>
      <c r="AV10" s="27">
        <f>股权价值增加表!AV8</f>
        <v>3697421.15</v>
      </c>
      <c r="AW10" s="27">
        <f>股权价值增加表!AW8</f>
        <v>21317311.010000002</v>
      </c>
      <c r="AX10" s="27">
        <f>股权价值增加表!AX8</f>
        <v>17881438.190000001</v>
      </c>
      <c r="AY10" s="27">
        <f>股权价值增加表!AY8</f>
        <v>13268491</v>
      </c>
      <c r="AZ10" s="27">
        <f>股权价值增加表!AZ8</f>
        <v>9252617.6999999993</v>
      </c>
      <c r="BA10" s="27">
        <f>股权价值增加表!BA8</f>
        <v>38234251.119999997</v>
      </c>
      <c r="BB10" s="27">
        <f>股权价值增加表!BB8</f>
        <v>29892040.010000002</v>
      </c>
      <c r="BC10" s="27">
        <f>股权价值增加表!BC8</f>
        <v>19869030.59</v>
      </c>
      <c r="BD10" s="27">
        <f>股权价值增加表!BD8</f>
        <v>6311405.9299999997</v>
      </c>
      <c r="BE10" s="27">
        <f>股权价值增加表!BE8</f>
        <v>34714682.539999999</v>
      </c>
      <c r="BF10" s="27">
        <f>股权价值增加表!BF8</f>
        <v>26974898.289999999</v>
      </c>
      <c r="BG10" s="27">
        <f>股权价值增加表!BG8</f>
        <v>17093531.870000001</v>
      </c>
      <c r="BH10" s="27">
        <f>股权价值增加表!BH8</f>
        <v>7311398.4100000001</v>
      </c>
      <c r="BI10" s="27">
        <f>股权价值增加表!BI8</f>
        <v>31680543.07</v>
      </c>
      <c r="BJ10" s="27">
        <f>股权价值增加表!BJ8</f>
        <v>24007668.27</v>
      </c>
      <c r="BK10" s="27">
        <f>股权价值增加表!BK8</f>
        <v>15994048.609999999</v>
      </c>
      <c r="BL10" s="27">
        <f>股权价值增加表!BL8</f>
        <v>5594164.9100000001</v>
      </c>
      <c r="BM10" s="27">
        <f>股权价值增加表!BM8</f>
        <v>34640288.57</v>
      </c>
      <c r="BN10" s="27">
        <f>股权价值增加表!BN8</f>
        <v>25653875.440000001</v>
      </c>
      <c r="BO10" s="27">
        <f>股权价值增加表!BO8</f>
        <v>16083630.449999999</v>
      </c>
      <c r="BP10" s="27">
        <f>股权价值增加表!BP8</f>
        <v>6834317.6399999997</v>
      </c>
      <c r="BQ10" s="27">
        <f>股权价值增加表!BQ8</f>
        <v>30470571.870000001</v>
      </c>
      <c r="BR10" s="27">
        <f>股权价值增加表!BR8</f>
        <v>13894448.5</v>
      </c>
      <c r="BS10" s="27">
        <f>股权价值增加表!BS8</f>
        <v>27050067.059999999</v>
      </c>
      <c r="BT10" s="27">
        <f>股权价值增加表!BT8</f>
        <v>19777621.059999999</v>
      </c>
      <c r="BU10" s="27">
        <f>股权价值增加表!BU8</f>
        <v>25906031.09</v>
      </c>
      <c r="BV10" s="27">
        <f>股权价值增加表!BV8</f>
        <v>29190402.43</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8.8824075421440659E-3</v>
      </c>
      <c r="F11" s="57">
        <f t="shared" ref="F11:BQ11" si="11">F10/F2</f>
        <v>1.0449315663968041E-2</v>
      </c>
      <c r="G11" s="57">
        <f t="shared" si="11"/>
        <v>1.0392691305665499E-2</v>
      </c>
      <c r="H11" s="57">
        <f t="shared" si="11"/>
        <v>1.1194302228834226E-2</v>
      </c>
      <c r="I11" s="57">
        <f t="shared" si="11"/>
        <v>1.0312896134332811E-2</v>
      </c>
      <c r="J11" s="57">
        <f t="shared" si="11"/>
        <v>9.111296563932867E-3</v>
      </c>
      <c r="K11" s="57">
        <f t="shared" si="11"/>
        <v>9.3487522829229907E-3</v>
      </c>
      <c r="L11" s="57">
        <f t="shared" si="11"/>
        <v>9.1898584997007812E-3</v>
      </c>
      <c r="M11" s="57">
        <f t="shared" si="11"/>
        <v>9.1127130065224351E-3</v>
      </c>
      <c r="N11" s="57">
        <f t="shared" si="11"/>
        <v>8.4529746816288248E-3</v>
      </c>
      <c r="O11" s="57">
        <f t="shared" si="11"/>
        <v>8.311061661872083E-3</v>
      </c>
      <c r="P11" s="57">
        <f t="shared" si="11"/>
        <v>7.7730955029460744E-3</v>
      </c>
      <c r="Q11" s="57">
        <f t="shared" si="11"/>
        <v>9.1883327551379283E-3</v>
      </c>
      <c r="R11" s="57">
        <f t="shared" si="11"/>
        <v>8.8617254802668653E-3</v>
      </c>
      <c r="S11" s="57">
        <f t="shared" si="11"/>
        <v>9.0730415668669566E-3</v>
      </c>
      <c r="T11" s="57">
        <f t="shared" si="11"/>
        <v>1.0020796801139523E-2</v>
      </c>
      <c r="U11" s="57">
        <f t="shared" si="11"/>
        <v>9.4866754039460485E-3</v>
      </c>
      <c r="V11" s="57">
        <f t="shared" si="11"/>
        <v>8.21802529635101E-3</v>
      </c>
      <c r="W11" s="57">
        <f t="shared" si="11"/>
        <v>8.453988068902768E-3</v>
      </c>
      <c r="X11" s="57">
        <f t="shared" si="11"/>
        <v>8.1927535309492955E-3</v>
      </c>
      <c r="Y11" s="57">
        <f t="shared" si="11"/>
        <v>9.4830372336230529E-3</v>
      </c>
      <c r="Z11" s="57">
        <f t="shared" si="11"/>
        <v>9.106546426852255E-3</v>
      </c>
      <c r="AA11" s="57">
        <f t="shared" si="11"/>
        <v>9.2460732907555538E-3</v>
      </c>
      <c r="AB11" s="57">
        <f t="shared" si="11"/>
        <v>9.4629985665018752E-3</v>
      </c>
      <c r="AC11" s="57">
        <f t="shared" si="11"/>
        <v>1.0430370096311276E-2</v>
      </c>
      <c r="AD11" s="57">
        <f t="shared" si="11"/>
        <v>1.005141246772083E-2</v>
      </c>
      <c r="AE11" s="57">
        <f t="shared" si="11"/>
        <v>1.0361804612754027E-2</v>
      </c>
      <c r="AF11" s="57">
        <f t="shared" si="11"/>
        <v>1.0610880984965484E-2</v>
      </c>
      <c r="AG11" s="57">
        <f t="shared" si="11"/>
        <v>8.0474880183106015E-3</v>
      </c>
      <c r="AH11" s="57">
        <f t="shared" si="11"/>
        <v>7.8750595394349952E-3</v>
      </c>
      <c r="AI11" s="57">
        <f t="shared" si="11"/>
        <v>8.363633372310204E-3</v>
      </c>
      <c r="AJ11" s="57">
        <f t="shared" si="11"/>
        <v>8.5042372700250002E-3</v>
      </c>
      <c r="AK11" s="57">
        <f t="shared" si="11"/>
        <v>8.9472218540928346E-3</v>
      </c>
      <c r="AL11" s="57">
        <f t="shared" si="11"/>
        <v>8.9879403829006641E-3</v>
      </c>
      <c r="AM11" s="57">
        <f t="shared" si="11"/>
        <v>9.4806901319864235E-3</v>
      </c>
      <c r="AN11" s="57">
        <f t="shared" si="11"/>
        <v>9.0492915327391125E-3</v>
      </c>
      <c r="AO11" s="57">
        <f t="shared" si="11"/>
        <v>1.0482346888302508E-2</v>
      </c>
      <c r="AP11" s="57">
        <f t="shared" si="11"/>
        <v>1.0296435714765606E-2</v>
      </c>
      <c r="AQ11" s="57">
        <f t="shared" si="11"/>
        <v>1.0224959943410539E-2</v>
      </c>
      <c r="AR11" s="57">
        <f t="shared" si="11"/>
        <v>1.1921393838127006E-2</v>
      </c>
      <c r="AS11" s="57">
        <f t="shared" si="11"/>
        <v>8.5419968283667151E-3</v>
      </c>
      <c r="AT11" s="57">
        <f t="shared" si="11"/>
        <v>8.3270935437026929E-3</v>
      </c>
      <c r="AU11" s="57">
        <f t="shared" si="11"/>
        <v>7.7018677166060846E-3</v>
      </c>
      <c r="AV11" s="57">
        <f t="shared" si="11"/>
        <v>7.7727231141003382E-3</v>
      </c>
      <c r="AW11" s="57">
        <f t="shared" si="11"/>
        <v>9.8730817149660123E-3</v>
      </c>
      <c r="AX11" s="57">
        <f t="shared" si="11"/>
        <v>1.0240975505022735E-2</v>
      </c>
      <c r="AY11" s="57">
        <f t="shared" si="11"/>
        <v>1.2102906882672919E-2</v>
      </c>
      <c r="AZ11" s="57">
        <f t="shared" si="11"/>
        <v>2.066225867324006E-2</v>
      </c>
      <c r="BA11" s="57">
        <f t="shared" si="11"/>
        <v>1.9618676549650344E-2</v>
      </c>
      <c r="BB11" s="57">
        <f t="shared" si="11"/>
        <v>1.9391775359166287E-2</v>
      </c>
      <c r="BC11" s="57">
        <f t="shared" si="11"/>
        <v>2.048763488998977E-2</v>
      </c>
      <c r="BD11" s="57">
        <f t="shared" si="11"/>
        <v>1.6497026983262782E-2</v>
      </c>
      <c r="BE11" s="57">
        <f t="shared" si="11"/>
        <v>2.0800219343332049E-2</v>
      </c>
      <c r="BF11" s="57">
        <f t="shared" si="11"/>
        <v>2.098396949310519E-2</v>
      </c>
      <c r="BG11" s="57">
        <f t="shared" si="11"/>
        <v>2.2074518933333318E-2</v>
      </c>
      <c r="BH11" s="57">
        <f t="shared" si="11"/>
        <v>2.5547924184690925E-2</v>
      </c>
      <c r="BI11" s="57">
        <f t="shared" si="11"/>
        <v>2.1313943859253934E-2</v>
      </c>
      <c r="BJ11" s="57">
        <f t="shared" si="11"/>
        <v>2.1025454858581528E-2</v>
      </c>
      <c r="BK11" s="57">
        <f t="shared" si="11"/>
        <v>2.1727376588329749E-2</v>
      </c>
      <c r="BL11" s="57">
        <f t="shared" si="11"/>
        <v>2.4522337146094544E-2</v>
      </c>
      <c r="BM11" s="57">
        <f t="shared" si="11"/>
        <v>2.5398255453032863E-2</v>
      </c>
      <c r="BN11" s="57">
        <f t="shared" si="11"/>
        <v>2.464789491415631E-2</v>
      </c>
      <c r="BO11" s="57">
        <f t="shared" si="11"/>
        <v>2.3436224193698535E-2</v>
      </c>
      <c r="BP11" s="57">
        <f t="shared" si="11"/>
        <v>3.0615218812303762E-2</v>
      </c>
      <c r="BQ11" s="57">
        <f t="shared" si="11"/>
        <v>2.3333844228793799E-2</v>
      </c>
      <c r="BR11" s="57">
        <f t="shared" ref="BR11:CJ11" si="12">BR10/BR2</f>
        <v>2.1747548865807594E-2</v>
      </c>
      <c r="BS11" s="57">
        <f t="shared" si="12"/>
        <v>2.2784424550654218E-2</v>
      </c>
      <c r="BT11" s="57">
        <f t="shared" si="12"/>
        <v>1.8264148305449805E-2</v>
      </c>
      <c r="BU11" s="57">
        <f t="shared" si="12"/>
        <v>2.638063208230728E-2</v>
      </c>
      <c r="BV11" s="57">
        <f t="shared" si="12"/>
        <v>3.2442132898103319E-2</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2778065991.1100001</v>
      </c>
      <c r="F12" s="27">
        <f>股权价值增加表!F9</f>
        <v>1875297848.8900001</v>
      </c>
      <c r="G12" s="27">
        <f>股权价值增加表!G9</f>
        <v>1295889672.6900001</v>
      </c>
      <c r="H12" s="27">
        <f>股权价值增加表!H9</f>
        <v>706730088.50999999</v>
      </c>
      <c r="I12" s="27">
        <f>股权价值增加表!I9</f>
        <v>2384214186.8200002</v>
      </c>
      <c r="J12" s="27">
        <f>股权价值增加表!J9</f>
        <v>1661155606.9100001</v>
      </c>
      <c r="K12" s="27">
        <f>股权价值增加表!K9</f>
        <v>1155967860.71</v>
      </c>
      <c r="L12" s="27">
        <f>股权价值增加表!L9</f>
        <v>631962452.01999998</v>
      </c>
      <c r="M12" s="27">
        <f>股权价值增加表!M9</f>
        <v>2034998469.6900001</v>
      </c>
      <c r="N12" s="27">
        <f>股权价值增加表!N9</f>
        <v>1574003241.1600001</v>
      </c>
      <c r="O12" s="27">
        <f>股权价值增加表!O9</f>
        <v>1017477417.76</v>
      </c>
      <c r="P12" s="27">
        <f>股权价值增加表!P9</f>
        <v>667823715.38999999</v>
      </c>
      <c r="Q12" s="27">
        <f>股权价值增加表!Q9</f>
        <v>1747278260.3199999</v>
      </c>
      <c r="R12" s="27">
        <f>股权价值增加表!R9</f>
        <v>1395129285.1500001</v>
      </c>
      <c r="S12" s="27">
        <f>股权价值增加表!S9</f>
        <v>894848752.08000004</v>
      </c>
      <c r="T12" s="27">
        <f>股权价值增加表!T9</f>
        <v>547664695.61000001</v>
      </c>
      <c r="U12" s="27">
        <f>股权价值增加表!U9</f>
        <v>1438307206.55</v>
      </c>
      <c r="V12" s="27">
        <f>股权价值增加表!V9</f>
        <v>1182353561.9300001</v>
      </c>
      <c r="W12" s="27">
        <f>股权价值增加表!W9</f>
        <v>727343712.22000003</v>
      </c>
      <c r="X12" s="27">
        <f>股权价值增加表!X9</f>
        <v>459726534.89999998</v>
      </c>
      <c r="Y12" s="27">
        <f>股权价值增加表!Y9</f>
        <v>1395073220.5699999</v>
      </c>
      <c r="Z12" s="27">
        <f>股权价值增加表!Z9</f>
        <v>1120207259.3800001</v>
      </c>
      <c r="AA12" s="27">
        <f>股权价值增加表!AA9</f>
        <v>705415262.29999995</v>
      </c>
      <c r="AB12" s="27">
        <f>股权价值增加表!AB9</f>
        <v>337397055.14999998</v>
      </c>
      <c r="AC12" s="27">
        <f>股权价值增加表!AC9</f>
        <v>1283194817.6300001</v>
      </c>
      <c r="AD12" s="27">
        <f>股权价值增加表!AD9</f>
        <v>1028410742.29</v>
      </c>
      <c r="AE12" s="27">
        <f>股权价值增加表!AE9</f>
        <v>649123569.12</v>
      </c>
      <c r="AF12" s="27">
        <f>股权价值增加表!AF9</f>
        <v>269648723.47000003</v>
      </c>
      <c r="AG12" s="27">
        <f>股权价值增加表!AG9</f>
        <v>1076041149.3299999</v>
      </c>
      <c r="AH12" s="27">
        <f>股权价值增加表!AH9</f>
        <v>866458368.76999998</v>
      </c>
      <c r="AI12" s="27">
        <f>股权价值增加表!AI9</f>
        <v>522477061.02999997</v>
      </c>
      <c r="AJ12" s="27">
        <f>股权价值增加表!AJ9</f>
        <v>203903451.74000001</v>
      </c>
      <c r="AK12" s="27">
        <f>股权价值增加表!AK9</f>
        <v>818990007.95000005</v>
      </c>
      <c r="AL12" s="27">
        <f>股权价值增加表!AL9</f>
        <v>728187846.59000003</v>
      </c>
      <c r="AM12" s="27">
        <f>股权价值增加表!AM9</f>
        <v>430395928.45999998</v>
      </c>
      <c r="AN12" s="27">
        <f>股权价值增加表!AN9</f>
        <v>158771464.91999999</v>
      </c>
      <c r="AO12" s="27">
        <f>股权价值增加表!AO9</f>
        <v>758888567.30999994</v>
      </c>
      <c r="AP12" s="27">
        <f>股权价值增加表!AP9</f>
        <v>592271100.03999996</v>
      </c>
      <c r="AQ12" s="27">
        <f>股权价值增加表!AQ9</f>
        <v>388294205.88</v>
      </c>
      <c r="AR12" s="27">
        <f>股权价值增加表!AR9</f>
        <v>133450087.68000001</v>
      </c>
      <c r="AS12" s="27">
        <f>股权价值增加表!AS9</f>
        <v>599626161.64999998</v>
      </c>
      <c r="AT12" s="27">
        <f>股权价值增加表!AT9</f>
        <v>513167609.55000001</v>
      </c>
      <c r="AU12" s="27">
        <f>股权价值增加表!AU9</f>
        <v>319151835.13999999</v>
      </c>
      <c r="AV12" s="27">
        <f>股权价值增加表!AV9</f>
        <v>110600964.11</v>
      </c>
      <c r="AW12" s="27">
        <f>股权价值增加表!AW9</f>
        <v>559905648.10000002</v>
      </c>
      <c r="AX12" s="27">
        <f>股权价值增加表!AX9</f>
        <v>492837895.23000002</v>
      </c>
      <c r="AY12" s="27">
        <f>股权价值增加表!AY9</f>
        <v>312647475.35000002</v>
      </c>
      <c r="AZ12" s="27">
        <f>股权价值增加表!AZ9</f>
        <v>102642756.54000001</v>
      </c>
      <c r="BA12" s="27">
        <f>股权价值增加表!BA9</f>
        <v>477646870.35000002</v>
      </c>
      <c r="BB12" s="27">
        <f>股权价值增加表!BB9</f>
        <v>354316129.05000001</v>
      </c>
      <c r="BC12" s="27">
        <f>股权价值增加表!BC9</f>
        <v>223205696.31</v>
      </c>
      <c r="BD12" s="27">
        <f>股权价值增加表!BD9</f>
        <v>83902892.150000006</v>
      </c>
      <c r="BE12" s="27">
        <f>股权价值增加表!BE9</f>
        <v>375851298.36000001</v>
      </c>
      <c r="BF12" s="27">
        <f>股权价值增加表!BF9</f>
        <v>264241262.43000001</v>
      </c>
      <c r="BG12" s="27">
        <f>股权价值增加表!BG9</f>
        <v>154601101.72999999</v>
      </c>
      <c r="BH12" s="27">
        <f>股权价值增加表!BH9</f>
        <v>61933351.310000002</v>
      </c>
      <c r="BI12" s="27">
        <f>股权价值增加表!BI9</f>
        <v>327390198.94</v>
      </c>
      <c r="BJ12" s="27">
        <f>股权价值增加表!BJ9</f>
        <v>230515852.44</v>
      </c>
      <c r="BK12" s="27">
        <f>股权价值增加表!BK9</f>
        <v>149856564.33000001</v>
      </c>
      <c r="BL12" s="27">
        <f>股权价值增加表!BL9</f>
        <v>49797596.770000003</v>
      </c>
      <c r="BM12" s="27">
        <f>股权价值增加表!BM9</f>
        <v>281034821.10000002</v>
      </c>
      <c r="BN12" s="27">
        <f>股权价值增加表!BN9</f>
        <v>201595738.36000001</v>
      </c>
      <c r="BO12" s="27">
        <f>股权价值增加表!BO9</f>
        <v>127626346.87</v>
      </c>
      <c r="BP12" s="27">
        <f>股权价值增加表!BP9</f>
        <v>50893780.240000002</v>
      </c>
      <c r="BQ12" s="27">
        <f>股权价值增加表!BQ9</f>
        <v>243708385.56999999</v>
      </c>
      <c r="BR12" s="27">
        <f>股权价值增加表!BR9</f>
        <v>109564117.09999999</v>
      </c>
      <c r="BS12" s="27">
        <f>股权价值增加表!BS9</f>
        <v>202884690.81999999</v>
      </c>
      <c r="BT12" s="27">
        <f>股权价值增加表!BT9</f>
        <v>193919735.22999999</v>
      </c>
      <c r="BU12" s="27">
        <f>股权价值增加表!BU9</f>
        <v>163410738.56999999</v>
      </c>
      <c r="BV12" s="27">
        <f>股权价值增加表!BV9</f>
        <v>163881237.71000001</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0.42816901521277478</v>
      </c>
      <c r="F13" s="57">
        <f t="shared" ref="F13:BQ13" si="13">F12/F2</f>
        <v>0.48151710474824377</v>
      </c>
      <c r="G13" s="57">
        <f t="shared" si="13"/>
        <v>0.48866809133629774</v>
      </c>
      <c r="H13" s="57">
        <f t="shared" si="13"/>
        <v>0.5273452749377463</v>
      </c>
      <c r="I13" s="57">
        <f t="shared" si="13"/>
        <v>0.44805964202066217</v>
      </c>
      <c r="J13" s="57">
        <f t="shared" si="13"/>
        <v>0.38740965994550203</v>
      </c>
      <c r="K13" s="57">
        <f t="shared" si="13"/>
        <v>0.37706110687377836</v>
      </c>
      <c r="L13" s="57">
        <f t="shared" si="13"/>
        <v>0.41007310081004739</v>
      </c>
      <c r="M13" s="57">
        <f t="shared" si="13"/>
        <v>0.34810902362201396</v>
      </c>
      <c r="N13" s="57">
        <f t="shared" si="13"/>
        <v>0.34087327079064877</v>
      </c>
      <c r="O13" s="57">
        <f t="shared" si="13"/>
        <v>0.31647265757160631</v>
      </c>
      <c r="P13" s="57">
        <f t="shared" si="13"/>
        <v>0.41872519778799133</v>
      </c>
      <c r="Q13" s="57">
        <f t="shared" si="13"/>
        <v>0.32753324179327592</v>
      </c>
      <c r="R13" s="57">
        <f t="shared" si="13"/>
        <v>0.33470257796030184</v>
      </c>
      <c r="S13" s="57">
        <f t="shared" si="13"/>
        <v>0.3173921398580094</v>
      </c>
      <c r="T13" s="57">
        <f t="shared" si="13"/>
        <v>0.40697346407126267</v>
      </c>
      <c r="U13" s="57">
        <f t="shared" si="13"/>
        <v>0.32187669683056952</v>
      </c>
      <c r="V13" s="57">
        <f t="shared" si="13"/>
        <v>0.2946775803609587</v>
      </c>
      <c r="W13" s="57">
        <f t="shared" si="13"/>
        <v>0.26480705798416748</v>
      </c>
      <c r="X13" s="57">
        <f t="shared" si="13"/>
        <v>0.34695649419049596</v>
      </c>
      <c r="Y13" s="57">
        <f t="shared" si="13"/>
        <v>0.30973251699120824</v>
      </c>
      <c r="Z13" s="57">
        <f t="shared" si="13"/>
        <v>0.31637792457008362</v>
      </c>
      <c r="AA13" s="57">
        <f t="shared" si="13"/>
        <v>0.30157670252379415</v>
      </c>
      <c r="AB13" s="57">
        <f t="shared" si="13"/>
        <v>0.31982777281277897</v>
      </c>
      <c r="AC13" s="57">
        <f t="shared" si="13"/>
        <v>0.3587742840314071</v>
      </c>
      <c r="AD13" s="57">
        <f t="shared" si="13"/>
        <v>0.35873542325706842</v>
      </c>
      <c r="AE13" s="57">
        <f t="shared" si="13"/>
        <v>0.33770497801764204</v>
      </c>
      <c r="AF13" s="57">
        <f t="shared" si="13"/>
        <v>0.31964645637478234</v>
      </c>
      <c r="AG13" s="57">
        <f t="shared" si="13"/>
        <v>0.34778805157152243</v>
      </c>
      <c r="AH13" s="57">
        <f t="shared" si="13"/>
        <v>0.35658016485676447</v>
      </c>
      <c r="AI13" s="57">
        <f t="shared" si="13"/>
        <v>0.33127637587134279</v>
      </c>
      <c r="AJ13" s="57">
        <f t="shared" si="13"/>
        <v>0.3052841300336791</v>
      </c>
      <c r="AK13" s="57">
        <f t="shared" si="13"/>
        <v>0.30365405498404402</v>
      </c>
      <c r="AL13" s="57">
        <f t="shared" si="13"/>
        <v>0.33379461378436703</v>
      </c>
      <c r="AM13" s="57">
        <f t="shared" si="13"/>
        <v>0.30207379080669833</v>
      </c>
      <c r="AN13" s="57">
        <f t="shared" si="13"/>
        <v>0.27262679662204697</v>
      </c>
      <c r="AO13" s="57">
        <f t="shared" si="13"/>
        <v>0.30434696427793473</v>
      </c>
      <c r="AP13" s="57">
        <f t="shared" si="13"/>
        <v>0.2823268063691669</v>
      </c>
      <c r="AQ13" s="57">
        <f t="shared" si="13"/>
        <v>0.28043254409456558</v>
      </c>
      <c r="AR13" s="57">
        <f t="shared" si="13"/>
        <v>0.25364190277046328</v>
      </c>
      <c r="AS13" s="57">
        <f t="shared" si="13"/>
        <v>0.26522755072281273</v>
      </c>
      <c r="AT13" s="57">
        <f t="shared" si="13"/>
        <v>0.28829916672519135</v>
      </c>
      <c r="AU13" s="57">
        <f t="shared" si="13"/>
        <v>0.27466074401185053</v>
      </c>
      <c r="AV13" s="57">
        <f t="shared" si="13"/>
        <v>0.23250547754874473</v>
      </c>
      <c r="AW13" s="57">
        <f t="shared" si="13"/>
        <v>0.25931948986291514</v>
      </c>
      <c r="AX13" s="57">
        <f t="shared" si="13"/>
        <v>0.2822558655164521</v>
      </c>
      <c r="AY13" s="57">
        <f t="shared" si="13"/>
        <v>0.28518263917606207</v>
      </c>
      <c r="AZ13" s="57">
        <f t="shared" si="13"/>
        <v>0.22921418082191844</v>
      </c>
      <c r="BA13" s="57">
        <f t="shared" si="13"/>
        <v>0.2450891329070034</v>
      </c>
      <c r="BB13" s="57">
        <f t="shared" si="13"/>
        <v>0.22985446220359759</v>
      </c>
      <c r="BC13" s="57">
        <f t="shared" si="13"/>
        <v>0.23015500382121143</v>
      </c>
      <c r="BD13" s="57">
        <f t="shared" si="13"/>
        <v>0.2193090241895338</v>
      </c>
      <c r="BE13" s="57">
        <f t="shared" si="13"/>
        <v>0.22520123689323926</v>
      </c>
      <c r="BF13" s="57">
        <f t="shared" si="13"/>
        <v>0.20555519913512613</v>
      </c>
      <c r="BG13" s="57">
        <f t="shared" si="13"/>
        <v>0.19965124663572964</v>
      </c>
      <c r="BH13" s="57">
        <f t="shared" si="13"/>
        <v>0.21641120823173807</v>
      </c>
      <c r="BI13" s="57">
        <f t="shared" si="13"/>
        <v>0.2202606282619238</v>
      </c>
      <c r="BJ13" s="57">
        <f t="shared" si="13"/>
        <v>0.20188135703795532</v>
      </c>
      <c r="BK13" s="57">
        <f t="shared" si="13"/>
        <v>0.20357509763946963</v>
      </c>
      <c r="BL13" s="57">
        <f t="shared" si="13"/>
        <v>0.21829057181998746</v>
      </c>
      <c r="BM13" s="57">
        <f t="shared" si="13"/>
        <v>0.20605469735251661</v>
      </c>
      <c r="BN13" s="57">
        <f t="shared" si="13"/>
        <v>0.19369044594686902</v>
      </c>
      <c r="BO13" s="57">
        <f t="shared" si="13"/>
        <v>0.18597043046758485</v>
      </c>
      <c r="BP13" s="57">
        <f t="shared" si="13"/>
        <v>0.22798533815775376</v>
      </c>
      <c r="BQ13" s="57">
        <f t="shared" si="13"/>
        <v>0.18662772495386049</v>
      </c>
      <c r="BR13" s="57">
        <f t="shared" ref="BR13:CJ13" si="14">BR12/BR2</f>
        <v>0.17148942547603208</v>
      </c>
      <c r="BS13" s="57">
        <f t="shared" si="14"/>
        <v>0.17089092312479828</v>
      </c>
      <c r="BT13" s="57">
        <f t="shared" si="14"/>
        <v>0.17908012257133821</v>
      </c>
      <c r="BU13" s="57">
        <f t="shared" si="14"/>
        <v>0.16640443908744146</v>
      </c>
      <c r="BV13" s="57">
        <f t="shared" si="14"/>
        <v>0.18213715641786996</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1003691077.95</v>
      </c>
      <c r="F14" s="26">
        <f>股权价值增加表!F10</f>
        <v>497681651.75</v>
      </c>
      <c r="G14" s="26">
        <f>股权价值增加表!G10</f>
        <v>324774256.07999998</v>
      </c>
      <c r="H14" s="26">
        <f>股权价值增加表!H10</f>
        <v>152028105.13999999</v>
      </c>
      <c r="I14" s="26">
        <f>股权价值增加表!I10</f>
        <v>647196144.54999995</v>
      </c>
      <c r="J14" s="26">
        <f>股权价值增加表!J10</f>
        <v>450662144.95999998</v>
      </c>
      <c r="K14" s="26">
        <f>股权价值增加表!K10</f>
        <v>296989810.05000001</v>
      </c>
      <c r="L14" s="26">
        <f>股权价值增加表!L10</f>
        <v>141564699.69</v>
      </c>
      <c r="M14" s="26">
        <f>股权价值增加表!M10</f>
        <v>604774459.76999998</v>
      </c>
      <c r="N14" s="26">
        <f>股权价值增加表!N10</f>
        <v>401102970.16000003</v>
      </c>
      <c r="O14" s="26">
        <f>股权价值增加表!O10</f>
        <v>264256600.13999999</v>
      </c>
      <c r="P14" s="26">
        <f>股权价值增加表!P10</f>
        <v>117978193.59999999</v>
      </c>
      <c r="Q14" s="26">
        <f>股权价值增加表!Q10</f>
        <v>611824015.36000001</v>
      </c>
      <c r="R14" s="26">
        <f>股权价值增加表!R10</f>
        <v>401885687.93000001</v>
      </c>
      <c r="S14" s="26">
        <f>股权价值增加表!S10</f>
        <v>274193719.16000003</v>
      </c>
      <c r="T14" s="26">
        <f>股权价值增加表!T10</f>
        <v>150386571.44999999</v>
      </c>
      <c r="U14" s="26">
        <f>股权价值增加表!U10</f>
        <v>572366023.16999996</v>
      </c>
      <c r="V14" s="26">
        <f>股权价值增加表!V10</f>
        <v>406171144.13</v>
      </c>
      <c r="W14" s="26">
        <f>股权价值增加表!W10</f>
        <v>290064445.01999998</v>
      </c>
      <c r="X14" s="26">
        <f>股权价值增加表!X10</f>
        <v>161774246.66999999</v>
      </c>
      <c r="Y14" s="26">
        <f>股权价值增加表!Y10</f>
        <v>502759913.19999999</v>
      </c>
      <c r="Z14" s="26">
        <f>股权价值增加表!Z10</f>
        <v>326590893.66000003</v>
      </c>
      <c r="AA14" s="26">
        <f>股权价值增加表!AA10</f>
        <v>187904064.43000001</v>
      </c>
      <c r="AB14" s="26">
        <f>股权价值增加表!AB10</f>
        <v>92791249.519999996</v>
      </c>
      <c r="AC14" s="26">
        <f>股权价值增加表!AC10</f>
        <v>393324923.93000001</v>
      </c>
      <c r="AD14" s="26">
        <f>股权价值增加表!AD10</f>
        <v>240112770.53</v>
      </c>
      <c r="AE14" s="26">
        <f>股权价值增加表!AE10</f>
        <v>155539518.38</v>
      </c>
      <c r="AF14" s="26">
        <f>股权价值增加表!AF10</f>
        <v>80692131.560000002</v>
      </c>
      <c r="AG14" s="26">
        <f>股权价值增加表!AG10</f>
        <v>301433154.27999997</v>
      </c>
      <c r="AH14" s="26">
        <f>股权价值增加表!AH10</f>
        <v>212428691.47999999</v>
      </c>
      <c r="AI14" s="26">
        <f>股权价值增加表!AI10</f>
        <v>138695131.99000001</v>
      </c>
      <c r="AJ14" s="26">
        <f>股权价值增加表!AJ10</f>
        <v>73281148.170000002</v>
      </c>
      <c r="AK14" s="26">
        <f>股权价值增加表!AK10</f>
        <v>314683115.16000003</v>
      </c>
      <c r="AL14" s="26">
        <f>股权价值增加表!AL10</f>
        <v>211774044.63999999</v>
      </c>
      <c r="AM14" s="26">
        <f>股权价值增加表!AM10</f>
        <v>141575646.06</v>
      </c>
      <c r="AN14" s="26">
        <f>股权价值增加表!AN10</f>
        <v>71988519.480000004</v>
      </c>
      <c r="AO14" s="26">
        <f>股权价值增加表!AO10</f>
        <v>268449382.42000002</v>
      </c>
      <c r="AP14" s="26">
        <f>股权价值增加表!AP10</f>
        <v>193018421.96000001</v>
      </c>
      <c r="AQ14" s="26">
        <f>股权价值增加表!AQ10</f>
        <v>129188367.98</v>
      </c>
      <c r="AR14" s="26">
        <f>股权价值增加表!AR10</f>
        <v>65217903.090000004</v>
      </c>
      <c r="AS14" s="26">
        <f>股权价值增加表!AS10</f>
        <v>222983537.19999999</v>
      </c>
      <c r="AT14" s="26">
        <f>股权价值增加表!AT10</f>
        <v>151656388.49000001</v>
      </c>
      <c r="AU14" s="26">
        <f>股权价值增加表!AU10</f>
        <v>98693882.849999994</v>
      </c>
      <c r="AV14" s="26">
        <f>股权价值增加表!AV10</f>
        <v>50622277.539999999</v>
      </c>
      <c r="AW14" s="26">
        <f>股权价值增加表!AW10</f>
        <v>221336976.97</v>
      </c>
      <c r="AX14" s="26">
        <f>股权价值增加表!AX10</f>
        <v>169369286.53</v>
      </c>
      <c r="AY14" s="26">
        <f>股权价值增加表!AY10</f>
        <v>104977869.40000001</v>
      </c>
      <c r="AZ14" s="26">
        <f>股权价值增加表!AZ10</f>
        <v>52737577.25</v>
      </c>
      <c r="BA14" s="26">
        <f>股权价值增加表!BA10</f>
        <v>206139122.38</v>
      </c>
      <c r="BB14" s="26">
        <f>股权价值增加表!BB10</f>
        <v>165694892.28999999</v>
      </c>
      <c r="BC14" s="26">
        <f>股权价值增加表!BC10</f>
        <v>106565794.78</v>
      </c>
      <c r="BD14" s="26">
        <f>股权价值增加表!BD10</f>
        <v>49481383.380000003</v>
      </c>
      <c r="BE14" s="26">
        <f>股权价值增加表!BE10</f>
        <v>182952843.63</v>
      </c>
      <c r="BF14" s="26">
        <f>股权价值增加表!BF10</f>
        <v>142699468.62</v>
      </c>
      <c r="BG14" s="26">
        <f>股权价值增加表!BG10</f>
        <v>86949708.040000007</v>
      </c>
      <c r="BH14" s="26">
        <f>股权价值增加表!BH10</f>
        <v>39159524.25</v>
      </c>
      <c r="BI14" s="26">
        <f>股权价值增加表!BI10</f>
        <v>154767759.16999999</v>
      </c>
      <c r="BJ14" s="26">
        <f>股权价值增加表!BJ10</f>
        <v>120323654.14</v>
      </c>
      <c r="BK14" s="26">
        <f>股权价值增加表!BK10</f>
        <v>75323159.329999998</v>
      </c>
      <c r="BL14" s="26">
        <f>股权价值增加表!BL10</f>
        <v>29057854.199999999</v>
      </c>
      <c r="BM14" s="26">
        <f>股权价值增加表!BM10</f>
        <v>167888786.83000001</v>
      </c>
      <c r="BN14" s="26">
        <f>股权价值增加表!BN10</f>
        <v>116453950.64</v>
      </c>
      <c r="BO14" s="26">
        <f>股权价值增加表!BO10</f>
        <v>76322327.260000005</v>
      </c>
      <c r="BP14" s="26">
        <f>股权价值增加表!BP10</f>
        <v>26146654.390000001</v>
      </c>
      <c r="BQ14" s="26">
        <f>股权价值增加表!BQ10</f>
        <v>136925890.11000001</v>
      </c>
      <c r="BR14" s="26">
        <f>股权价值增加表!BR10</f>
        <v>70250054.329999998</v>
      </c>
      <c r="BS14" s="26">
        <f>股权价值增加表!BS10</f>
        <v>134467139.52000001</v>
      </c>
      <c r="BT14" s="26">
        <f>股权价值增加表!BT10</f>
        <v>117955874.05</v>
      </c>
      <c r="BU14" s="26">
        <f>股权价值增加表!BU10</f>
        <v>128256471.02</v>
      </c>
      <c r="BV14" s="26">
        <f>股权价值增加表!BV10</f>
        <v>128461529.56</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0.15469374082506579</v>
      </c>
      <c r="F15" s="57">
        <f t="shared" ref="F15:BQ15" si="15">F14/F2</f>
        <v>0.12778888867111396</v>
      </c>
      <c r="G15" s="57">
        <f t="shared" si="15"/>
        <v>0.1224693885431905</v>
      </c>
      <c r="H15" s="57">
        <f t="shared" si="15"/>
        <v>0.11343977595795186</v>
      </c>
      <c r="I15" s="57">
        <f t="shared" si="15"/>
        <v>0.12162601600445823</v>
      </c>
      <c r="J15" s="57">
        <f t="shared" si="15"/>
        <v>0.10510205522168359</v>
      </c>
      <c r="K15" s="57">
        <f t="shared" si="15"/>
        <v>9.6874065719184957E-2</v>
      </c>
      <c r="L15" s="57">
        <f t="shared" si="15"/>
        <v>9.1859690685047637E-2</v>
      </c>
      <c r="M15" s="57">
        <f t="shared" si="15"/>
        <v>0.10345336855911061</v>
      </c>
      <c r="N15" s="57">
        <f t="shared" si="15"/>
        <v>8.6864675870375066E-2</v>
      </c>
      <c r="O15" s="57">
        <f t="shared" si="15"/>
        <v>8.2193459105221675E-2</v>
      </c>
      <c r="P15" s="57">
        <f t="shared" si="15"/>
        <v>7.3972279377620992E-2</v>
      </c>
      <c r="Q15" s="57">
        <f t="shared" si="15"/>
        <v>0.11468848878205555</v>
      </c>
      <c r="R15" s="57">
        <f t="shared" si="15"/>
        <v>9.641556322219845E-2</v>
      </c>
      <c r="S15" s="57">
        <f t="shared" si="15"/>
        <v>9.7253229730199384E-2</v>
      </c>
      <c r="T15" s="57">
        <f t="shared" si="15"/>
        <v>0.11175331260788578</v>
      </c>
      <c r="U15" s="57">
        <f t="shared" si="15"/>
        <v>0.12808896741740991</v>
      </c>
      <c r="V15" s="57">
        <f t="shared" si="15"/>
        <v>0.10122989756913059</v>
      </c>
      <c r="W15" s="57">
        <f t="shared" si="15"/>
        <v>0.10560497192876453</v>
      </c>
      <c r="X15" s="57">
        <f t="shared" si="15"/>
        <v>0.12209133302940811</v>
      </c>
      <c r="Y15" s="57">
        <f t="shared" si="15"/>
        <v>0.1116221651033433</v>
      </c>
      <c r="Z15" s="57">
        <f t="shared" si="15"/>
        <v>9.2238421287170996E-2</v>
      </c>
      <c r="AA15" s="57">
        <f t="shared" si="15"/>
        <v>8.0332098226588045E-2</v>
      </c>
      <c r="AB15" s="57">
        <f t="shared" si="15"/>
        <v>8.7959329275421647E-2</v>
      </c>
      <c r="AC15" s="57">
        <f t="shared" si="15"/>
        <v>0.10997150708208585</v>
      </c>
      <c r="AD15" s="57">
        <f t="shared" si="15"/>
        <v>8.3757347938336946E-2</v>
      </c>
      <c r="AE15" s="57">
        <f t="shared" si="15"/>
        <v>8.0919060921792282E-2</v>
      </c>
      <c r="AF15" s="57">
        <f t="shared" si="15"/>
        <v>9.5653906974090888E-2</v>
      </c>
      <c r="AG15" s="57">
        <f t="shared" si="15"/>
        <v>9.7426431574085273E-2</v>
      </c>
      <c r="AH15" s="57">
        <f t="shared" si="15"/>
        <v>8.7422385839235062E-2</v>
      </c>
      <c r="AI15" s="57">
        <f t="shared" si="15"/>
        <v>8.7939594105944027E-2</v>
      </c>
      <c r="AJ15" s="57">
        <f t="shared" si="15"/>
        <v>0.10971649266376261</v>
      </c>
      <c r="AK15" s="57">
        <f t="shared" si="15"/>
        <v>0.11667395575744141</v>
      </c>
      <c r="AL15" s="57">
        <f t="shared" si="15"/>
        <v>9.7075274973605755E-2</v>
      </c>
      <c r="AM15" s="57">
        <f t="shared" si="15"/>
        <v>9.9365001533062158E-2</v>
      </c>
      <c r="AN15" s="57">
        <f t="shared" si="15"/>
        <v>0.12361162926401895</v>
      </c>
      <c r="AO15" s="57">
        <f t="shared" si="15"/>
        <v>0.10765975153825036</v>
      </c>
      <c r="AP15" s="57">
        <f t="shared" si="15"/>
        <v>9.2009005063226484E-2</v>
      </c>
      <c r="AQ15" s="57">
        <f t="shared" si="15"/>
        <v>9.3301991509120163E-2</v>
      </c>
      <c r="AR15" s="57">
        <f t="shared" si="15"/>
        <v>0.12395640439078111</v>
      </c>
      <c r="AS15" s="57">
        <f t="shared" si="15"/>
        <v>9.863041542471232E-2</v>
      </c>
      <c r="AT15" s="57">
        <f t="shared" si="15"/>
        <v>8.5201032989122918E-2</v>
      </c>
      <c r="AU15" s="57">
        <f t="shared" si="15"/>
        <v>8.4935545744577776E-2</v>
      </c>
      <c r="AV15" s="57">
        <f t="shared" si="15"/>
        <v>0.10641821171049461</v>
      </c>
      <c r="AW15" s="57">
        <f t="shared" si="15"/>
        <v>0.10251190026468354</v>
      </c>
      <c r="AX15" s="57">
        <f t="shared" si="15"/>
        <v>9.7000403224104803E-2</v>
      </c>
      <c r="AY15" s="57">
        <f t="shared" si="15"/>
        <v>9.5755981451816852E-2</v>
      </c>
      <c r="AZ15" s="57">
        <f t="shared" si="15"/>
        <v>0.11776964079467805</v>
      </c>
      <c r="BA15" s="57">
        <f t="shared" si="15"/>
        <v>0.10577366229847603</v>
      </c>
      <c r="BB15" s="57">
        <f t="shared" si="15"/>
        <v>0.10749076103116502</v>
      </c>
      <c r="BC15" s="57">
        <f t="shared" si="15"/>
        <v>0.10988362443374837</v>
      </c>
      <c r="BD15" s="57">
        <f t="shared" si="15"/>
        <v>0.1293365893182267</v>
      </c>
      <c r="BE15" s="57">
        <f t="shared" si="15"/>
        <v>0.10962103060010668</v>
      </c>
      <c r="BF15" s="57">
        <f t="shared" si="15"/>
        <v>0.11100695409533652</v>
      </c>
      <c r="BG15" s="57">
        <f t="shared" si="15"/>
        <v>0.11228650643846047</v>
      </c>
      <c r="BH15" s="57">
        <f t="shared" si="15"/>
        <v>0.13683354408360929</v>
      </c>
      <c r="BI15" s="57">
        <f t="shared" si="15"/>
        <v>0.10412420402274097</v>
      </c>
      <c r="BJ15" s="57">
        <f t="shared" si="15"/>
        <v>0.10537714575561097</v>
      </c>
      <c r="BK15" s="57">
        <f t="shared" si="15"/>
        <v>0.10232397615463253</v>
      </c>
      <c r="BL15" s="57">
        <f t="shared" si="15"/>
        <v>0.12737674146157041</v>
      </c>
      <c r="BM15" s="57">
        <f t="shared" si="15"/>
        <v>0.12309603850416537</v>
      </c>
      <c r="BN15" s="57">
        <f t="shared" si="15"/>
        <v>0.11188737329088184</v>
      </c>
      <c r="BO15" s="57">
        <f t="shared" si="15"/>
        <v>0.11121289924005867</v>
      </c>
      <c r="BP15" s="57">
        <f t="shared" si="15"/>
        <v>0.11712735455467253</v>
      </c>
      <c r="BQ15" s="57">
        <f t="shared" si="15"/>
        <v>0.10485551122397355</v>
      </c>
      <c r="BR15" s="57">
        <f t="shared" ref="BR15:CK15" si="16">BR14/BR2</f>
        <v>0.10995517305831271</v>
      </c>
      <c r="BS15" s="57">
        <f t="shared" si="16"/>
        <v>0.11326243251597079</v>
      </c>
      <c r="BT15" s="57">
        <f t="shared" si="16"/>
        <v>0.10892935862267747</v>
      </c>
      <c r="BU15" s="57">
        <f t="shared" si="16"/>
        <v>0.13060614195973028</v>
      </c>
      <c r="BV15" s="57">
        <f t="shared" si="16"/>
        <v>0.14277179029214049</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48974963.369999997</v>
      </c>
      <c r="F16" s="26">
        <f>股权价值增加表!F11</f>
        <v>17069716.469999999</v>
      </c>
      <c r="G16" s="26">
        <f>股权价值增加表!G11</f>
        <v>19152823.43</v>
      </c>
      <c r="H16" s="26">
        <f>股权价值增加表!H11</f>
        <v>15228849.810000001</v>
      </c>
      <c r="I16" s="26">
        <f>股权价值增加表!I11</f>
        <v>-9598363.3800000008</v>
      </c>
      <c r="J16" s="26">
        <f>股权价值增加表!J11</f>
        <v>17868086.050000001</v>
      </c>
      <c r="K16" s="26">
        <f>股权价值增加表!K11</f>
        <v>14645528.58</v>
      </c>
      <c r="L16" s="26">
        <f>股权价值增加表!L11</f>
        <v>8183316.7000000002</v>
      </c>
      <c r="M16" s="26">
        <f>股权价值增加表!M11</f>
        <v>26923060.969999999</v>
      </c>
      <c r="N16" s="26">
        <f>股权价值增加表!N11</f>
        <v>24968562.370000001</v>
      </c>
      <c r="O16" s="26">
        <f>股权价值增加表!O11</f>
        <v>19180615.370000001</v>
      </c>
      <c r="P16" s="26">
        <f>股权价值增加表!P11</f>
        <v>10902360.699999999</v>
      </c>
      <c r="Q16" s="26">
        <f>股权价值增加表!Q11</f>
        <v>16639525.1</v>
      </c>
      <c r="R16" s="26">
        <f>股权价值增加表!R11</f>
        <v>17201522.670000002</v>
      </c>
      <c r="S16" s="26">
        <f>股权价值增加表!S11</f>
        <v>16636046.630000001</v>
      </c>
      <c r="T16" s="26">
        <f>股权价值增加表!T11</f>
        <v>4523743.53</v>
      </c>
      <c r="U16" s="26">
        <f>股权价值增加表!U11</f>
        <v>8766809.0700000003</v>
      </c>
      <c r="V16" s="26">
        <f>股权价值增加表!V11</f>
        <v>10502293.15</v>
      </c>
      <c r="W16" s="26">
        <f>股权价值增加表!W11</f>
        <v>15994343.539999999</v>
      </c>
      <c r="X16" s="26">
        <f>股权价值增加表!X11</f>
        <v>8484194.5800000001</v>
      </c>
      <c r="Y16" s="26">
        <f>股权价值增加表!Y11</f>
        <v>13233786.460000001</v>
      </c>
      <c r="Z16" s="26">
        <f>股权价值增加表!Z11</f>
        <v>6574925.1299999999</v>
      </c>
      <c r="AA16" s="26">
        <f>股权价值增加表!AA11</f>
        <v>9054413.2799999993</v>
      </c>
      <c r="AB16" s="26">
        <f>股权价值增加表!AB11</f>
        <v>2271812.19</v>
      </c>
      <c r="AC16" s="26">
        <f>股权价值增加表!AC11</f>
        <v>7636468.6500000004</v>
      </c>
      <c r="AD16" s="26">
        <f>股权价值增加表!AD11</f>
        <v>10446783.470000001</v>
      </c>
      <c r="AE16" s="26">
        <f>股权价值增加表!AE11</f>
        <v>-6328274.1299999999</v>
      </c>
      <c r="AF16" s="26">
        <f>股权价值增加表!AF11</f>
        <v>3883249.32</v>
      </c>
      <c r="AG16" s="26">
        <f>股权价值增加表!AG11</f>
        <v>94771112.780000001</v>
      </c>
      <c r="AH16" s="26">
        <f>股权价值增加表!AH11</f>
        <v>5376475.1600000001</v>
      </c>
      <c r="AI16" s="26">
        <f>股权价值增加表!AI11</f>
        <v>9186376.5399999991</v>
      </c>
      <c r="AJ16" s="26">
        <f>股权价值增加表!AJ11</f>
        <v>4846375.04</v>
      </c>
      <c r="AK16" s="26">
        <f>股权价值增加表!AK11</f>
        <v>58403338.18</v>
      </c>
      <c r="AL16" s="26">
        <f>股权价值增加表!AL11</f>
        <v>11848644.449999999</v>
      </c>
      <c r="AM16" s="26">
        <f>股权价值增加表!AM11</f>
        <v>6110726.2999999998</v>
      </c>
      <c r="AN16" s="26">
        <f>股权价值增加表!AN11</f>
        <v>-2942662.98</v>
      </c>
      <c r="AO16" s="26">
        <f>股权价值增加表!AO11</f>
        <v>8867556.3200000003</v>
      </c>
      <c r="AP16" s="26">
        <f>股权价值增加表!AP11</f>
        <v>31776082.809999999</v>
      </c>
      <c r="AQ16" s="26">
        <f>股权价值增加表!AQ11</f>
        <v>18999681.800000001</v>
      </c>
      <c r="AR16" s="26">
        <f>股权价值增加表!AR11</f>
        <v>1119480.95</v>
      </c>
      <c r="AS16" s="26">
        <f>股权价值增加表!AS11</f>
        <v>11759899.789999999</v>
      </c>
      <c r="AT16" s="26">
        <f>股权价值增加表!AT11</f>
        <v>21492227.600000001</v>
      </c>
      <c r="AU16" s="26">
        <f>股权价值增加表!AU11</f>
        <v>23724164.690000001</v>
      </c>
      <c r="AV16" s="26">
        <f>股权价值增加表!AV11</f>
        <v>5974591.1500000004</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59892.29</v>
      </c>
      <c r="BT16" s="26">
        <f>股权价值增加表!BT11</f>
        <v>2674009.56</v>
      </c>
      <c r="BU16" s="26">
        <f>股权价值增加表!BU11</f>
        <v>871179.94</v>
      </c>
      <c r="BV16" s="26">
        <f>股权价值增加表!BV11</f>
        <v>223850.61</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7.5482590778327939E-3</v>
      </c>
      <c r="F17" s="57">
        <f t="shared" ref="F17:BQ17" si="17">F16/F2</f>
        <v>4.3829626629033353E-3</v>
      </c>
      <c r="G17" s="57">
        <f t="shared" si="17"/>
        <v>7.2223537747708811E-3</v>
      </c>
      <c r="H17" s="57">
        <f t="shared" si="17"/>
        <v>1.1363407502532648E-2</v>
      </c>
      <c r="I17" s="57">
        <f t="shared" si="17"/>
        <v>-1.8037973617475653E-3</v>
      </c>
      <c r="J17" s="57">
        <f t="shared" si="17"/>
        <v>4.1671407011555847E-3</v>
      </c>
      <c r="K17" s="57">
        <f t="shared" si="17"/>
        <v>4.7771736609827208E-3</v>
      </c>
      <c r="L17" s="57">
        <f t="shared" si="17"/>
        <v>5.3100592342999568E-3</v>
      </c>
      <c r="M17" s="57">
        <f t="shared" si="17"/>
        <v>4.6054877223619499E-3</v>
      </c>
      <c r="N17" s="57">
        <f t="shared" si="17"/>
        <v>5.4073049530252168E-3</v>
      </c>
      <c r="O17" s="57">
        <f t="shared" si="17"/>
        <v>5.965872277899055E-3</v>
      </c>
      <c r="P17" s="57">
        <f t="shared" si="17"/>
        <v>6.835775722336501E-3</v>
      </c>
      <c r="Q17" s="57">
        <f t="shared" si="17"/>
        <v>3.119135470102776E-3</v>
      </c>
      <c r="R17" s="57">
        <f t="shared" si="17"/>
        <v>4.1267816852346819E-3</v>
      </c>
      <c r="S17" s="57">
        <f t="shared" si="17"/>
        <v>5.9006065845206403E-3</v>
      </c>
      <c r="T17" s="57">
        <f t="shared" si="17"/>
        <v>3.36162544296099E-3</v>
      </c>
      <c r="U17" s="57">
        <f t="shared" si="17"/>
        <v>1.9619115668372909E-3</v>
      </c>
      <c r="V17" s="57">
        <f t="shared" si="17"/>
        <v>2.6174829876029035E-3</v>
      </c>
      <c r="W17" s="57">
        <f t="shared" si="17"/>
        <v>5.8231273413887515E-3</v>
      </c>
      <c r="X17" s="57">
        <f t="shared" si="17"/>
        <v>6.4030378584675586E-3</v>
      </c>
      <c r="Y17" s="57">
        <f t="shared" si="17"/>
        <v>2.9381497179805567E-3</v>
      </c>
      <c r="Z17" s="57">
        <f t="shared" si="17"/>
        <v>1.8569431231720385E-3</v>
      </c>
      <c r="AA17" s="57">
        <f t="shared" si="17"/>
        <v>3.8709115696858539E-3</v>
      </c>
      <c r="AB17" s="57">
        <f t="shared" si="17"/>
        <v>2.1535120769017829E-3</v>
      </c>
      <c r="AC17" s="57">
        <f t="shared" si="17"/>
        <v>2.1351150540743755E-3</v>
      </c>
      <c r="AD17" s="57">
        <f t="shared" si="17"/>
        <v>3.6440997119890129E-3</v>
      </c>
      <c r="AE17" s="57">
        <f t="shared" si="17"/>
        <v>-3.2922694193009503E-3</v>
      </c>
      <c r="AF17" s="57">
        <f t="shared" si="17"/>
        <v>4.6032737273309634E-3</v>
      </c>
      <c r="AG17" s="57">
        <f t="shared" si="17"/>
        <v>3.0631041089408159E-2</v>
      </c>
      <c r="AH17" s="57">
        <f t="shared" si="17"/>
        <v>2.212621480732679E-3</v>
      </c>
      <c r="AI17" s="57">
        <f t="shared" si="17"/>
        <v>5.824618446523505E-3</v>
      </c>
      <c r="AJ17" s="57">
        <f t="shared" si="17"/>
        <v>7.2559899073699544E-3</v>
      </c>
      <c r="AK17" s="57">
        <f t="shared" si="17"/>
        <v>2.1654001014435008E-2</v>
      </c>
      <c r="AL17" s="57">
        <f t="shared" si="17"/>
        <v>5.4313096772718736E-3</v>
      </c>
      <c r="AM17" s="57">
        <f t="shared" si="17"/>
        <v>4.2888190523269381E-3</v>
      </c>
      <c r="AN17" s="57">
        <f t="shared" si="17"/>
        <v>-5.052852426472949E-3</v>
      </c>
      <c r="AO17" s="57">
        <f t="shared" si="17"/>
        <v>3.5562715829571463E-3</v>
      </c>
      <c r="AP17" s="57">
        <f t="shared" si="17"/>
        <v>1.5147185094906026E-2</v>
      </c>
      <c r="AQ17" s="57">
        <f t="shared" si="17"/>
        <v>1.3721886712385922E-2</v>
      </c>
      <c r="AR17" s="57">
        <f t="shared" si="17"/>
        <v>2.1277414141095438E-3</v>
      </c>
      <c r="AS17" s="57">
        <f t="shared" si="17"/>
        <v>5.201656661318256E-3</v>
      </c>
      <c r="AT17" s="57">
        <f t="shared" si="17"/>
        <v>1.2074400630198854E-2</v>
      </c>
      <c r="AU17" s="57">
        <f t="shared" si="17"/>
        <v>2.0416917615268308E-2</v>
      </c>
      <c r="AV17" s="57">
        <f t="shared" si="17"/>
        <v>1.2559792581081634E-2</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5.0447614774634215E-5</v>
      </c>
      <c r="BT17" s="57">
        <f t="shared" si="18"/>
        <v>2.469382289501232E-3</v>
      </c>
      <c r="BU17" s="57">
        <f t="shared" si="18"/>
        <v>8.8714004066404171E-4</v>
      </c>
      <c r="BV17" s="57">
        <f t="shared" si="18"/>
        <v>2.4878695168237513E-4</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1190314.6299999999</v>
      </c>
      <c r="F18" s="26">
        <f>股权价值增加表!F12</f>
        <v>1204</v>
      </c>
      <c r="G18" s="26">
        <f>股权价值增加表!G12</f>
        <v>868</v>
      </c>
      <c r="H18" s="26">
        <f>股权价值增加表!H12</f>
        <v>644</v>
      </c>
      <c r="I18" s="26">
        <f>股权价值增加表!I12</f>
        <v>2574350.66</v>
      </c>
      <c r="J18" s="26">
        <f>股权价值增加表!J12</f>
        <v>0</v>
      </c>
      <c r="K18" s="26">
        <f>股权价值增加表!K12</f>
        <v>0</v>
      </c>
      <c r="L18" s="26">
        <f>股权价值增加表!L12</f>
        <v>0</v>
      </c>
      <c r="M18" s="26">
        <f>股权价值增加表!M12</f>
        <v>2297648.79</v>
      </c>
      <c r="N18" s="26">
        <f>股权价值增加表!N12</f>
        <v>0</v>
      </c>
      <c r="O18" s="26">
        <f>股权价值增加表!O12</f>
        <v>0</v>
      </c>
      <c r="P18" s="26">
        <f>股权价值增加表!P12</f>
        <v>0</v>
      </c>
      <c r="Q18" s="26">
        <f>股权价值增加表!Q12</f>
        <v>2037783.13</v>
      </c>
      <c r="R18" s="26">
        <f>股权价值增加表!R12</f>
        <v>0</v>
      </c>
      <c r="S18" s="26">
        <f>股权价值增加表!S12</f>
        <v>0</v>
      </c>
      <c r="T18" s="26">
        <f>股权价值增加表!T12</f>
        <v>0</v>
      </c>
      <c r="U18" s="26">
        <f>股权价值增加表!U12</f>
        <v>2160833.6</v>
      </c>
      <c r="V18" s="26">
        <f>股权价值增加表!V12</f>
        <v>0</v>
      </c>
      <c r="W18" s="26">
        <f>股权价值增加表!W12</f>
        <v>0</v>
      </c>
      <c r="X18" s="26">
        <f>股权价值增加表!X12</f>
        <v>0</v>
      </c>
      <c r="Y18" s="26">
        <f>股权价值增加表!Y12</f>
        <v>1780094.6</v>
      </c>
      <c r="Z18" s="26">
        <f>股权价值增加表!Z12</f>
        <v>0</v>
      </c>
      <c r="AA18" s="26">
        <f>股权价值增加表!AA12</f>
        <v>0</v>
      </c>
      <c r="AB18" s="26">
        <f>股权价值增加表!AB12</f>
        <v>0</v>
      </c>
      <c r="AC18" s="26">
        <f>股权价值增加表!AC12</f>
        <v>1885668.95</v>
      </c>
      <c r="AD18" s="26">
        <f>股权价值增加表!AD12</f>
        <v>0</v>
      </c>
      <c r="AE18" s="26">
        <f>股权价值增加表!AE12</f>
        <v>0</v>
      </c>
      <c r="AF18" s="26">
        <f>股权价值增加表!AF12</f>
        <v>0</v>
      </c>
      <c r="AG18" s="26">
        <f>股权价值增加表!AG12</f>
        <v>1632645.61</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1.8345706853307E-4</v>
      </c>
      <c r="F19" s="57">
        <f t="shared" ref="F19:BQ19" si="19">F18/F2</f>
        <v>3.0914907435106425E-7</v>
      </c>
      <c r="G19" s="57">
        <f t="shared" si="19"/>
        <v>3.2731482642301606E-7</v>
      </c>
      <c r="H19" s="57">
        <f t="shared" si="19"/>
        <v>4.8053756671929678E-7</v>
      </c>
      <c r="I19" s="57">
        <f t="shared" si="19"/>
        <v>4.8379153246030818E-4</v>
      </c>
      <c r="J19" s="57">
        <f t="shared" si="19"/>
        <v>0</v>
      </c>
      <c r="K19" s="57">
        <f t="shared" si="19"/>
        <v>0</v>
      </c>
      <c r="L19" s="57">
        <f t="shared" si="19"/>
        <v>0</v>
      </c>
      <c r="M19" s="57">
        <f t="shared" si="19"/>
        <v>3.9303826947596852E-4</v>
      </c>
      <c r="N19" s="57">
        <f t="shared" si="19"/>
        <v>0</v>
      </c>
      <c r="O19" s="57">
        <f t="shared" si="19"/>
        <v>0</v>
      </c>
      <c r="P19" s="57">
        <f t="shared" si="19"/>
        <v>0</v>
      </c>
      <c r="Q19" s="57">
        <f t="shared" si="19"/>
        <v>3.8198936585997015E-4</v>
      </c>
      <c r="R19" s="57">
        <f t="shared" si="19"/>
        <v>0</v>
      </c>
      <c r="S19" s="57">
        <f t="shared" si="19"/>
        <v>0</v>
      </c>
      <c r="T19" s="57">
        <f t="shared" si="19"/>
        <v>0</v>
      </c>
      <c r="U19" s="57">
        <f t="shared" si="19"/>
        <v>4.835698370981705E-4</v>
      </c>
      <c r="V19" s="57">
        <f t="shared" si="19"/>
        <v>0</v>
      </c>
      <c r="W19" s="57">
        <f t="shared" si="19"/>
        <v>0</v>
      </c>
      <c r="X19" s="57">
        <f t="shared" si="19"/>
        <v>0</v>
      </c>
      <c r="Y19" s="57">
        <f t="shared" si="19"/>
        <v>3.952145111890155E-4</v>
      </c>
      <c r="Z19" s="57">
        <f t="shared" si="19"/>
        <v>0</v>
      </c>
      <c r="AA19" s="57">
        <f t="shared" si="19"/>
        <v>0</v>
      </c>
      <c r="AB19" s="57">
        <f t="shared" si="19"/>
        <v>0</v>
      </c>
      <c r="AC19" s="57">
        <f t="shared" si="19"/>
        <v>5.2722277097878487E-4</v>
      </c>
      <c r="AD19" s="57">
        <f t="shared" si="19"/>
        <v>0</v>
      </c>
      <c r="AE19" s="57">
        <f t="shared" si="19"/>
        <v>0</v>
      </c>
      <c r="AF19" s="57">
        <f t="shared" si="19"/>
        <v>0</v>
      </c>
      <c r="AG19" s="57">
        <f t="shared" si="19"/>
        <v>5.2768858882604175E-4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-11056441.860000001</v>
      </c>
      <c r="F20" s="26">
        <f>股权价值增加表!F13-股权价值增加表!F14</f>
        <v>-25297491.390000001</v>
      </c>
      <c r="G20" s="26">
        <f>股权价值增加表!G13-股权价值增加表!G14</f>
        <v>-25481077.140000001</v>
      </c>
      <c r="H20" s="26">
        <f>股权价值增加表!H13-股权价值增加表!H14</f>
        <v>17853459.609999999</v>
      </c>
      <c r="I20" s="26">
        <f>股权价值增加表!I13-股权价值增加表!I14</f>
        <v>17370988.390000001</v>
      </c>
      <c r="J20" s="26">
        <f>股权价值增加表!J13-股权价值增加表!J14</f>
        <v>10710025.310000001</v>
      </c>
      <c r="K20" s="26">
        <f>股权价值增加表!K13-股权价值增加表!K14</f>
        <v>10381768.359999999</v>
      </c>
      <c r="L20" s="26">
        <f>股权价值增加表!L13-股权价值增加表!L14</f>
        <v>4413659.17</v>
      </c>
      <c r="M20" s="26">
        <f>股权价值增加表!M13-股权价值增加表!M14</f>
        <v>35624061.600000001</v>
      </c>
      <c r="N20" s="26">
        <f>股权价值增加表!N13-股权价值增加表!N14</f>
        <v>28834502.060000002</v>
      </c>
      <c r="O20" s="26">
        <f>股权价值增加表!O13-股权价值增加表!O14</f>
        <v>17022191.899999999</v>
      </c>
      <c r="P20" s="26">
        <f>股权价值增加表!P13-股权价值增加表!P14</f>
        <v>3782835.7800000003</v>
      </c>
      <c r="Q20" s="26">
        <f>股权价值增加表!Q13-股权价值增加表!Q14</f>
        <v>18999904.43</v>
      </c>
      <c r="R20" s="26">
        <f>股权价值增加表!R13-股权价值增加表!R14</f>
        <v>10274050.49</v>
      </c>
      <c r="S20" s="26">
        <f>股权价值增加表!S13-股权价值增加表!S14</f>
        <v>8721146.5499999989</v>
      </c>
      <c r="T20" s="26">
        <f>股权价值增加表!T13-股权价值增加表!T14</f>
        <v>913053.16000000015</v>
      </c>
      <c r="U20" s="26">
        <f>股权价值增加表!U13-股权价值增加表!U14</f>
        <v>24708241.729999997</v>
      </c>
      <c r="V20" s="26">
        <f>股权价值增加表!V13-股权价值增加表!V14</f>
        <v>4677773.28</v>
      </c>
      <c r="W20" s="26">
        <f>股权价值增加表!W13-股权价值增加表!W14</f>
        <v>2534164.42</v>
      </c>
      <c r="X20" s="26">
        <f>股权价值增加表!X13-股权价值增加表!X14</f>
        <v>676477.33000000007</v>
      </c>
      <c r="Y20" s="26">
        <f>股权价值增加表!Y13-股权价值增加表!Y14</f>
        <v>14086302.5</v>
      </c>
      <c r="Z20" s="26">
        <f>股权价值增加表!Z13-股权价值增加表!Z14</f>
        <v>7239770.4100000001</v>
      </c>
      <c r="AA20" s="26">
        <f>股权价值增加表!AA13-股权价值增加表!AA14</f>
        <v>5794149.9399999995</v>
      </c>
      <c r="AB20" s="26">
        <f>股权价值增加表!AB13-股权价值增加表!AB14</f>
        <v>248775</v>
      </c>
      <c r="AC20" s="26">
        <f>股权价值增加表!AC13-股权价值增加表!AC14</f>
        <v>16542995.529999999</v>
      </c>
      <c r="AD20" s="26">
        <f>股权价值增加表!AD13-股权价值增加表!AD14</f>
        <v>7950907.1200000001</v>
      </c>
      <c r="AE20" s="26">
        <f>股权价值增加表!AE13-股权价值增加表!AE14</f>
        <v>2671604.86</v>
      </c>
      <c r="AF20" s="26">
        <f>股权价值增加表!AF13-股权价值增加表!AF14</f>
        <v>370323.39</v>
      </c>
      <c r="AG20" s="26">
        <f>股权价值增加表!AG13-股权价值增加表!AG14</f>
        <v>10261546.34</v>
      </c>
      <c r="AH20" s="26">
        <f>股权价值增加表!AH13-股权价值增加表!AH14</f>
        <v>6450430.9900000002</v>
      </c>
      <c r="AI20" s="26">
        <f>股权价值增加表!AI13-股权价值增加表!AI14</f>
        <v>4155385.05</v>
      </c>
      <c r="AJ20" s="26">
        <f>股权价值增加表!AJ13-股权价值增加表!AJ14</f>
        <v>745938.05</v>
      </c>
      <c r="AK20" s="26">
        <f>股权价值增加表!AK13-股权价值增加表!AK14</f>
        <v>8762903.5099999998</v>
      </c>
      <c r="AL20" s="26">
        <f>股权价值增加表!AL13-股权价值增加表!AL14</f>
        <v>6889432.4900000002</v>
      </c>
      <c r="AM20" s="26">
        <f>股权价值增加表!AM13-股权价值增加表!AM14</f>
        <v>3900873.7699999996</v>
      </c>
      <c r="AN20" s="26">
        <f>股权价值增加表!AN13-股权价值增加表!AN14</f>
        <v>3421096.51</v>
      </c>
      <c r="AO20" s="26">
        <f>股权价值增加表!AO13-股权价值增加表!AO14</f>
        <v>8157335.4499999993</v>
      </c>
      <c r="AP20" s="26">
        <f>股权价值增加表!AP13-股权价值增加表!AP14</f>
        <v>683934.15999999968</v>
      </c>
      <c r="AQ20" s="26">
        <f>股权价值增加表!AQ13-股权价值增加表!AQ14</f>
        <v>380751.13000000035</v>
      </c>
      <c r="AR20" s="26">
        <f>股权价值增加表!AR13-股权价值增加表!AR14</f>
        <v>650351.35</v>
      </c>
      <c r="AS20" s="26">
        <f>股权价值增加表!AS13-股权价值增加表!AS14</f>
        <v>9933742.3300000001</v>
      </c>
      <c r="AT20" s="26">
        <f>股权价值增加表!AT13-股权价值增加表!AT14</f>
        <v>16045241.059999999</v>
      </c>
      <c r="AU20" s="26">
        <f>股权价值增加表!AU13-股权价值增加表!AU14</f>
        <v>1146051.99</v>
      </c>
      <c r="AV20" s="26">
        <f>股权价值增加表!AV13-股权价值增加表!AV14</f>
        <v>56409.66</v>
      </c>
      <c r="AW20" s="26">
        <f>股权价值增加表!AW13-股权价值增加表!AW14</f>
        <v>-15696227.76</v>
      </c>
      <c r="AX20" s="26">
        <f>股权价值增加表!AX13-股权价值增加表!AX14</f>
        <v>-85595.199999999953</v>
      </c>
      <c r="AY20" s="26">
        <f>股权价值增加表!AY13-股权价值增加表!AY14</f>
        <v>104179.95999999999</v>
      </c>
      <c r="AZ20" s="26">
        <f>股权价值增加表!AZ13-股权价值增加表!AZ14</f>
        <v>19628.150000000001</v>
      </c>
      <c r="BA20" s="26">
        <f>股权价值增加表!BA13-股权价值增加表!BA14</f>
        <v>-141567.95999999996</v>
      </c>
      <c r="BB20" s="26">
        <f>股权价值增加表!BB13-股权价值增加表!BB14</f>
        <v>75230.909999999974</v>
      </c>
      <c r="BC20" s="26">
        <f>股权价值增加表!BC13-股权价值增加表!BC14</f>
        <v>183183.64</v>
      </c>
      <c r="BD20" s="26">
        <f>股权价值增加表!BD13-股权价值增加表!BD14</f>
        <v>93153.340000000011</v>
      </c>
      <c r="BE20" s="26">
        <f>股权价值增加表!BE13-股权价值增加表!BE14</f>
        <v>-3504577.3200000003</v>
      </c>
      <c r="BF20" s="26">
        <f>股权价值增加表!BF13-股权价值增加表!BF14</f>
        <v>-3445741.24</v>
      </c>
      <c r="BG20" s="26">
        <f>股权价值增加表!BG13-股权价值增加表!BG14</f>
        <v>467156.71</v>
      </c>
      <c r="BH20" s="26">
        <f>股权价值增加表!BH13-股权价值增加表!BH14</f>
        <v>213770.75</v>
      </c>
      <c r="BI20" s="26">
        <f>股权价值增加表!BI13-股权价值增加表!BI14</f>
        <v>-1354956.42</v>
      </c>
      <c r="BJ20" s="26">
        <f>股权价值增加表!BJ13-股权价值增加表!BJ14</f>
        <v>-1016805.93</v>
      </c>
      <c r="BK20" s="26">
        <f>股权价值增加表!BK13-股权价值增加表!BK14</f>
        <v>269430.51</v>
      </c>
      <c r="BL20" s="26">
        <f>股权价值增加表!BL13-股权价值增加表!BL14</f>
        <v>-36025.360000000001</v>
      </c>
      <c r="BM20" s="26">
        <f>股权价值增加表!BM13-股权价值增加表!BM14</f>
        <v>774343.10000000009</v>
      </c>
      <c r="BN20" s="26">
        <f>股权价值增加表!BN13-股权价值增加表!BN14</f>
        <v>-134011.68999999994</v>
      </c>
      <c r="BO20" s="26">
        <f>股权价值增加表!BO13-股权价值增加表!BO14</f>
        <v>-341861.31000000006</v>
      </c>
      <c r="BP20" s="26">
        <f>股权价值增加表!BP13-股权价值增加表!BP14</f>
        <v>-175402.7</v>
      </c>
      <c r="BQ20" s="26">
        <f>股权价值增加表!BQ13-股权价值增加表!BQ14</f>
        <v>129911</v>
      </c>
      <c r="BR20" s="26">
        <f>股权价值增加表!BR13-股权价值增加表!BR14</f>
        <v>148673.22999999998</v>
      </c>
      <c r="BS20" s="26">
        <f>股权价值增加表!BS13-股权价值增加表!BS14</f>
        <v>-9443242.9099999983</v>
      </c>
      <c r="BT20" s="26">
        <f>股权价值增加表!BT13-股权价值增加表!BT14</f>
        <v>-3168101.4499999997</v>
      </c>
      <c r="BU20" s="26">
        <f>股权价值增加表!BU13-股权价值增加表!BU14</f>
        <v>-608212.39</v>
      </c>
      <c r="BV20" s="26">
        <f>股权价值增加表!BV13-股权价值增加表!BV14</f>
        <v>6038004.6600000001</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-1.7040724871557065E-3</v>
      </c>
      <c r="F21" s="57">
        <f t="shared" ref="F21:BQ21" si="21">F20/F2</f>
        <v>-6.4955947231084034E-3</v>
      </c>
      <c r="G21" s="57">
        <f t="shared" si="21"/>
        <v>-9.6086801165329288E-3</v>
      </c>
      <c r="H21" s="57">
        <f t="shared" si="21"/>
        <v>1.3321829252345721E-2</v>
      </c>
      <c r="I21" s="57">
        <f t="shared" si="21"/>
        <v>3.2644880995148975E-3</v>
      </c>
      <c r="J21" s="57">
        <f t="shared" si="21"/>
        <v>2.4977595392600797E-3</v>
      </c>
      <c r="K21" s="57">
        <f t="shared" si="21"/>
        <v>3.3863926517164857E-3</v>
      </c>
      <c r="L21" s="57">
        <f t="shared" si="21"/>
        <v>2.8639722122340912E-3</v>
      </c>
      <c r="M21" s="57">
        <f t="shared" si="21"/>
        <v>6.0938902341855748E-3</v>
      </c>
      <c r="N21" s="57">
        <f t="shared" si="21"/>
        <v>6.2445303616835276E-3</v>
      </c>
      <c r="O21" s="57">
        <f t="shared" si="21"/>
        <v>5.2945237056431218E-3</v>
      </c>
      <c r="P21" s="57">
        <f t="shared" si="21"/>
        <v>2.3718364946877851E-3</v>
      </c>
      <c r="Q21" s="57">
        <f t="shared" si="21"/>
        <v>3.561596588845908E-3</v>
      </c>
      <c r="R21" s="57">
        <f t="shared" si="21"/>
        <v>2.4648261789785154E-3</v>
      </c>
      <c r="S21" s="57">
        <f t="shared" si="21"/>
        <v>3.0932862778047803E-3</v>
      </c>
      <c r="T21" s="57">
        <f t="shared" si="21"/>
        <v>6.7849618641663615E-4</v>
      </c>
      <c r="U21" s="57">
        <f t="shared" si="21"/>
        <v>5.5294218066390287E-3</v>
      </c>
      <c r="V21" s="57">
        <f t="shared" si="21"/>
        <v>1.1658398604369022E-3</v>
      </c>
      <c r="W21" s="57">
        <f t="shared" si="21"/>
        <v>9.2262380664586926E-4</v>
      </c>
      <c r="X21" s="57">
        <f t="shared" si="21"/>
        <v>5.1053873335199398E-4</v>
      </c>
      <c r="Y21" s="57">
        <f t="shared" si="21"/>
        <v>3.1274243273352476E-3</v>
      </c>
      <c r="Z21" s="57">
        <f t="shared" si="21"/>
        <v>2.0447140629560158E-3</v>
      </c>
      <c r="AA21" s="57">
        <f t="shared" si="21"/>
        <v>2.4770950193738666E-3</v>
      </c>
      <c r="AB21" s="57">
        <f t="shared" si="21"/>
        <v>2.35820535381158E-4</v>
      </c>
      <c r="AC21" s="57">
        <f t="shared" si="21"/>
        <v>4.6253314738073465E-3</v>
      </c>
      <c r="AD21" s="57">
        <f t="shared" si="21"/>
        <v>2.77347553237297E-3</v>
      </c>
      <c r="AE21" s="57">
        <f t="shared" si="21"/>
        <v>1.3898960127749389E-3</v>
      </c>
      <c r="AF21" s="57">
        <f t="shared" si="21"/>
        <v>4.3898802042489975E-4</v>
      </c>
      <c r="AG21" s="57">
        <f t="shared" si="21"/>
        <v>3.3166419424774207E-3</v>
      </c>
      <c r="AH21" s="57">
        <f t="shared" si="21"/>
        <v>2.6545946449528027E-3</v>
      </c>
      <c r="AI21" s="57">
        <f t="shared" si="21"/>
        <v>2.6347202631254217E-3</v>
      </c>
      <c r="AJ21" s="57">
        <f t="shared" si="21"/>
        <v>1.1168180171056727E-3</v>
      </c>
      <c r="AK21" s="57">
        <f t="shared" si="21"/>
        <v>3.2489910235972762E-3</v>
      </c>
      <c r="AL21" s="57">
        <f t="shared" si="21"/>
        <v>3.1580525107113211E-3</v>
      </c>
      <c r="AM21" s="57">
        <f t="shared" si="21"/>
        <v>2.7378319571436881E-3</v>
      </c>
      <c r="AN21" s="57">
        <f t="shared" si="21"/>
        <v>5.8743715876534517E-3</v>
      </c>
      <c r="AO21" s="57">
        <f t="shared" si="21"/>
        <v>3.2714424590746709E-3</v>
      </c>
      <c r="AP21" s="57">
        <f t="shared" si="21"/>
        <v>3.2602122093503786E-4</v>
      </c>
      <c r="AQ21" s="57">
        <f t="shared" si="21"/>
        <v>2.7498480903364019E-4</v>
      </c>
      <c r="AR21" s="57">
        <f t="shared" si="21"/>
        <v>1.2360902622925839E-3</v>
      </c>
      <c r="AS21" s="57">
        <f t="shared" si="21"/>
        <v>4.393907931647744E-3</v>
      </c>
      <c r="AT21" s="57">
        <f t="shared" si="21"/>
        <v>9.0142665698625165E-3</v>
      </c>
      <c r="AU21" s="57">
        <f t="shared" si="21"/>
        <v>9.8628758349950151E-4</v>
      </c>
      <c r="AV21" s="57">
        <f t="shared" si="21"/>
        <v>1.1858445396206525E-4</v>
      </c>
      <c r="AW21" s="57">
        <f t="shared" si="21"/>
        <v>-7.2696851501815153E-3</v>
      </c>
      <c r="AX21" s="57">
        <f t="shared" si="21"/>
        <v>-4.9021691501175687E-5</v>
      </c>
      <c r="AY21" s="57">
        <f t="shared" si="21"/>
        <v>9.5028165216420554E-5</v>
      </c>
      <c r="AZ21" s="57">
        <f t="shared" si="21"/>
        <v>4.3832126834458636E-5</v>
      </c>
      <c r="BA21" s="57">
        <f t="shared" si="21"/>
        <v>-7.2641046592410348E-5</v>
      </c>
      <c r="BB21" s="57">
        <f t="shared" si="21"/>
        <v>4.8804327382728405E-5</v>
      </c>
      <c r="BC21" s="57">
        <f t="shared" si="21"/>
        <v>1.8888689697967425E-4</v>
      </c>
      <c r="BD21" s="57">
        <f t="shared" si="21"/>
        <v>2.4348824661339004E-4</v>
      </c>
      <c r="BE21" s="57">
        <f t="shared" si="21"/>
        <v>-2.0998601060998436E-3</v>
      </c>
      <c r="BF21" s="57">
        <f t="shared" si="21"/>
        <v>-2.6804671618761628E-3</v>
      </c>
      <c r="BG21" s="57">
        <f t="shared" si="21"/>
        <v>6.0328431351435515E-4</v>
      </c>
      <c r="BH21" s="57">
        <f t="shared" si="21"/>
        <v>7.4697049834335563E-4</v>
      </c>
      <c r="BI21" s="57">
        <f t="shared" si="21"/>
        <v>-9.1158364942813116E-4</v>
      </c>
      <c r="BJ21" s="57">
        <f t="shared" si="21"/>
        <v>-8.9049910806490045E-4</v>
      </c>
      <c r="BK21" s="57">
        <f t="shared" si="21"/>
        <v>3.6601227731017534E-4</v>
      </c>
      <c r="BL21" s="57">
        <f t="shared" si="21"/>
        <v>-1.5791919579457455E-4</v>
      </c>
      <c r="BM21" s="57">
        <f t="shared" si="21"/>
        <v>5.6774826867712132E-4</v>
      </c>
      <c r="BN21" s="57">
        <f t="shared" si="21"/>
        <v>-1.287566106771621E-4</v>
      </c>
      <c r="BO21" s="57">
        <f t="shared" si="21"/>
        <v>-4.9814240194206137E-4</v>
      </c>
      <c r="BP21" s="57">
        <f t="shared" si="21"/>
        <v>-7.8573931204767267E-4</v>
      </c>
      <c r="BQ21" s="57">
        <f t="shared" si="21"/>
        <v>9.9483628024432978E-5</v>
      </c>
      <c r="BR21" s="57">
        <f t="shared" ref="BR21:CK21" si="22">BR20/BR2</f>
        <v>2.3270289097566209E-4</v>
      </c>
      <c r="BS21" s="57">
        <f t="shared" si="22"/>
        <v>-7.9540969388042383E-3</v>
      </c>
      <c r="BT21" s="57">
        <f t="shared" si="22"/>
        <v>-2.9256640398747013E-3</v>
      </c>
      <c r="BU21" s="57">
        <f t="shared" si="22"/>
        <v>-6.1935489974318514E-4</v>
      </c>
      <c r="BV21" s="57">
        <f t="shared" si="22"/>
        <v>6.7106217562032822E-3</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0.59777280723919468</v>
      </c>
      <c r="F22" s="66">
        <f t="shared" ref="F22:BQ22" si="23">F11+F13+F15+F17+F19+F21</f>
        <v>0.61764298617219504</v>
      </c>
      <c r="G22" s="66">
        <f t="shared" si="23"/>
        <v>0.61914417215821815</v>
      </c>
      <c r="H22" s="66">
        <f t="shared" si="23"/>
        <v>0.67666507041697743</v>
      </c>
      <c r="I22" s="66">
        <f t="shared" si="23"/>
        <v>0.58194303642968082</v>
      </c>
      <c r="J22" s="66">
        <f t="shared" si="23"/>
        <v>0.50828791197153411</v>
      </c>
      <c r="K22" s="66">
        <f t="shared" si="23"/>
        <v>0.49144749118858549</v>
      </c>
      <c r="L22" s="66">
        <f t="shared" si="23"/>
        <v>0.5192966814413299</v>
      </c>
      <c r="M22" s="66">
        <f t="shared" si="23"/>
        <v>0.47176752141367045</v>
      </c>
      <c r="N22" s="66">
        <f t="shared" si="23"/>
        <v>0.4478427566573614</v>
      </c>
      <c r="O22" s="66">
        <f t="shared" si="23"/>
        <v>0.41823757432224223</v>
      </c>
      <c r="P22" s="66">
        <f t="shared" si="23"/>
        <v>0.5096781848855827</v>
      </c>
      <c r="Q22" s="66">
        <f t="shared" si="23"/>
        <v>0.45847278475527808</v>
      </c>
      <c r="R22" s="66">
        <f t="shared" si="23"/>
        <v>0.44657147452698037</v>
      </c>
      <c r="S22" s="66">
        <f t="shared" si="23"/>
        <v>0.43271230401740118</v>
      </c>
      <c r="T22" s="66">
        <f t="shared" si="23"/>
        <v>0.53278769510966573</v>
      </c>
      <c r="U22" s="66">
        <f t="shared" si="23"/>
        <v>0.46742724286249993</v>
      </c>
      <c r="V22" s="66">
        <f t="shared" si="23"/>
        <v>0.40790882607448009</v>
      </c>
      <c r="W22" s="66">
        <f t="shared" si="23"/>
        <v>0.38561176912986933</v>
      </c>
      <c r="X22" s="66">
        <f t="shared" si="23"/>
        <v>0.48415415734267292</v>
      </c>
      <c r="Y22" s="66">
        <f t="shared" si="23"/>
        <v>0.43729850788467944</v>
      </c>
      <c r="Z22" s="66">
        <f t="shared" si="23"/>
        <v>0.42162454947023492</v>
      </c>
      <c r="AA22" s="66">
        <f t="shared" si="23"/>
        <v>0.39750288063019745</v>
      </c>
      <c r="AB22" s="66">
        <f t="shared" si="23"/>
        <v>0.4196394332669855</v>
      </c>
      <c r="AC22" s="66">
        <f t="shared" si="23"/>
        <v>0.48646383050866471</v>
      </c>
      <c r="AD22" s="66">
        <f t="shared" si="23"/>
        <v>0.45896175890748819</v>
      </c>
      <c r="AE22" s="66">
        <f t="shared" si="23"/>
        <v>0.42708347014566239</v>
      </c>
      <c r="AF22" s="66">
        <f t="shared" si="23"/>
        <v>0.43095350608159455</v>
      </c>
      <c r="AG22" s="66">
        <f t="shared" si="23"/>
        <v>0.48773734278462993</v>
      </c>
      <c r="AH22" s="66">
        <f t="shared" si="23"/>
        <v>0.45674482636112007</v>
      </c>
      <c r="AI22" s="66">
        <f t="shared" si="23"/>
        <v>0.43603894205924598</v>
      </c>
      <c r="AJ22" s="66">
        <f t="shared" si="23"/>
        <v>0.43187766789194232</v>
      </c>
      <c r="AK22" s="66">
        <f t="shared" si="23"/>
        <v>0.45417822463361057</v>
      </c>
      <c r="AL22" s="66">
        <f t="shared" si="23"/>
        <v>0.44844719132885669</v>
      </c>
      <c r="AM22" s="66">
        <f t="shared" si="23"/>
        <v>0.41794613348121751</v>
      </c>
      <c r="AN22" s="66">
        <f t="shared" si="23"/>
        <v>0.40610923657998549</v>
      </c>
      <c r="AO22" s="66">
        <f t="shared" si="23"/>
        <v>0.42931677674651941</v>
      </c>
      <c r="AP22" s="66">
        <f t="shared" si="23"/>
        <v>0.40010545346300014</v>
      </c>
      <c r="AQ22" s="66">
        <f t="shared" si="23"/>
        <v>0.39795636706851589</v>
      </c>
      <c r="AR22" s="66">
        <f t="shared" si="23"/>
        <v>0.39288353267577353</v>
      </c>
      <c r="AS22" s="66">
        <f t="shared" si="23"/>
        <v>0.38199552756885774</v>
      </c>
      <c r="AT22" s="66">
        <f t="shared" si="23"/>
        <v>0.40291596045807837</v>
      </c>
      <c r="AU22" s="66">
        <f t="shared" si="23"/>
        <v>0.38870136267180222</v>
      </c>
      <c r="AV22" s="66">
        <f t="shared" si="23"/>
        <v>0.35937478940838341</v>
      </c>
      <c r="AW22" s="66">
        <f t="shared" si="23"/>
        <v>0.36443478669238322</v>
      </c>
      <c r="AX22" s="66">
        <f t="shared" si="23"/>
        <v>0.38944822255407846</v>
      </c>
      <c r="AY22" s="66">
        <f t="shared" si="23"/>
        <v>0.39313655567576822</v>
      </c>
      <c r="AZ22" s="66">
        <f t="shared" si="23"/>
        <v>0.36768991241667104</v>
      </c>
      <c r="BA22" s="66">
        <f t="shared" si="23"/>
        <v>0.37040883070853731</v>
      </c>
      <c r="BB22" s="66">
        <f t="shared" si="23"/>
        <v>0.35678580292131162</v>
      </c>
      <c r="BC22" s="66">
        <f t="shared" si="23"/>
        <v>0.36071515004192922</v>
      </c>
      <c r="BD22" s="66">
        <f t="shared" si="23"/>
        <v>0.36538612873763671</v>
      </c>
      <c r="BE22" s="66">
        <f t="shared" si="23"/>
        <v>0.3535226267305781</v>
      </c>
      <c r="BF22" s="66">
        <f t="shared" si="23"/>
        <v>0.33486565556169168</v>
      </c>
      <c r="BG22" s="66">
        <f t="shared" si="23"/>
        <v>0.33461555632103779</v>
      </c>
      <c r="BH22" s="66">
        <f t="shared" si="23"/>
        <v>0.37953964699838166</v>
      </c>
      <c r="BI22" s="66">
        <f t="shared" si="23"/>
        <v>0.34478719249449058</v>
      </c>
      <c r="BJ22" s="66">
        <f t="shared" si="23"/>
        <v>0.32739345854408292</v>
      </c>
      <c r="BK22" s="66">
        <f t="shared" si="23"/>
        <v>0.32799246265974208</v>
      </c>
      <c r="BL22" s="66">
        <f t="shared" si="23"/>
        <v>0.37003173123185784</v>
      </c>
      <c r="BM22" s="66">
        <f t="shared" si="23"/>
        <v>0.35511673957839196</v>
      </c>
      <c r="BN22" s="66">
        <f t="shared" si="23"/>
        <v>0.33009695754122997</v>
      </c>
      <c r="BO22" s="66">
        <f t="shared" si="23"/>
        <v>0.32012141149939999</v>
      </c>
      <c r="BP22" s="66">
        <f t="shared" si="23"/>
        <v>0.37494217221268239</v>
      </c>
      <c r="BQ22" s="66">
        <f t="shared" si="23"/>
        <v>0.31491656403465224</v>
      </c>
      <c r="BR22" s="66">
        <f t="shared" ref="BR22:CJ22" si="24">BR11+BR13+BR15+BR17+BR19+BR21</f>
        <v>0.30342485029112803</v>
      </c>
      <c r="BS22" s="66">
        <f t="shared" si="24"/>
        <v>0.29903413086739367</v>
      </c>
      <c r="BT22" s="66">
        <f t="shared" si="24"/>
        <v>0.30581734774909197</v>
      </c>
      <c r="BU22" s="66">
        <f t="shared" si="24"/>
        <v>0.3236589982703999</v>
      </c>
      <c r="BV22" s="66">
        <f t="shared" si="24"/>
        <v>0.36431048831599944</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256908517.02874482</v>
      </c>
      <c r="F23" s="27">
        <f>股权价值增加表!F17</f>
        <v>208425912.30801302</v>
      </c>
      <c r="G23" s="27">
        <f>股权价值增加表!G17</f>
        <v>134114785.60173094</v>
      </c>
      <c r="H23" s="27">
        <f>股权价值增加表!H17</f>
        <v>88823481.589265153</v>
      </c>
      <c r="I23" s="27">
        <f>股权价值增加表!I17</f>
        <v>138006387.79048923</v>
      </c>
      <c r="J23" s="27">
        <f>股权价值增加表!J17</f>
        <v>373044406.00854594</v>
      </c>
      <c r="K23" s="27">
        <f>股权价值增加表!K17</f>
        <v>317600322.82687438</v>
      </c>
      <c r="L23" s="27">
        <f>股权价值增加表!L17</f>
        <v>112803033.91331214</v>
      </c>
      <c r="M23" s="27">
        <f>股权价值增加表!M17</f>
        <v>656162106.56214035</v>
      </c>
      <c r="N23" s="27">
        <f>股权价值增加表!N17</f>
        <v>630579481.90900242</v>
      </c>
      <c r="O23" s="27">
        <f>股权价值增加表!O17</f>
        <v>549290120.40048015</v>
      </c>
      <c r="P23" s="27">
        <f>股权价值增加表!P17</f>
        <v>143945836.69470143</v>
      </c>
      <c r="Q23" s="27">
        <f>股权价值增加表!Q17</f>
        <v>705484959.35875249</v>
      </c>
      <c r="R23" s="27">
        <f>股权价值增加表!R17</f>
        <v>613501663.86566031</v>
      </c>
      <c r="S23" s="27">
        <f>股权价值增加表!S17</f>
        <v>494956164.06761038</v>
      </c>
      <c r="T23" s="27">
        <f>股权价值增加表!T17</f>
        <v>120056425.75616467</v>
      </c>
      <c r="U23" s="27">
        <f>股权价值增加表!U17</f>
        <v>660645571.95259309</v>
      </c>
      <c r="V23" s="27">
        <f>股权价值增加表!V17</f>
        <v>528801311.33066797</v>
      </c>
      <c r="W23" s="27">
        <f>股权价值增加表!W17</f>
        <v>429533731.30566072</v>
      </c>
      <c r="X23" s="27">
        <f>股权价值增加表!X17</f>
        <v>91168568.381361529</v>
      </c>
      <c r="Y23" s="27">
        <f>股权价值增加表!Y17</f>
        <v>466153680.54271162</v>
      </c>
      <c r="Z23" s="27">
        <f>股权价值增加表!Z17</f>
        <v>362291469.13647711</v>
      </c>
      <c r="AA23" s="27">
        <f>股权价值增加表!AA17</f>
        <v>272848979.89675492</v>
      </c>
      <c r="AB23" s="27">
        <f>股权价值增加表!AB17</f>
        <v>65326844.162742242</v>
      </c>
      <c r="AC23" s="27">
        <f>股权价值增加表!AC17</f>
        <v>282577204.36179614</v>
      </c>
      <c r="AD23" s="27">
        <f>股权价值增加表!AD17</f>
        <v>217646846.11646521</v>
      </c>
      <c r="AE23" s="27">
        <f>股权价值增加表!AE17</f>
        <v>168279632.9023124</v>
      </c>
      <c r="AF23" s="27">
        <f>股权价值增加表!AF17</f>
        <v>41327447.845908925</v>
      </c>
      <c r="AG23" s="27">
        <f>股权价值增加表!AG17</f>
        <v>170486213.80909324</v>
      </c>
      <c r="AH23" s="27">
        <f>股权价值增加表!AH17</f>
        <v>174633738.76292366</v>
      </c>
      <c r="AI23" s="27">
        <f>股权价值增加表!AI17</f>
        <v>130494040.52791312</v>
      </c>
      <c r="AJ23" s="27">
        <f>股权价值增加表!AJ17</f>
        <v>32288773.364936016</v>
      </c>
      <c r="AK23" s="27">
        <f>股权价值增加表!AK17</f>
        <v>222898812.38837677</v>
      </c>
      <c r="AL23" s="27">
        <f>股权价值增加表!AL17</f>
        <v>176453382.25383633</v>
      </c>
      <c r="AM23" s="27">
        <f>股权价值增加表!AM17</f>
        <v>135789775.17458239</v>
      </c>
      <c r="AN23" s="27">
        <f>股权价值增加表!AN17</f>
        <v>30302803.522775292</v>
      </c>
      <c r="AO23" s="27">
        <f>股权价值增加表!AO17</f>
        <v>184396658.67330214</v>
      </c>
      <c r="AP23" s="27">
        <f>股权价值增加表!AP17</f>
        <v>163880362.16884121</v>
      </c>
      <c r="AQ23" s="27">
        <f>股权价值增加表!AQ17</f>
        <v>118304873.51043351</v>
      </c>
      <c r="AR23" s="27">
        <f>股权价值增加表!AR17</f>
        <v>26443799.869944103</v>
      </c>
      <c r="AS23" s="27">
        <f>股权价值增加表!AS17</f>
        <v>148817431.95848191</v>
      </c>
      <c r="AT23" s="27">
        <f>股权价值增加表!AT17</f>
        <v>116411690.23833416</v>
      </c>
      <c r="AU23" s="27">
        <f>股权价值增加表!AU17</f>
        <v>76862847.873185933</v>
      </c>
      <c r="AV23" s="27">
        <f>股权价值增加表!AV17</f>
        <v>24338198.73419939</v>
      </c>
      <c r="AW23" s="27">
        <f>股权价值增加表!AW17</f>
        <v>101401980.91169325</v>
      </c>
      <c r="AX23" s="27">
        <f>股权价值增加表!AX17</f>
        <v>86199914.849384919</v>
      </c>
      <c r="AY23" s="27">
        <f>股权价值增加表!AY17</f>
        <v>57467762.066388026</v>
      </c>
      <c r="AZ23" s="27">
        <f>股权价值增加表!AZ17</f>
        <v>20501986.76428429</v>
      </c>
      <c r="BA23" s="27">
        <f>股权价值增加表!BA17</f>
        <v>40574280.444003314</v>
      </c>
      <c r="BB23" s="27">
        <f>股权价值增加表!BB17</f>
        <v>45156342.022035912</v>
      </c>
      <c r="BC23" s="27">
        <f>股权价值增加表!BC17</f>
        <v>32010955.57855824</v>
      </c>
      <c r="BD23" s="27">
        <f>股权价值增加表!BD17</f>
        <v>10764897.972985486</v>
      </c>
      <c r="BE23" s="27">
        <f>股权价值增加表!BE17</f>
        <v>49037425.707376473</v>
      </c>
      <c r="BF23" s="27">
        <f>股权价值增加表!BF17</f>
        <v>69246245.768914893</v>
      </c>
      <c r="BG23" s="27">
        <f>股权价值增加表!BG17</f>
        <v>48665754.439203046</v>
      </c>
      <c r="BH23" s="27">
        <f>股权价值增加表!BH17</f>
        <v>13760050.314336436</v>
      </c>
      <c r="BI23" s="27">
        <f>股权价值增加表!BI17</f>
        <v>78781189.911355808</v>
      </c>
      <c r="BJ23" s="27">
        <f>股权价值增加表!BJ17</f>
        <v>80147758.132643923</v>
      </c>
      <c r="BK23" s="27">
        <f>股权价值增加表!BK17</f>
        <v>54916296.931666553</v>
      </c>
      <c r="BL23" s="27">
        <f>股权价值增加表!BL17</f>
        <v>8003293.0356297428</v>
      </c>
      <c r="BM23" s="27">
        <f>股权价值增加表!BM17</f>
        <v>54113857.354635052</v>
      </c>
      <c r="BN23" s="27">
        <f>股权价值增加表!BN17</f>
        <v>62817050.675045498</v>
      </c>
      <c r="BO23" s="27">
        <f>股权价值增加表!BO17</f>
        <v>43279169.334318802</v>
      </c>
      <c r="BP23" s="27">
        <f>股权价值增加表!BP17</f>
        <v>10416544.091849118</v>
      </c>
      <c r="BQ23" s="27">
        <f>股权价值增加表!BQ17</f>
        <v>74687922.570559502</v>
      </c>
      <c r="BR23" s="27">
        <f>股权价值增加表!BR17</f>
        <v>43359661.709498249</v>
      </c>
      <c r="BS23" s="27">
        <f>股权价值增加表!BS17</f>
        <v>55614576.855124548</v>
      </c>
      <c r="BT23" s="27">
        <f>股权价值增加表!BT17</f>
        <v>52628692.213288479</v>
      </c>
      <c r="BU23" s="27">
        <f>股权价值增加表!BU17</f>
        <v>40707690.643107571</v>
      </c>
      <c r="BV23" s="27">
        <f>股权价值增加表!BV17</f>
        <v>76905280.629549995</v>
      </c>
      <c r="BW23" s="27" t="e">
        <f>股权价值增加表!BW17</f>
        <v>#DIV/0!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3.9595987671992086E-2</v>
      </c>
      <c r="F24" s="57">
        <f t="shared" ref="F24:BQ24" si="25">F23/F2</f>
        <v>5.3517174302988635E-2</v>
      </c>
      <c r="G24" s="57">
        <f t="shared" si="25"/>
        <v>5.0573453652062873E-2</v>
      </c>
      <c r="H24" s="57">
        <f t="shared" si="25"/>
        <v>6.6277980916834983E-2</v>
      </c>
      <c r="I24" s="57">
        <f t="shared" si="25"/>
        <v>2.5935208779394623E-2</v>
      </c>
      <c r="J24" s="57">
        <f t="shared" si="25"/>
        <v>8.7000282138031265E-2</v>
      </c>
      <c r="K24" s="57">
        <f t="shared" si="25"/>
        <v>0.10359693667868651</v>
      </c>
      <c r="L24" s="57">
        <f t="shared" si="25"/>
        <v>7.3196579559047778E-2</v>
      </c>
      <c r="M24" s="57">
        <f t="shared" si="25"/>
        <v>0.11224379460487069</v>
      </c>
      <c r="N24" s="57">
        <f t="shared" si="25"/>
        <v>0.13656114858657054</v>
      </c>
      <c r="O24" s="57">
        <f t="shared" si="25"/>
        <v>0.1708492995978918</v>
      </c>
      <c r="P24" s="57">
        <f t="shared" si="25"/>
        <v>9.025398103082892E-2</v>
      </c>
      <c r="Q24" s="57">
        <f t="shared" si="25"/>
        <v>0.13224555070744778</v>
      </c>
      <c r="R24" s="57">
        <f t="shared" si="25"/>
        <v>0.14718391382393886</v>
      </c>
      <c r="S24" s="57">
        <f t="shared" si="25"/>
        <v>0.17555502612500312</v>
      </c>
      <c r="T24" s="57">
        <f t="shared" si="25"/>
        <v>8.921476930255598E-2</v>
      </c>
      <c r="U24" s="57">
        <f t="shared" si="25"/>
        <v>0.14784492040883809</v>
      </c>
      <c r="V24" s="57">
        <f t="shared" si="25"/>
        <v>0.13179297287375089</v>
      </c>
      <c r="W24" s="57">
        <f t="shared" si="25"/>
        <v>0.15638213650716187</v>
      </c>
      <c r="X24" s="57">
        <f t="shared" si="25"/>
        <v>6.8805092733757914E-2</v>
      </c>
      <c r="Y24" s="57">
        <f t="shared" si="25"/>
        <v>0.10349489234709675</v>
      </c>
      <c r="Z24" s="57">
        <f t="shared" si="25"/>
        <v>0.10232126433307021</v>
      </c>
      <c r="AA24" s="57">
        <f t="shared" si="25"/>
        <v>0.11664745582049814</v>
      </c>
      <c r="AB24" s="57">
        <f t="shared" si="25"/>
        <v>6.1925078344766765E-2</v>
      </c>
      <c r="AC24" s="57">
        <f t="shared" si="25"/>
        <v>7.9007047710609304E-2</v>
      </c>
      <c r="AD24" s="57">
        <f t="shared" si="25"/>
        <v>7.5920670848203947E-2</v>
      </c>
      <c r="AE24" s="57">
        <f t="shared" si="25"/>
        <v>8.754707490768468E-2</v>
      </c>
      <c r="AF24" s="57">
        <f t="shared" si="25"/>
        <v>4.8990301474310993E-2</v>
      </c>
      <c r="AG24" s="57">
        <f t="shared" si="25"/>
        <v>5.510297460035754E-2</v>
      </c>
      <c r="AH24" s="57">
        <f t="shared" si="25"/>
        <v>7.1868343133478549E-2</v>
      </c>
      <c r="AI24" s="57">
        <f t="shared" si="25"/>
        <v>8.273969527709657E-2</v>
      </c>
      <c r="AJ24" s="57">
        <f t="shared" si="25"/>
        <v>4.834273281032158E-2</v>
      </c>
      <c r="AK24" s="57">
        <f t="shared" si="25"/>
        <v>8.2643411489570259E-2</v>
      </c>
      <c r="AL24" s="57">
        <f t="shared" si="25"/>
        <v>8.0884608080430187E-2</v>
      </c>
      <c r="AM24" s="57">
        <f t="shared" si="25"/>
        <v>9.5304182561726E-2</v>
      </c>
      <c r="AN24" s="57">
        <f t="shared" si="25"/>
        <v>5.2033003898050253E-2</v>
      </c>
      <c r="AO24" s="57">
        <f t="shared" si="25"/>
        <v>7.3950993212537355E-2</v>
      </c>
      <c r="AP24" s="57">
        <f t="shared" si="25"/>
        <v>7.8119326225146918E-2</v>
      </c>
      <c r="AQ24" s="57">
        <f t="shared" si="25"/>
        <v>8.5441750494648527E-2</v>
      </c>
      <c r="AR24" s="57">
        <f t="shared" si="25"/>
        <v>5.0260406958872003E-2</v>
      </c>
      <c r="AS24" s="57">
        <f t="shared" si="25"/>
        <v>6.5825151582104918E-2</v>
      </c>
      <c r="AT24" s="57">
        <f t="shared" si="25"/>
        <v>6.5400451369510698E-2</v>
      </c>
      <c r="AU24" s="57">
        <f t="shared" si="25"/>
        <v>6.6147847699068479E-2</v>
      </c>
      <c r="AV24" s="57">
        <f t="shared" si="25"/>
        <v>5.1163790161388348E-2</v>
      </c>
      <c r="AW24" s="57">
        <f t="shared" si="25"/>
        <v>4.6964180572818461E-2</v>
      </c>
      <c r="AX24" s="57">
        <f t="shared" si="25"/>
        <v>4.9368021024241586E-2</v>
      </c>
      <c r="AY24" s="57">
        <f t="shared" si="25"/>
        <v>5.2419447927054955E-2</v>
      </c>
      <c r="AZ24" s="57">
        <f t="shared" si="25"/>
        <v>4.5783514198256131E-2</v>
      </c>
      <c r="BA24" s="57">
        <f t="shared" si="25"/>
        <v>2.0819387354217504E-2</v>
      </c>
      <c r="BB24" s="57">
        <f t="shared" si="25"/>
        <v>2.9294141190767162E-2</v>
      </c>
      <c r="BC24" s="57">
        <f t="shared" si="25"/>
        <v>3.3007587733206188E-2</v>
      </c>
      <c r="BD24" s="57">
        <f t="shared" si="25"/>
        <v>2.8137757942058462E-2</v>
      </c>
      <c r="BE24" s="57">
        <f t="shared" si="25"/>
        <v>2.9382069375702848E-2</v>
      </c>
      <c r="BF24" s="57">
        <f t="shared" si="25"/>
        <v>5.3867158018743901E-2</v>
      </c>
      <c r="BG24" s="57">
        <f t="shared" si="25"/>
        <v>6.284676133307128E-2</v>
      </c>
      <c r="BH24" s="57">
        <f t="shared" si="25"/>
        <v>4.8081188097667871E-2</v>
      </c>
      <c r="BI24" s="57">
        <f t="shared" si="25"/>
        <v>5.3002180399045161E-2</v>
      </c>
      <c r="BJ24" s="57">
        <f t="shared" si="25"/>
        <v>7.019186751843666E-2</v>
      </c>
      <c r="BK24" s="57">
        <f t="shared" si="25"/>
        <v>7.4601940594630767E-2</v>
      </c>
      <c r="BL24" s="57">
        <f t="shared" si="25"/>
        <v>3.5082886052907401E-2</v>
      </c>
      <c r="BM24" s="57">
        <f t="shared" si="25"/>
        <v>3.9676273766157087E-2</v>
      </c>
      <c r="BN24" s="57">
        <f t="shared" si="25"/>
        <v>6.0353768672377753E-2</v>
      </c>
      <c r="BO24" s="57">
        <f t="shared" si="25"/>
        <v>6.3064139566582619E-2</v>
      </c>
      <c r="BP24" s="57">
        <f t="shared" si="25"/>
        <v>4.6662270242383813E-2</v>
      </c>
      <c r="BQ24" s="57">
        <f t="shared" si="25"/>
        <v>5.7194737219536398E-2</v>
      </c>
      <c r="BR24" s="57">
        <f t="shared" ref="BR24:CJ24" si="26">BR23/BR2</f>
        <v>6.7866411670258073E-2</v>
      </c>
      <c r="BS24" s="57">
        <f t="shared" si="26"/>
        <v>4.6844472786757879E-2</v>
      </c>
      <c r="BT24" s="57">
        <f t="shared" si="26"/>
        <v>4.8601307345777015E-2</v>
      </c>
      <c r="BU24" s="57">
        <f t="shared" si="26"/>
        <v>4.1453459468391435E-2</v>
      </c>
      <c r="BV24" s="57">
        <f t="shared" si="26"/>
        <v>8.5472317167701067E-2</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4" t="s">
        <v>669</v>
      </c>
      <c r="B25" s="285"/>
      <c r="C25" s="285"/>
      <c r="D25" s="285"/>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row>
    <row r="26" spans="1:89" s="63" customFormat="1" ht="15" thickBot="1" x14ac:dyDescent="0.3">
      <c r="A26" s="150" t="s">
        <v>599</v>
      </c>
      <c r="B26" s="151"/>
      <c r="C26" s="151"/>
      <c r="D26" s="151"/>
      <c r="E26" s="152">
        <f>POWER(E2/Y2,1/6)-1</f>
        <v>6.2721630489990687E-2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35795</v>
      </c>
      <c r="BW27" s="1">
        <v>25569</v>
      </c>
      <c r="BX27" s="1"/>
      <c r="BY27" s="1"/>
      <c r="BZ27" s="1"/>
      <c r="CA27" s="1"/>
      <c r="CB27" s="1"/>
      <c r="CC27" s="1"/>
      <c r="CD27" s="1"/>
      <c r="CE27" s="1"/>
      <c r="CF27" s="1"/>
      <c r="CG27" s="1"/>
      <c r="CH27" s="1"/>
      <c r="CI27" s="1"/>
      <c r="CJ27" s="1"/>
      <c r="CK27" s="1"/>
    </row>
    <row r="28" spans="1:89" s="26" customFormat="1" x14ac:dyDescent="0.25">
      <c r="A28" s="17" t="s">
        <v>373</v>
      </c>
      <c r="E28" s="26">
        <f>股权价值增加表!E15</f>
        <v>312066141.82999957</v>
      </c>
      <c r="F28" s="26">
        <f>股权价值增加表!F15</f>
        <v>249290026.87000069</v>
      </c>
      <c r="G28" s="26">
        <f>股权价值增加表!G15</f>
        <v>161247731.60000026</v>
      </c>
      <c r="H28" s="26">
        <f>股权价值增加表!H15</f>
        <v>98657818.15000008</v>
      </c>
      <c r="I28" s="26">
        <f>股权价值增加表!I15</f>
        <v>197911438.60000002</v>
      </c>
      <c r="J28" s="26">
        <f>股权价值增加表!J15</f>
        <v>456333800.01999956</v>
      </c>
      <c r="K28" s="26">
        <f>股权价值增加表!K15</f>
        <v>379797391.54000008</v>
      </c>
      <c r="L28" s="26">
        <f>股权价值增加表!L15</f>
        <v>131656693.59999983</v>
      </c>
      <c r="M28" s="26">
        <f>股权价值增加表!M15</f>
        <v>772915554.43000042</v>
      </c>
      <c r="N28" s="26">
        <f>股权价值增加表!N15</f>
        <v>762979398.43999982</v>
      </c>
      <c r="O28" s="26">
        <f>股权价值增加表!O15</f>
        <v>640871692.78000009</v>
      </c>
      <c r="P28" s="26">
        <f>股权价值增加表!P15</f>
        <v>166728695.27999988</v>
      </c>
      <c r="Q28" s="26">
        <f>股权价值增加表!Q15</f>
        <v>889871423.89000046</v>
      </c>
      <c r="R28" s="26">
        <f>股权价值增加表!R15</f>
        <v>739588261.10000038</v>
      </c>
      <c r="S28" s="26">
        <f>股权价值增加表!S15</f>
        <v>588443434.33999991</v>
      </c>
      <c r="T28" s="26">
        <f>股权价值增加表!T15</f>
        <v>139194099.04000011</v>
      </c>
      <c r="U28" s="26">
        <f>股权价值增加表!U15</f>
        <v>774030567.13000071</v>
      </c>
      <c r="V28" s="26">
        <f>股权价值增加表!V15</f>
        <v>638976169.66000009</v>
      </c>
      <c r="W28" s="26">
        <f>股权价值增加表!W15</f>
        <v>521798939.34999979</v>
      </c>
      <c r="X28" s="26">
        <f>股权价值增加表!X15</f>
        <v>109096432.06000002</v>
      </c>
      <c r="Y28" s="26">
        <f>股权价值增加表!Y15</f>
        <v>536364806.11999983</v>
      </c>
      <c r="Z28" s="26">
        <f>股权价值增加表!Z15</f>
        <v>461514874.17999953</v>
      </c>
      <c r="AA28" s="26">
        <f>股权价值增加表!AA15</f>
        <v>353302285.71999997</v>
      </c>
      <c r="AB28" s="26">
        <f>股权价值增加表!AB15</f>
        <v>84345462.800000072</v>
      </c>
      <c r="AC28" s="26">
        <f>股权价值增加表!AC15</f>
        <v>350512484.6699996</v>
      </c>
      <c r="AD28" s="26">
        <f>股权价值增加表!AD15</f>
        <v>271510842.26999986</v>
      </c>
      <c r="AE28" s="26">
        <f>股权价值增加表!AE15</f>
        <v>219305550.41000021</v>
      </c>
      <c r="AF28" s="26">
        <f>股权价值增加表!AF15</f>
        <v>54279435.420000032</v>
      </c>
      <c r="AG28" s="26">
        <f>股权价值增加表!AG15</f>
        <v>206724461.1400004</v>
      </c>
      <c r="AH28" s="26">
        <f>股权价值增加表!AH15</f>
        <v>197356278.4199996</v>
      </c>
      <c r="AI28" s="26">
        <f>股权价值增加表!AI15</f>
        <v>150086677.31</v>
      </c>
      <c r="AJ28" s="26">
        <f>股权价值增加表!AJ15</f>
        <v>38400866.85999994</v>
      </c>
      <c r="AK28" s="26">
        <f>股权价值增加表!AK15</f>
        <v>274880648.98000002</v>
      </c>
      <c r="AL28" s="26">
        <f>股权价值增加表!AL15</f>
        <v>198743915.86999989</v>
      </c>
      <c r="AM28" s="26">
        <f>股权价值增加表!AM15</f>
        <v>157531977.81999996</v>
      </c>
      <c r="AN28" s="26">
        <f>股权价值增加表!AN15</f>
        <v>41448079.780000016</v>
      </c>
      <c r="AO28" s="26">
        <f>股权价值增加表!AO15</f>
        <v>228172152.57999998</v>
      </c>
      <c r="AP28" s="26">
        <f>股权价值增加表!AP15</f>
        <v>191515017.8899999</v>
      </c>
      <c r="AQ28" s="26">
        <f>股权价值增加表!AQ15</f>
        <v>148296491.6400001</v>
      </c>
      <c r="AR28" s="26">
        <f>股权价值增加表!AR15</f>
        <v>39506739.060000002</v>
      </c>
      <c r="AS28" s="26">
        <f>股权价值增加表!AS15</f>
        <v>189610366.32000026</v>
      </c>
      <c r="AT28" s="26">
        <f>股权价值增加表!AT15</f>
        <v>147876086.69000012</v>
      </c>
      <c r="AU28" s="26">
        <f>股权价值增加表!AU15</f>
        <v>100772144.30999999</v>
      </c>
      <c r="AV28" s="26">
        <f>股权价值增加表!AV15</f>
        <v>34872497.569999993</v>
      </c>
      <c r="AW28" s="26">
        <f>股权价值增加表!AW15</f>
        <v>136152414.18999994</v>
      </c>
      <c r="AX28" s="26">
        <f>股权价值增加表!AX15</f>
        <v>102942258.29999989</v>
      </c>
      <c r="AY28" s="26">
        <f>股权价值增加表!AY15</f>
        <v>68399306.210000008</v>
      </c>
      <c r="AZ28" s="26">
        <f>股权价值增加表!AZ15</f>
        <v>26779119.349999987</v>
      </c>
      <c r="BA28" s="26">
        <f>股权价值增加表!BA15</f>
        <v>47839353.709999956</v>
      </c>
      <c r="BB28" s="26">
        <f>股权价值增加表!BB15</f>
        <v>55479547.28999988</v>
      </c>
      <c r="BC28" s="26">
        <f>股权价值增加表!BC15</f>
        <v>36031900.36999996</v>
      </c>
      <c r="BD28" s="26">
        <f>股权价值增加表!BD15</f>
        <v>11748207.559999999</v>
      </c>
      <c r="BE28" s="26">
        <f>股权价值增加表!BE15</f>
        <v>60357221.589999966</v>
      </c>
      <c r="BF28" s="26">
        <f>股权价值增加表!BF15</f>
        <v>77223333.149999991</v>
      </c>
      <c r="BG28" s="26">
        <f>股权价值增加表!BG15</f>
        <v>54201979.810000025</v>
      </c>
      <c r="BH28" s="26">
        <f>股权价值增加表!BH15</f>
        <v>15391081.200000018</v>
      </c>
      <c r="BI28" s="26">
        <f>股权价值增加表!BI15</f>
        <v>84763864.35999997</v>
      </c>
      <c r="BJ28" s="26">
        <f>股权价值增加表!BJ15</f>
        <v>87100217.510000065</v>
      </c>
      <c r="BK28" s="26">
        <f>股权价值增加表!BK15</f>
        <v>59108375.960000046</v>
      </c>
      <c r="BL28" s="26">
        <f>股权价值增加表!BL15</f>
        <v>8345810.6399999848</v>
      </c>
      <c r="BM28" s="26">
        <f>股权价值增加表!BM15</f>
        <v>67482145.850000009</v>
      </c>
      <c r="BN28" s="26">
        <f>股权价值增加表!BN15</f>
        <v>74131930.360000014</v>
      </c>
      <c r="BO28" s="26">
        <f>股权价值增加表!BO15</f>
        <v>49659271.920000024</v>
      </c>
      <c r="BP28" s="26">
        <f>股权价值增加表!BP15</f>
        <v>12175158.769999985</v>
      </c>
      <c r="BQ28" s="26">
        <f>股权价值增加表!BQ15</f>
        <v>88867286.910000026</v>
      </c>
      <c r="BR28" s="26">
        <f>股权价值增加表!BR15</f>
        <v>48602582.340000078</v>
      </c>
      <c r="BS28" s="26">
        <f>股权价值增加表!BS15</f>
        <v>68200045.109999925</v>
      </c>
      <c r="BT28" s="26">
        <f>股权价值增加表!BT15</f>
        <v>60817132.260000035</v>
      </c>
      <c r="BU28" s="26">
        <f>股权价值增加表!BU15</f>
        <v>48612956.980000004</v>
      </c>
      <c r="BV28" s="26">
        <f>股权价值增加表!BV15</f>
        <v>76948993.099999934</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0.59288940352547392</v>
      </c>
      <c r="F29" s="59">
        <f t="shared" si="27"/>
        <v>0.78522207026451962</v>
      </c>
      <c r="G29" s="59">
        <f t="shared" si="27"/>
        <v>0.77749277942797324</v>
      </c>
      <c r="H29" s="59">
        <f t="shared" si="27"/>
        <v>0.86729542956678229</v>
      </c>
      <c r="I29" s="59">
        <f t="shared" si="27"/>
        <v>0.7917601606711876</v>
      </c>
      <c r="J29" s="59">
        <f t="shared" si="27"/>
        <v>0.97750648548645691</v>
      </c>
      <c r="K29" s="59">
        <f t="shared" si="27"/>
        <v>0.9789851847984492</v>
      </c>
      <c r="L29" s="59">
        <f t="shared" si="27"/>
        <v>0.99738619852614396</v>
      </c>
      <c r="M29" s="59">
        <f t="shared" si="27"/>
        <v>0.29051908251638586</v>
      </c>
      <c r="N29" s="59">
        <f t="shared" si="27"/>
        <v>0.79544445436214273</v>
      </c>
      <c r="O29" s="59">
        <f t="shared" si="27"/>
        <v>0.77121216033446005</v>
      </c>
      <c r="P29" s="59">
        <f t="shared" si="27"/>
        <v>0.7839163011252327</v>
      </c>
      <c r="Q29" s="59">
        <f t="shared" si="27"/>
        <v>0.78462888029436373</v>
      </c>
      <c r="R29" s="59">
        <f t="shared" si="27"/>
        <v>0.8393733353034698</v>
      </c>
      <c r="S29" s="59">
        <f t="shared" si="27"/>
        <v>0.86502364828226463</v>
      </c>
      <c r="T29" s="59">
        <f t="shared" si="27"/>
        <v>0.7516890856452072</v>
      </c>
      <c r="U29" s="59">
        <f t="shared" si="27"/>
        <v>0.8028589205809461</v>
      </c>
      <c r="V29" s="59">
        <f t="shared" si="27"/>
        <v>0.83783896922239309</v>
      </c>
      <c r="W29" s="59">
        <f t="shared" si="27"/>
        <v>0.86204050634469553</v>
      </c>
      <c r="X29" s="59">
        <f t="shared" si="27"/>
        <v>0.7098653340009129</v>
      </c>
      <c r="Y29" s="59">
        <f t="shared" si="27"/>
        <v>0.73298891115371034</v>
      </c>
      <c r="Z29" s="59">
        <f t="shared" si="27"/>
        <v>0.76879613781547607</v>
      </c>
      <c r="AA29" s="59">
        <f t="shared" si="27"/>
        <v>0.76550188343741321</v>
      </c>
      <c r="AB29" s="59">
        <f t="shared" si="27"/>
        <v>0.74191912904905544</v>
      </c>
      <c r="AC29" s="59">
        <f t="shared" si="27"/>
        <v>0.7744099229564938</v>
      </c>
      <c r="AD29" s="59">
        <f t="shared" si="27"/>
        <v>0.79399026047281118</v>
      </c>
      <c r="AE29" s="59">
        <f t="shared" si="27"/>
        <v>0.83401497922800072</v>
      </c>
      <c r="AF29" s="59">
        <f t="shared" si="27"/>
        <v>0.70074814091717907</v>
      </c>
      <c r="AG29" s="59">
        <f t="shared" si="27"/>
        <v>0.68312694776240213</v>
      </c>
      <c r="AH29" s="59">
        <f t="shared" si="27"/>
        <v>0.86865633231288752</v>
      </c>
      <c r="AI29" s="59">
        <f t="shared" si="27"/>
        <v>0.86555270584961119</v>
      </c>
      <c r="AJ29" s="59">
        <f t="shared" si="27"/>
        <v>0.77921347663635243</v>
      </c>
      <c r="AK29" s="59">
        <f t="shared" ref="AK29:BP29" si="28">AK28/AK34</f>
        <v>0.92673049757517001</v>
      </c>
      <c r="AL29" s="59">
        <f t="shared" si="28"/>
        <v>0.93878311477434151</v>
      </c>
      <c r="AM29" s="59">
        <f t="shared" si="28"/>
        <v>0.94252461891379891</v>
      </c>
      <c r="AN29" s="59">
        <f t="shared" si="28"/>
        <v>0.85547814892126539</v>
      </c>
      <c r="AO29" s="59">
        <f t="shared" si="28"/>
        <v>0.94540865206530722</v>
      </c>
      <c r="AP29" s="59">
        <f t="shared" si="28"/>
        <v>0.98103614887056045</v>
      </c>
      <c r="AQ29" s="59">
        <f t="shared" si="28"/>
        <v>0.98169484658071482</v>
      </c>
      <c r="AR29" s="59">
        <f t="shared" si="28"/>
        <v>0.83437801151491719</v>
      </c>
      <c r="AS29" s="59">
        <f t="shared" si="28"/>
        <v>0.92182889100411891</v>
      </c>
      <c r="AT29" s="59">
        <f t="shared" si="28"/>
        <v>0.97858180653283466</v>
      </c>
      <c r="AU29" s="59">
        <f t="shared" si="28"/>
        <v>0.9559002304685511</v>
      </c>
      <c r="AV29" s="59">
        <f t="shared" si="28"/>
        <v>0.95729181443017131</v>
      </c>
      <c r="AW29" s="59">
        <f t="shared" si="28"/>
        <v>1.1344586582613241</v>
      </c>
      <c r="AX29" s="59">
        <f t="shared" si="28"/>
        <v>1.0419221508693879</v>
      </c>
      <c r="AY29" s="59">
        <f t="shared" si="28"/>
        <v>0.94467259821181238</v>
      </c>
      <c r="AZ29" s="59">
        <f t="shared" si="28"/>
        <v>0.97993390896878307</v>
      </c>
      <c r="BA29" s="59">
        <f t="shared" si="28"/>
        <v>1.0903554932421433</v>
      </c>
      <c r="BB29" s="59">
        <f t="shared" si="28"/>
        <v>0.96348953109528279</v>
      </c>
      <c r="BC29" s="59">
        <f t="shared" si="28"/>
        <v>0.95629880845093784</v>
      </c>
      <c r="BD29" s="59">
        <f t="shared" si="28"/>
        <v>0.80282771151953447</v>
      </c>
      <c r="BE29" s="59">
        <f t="shared" si="28"/>
        <v>1.0154484851400392</v>
      </c>
      <c r="BF29" s="59">
        <f t="shared" si="28"/>
        <v>1.0371304764679701</v>
      </c>
      <c r="BG29" s="59">
        <f t="shared" si="28"/>
        <v>1.0318116767358512</v>
      </c>
      <c r="BH29" s="59">
        <f t="shared" si="28"/>
        <v>0.82823318297444004</v>
      </c>
      <c r="BI29" s="59">
        <f t="shared" si="28"/>
        <v>0.89707192278802783</v>
      </c>
      <c r="BJ29" s="59">
        <f t="shared" si="28"/>
        <v>0.99915697734332398</v>
      </c>
      <c r="BK29" s="59">
        <f t="shared" si="28"/>
        <v>0.95844313775232459</v>
      </c>
      <c r="BL29" s="59">
        <f t="shared" si="28"/>
        <v>0.68574640841906231</v>
      </c>
      <c r="BM29" s="59">
        <f t="shared" si="28"/>
        <v>0.79119724335836061</v>
      </c>
      <c r="BN29" s="59">
        <f t="shared" si="28"/>
        <v>0.87643816422179721</v>
      </c>
      <c r="BO29" s="59">
        <f t="shared" si="28"/>
        <v>0.8428276833186038</v>
      </c>
      <c r="BP29" s="59">
        <f t="shared" si="28"/>
        <v>0.92270951447121174</v>
      </c>
      <c r="BQ29" s="59">
        <f t="shared" ref="BQ29:CK29" si="29">BQ28/BQ34</f>
        <v>1.0234854424608597</v>
      </c>
      <c r="BR29" s="59">
        <f t="shared" si="29"/>
        <v>0.99118616364173906</v>
      </c>
      <c r="BS29" s="59">
        <f t="shared" si="29"/>
        <v>1.00049420346712</v>
      </c>
      <c r="BT29" s="59">
        <f t="shared" si="29"/>
        <v>1.0042988789817591</v>
      </c>
      <c r="BU29" s="59">
        <f t="shared" si="29"/>
        <v>0.87236545489204464</v>
      </c>
      <c r="BV29" s="59">
        <f t="shared" si="29"/>
        <v>1.0684903163747319</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13640047.91</v>
      </c>
      <c r="F30" s="26">
        <f>股权价值增加表!F20</f>
        <v>-9779217.0399999991</v>
      </c>
      <c r="G30" s="26">
        <f>股权价值增加表!G20</f>
        <v>1888578.09</v>
      </c>
      <c r="H30" s="26">
        <f>股权价值增加表!H20</f>
        <v>3529220.26</v>
      </c>
      <c r="I30" s="26">
        <f>股权价值增加表!I20</f>
        <v>-6260016.5599999996</v>
      </c>
      <c r="J30" s="26">
        <f>股权价值增加表!J20</f>
        <v>1384562.93</v>
      </c>
      <c r="K30" s="26">
        <f>股权价值增加表!K20</f>
        <v>6836638.21</v>
      </c>
      <c r="L30" s="26">
        <f>股权价值增加表!L20</f>
        <v>6712552.8799999999</v>
      </c>
      <c r="M30" s="26">
        <f>股权价值增加表!M20</f>
        <v>1744569118.03</v>
      </c>
      <c r="N30" s="26">
        <f>股权价值增加表!N20</f>
        <v>144572480.52000001</v>
      </c>
      <c r="O30" s="26">
        <f>股权价值增加表!O20</f>
        <v>87983530.760000005</v>
      </c>
      <c r="P30" s="26">
        <f>股权价值增加表!P20</f>
        <v>41125567.539999999</v>
      </c>
      <c r="Q30" s="26">
        <f>股权价值增加表!Q20</f>
        <v>180202438.43000001</v>
      </c>
      <c r="R30" s="26">
        <f>股权价值增加表!R20</f>
        <v>114779536.18000001</v>
      </c>
      <c r="S30" s="26">
        <f>股权价值增加表!S20</f>
        <v>73413259.120000005</v>
      </c>
      <c r="T30" s="26">
        <f>股权价值增加表!T20</f>
        <v>41448239.780000001</v>
      </c>
      <c r="U30" s="26">
        <f>股权价值增加表!U20</f>
        <v>141164887.13999999</v>
      </c>
      <c r="V30" s="26">
        <f>股权价值增加表!V20</f>
        <v>105608623.76000001</v>
      </c>
      <c r="W30" s="26">
        <f>股权价值增加表!W20</f>
        <v>68271588.920000002</v>
      </c>
      <c r="X30" s="26">
        <f>股权价值增加表!X20</f>
        <v>36033744.43</v>
      </c>
      <c r="Y30" s="26">
        <f>股权价值增加表!Y20</f>
        <v>166077661.78</v>
      </c>
      <c r="Z30" s="26">
        <f>股权价值增加表!Z20</f>
        <v>85105430.769999996</v>
      </c>
      <c r="AA30" s="26">
        <f>股权价值增加表!AA20</f>
        <v>52546544.939999998</v>
      </c>
      <c r="AB30" s="26">
        <f>股权价值增加表!AB20</f>
        <v>29535114.41</v>
      </c>
      <c r="AC30" s="26">
        <f>股权价值增加表!AC20</f>
        <v>87553913.620000005</v>
      </c>
      <c r="AD30" s="26">
        <f>股权价值增加表!AD20</f>
        <v>70370262.439999998</v>
      </c>
      <c r="AE30" s="26">
        <f>股权价值增加表!AE20</f>
        <v>43742157.560000002</v>
      </c>
      <c r="AF30" s="26">
        <f>股权价值增加表!AF20</f>
        <v>23212054.02</v>
      </c>
      <c r="AG30" s="26">
        <f>股权价值增加表!AG20</f>
        <v>88817271.540000007</v>
      </c>
      <c r="AH30" s="26">
        <f>股权价值增加表!AH20</f>
        <v>29440902.550000001</v>
      </c>
      <c r="AI30" s="26">
        <f>股权价值增加表!AI20</f>
        <v>23366795.699999999</v>
      </c>
      <c r="AJ30" s="26">
        <f>股权价值增加表!AJ20</f>
        <v>10880707.460000001</v>
      </c>
      <c r="AK30" s="26">
        <f>股权价值增加表!AK20</f>
        <v>21083492.84</v>
      </c>
      <c r="AL30" s="26">
        <f>股权价值增加表!AL20</f>
        <v>12959844.82</v>
      </c>
      <c r="AM30" s="26">
        <f>股权价值增加表!AM20</f>
        <v>9606338.4199999999</v>
      </c>
      <c r="AN30" s="26">
        <f>股权价值增加表!AN20</f>
        <v>7002111.2999999998</v>
      </c>
      <c r="AO30" s="26">
        <f>股权价值增加表!AO20</f>
        <v>13298216.779999999</v>
      </c>
      <c r="AP30" s="26">
        <f>股权价值增加表!AP20</f>
        <v>4629247.9000000004</v>
      </c>
      <c r="AQ30" s="26">
        <f>股权价值增加表!AQ20</f>
        <v>3692387.72</v>
      </c>
      <c r="AR30" s="26">
        <f>股权价值增加表!AR20</f>
        <v>9109826.0700000003</v>
      </c>
      <c r="AS30" s="26">
        <f>股权价值增加表!AS20</f>
        <v>-2102286.02</v>
      </c>
      <c r="AT30" s="26">
        <f>股权价值增加表!AT20</f>
        <v>0</v>
      </c>
      <c r="AU30" s="26">
        <f>股权价值增加表!AU20</f>
        <v>0</v>
      </c>
      <c r="AV30" s="26">
        <f>股权价值增加表!AV20</f>
        <v>60612.02</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2.5914505886461291E-2</v>
      </c>
      <c r="F31" s="59">
        <f t="shared" ref="F31:BQ31" si="30">F30/F34</f>
        <v>-3.0802905138757209E-2</v>
      </c>
      <c r="G31" s="59">
        <f t="shared" si="30"/>
        <v>9.1062107590037609E-3</v>
      </c>
      <c r="H31" s="59">
        <f t="shared" si="30"/>
        <v>3.1025180353965575E-2</v>
      </c>
      <c r="I31" s="59">
        <f t="shared" si="30"/>
        <v>-2.5043684955306539E-2</v>
      </c>
      <c r="J31" s="59">
        <f t="shared" si="30"/>
        <v>2.9658536001054827E-3</v>
      </c>
      <c r="K31" s="59">
        <f t="shared" si="30"/>
        <v>1.7622468375252359E-2</v>
      </c>
      <c r="L31" s="59">
        <f t="shared" si="30"/>
        <v>5.0852010758600186E-2</v>
      </c>
      <c r="M31" s="59">
        <f t="shared" si="30"/>
        <v>0.65573867242232797</v>
      </c>
      <c r="N31" s="59">
        <f t="shared" si="30"/>
        <v>0.15072409309889956</v>
      </c>
      <c r="O31" s="59">
        <f t="shared" si="30"/>
        <v>0.10587761886772254</v>
      </c>
      <c r="P31" s="59">
        <f t="shared" si="30"/>
        <v>0.19336205284574071</v>
      </c>
      <c r="Q31" s="59">
        <f t="shared" si="30"/>
        <v>0.15889041236267726</v>
      </c>
      <c r="R31" s="59">
        <f t="shared" si="30"/>
        <v>0.13026556420013985</v>
      </c>
      <c r="S31" s="59">
        <f t="shared" si="30"/>
        <v>0.10791896303083093</v>
      </c>
      <c r="T31" s="59">
        <f t="shared" si="30"/>
        <v>0.22383268886189042</v>
      </c>
      <c r="U31" s="59">
        <f t="shared" si="30"/>
        <v>0.14642249767135673</v>
      </c>
      <c r="V31" s="59">
        <f t="shared" si="30"/>
        <v>0.1384762447700606</v>
      </c>
      <c r="W31" s="59">
        <f t="shared" si="30"/>
        <v>0.11278841454692529</v>
      </c>
      <c r="X31" s="59">
        <f t="shared" si="30"/>
        <v>0.23446326834078024</v>
      </c>
      <c r="Y31" s="59">
        <f t="shared" si="30"/>
        <v>0.22695949302803675</v>
      </c>
      <c r="Z31" s="59">
        <f t="shared" si="30"/>
        <v>0.1417694859766967</v>
      </c>
      <c r="AA31" s="59">
        <f t="shared" si="30"/>
        <v>0.11385286975351606</v>
      </c>
      <c r="AB31" s="59">
        <f t="shared" si="30"/>
        <v>0.2597966225093899</v>
      </c>
      <c r="AC31" s="59">
        <f t="shared" si="30"/>
        <v>0.19343852920057472</v>
      </c>
      <c r="AD31" s="59">
        <f t="shared" si="30"/>
        <v>0.20578663650092219</v>
      </c>
      <c r="AE31" s="59">
        <f t="shared" si="30"/>
        <v>0.16635062158977532</v>
      </c>
      <c r="AF31" s="59">
        <f t="shared" si="30"/>
        <v>0.29966788665953525</v>
      </c>
      <c r="AG31" s="59">
        <f t="shared" si="30"/>
        <v>0.29349923700908653</v>
      </c>
      <c r="AH31" s="59">
        <f t="shared" si="30"/>
        <v>0.12958303953542999</v>
      </c>
      <c r="AI31" s="59">
        <f t="shared" si="30"/>
        <v>0.13475675261565997</v>
      </c>
      <c r="AJ31" s="59">
        <f t="shared" si="30"/>
        <v>0.22078652336364757</v>
      </c>
      <c r="AK31" s="59">
        <f t="shared" si="30"/>
        <v>7.108072497186714E-2</v>
      </c>
      <c r="AL31" s="59">
        <f t="shared" si="30"/>
        <v>6.1216885225658518E-2</v>
      </c>
      <c r="AM31" s="59">
        <f t="shared" si="30"/>
        <v>5.7475381086201149E-2</v>
      </c>
      <c r="AN31" s="59">
        <f t="shared" si="30"/>
        <v>0.14452185107873464</v>
      </c>
      <c r="AO31" s="59">
        <f t="shared" si="30"/>
        <v>5.5099840443693336E-2</v>
      </c>
      <c r="AP31" s="59">
        <f t="shared" si="30"/>
        <v>2.3713333721909993E-2</v>
      </c>
      <c r="AQ31" s="59">
        <f t="shared" si="30"/>
        <v>2.44429113340143E-2</v>
      </c>
      <c r="AR31" s="59">
        <f t="shared" si="30"/>
        <v>0.1923985310452842</v>
      </c>
      <c r="AS31" s="59">
        <f t="shared" si="30"/>
        <v>-1.0220685862287934E-2</v>
      </c>
      <c r="AT31" s="59">
        <f t="shared" si="30"/>
        <v>0</v>
      </c>
      <c r="AU31" s="59">
        <f t="shared" si="30"/>
        <v>0</v>
      </c>
      <c r="AV31" s="59">
        <f t="shared" si="30"/>
        <v>1.6638725254939587E-3</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200641793.50000003</v>
      </c>
      <c r="F32" s="26">
        <f>股权价值增加表!F27</f>
        <v>77966291.629999995</v>
      </c>
      <c r="G32" s="26">
        <f>股权价值增加表!G27</f>
        <v>44258197.200000003</v>
      </c>
      <c r="H32" s="26">
        <f>股权价值增加表!H27</f>
        <v>11566378</v>
      </c>
      <c r="I32" s="26">
        <f>股权价值增加表!I27</f>
        <v>58312453.93</v>
      </c>
      <c r="J32" s="26">
        <f>股权价值增加表!J27</f>
        <v>9116186.7900000028</v>
      </c>
      <c r="K32" s="26">
        <f>股权价值增加表!K27</f>
        <v>1316061.2599999998</v>
      </c>
      <c r="L32" s="26">
        <f>股权价值增加表!L27</f>
        <v>-6367526.5899999999</v>
      </c>
      <c r="M32" s="26">
        <f>股权价值增加表!M27</f>
        <v>142979307.16999999</v>
      </c>
      <c r="N32" s="26">
        <f>股权价值增加表!N27</f>
        <v>51634390.119999975</v>
      </c>
      <c r="O32" s="26">
        <f>股权价值增加表!O27</f>
        <v>102137499.01000001</v>
      </c>
      <c r="P32" s="26">
        <f>股权价值增加表!P27</f>
        <v>4832595.5099999979</v>
      </c>
      <c r="Q32" s="26">
        <f>股权价值增加表!Q27</f>
        <v>64056484.189999975</v>
      </c>
      <c r="R32" s="26">
        <f>股权价值增加表!R27</f>
        <v>26751759.409999989</v>
      </c>
      <c r="S32" s="26">
        <f>股权价值增加表!S27</f>
        <v>18406135.780000001</v>
      </c>
      <c r="T32" s="26">
        <f>股权价值增加表!T27</f>
        <v>4532757.7700000014</v>
      </c>
      <c r="U32" s="26">
        <f>股权价值增加表!U27</f>
        <v>48897423.430000022</v>
      </c>
      <c r="V32" s="26">
        <f>股权价值增加表!V27</f>
        <v>18063153.420000002</v>
      </c>
      <c r="W32" s="26">
        <f>股权价值增加表!W27</f>
        <v>15236224.15</v>
      </c>
      <c r="X32" s="26">
        <f>股权价值增加表!X27</f>
        <v>8555919.7799999993</v>
      </c>
      <c r="Y32" s="26">
        <f>股权价值增加表!Y27</f>
        <v>29307764.549999993</v>
      </c>
      <c r="Z32" s="26">
        <f>股权价值增加表!Z27</f>
        <v>53688218.310000002</v>
      </c>
      <c r="AA32" s="26">
        <f>股权价值增加表!AA27</f>
        <v>55681432.510000005</v>
      </c>
      <c r="AB32" s="26">
        <f>股权价值增加表!AB27</f>
        <v>-195056.11000000074</v>
      </c>
      <c r="AC32" s="26">
        <f>股权价值增加表!AC27</f>
        <v>14552394.77999999</v>
      </c>
      <c r="AD32" s="26">
        <f>股权价值增加表!AD27</f>
        <v>76291.729999997595</v>
      </c>
      <c r="AE32" s="26">
        <f>股权价值增加表!AE27</f>
        <v>-96135.310000002384</v>
      </c>
      <c r="AF32" s="26">
        <f>股权价值增加表!AF27</f>
        <v>-32225.189999999551</v>
      </c>
      <c r="AG32" s="26">
        <f>股权价值增加表!AG27</f>
        <v>7073267.0899999933</v>
      </c>
      <c r="AH32" s="26">
        <f>股权价值增加表!AH27</f>
        <v>400009.7699999988</v>
      </c>
      <c r="AI32" s="26">
        <f>股权价值增加表!AI27</f>
        <v>-53660.04</v>
      </c>
      <c r="AJ32" s="26">
        <f>股权价值增加表!AJ27</f>
        <v>0</v>
      </c>
      <c r="AK32" s="26">
        <f>股权价值增加表!AK27</f>
        <v>649220.64000000106</v>
      </c>
      <c r="AL32" s="26">
        <f>股权价值增加表!AL27</f>
        <v>0</v>
      </c>
      <c r="AM32" s="26">
        <f>股权价值增加表!AM27</f>
        <v>0</v>
      </c>
      <c r="AN32" s="26">
        <f>股权价值增加表!AN27</f>
        <v>0</v>
      </c>
      <c r="AO32" s="26">
        <f>股权价值增加表!AO27</f>
        <v>-122723.46999999881</v>
      </c>
      <c r="AP32" s="26">
        <f>股权价值增加表!AP27</f>
        <v>-927180.15000000037</v>
      </c>
      <c r="AQ32" s="26">
        <f>股权价值增加表!AQ27</f>
        <v>-927180.14000000013</v>
      </c>
      <c r="AR32" s="26">
        <f>股权价值增加表!AR27</f>
        <v>-1267835.2800000003</v>
      </c>
      <c r="AS32" s="26">
        <f>股权价值增加表!AS27</f>
        <v>18181249</v>
      </c>
      <c r="AT32" s="26">
        <f>股权价值增加表!AT27</f>
        <v>3236559.9</v>
      </c>
      <c r="AU32" s="26">
        <f>股权价值增加表!AU27</f>
        <v>4649050.3899999997</v>
      </c>
      <c r="AV32" s="26">
        <f>股权价值增加表!AV27</f>
        <v>1495173.8699999999</v>
      </c>
      <c r="AW32" s="26">
        <f>股权价值增加表!AW27</f>
        <v>-16137098.34</v>
      </c>
      <c r="AX32" s="26">
        <f>股权价值增加表!AX27</f>
        <v>-4141922.58</v>
      </c>
      <c r="AY32" s="26">
        <f>股权价值增加表!AY27</f>
        <v>4005997.32</v>
      </c>
      <c r="AZ32" s="26">
        <f>股权价值增加表!AZ27</f>
        <v>548355.6</v>
      </c>
      <c r="BA32" s="26">
        <f>股权价值增加表!BA27</f>
        <v>-3964347.8</v>
      </c>
      <c r="BB32" s="26">
        <f>股权价值增加表!BB27</f>
        <v>2102341.77</v>
      </c>
      <c r="BC32" s="26">
        <f>股权价值增加表!BC27</f>
        <v>1646595.15</v>
      </c>
      <c r="BD32" s="26">
        <f>股权价值增加表!BD27</f>
        <v>2885327.62</v>
      </c>
      <c r="BE32" s="26">
        <f>股权价值增加表!BE27</f>
        <v>-918242.19</v>
      </c>
      <c r="BF32" s="26">
        <f>股权价值增加表!BF27</f>
        <v>-2764685.08</v>
      </c>
      <c r="BG32" s="26">
        <f>股权价值增加表!BG27</f>
        <v>-1671095.51</v>
      </c>
      <c r="BH32" s="26">
        <f>股权价值增加表!BH27</f>
        <v>3191947.73</v>
      </c>
      <c r="BI32" s="26">
        <f>股权价值增加表!BI27</f>
        <v>9725621.0500000007</v>
      </c>
      <c r="BJ32" s="26">
        <f>股权价值增加表!BJ27</f>
        <v>73489.41</v>
      </c>
      <c r="BK32" s="26">
        <f>股权价值增加表!BK27</f>
        <v>2562863.19</v>
      </c>
      <c r="BL32" s="26">
        <f>股权价值增加表!BL27</f>
        <v>3824593.08</v>
      </c>
      <c r="BM32" s="26">
        <f>股权价值增加表!BM27</f>
        <v>17809033.329999998</v>
      </c>
      <c r="BN32" s="26">
        <f>股权价值增加表!BN27</f>
        <v>10451253.470000001</v>
      </c>
      <c r="BO32" s="26">
        <f>股权价值增加表!BO27</f>
        <v>9260567.6899999995</v>
      </c>
      <c r="BP32" s="26">
        <f>股权价值增加表!BP27</f>
        <v>1019848.52</v>
      </c>
      <c r="BQ32" s="26">
        <f>股权价值增加表!BQ27</f>
        <v>-2039196.13</v>
      </c>
      <c r="BR32" s="26">
        <f>股权价值增加表!BR27</f>
        <v>432184.41</v>
      </c>
      <c r="BS32" s="26">
        <f>股权价值增加表!BS27</f>
        <v>-33688.050000000003</v>
      </c>
      <c r="BT32" s="26">
        <f>股权价值增加表!BT27</f>
        <v>-260326.38</v>
      </c>
      <c r="BU32" s="26">
        <f>股权价值增加表!BU27</f>
        <v>7112492.3799999999</v>
      </c>
      <c r="BV32" s="26">
        <f>股权价值增加表!BV27</f>
        <v>-4932436.7300000004</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0.38119609058806464</v>
      </c>
      <c r="F33" s="59">
        <f t="shared" ref="F33:BQ33" si="32">F32/F34</f>
        <v>0.24558083487423757</v>
      </c>
      <c r="G33" s="59">
        <f t="shared" si="32"/>
        <v>0.21340100981302293</v>
      </c>
      <c r="H33" s="59">
        <f t="shared" si="32"/>
        <v>0.10167939007925214</v>
      </c>
      <c r="I33" s="59">
        <f t="shared" si="32"/>
        <v>0.23328352428411894</v>
      </c>
      <c r="J33" s="59">
        <f t="shared" si="32"/>
        <v>1.952766091343754E-2</v>
      </c>
      <c r="K33" s="59">
        <f t="shared" si="32"/>
        <v>3.3923468262985305E-3</v>
      </c>
      <c r="L33" s="59">
        <f t="shared" si="32"/>
        <v>-4.8238209284744253E-2</v>
      </c>
      <c r="M33" s="59">
        <f t="shared" si="32"/>
        <v>5.3742245061286109E-2</v>
      </c>
      <c r="N33" s="59">
        <f t="shared" si="32"/>
        <v>5.3831452538957755E-2</v>
      </c>
      <c r="O33" s="59">
        <f t="shared" si="32"/>
        <v>0.12291022079781749</v>
      </c>
      <c r="P33" s="59">
        <f t="shared" si="32"/>
        <v>2.2721646029026665E-2</v>
      </c>
      <c r="Q33" s="59">
        <f t="shared" si="32"/>
        <v>5.6480707342958965E-2</v>
      </c>
      <c r="R33" s="59">
        <f t="shared" si="32"/>
        <v>3.036110049639032E-2</v>
      </c>
      <c r="S33" s="59">
        <f t="shared" si="32"/>
        <v>2.7057388686904472E-2</v>
      </c>
      <c r="T33" s="59">
        <f t="shared" si="32"/>
        <v>2.4478225492902378E-2</v>
      </c>
      <c r="U33" s="59">
        <f t="shared" si="32"/>
        <v>5.071858174769709E-2</v>
      </c>
      <c r="V33" s="59">
        <f t="shared" si="32"/>
        <v>2.3684786007546373E-2</v>
      </c>
      <c r="W33" s="59">
        <f t="shared" si="32"/>
        <v>2.5171079108379339E-2</v>
      </c>
      <c r="X33" s="59">
        <f t="shared" si="32"/>
        <v>5.5671397658306851E-2</v>
      </c>
      <c r="Y33" s="59">
        <f t="shared" si="32"/>
        <v>4.0051595818252891E-2</v>
      </c>
      <c r="Z33" s="59">
        <f t="shared" si="32"/>
        <v>8.9434376207827238E-2</v>
      </c>
      <c r="AA33" s="59">
        <f t="shared" si="32"/>
        <v>0.12064524680907071</v>
      </c>
      <c r="AB33" s="59">
        <f t="shared" si="32"/>
        <v>-1.7157515584453843E-3</v>
      </c>
      <c r="AC33" s="59">
        <f t="shared" si="32"/>
        <v>3.215154784293147E-2</v>
      </c>
      <c r="AD33" s="59">
        <f t="shared" si="32"/>
        <v>2.2310302626655951E-4</v>
      </c>
      <c r="AE33" s="59">
        <f t="shared" si="32"/>
        <v>-3.6560081777607998E-4</v>
      </c>
      <c r="AF33" s="59">
        <f t="shared" si="32"/>
        <v>-4.1602757671429261E-4</v>
      </c>
      <c r="AG33" s="59">
        <f t="shared" si="32"/>
        <v>2.3373815228511348E-2</v>
      </c>
      <c r="AH33" s="59">
        <f t="shared" si="32"/>
        <v>1.7606281516823982E-3</v>
      </c>
      <c r="AI33" s="59">
        <f t="shared" si="32"/>
        <v>-3.0945846527114624E-4</v>
      </c>
      <c r="AJ33" s="59">
        <f t="shared" si="32"/>
        <v>0</v>
      </c>
      <c r="AK33" s="59">
        <f t="shared" si="32"/>
        <v>2.1887774529630376E-3</v>
      </c>
      <c r="AL33" s="59">
        <f t="shared" si="32"/>
        <v>0</v>
      </c>
      <c r="AM33" s="59">
        <f t="shared" si="32"/>
        <v>0</v>
      </c>
      <c r="AN33" s="59">
        <f t="shared" si="32"/>
        <v>0</v>
      </c>
      <c r="AO33" s="59">
        <f t="shared" si="32"/>
        <v>-5.0849250900061806E-4</v>
      </c>
      <c r="AP33" s="59">
        <f t="shared" si="32"/>
        <v>-4.7494825924704904E-3</v>
      </c>
      <c r="AQ33" s="59">
        <f t="shared" si="32"/>
        <v>-6.1377579147292175E-3</v>
      </c>
      <c r="AR33" s="59">
        <f t="shared" si="32"/>
        <v>-2.677654256020133E-2</v>
      </c>
      <c r="AS33" s="59">
        <f t="shared" si="32"/>
        <v>8.8391794858169032E-2</v>
      </c>
      <c r="AT33" s="59">
        <f t="shared" si="32"/>
        <v>2.1418193467165305E-2</v>
      </c>
      <c r="AU33" s="59">
        <f t="shared" si="32"/>
        <v>4.4099769531448882E-2</v>
      </c>
      <c r="AV33" s="59">
        <f t="shared" si="32"/>
        <v>4.1044313044334702E-2</v>
      </c>
      <c r="AW33" s="59">
        <f t="shared" si="32"/>
        <v>-0.13445865826132397</v>
      </c>
      <c r="AX33" s="59">
        <f t="shared" si="32"/>
        <v>-4.1922150869387803E-2</v>
      </c>
      <c r="AY33" s="59">
        <f t="shared" si="32"/>
        <v>5.5327401788187763E-2</v>
      </c>
      <c r="AZ33" s="59">
        <f t="shared" si="32"/>
        <v>2.0066091031216926E-2</v>
      </c>
      <c r="BA33" s="59">
        <f t="shared" si="32"/>
        <v>-9.0355493242143328E-2</v>
      </c>
      <c r="BB33" s="59">
        <f t="shared" si="32"/>
        <v>3.651046890471718E-2</v>
      </c>
      <c r="BC33" s="59">
        <f t="shared" si="32"/>
        <v>4.3701191549062192E-2</v>
      </c>
      <c r="BD33" s="59">
        <f t="shared" si="32"/>
        <v>0.19717228848046547</v>
      </c>
      <c r="BE33" s="59">
        <f t="shared" si="32"/>
        <v>-1.5448485140039273E-2</v>
      </c>
      <c r="BF33" s="59">
        <f t="shared" si="32"/>
        <v>-3.7130476467970075E-2</v>
      </c>
      <c r="BG33" s="59">
        <f t="shared" si="32"/>
        <v>-3.1811676735851162E-2</v>
      </c>
      <c r="BH33" s="59">
        <f t="shared" si="32"/>
        <v>0.17176681702555993</v>
      </c>
      <c r="BI33" s="59">
        <f t="shared" si="32"/>
        <v>0.10292807721197224</v>
      </c>
      <c r="BJ33" s="59">
        <f t="shared" si="32"/>
        <v>8.4302265667607508E-4</v>
      </c>
      <c r="BK33" s="59">
        <f t="shared" si="32"/>
        <v>4.1556862247675436E-2</v>
      </c>
      <c r="BL33" s="59">
        <f t="shared" si="32"/>
        <v>0.31425359158093774</v>
      </c>
      <c r="BM33" s="59">
        <f t="shared" si="32"/>
        <v>0.20880275664163936</v>
      </c>
      <c r="BN33" s="59">
        <f t="shared" si="32"/>
        <v>0.1235618357782028</v>
      </c>
      <c r="BO33" s="59">
        <f t="shared" si="32"/>
        <v>0.15717231668139628</v>
      </c>
      <c r="BP33" s="59">
        <f t="shared" si="32"/>
        <v>7.7290485528788311E-2</v>
      </c>
      <c r="BQ33" s="59">
        <f t="shared" si="32"/>
        <v>-2.3485442460859776E-2</v>
      </c>
      <c r="BR33" s="59">
        <f t="shared" ref="BR33:CJ33" si="33">BR32/BR34</f>
        <v>8.8138363582610357E-3</v>
      </c>
      <c r="BS33" s="59">
        <f t="shared" si="33"/>
        <v>-4.9420346712011952E-4</v>
      </c>
      <c r="BT33" s="59">
        <f t="shared" si="33"/>
        <v>-4.2988789817591331E-3</v>
      </c>
      <c r="BU33" s="59">
        <f t="shared" si="33"/>
        <v>0.1276345451079553</v>
      </c>
      <c r="BV33" s="59">
        <f t="shared" si="33"/>
        <v>-6.8490316374731783E-2</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376</v>
      </c>
      <c r="E34" s="58">
        <f>股权价值增加表!E31</f>
        <v>526347983.23999965</v>
      </c>
      <c r="F34" s="58">
        <f>股权价值增加表!F31</f>
        <v>317477101.46000069</v>
      </c>
      <c r="G34" s="58">
        <f>股权价值增加表!G31</f>
        <v>207394506.89000028</v>
      </c>
      <c r="H34" s="58">
        <f>股权价值增加表!H31</f>
        <v>113753416.41000009</v>
      </c>
      <c r="I34" s="58">
        <f>股权价值增加表!I31</f>
        <v>249963875.97000003</v>
      </c>
      <c r="J34" s="58">
        <f>股权价值增加表!J31</f>
        <v>466834549.73999959</v>
      </c>
      <c r="K34" s="58">
        <f>股权价值增加表!K31</f>
        <v>387950091.01000005</v>
      </c>
      <c r="L34" s="58">
        <f>股权价值增加表!L31</f>
        <v>132001719.88999984</v>
      </c>
      <c r="M34" s="58">
        <f>股权价值增加表!M31</f>
        <v>2660463979.6300006</v>
      </c>
      <c r="N34" s="58">
        <f>股权价值增加表!N31</f>
        <v>959186269.0799998</v>
      </c>
      <c r="O34" s="58">
        <f>股权价值增加表!O31</f>
        <v>830992722.55000007</v>
      </c>
      <c r="P34" s="58">
        <f>股权价值增加表!P31</f>
        <v>212686858.32999986</v>
      </c>
      <c r="Q34" s="58">
        <f>股权价值增加表!Q31</f>
        <v>1134130346.5100005</v>
      </c>
      <c r="R34" s="58">
        <f>股权价值增加表!R31</f>
        <v>881119556.69000041</v>
      </c>
      <c r="S34" s="58">
        <f>股权价值增加表!S31</f>
        <v>680262829.23999989</v>
      </c>
      <c r="T34" s="58">
        <f>股权价值增加表!T31</f>
        <v>185175096.59000012</v>
      </c>
      <c r="U34" s="58">
        <f>股权价值增加表!U31</f>
        <v>964092877.70000076</v>
      </c>
      <c r="V34" s="58">
        <f>股权价值增加表!V31</f>
        <v>762647946.84000003</v>
      </c>
      <c r="W34" s="58">
        <f>股权价值增加表!W31</f>
        <v>605306752.41999972</v>
      </c>
      <c r="X34" s="58">
        <f>股权价值增加表!X31</f>
        <v>153686096.27000001</v>
      </c>
      <c r="Y34" s="58">
        <f>股权价值增加表!Y31</f>
        <v>731750232.44999981</v>
      </c>
      <c r="Z34" s="58">
        <f>股权价值增加表!Z31</f>
        <v>600308523.25999951</v>
      </c>
      <c r="AA34" s="58">
        <f>股权价值增加表!AA31</f>
        <v>461530263.16999996</v>
      </c>
      <c r="AB34" s="58">
        <f>股权价值增加表!AB31</f>
        <v>113685521.10000007</v>
      </c>
      <c r="AC34" s="58">
        <f>股权价值增加表!AC31</f>
        <v>452618793.06999958</v>
      </c>
      <c r="AD34" s="58">
        <f>股权价值增加表!AD31</f>
        <v>341957396.43999988</v>
      </c>
      <c r="AE34" s="58">
        <f>股权价值增加表!AE31</f>
        <v>262951572.66000021</v>
      </c>
      <c r="AF34" s="58">
        <f>股权价值增加表!AF31</f>
        <v>77459264.25000003</v>
      </c>
      <c r="AG34" s="58">
        <f>股权价值增加表!AG31</f>
        <v>302614999.7700004</v>
      </c>
      <c r="AH34" s="58">
        <f>股权价值增加表!AH31</f>
        <v>227197190.73999962</v>
      </c>
      <c r="AI34" s="58">
        <f>股权价值增加表!AI31</f>
        <v>173399812.97</v>
      </c>
      <c r="AJ34" s="58">
        <f>股权价值增加表!AJ31</f>
        <v>49281574.319999941</v>
      </c>
      <c r="AK34" s="58">
        <f>股权价值增加表!AK31</f>
        <v>296613362.45999998</v>
      </c>
      <c r="AL34" s="58">
        <f>股权价值增加表!AL31</f>
        <v>211703760.68999988</v>
      </c>
      <c r="AM34" s="58">
        <f>股权价值增加表!AM31</f>
        <v>167138316.23999995</v>
      </c>
      <c r="AN34" s="58">
        <f>股权价值增加表!AN31</f>
        <v>48450191.080000013</v>
      </c>
      <c r="AO34" s="58">
        <f>股权价值增加表!AO31</f>
        <v>241347645.88999999</v>
      </c>
      <c r="AP34" s="58">
        <f>股权价值增加表!AP31</f>
        <v>195217085.6399999</v>
      </c>
      <c r="AQ34" s="58">
        <f>股权价值增加表!AQ31</f>
        <v>151061699.22000012</v>
      </c>
      <c r="AR34" s="58">
        <f>股权价值增加表!AR31</f>
        <v>47348729.850000001</v>
      </c>
      <c r="AS34" s="58">
        <f>股权价值增加表!AS31</f>
        <v>205689329.30000025</v>
      </c>
      <c r="AT34" s="58">
        <f>股权价值增加表!AT31</f>
        <v>151112646.59000012</v>
      </c>
      <c r="AU34" s="58">
        <f>股权价值增加表!AU31</f>
        <v>105421194.69999999</v>
      </c>
      <c r="AV34" s="58">
        <f>股权价值增加表!AV31</f>
        <v>36428283.459999993</v>
      </c>
      <c r="AW34" s="58">
        <f>股权价值增加表!AW31</f>
        <v>120015315.84999993</v>
      </c>
      <c r="AX34" s="58">
        <f>股权价值增加表!AX31</f>
        <v>98800335.719999894</v>
      </c>
      <c r="AY34" s="58">
        <f>股权价值增加表!AY31</f>
        <v>72405303.530000001</v>
      </c>
      <c r="AZ34" s="58">
        <f>股权价值增加表!AZ31</f>
        <v>27327474.949999988</v>
      </c>
      <c r="BA34" s="58">
        <f>股权价值增加表!BA31</f>
        <v>43875005.909999959</v>
      </c>
      <c r="BB34" s="58">
        <f>股权价值增加表!BB31</f>
        <v>57581889.059999883</v>
      </c>
      <c r="BC34" s="58">
        <f>股权价值增加表!BC31</f>
        <v>37678495.519999959</v>
      </c>
      <c r="BD34" s="58">
        <f>股权价值增加表!BD31</f>
        <v>14633535.18</v>
      </c>
      <c r="BE34" s="58">
        <f>股权价值增加表!BE31</f>
        <v>59438979.399999969</v>
      </c>
      <c r="BF34" s="58">
        <f>股权价值增加表!BF31</f>
        <v>74458648.069999993</v>
      </c>
      <c r="BG34" s="58">
        <f>股权价值增加表!BG31</f>
        <v>52530884.300000027</v>
      </c>
      <c r="BH34" s="58">
        <f>股权价值增加表!BH31</f>
        <v>18583028.930000018</v>
      </c>
      <c r="BI34" s="58">
        <f>股权价值增加表!BI31</f>
        <v>94489485.409999967</v>
      </c>
      <c r="BJ34" s="58">
        <f>股权价值增加表!BJ31</f>
        <v>87173706.920000061</v>
      </c>
      <c r="BK34" s="58">
        <f>股权价值增加表!BK31</f>
        <v>61671239.150000043</v>
      </c>
      <c r="BL34" s="58">
        <f>股权价值增加表!BL31</f>
        <v>12170403.719999984</v>
      </c>
      <c r="BM34" s="58">
        <f>股权价值增加表!BM31</f>
        <v>85291179.180000007</v>
      </c>
      <c r="BN34" s="58">
        <f>股权价值增加表!BN31</f>
        <v>84583183.830000013</v>
      </c>
      <c r="BO34" s="58">
        <f>股权价值增加表!BO31</f>
        <v>58919839.610000022</v>
      </c>
      <c r="BP34" s="58">
        <f>股权价值增加表!BP31</f>
        <v>13195007.289999984</v>
      </c>
      <c r="BQ34" s="58">
        <f>股权价值增加表!BQ31</f>
        <v>86828090.780000031</v>
      </c>
      <c r="BR34" s="58">
        <f>股权价值增加表!BR31</f>
        <v>49034766.750000075</v>
      </c>
      <c r="BS34" s="58">
        <f>股权价值增加表!BS31</f>
        <v>68166357.059999928</v>
      </c>
      <c r="BT34" s="58">
        <f>股权价值增加表!BT31</f>
        <v>60556805.880000032</v>
      </c>
      <c r="BU34" s="58">
        <f>股权价值增加表!BU31</f>
        <v>55725449.360000007</v>
      </c>
      <c r="BV34" s="58">
        <f>股权价值增加表!BV31</f>
        <v>72016556.36999993</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4" t="s">
        <v>676</v>
      </c>
      <c r="B35" s="285"/>
      <c r="C35" s="285"/>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35795</v>
      </c>
      <c r="BW38" s="1">
        <v>25569</v>
      </c>
      <c r="BX38" s="1"/>
      <c r="BY38" s="1"/>
      <c r="BZ38" s="1"/>
      <c r="CA38" s="1"/>
      <c r="CB38" s="1"/>
      <c r="CC38" s="1"/>
      <c r="CD38" s="1"/>
      <c r="CE38" s="1"/>
      <c r="CF38" s="1"/>
      <c r="CG38" s="1"/>
      <c r="CH38" s="1"/>
      <c r="CI38" s="1"/>
      <c r="CJ38" s="1"/>
      <c r="CK38" s="1"/>
    </row>
    <row r="39" spans="1:89" x14ac:dyDescent="0.25">
      <c r="A39" s="17" t="s">
        <v>376</v>
      </c>
      <c r="E39" s="26">
        <f>股权价值增加表!E31</f>
        <v>526347983.23999965</v>
      </c>
      <c r="F39" s="26">
        <f>股权价值增加表!F31</f>
        <v>317477101.46000069</v>
      </c>
      <c r="G39" s="26">
        <f>股权价值增加表!G31</f>
        <v>207394506.89000028</v>
      </c>
      <c r="H39" s="26">
        <f>股权价值增加表!H31</f>
        <v>113753416.41000009</v>
      </c>
      <c r="I39" s="26">
        <f>股权价值增加表!I31</f>
        <v>249963875.97000003</v>
      </c>
      <c r="J39" s="26">
        <f>股权价值增加表!J31</f>
        <v>466834549.73999959</v>
      </c>
      <c r="K39" s="26">
        <f>股权价值增加表!K31</f>
        <v>387950091.01000005</v>
      </c>
      <c r="L39" s="26">
        <f>股权价值增加表!L31</f>
        <v>132001719.88999984</v>
      </c>
      <c r="M39" s="26">
        <f>股权价值增加表!M31</f>
        <v>2660463979.6300006</v>
      </c>
      <c r="N39" s="26">
        <f>股权价值增加表!N31</f>
        <v>959186269.0799998</v>
      </c>
      <c r="O39" s="26">
        <f>股权价值增加表!O31</f>
        <v>830992722.55000007</v>
      </c>
      <c r="P39" s="26">
        <f>股权价值增加表!P31</f>
        <v>212686858.32999986</v>
      </c>
      <c r="Q39" s="26">
        <f>股权价值增加表!Q31</f>
        <v>1134130346.5100005</v>
      </c>
      <c r="R39" s="26">
        <f>股权价值增加表!R31</f>
        <v>881119556.69000041</v>
      </c>
      <c r="S39" s="26">
        <f>股权价值增加表!S31</f>
        <v>680262829.23999989</v>
      </c>
      <c r="T39" s="26">
        <f>股权价值增加表!T31</f>
        <v>185175096.59000012</v>
      </c>
      <c r="U39" s="26">
        <f>股权价值增加表!U31</f>
        <v>964092877.70000076</v>
      </c>
      <c r="V39" s="26">
        <f>股权价值增加表!V31</f>
        <v>762647946.84000003</v>
      </c>
      <c r="W39" s="26">
        <f>股权价值增加表!W31</f>
        <v>605306752.41999972</v>
      </c>
      <c r="X39" s="26">
        <f>股权价值增加表!X31</f>
        <v>153686096.27000001</v>
      </c>
      <c r="Y39" s="26">
        <f>股权价值增加表!Y31</f>
        <v>731750232.44999981</v>
      </c>
      <c r="Z39" s="26">
        <f>股权价值增加表!Z31</f>
        <v>600308523.25999951</v>
      </c>
      <c r="AA39" s="26">
        <f>股权价值增加表!AA31</f>
        <v>461530263.16999996</v>
      </c>
      <c r="AB39" s="26">
        <f>股权价值增加表!AB31</f>
        <v>113685521.10000007</v>
      </c>
      <c r="AC39" s="26">
        <f>股权价值增加表!AC31</f>
        <v>452618793.06999958</v>
      </c>
      <c r="AD39" s="26">
        <f>股权价值增加表!AD31</f>
        <v>341957396.43999988</v>
      </c>
      <c r="AE39" s="26">
        <f>股权价值增加表!AE31</f>
        <v>262951572.66000021</v>
      </c>
      <c r="AF39" s="26">
        <f>股权价值增加表!AF31</f>
        <v>77459264.25000003</v>
      </c>
      <c r="AG39" s="26">
        <f>股权价值增加表!AG31</f>
        <v>302614999.7700004</v>
      </c>
      <c r="AH39" s="26">
        <f>股权价值增加表!AH31</f>
        <v>227197190.73999962</v>
      </c>
      <c r="AI39" s="26">
        <f>股权价值增加表!AI31</f>
        <v>173399812.97</v>
      </c>
      <c r="AJ39" s="26">
        <f>股权价值增加表!AJ31</f>
        <v>49281574.319999941</v>
      </c>
      <c r="AK39" s="26">
        <f>股权价值增加表!AK31</f>
        <v>296613362.45999998</v>
      </c>
      <c r="AL39" s="26">
        <f>股权价值增加表!AL31</f>
        <v>211703760.68999988</v>
      </c>
      <c r="AM39" s="26">
        <f>股权价值增加表!AM31</f>
        <v>167138316.23999995</v>
      </c>
      <c r="AN39" s="26">
        <f>股权价值增加表!AN31</f>
        <v>48450191.080000013</v>
      </c>
      <c r="AO39" s="26">
        <f>股权价值增加表!AO31</f>
        <v>241347645.88999999</v>
      </c>
      <c r="AP39" s="26">
        <f>股权价值增加表!AP31</f>
        <v>195217085.6399999</v>
      </c>
      <c r="AQ39" s="26">
        <f>股权价值增加表!AQ31</f>
        <v>151061699.22000012</v>
      </c>
      <c r="AR39" s="26">
        <f>股权价值增加表!AR31</f>
        <v>47348729.850000001</v>
      </c>
      <c r="AS39" s="26">
        <f>股权价值增加表!AS31</f>
        <v>205689329.30000025</v>
      </c>
      <c r="AT39" s="26">
        <f>股权价值增加表!AT31</f>
        <v>151112646.59000012</v>
      </c>
      <c r="AU39" s="26">
        <f>股权价值增加表!AU31</f>
        <v>105421194.69999999</v>
      </c>
      <c r="AV39" s="26">
        <f>股权价值增加表!AV31</f>
        <v>36428283.459999993</v>
      </c>
      <c r="AW39" s="26">
        <f>股权价值增加表!AW31</f>
        <v>120015315.84999993</v>
      </c>
      <c r="AX39" s="26">
        <f>股权价值增加表!AX31</f>
        <v>98800335.719999894</v>
      </c>
      <c r="AY39" s="26">
        <f>股权价值增加表!AY31</f>
        <v>72405303.530000001</v>
      </c>
      <c r="AZ39" s="26">
        <f>股权价值增加表!AZ31</f>
        <v>27327474.949999988</v>
      </c>
      <c r="BA39" s="26">
        <f>股权价值增加表!BA31</f>
        <v>43875005.909999959</v>
      </c>
      <c r="BB39" s="26">
        <f>股权价值增加表!BB31</f>
        <v>57581889.059999883</v>
      </c>
      <c r="BC39" s="26">
        <f>股权价值增加表!BC31</f>
        <v>37678495.519999959</v>
      </c>
      <c r="BD39" s="26">
        <f>股权价值增加表!BD31</f>
        <v>14633535.18</v>
      </c>
      <c r="BE39" s="26">
        <f>股权价值增加表!BE31</f>
        <v>59438979.399999969</v>
      </c>
      <c r="BF39" s="26">
        <f>股权价值增加表!BF31</f>
        <v>74458648.069999993</v>
      </c>
      <c r="BG39" s="26">
        <f>股权价值增加表!BG31</f>
        <v>52530884.300000027</v>
      </c>
      <c r="BH39" s="26">
        <f>股权价值增加表!BH31</f>
        <v>18583028.930000018</v>
      </c>
      <c r="BI39" s="26">
        <f>股权价值增加表!BI31</f>
        <v>94489485.409999967</v>
      </c>
      <c r="BJ39" s="26">
        <f>股权价值增加表!BJ31</f>
        <v>87173706.920000061</v>
      </c>
      <c r="BK39" s="26">
        <f>股权价值增加表!BK31</f>
        <v>61671239.150000043</v>
      </c>
      <c r="BL39" s="26">
        <f>股权价值增加表!BL31</f>
        <v>12170403.719999984</v>
      </c>
      <c r="BM39" s="26">
        <f>股权价值增加表!BM31</f>
        <v>85291179.180000007</v>
      </c>
      <c r="BN39" s="26">
        <f>股权价值增加表!BN31</f>
        <v>84583183.830000013</v>
      </c>
      <c r="BO39" s="26">
        <f>股权价值增加表!BO31</f>
        <v>58919839.610000022</v>
      </c>
      <c r="BP39" s="26">
        <f>股权价值增加表!BP31</f>
        <v>13195007.289999984</v>
      </c>
      <c r="BQ39" s="26">
        <f>股权价值增加表!BQ31</f>
        <v>86828090.780000031</v>
      </c>
      <c r="BR39" s="26">
        <f>股权价值增加表!BR31</f>
        <v>49034766.750000075</v>
      </c>
      <c r="BS39" s="26">
        <f>股权价值增加表!BS31</f>
        <v>68166357.059999928</v>
      </c>
      <c r="BT39" s="26">
        <f>股权价值增加表!BT31</f>
        <v>60556805.880000032</v>
      </c>
      <c r="BU39" s="26">
        <f>股权价值增加表!BU31</f>
        <v>55725449.360000007</v>
      </c>
      <c r="BV39" s="26">
        <f>股权价值增加表!BV31</f>
        <v>72016556.36999993</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460780807.11999965</v>
      </c>
      <c r="F40" s="26">
        <f>股权价值增加表!F38</f>
        <v>344233060.49000072</v>
      </c>
      <c r="G40" s="26">
        <f>股权价值增加表!G38</f>
        <v>226635178.66000029</v>
      </c>
      <c r="H40" s="26">
        <f>股权价值增加表!H38</f>
        <v>123789737.13000008</v>
      </c>
      <c r="I40" s="26">
        <f>股权价值增加表!I38</f>
        <v>246307445.76000005</v>
      </c>
      <c r="J40" s="26">
        <f>股权价值增加表!J38</f>
        <v>513947255.25999957</v>
      </c>
      <c r="K40" s="26">
        <f>股权价值增加表!K38</f>
        <v>425778377.72000003</v>
      </c>
      <c r="L40" s="26">
        <f>股权价值增加表!L38</f>
        <v>141295384.16999984</v>
      </c>
      <c r="M40" s="26">
        <f>股权价值增加表!M38</f>
        <v>2657943972.2600007</v>
      </c>
      <c r="N40" s="26">
        <f>股权价值增加表!N38</f>
        <v>996489512.64999986</v>
      </c>
      <c r="O40" s="26">
        <f>股权价值增加表!O38</f>
        <v>853868025.11000001</v>
      </c>
      <c r="P40" s="26">
        <f>股权价值增加表!P38</f>
        <v>218843990.25999987</v>
      </c>
      <c r="Q40" s="26">
        <f>股权价值增加表!Q38</f>
        <v>1132059322.6000004</v>
      </c>
      <c r="R40" s="26">
        <f>股权价值增加表!R38</f>
        <v>898553172.07000041</v>
      </c>
      <c r="S40" s="26">
        <f>股权价值增加表!S38</f>
        <v>691217691.70999992</v>
      </c>
      <c r="T40" s="26">
        <f>股权价值增加表!T38</f>
        <v>190098288.74000013</v>
      </c>
      <c r="U40" s="26">
        <f>股权价值增加表!U38</f>
        <v>962155337.08000076</v>
      </c>
      <c r="V40" s="26">
        <f>股权价值增加表!V38</f>
        <v>780719362.64999998</v>
      </c>
      <c r="W40" s="26">
        <f>股权价值增加表!W38</f>
        <v>613384037.66999972</v>
      </c>
      <c r="X40" s="26">
        <f>股权价值增加表!X38</f>
        <v>158781820.59</v>
      </c>
      <c r="Y40" s="26">
        <f>股权价值增加表!Y38</f>
        <v>729027124.34999979</v>
      </c>
      <c r="Z40" s="26">
        <f>股权价值增加表!Z38</f>
        <v>612793905.72999954</v>
      </c>
      <c r="AA40" s="26">
        <f>股权价值增加表!AA38</f>
        <v>468332564.31999993</v>
      </c>
      <c r="AB40" s="26">
        <f>股权价值增加表!AB38</f>
        <v>115834268.39000008</v>
      </c>
      <c r="AC40" s="26">
        <f>股权价值增加表!AC38</f>
        <v>450187219.25999957</v>
      </c>
      <c r="AD40" s="26">
        <f>股权价值增加表!AD38</f>
        <v>349289682.4199999</v>
      </c>
      <c r="AE40" s="26">
        <f>股权价值增加表!AE38</f>
        <v>268140174.0700002</v>
      </c>
      <c r="AF40" s="26">
        <f>股权价值增加表!AF38</f>
        <v>80528138.910000026</v>
      </c>
      <c r="AG40" s="26">
        <f>股权价值增加表!AG38</f>
        <v>300311756.0200004</v>
      </c>
      <c r="AH40" s="26">
        <f>股权价值增加表!AH38</f>
        <v>230508444.29999962</v>
      </c>
      <c r="AI40" s="26">
        <f>股权价值增加表!AI38</f>
        <v>175564569.37</v>
      </c>
      <c r="AJ40" s="26">
        <f>股权价值增加表!AJ38</f>
        <v>49582416.639999941</v>
      </c>
      <c r="AK40" s="26">
        <f>股权价值增加表!AK38</f>
        <v>294523413.89999998</v>
      </c>
      <c r="AL40" s="26">
        <f>股权价值增加表!AL38</f>
        <v>209318786.91999987</v>
      </c>
      <c r="AM40" s="26">
        <f>股权价值增加表!AM38</f>
        <v>165301692.68999994</v>
      </c>
      <c r="AN40" s="26">
        <f>股权价值增加表!AN38</f>
        <v>47001215.300000012</v>
      </c>
      <c r="AO40" s="26">
        <f>股权价值增加表!AO38</f>
        <v>230928200.23999998</v>
      </c>
      <c r="AP40" s="26">
        <f>股权价值增加表!AP38</f>
        <v>185679529.01999989</v>
      </c>
      <c r="AQ40" s="26">
        <f>股权价值增加表!AQ38</f>
        <v>143501741.92000011</v>
      </c>
      <c r="AR40" s="26">
        <f>股权价值增加表!AR38</f>
        <v>43650038.630000003</v>
      </c>
      <c r="AS40" s="26">
        <f>股权价值增加表!AS38</f>
        <v>189902746.87000024</v>
      </c>
      <c r="AT40" s="26">
        <f>股权价值增加表!AT38</f>
        <v>139799541.28000012</v>
      </c>
      <c r="AU40" s="26">
        <f>股权价值增加表!AU38</f>
        <v>97623727.419999987</v>
      </c>
      <c r="AV40" s="26">
        <f>股权价值增加表!AV38</f>
        <v>31758327.459999993</v>
      </c>
      <c r="AW40" s="26">
        <f>股权价值增加表!AW38</f>
        <v>102986081.09999993</v>
      </c>
      <c r="AX40" s="26">
        <f>股权价值增加表!AX38</f>
        <v>86166877.829999894</v>
      </c>
      <c r="AY40" s="26">
        <f>股权价值增加表!AY38</f>
        <v>64987169.439999998</v>
      </c>
      <c r="AZ40" s="26">
        <f>股权价值增加表!AZ38</f>
        <v>23574539.229999989</v>
      </c>
      <c r="BA40" s="26">
        <f>股权价值增加表!BA38</f>
        <v>35279418.68999996</v>
      </c>
      <c r="BB40" s="26">
        <f>股权价值增加表!BB38</f>
        <v>51929987.10999988</v>
      </c>
      <c r="BC40" s="26">
        <f>股权价值增加表!BC38</f>
        <v>34136319.11999996</v>
      </c>
      <c r="BD40" s="26">
        <f>股权价值增加表!BD38</f>
        <v>12764611.91</v>
      </c>
      <c r="BE40" s="26">
        <f>股权价值增加表!BE38</f>
        <v>55281581.719999969</v>
      </c>
      <c r="BF40" s="26">
        <f>股权价值增加表!BF38</f>
        <v>72590345.379999995</v>
      </c>
      <c r="BG40" s="26">
        <f>股权价值增加表!BG38</f>
        <v>51404883.210000023</v>
      </c>
      <c r="BH40" s="26">
        <f>股权价值增加表!BH38</f>
        <v>17520096.170000017</v>
      </c>
      <c r="BI40" s="26">
        <f>股权价值增加表!BI38</f>
        <v>91424064.239999965</v>
      </c>
      <c r="BJ40" s="26">
        <f>股权价值增加表!BJ38</f>
        <v>87237224.950000063</v>
      </c>
      <c r="BK40" s="26">
        <f>股权价值增加表!BK38</f>
        <v>62030701.040000044</v>
      </c>
      <c r="BL40" s="26">
        <f>股权价值增加表!BL38</f>
        <v>12799178.859999985</v>
      </c>
      <c r="BM40" s="26">
        <f>股权价值增加表!BM38</f>
        <v>83948614.530000001</v>
      </c>
      <c r="BN40" s="26">
        <f>股权价值增加表!BN38</f>
        <v>82514105.030000016</v>
      </c>
      <c r="BO40" s="26">
        <f>股权价值增加表!BO38</f>
        <v>57320904.640000023</v>
      </c>
      <c r="BP40" s="26">
        <f>股权价值增加表!BP38</f>
        <v>11888717.889999984</v>
      </c>
      <c r="BQ40" s="26">
        <f>股权价值增加表!BQ38</f>
        <v>79277339.310000032</v>
      </c>
      <c r="BR40" s="26">
        <f>股权价值增加表!BR38</f>
        <v>44862783.940000072</v>
      </c>
      <c r="BS40" s="26">
        <f>股权价值增加表!BS38</f>
        <v>51856396.569999926</v>
      </c>
      <c r="BT40" s="26">
        <f>股权价值增加表!BT38</f>
        <v>43291849.790000036</v>
      </c>
      <c r="BU40" s="26">
        <f>股权价值增加表!BU38</f>
        <v>37059641.600000009</v>
      </c>
      <c r="BV40" s="26">
        <f>股权价值增加表!BV38</f>
        <v>50893222.669999927</v>
      </c>
      <c r="BW40" s="26">
        <f>股权价值增加表!BW38</f>
        <v>0</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0.12457001490989517</v>
      </c>
      <c r="F41" s="59">
        <f t="shared" ref="F41:BQ41" si="34">1-F40/F39</f>
        <v>-8.4276815263071958E-2</v>
      </c>
      <c r="G41" s="59">
        <f t="shared" si="34"/>
        <v>-9.277329500440934E-2</v>
      </c>
      <c r="H41" s="59">
        <f t="shared" si="34"/>
        <v>-8.8228741050081494E-2</v>
      </c>
      <c r="I41" s="59">
        <f t="shared" si="34"/>
        <v>1.4627834505329895E-2</v>
      </c>
      <c r="J41" s="59">
        <f t="shared" si="34"/>
        <v>-0.10091949181190452</v>
      </c>
      <c r="K41" s="59">
        <f t="shared" si="34"/>
        <v>-9.7508126912708715E-2</v>
      </c>
      <c r="L41" s="59">
        <f t="shared" si="34"/>
        <v>-7.0405630227732052E-2</v>
      </c>
      <c r="M41" s="59">
        <f t="shared" si="34"/>
        <v>9.4720597207642587E-4</v>
      </c>
      <c r="N41" s="59">
        <f t="shared" si="34"/>
        <v>-3.8890510396671241E-2</v>
      </c>
      <c r="O41" s="59">
        <f t="shared" si="34"/>
        <v>-2.7527680976319857E-2</v>
      </c>
      <c r="P41" s="59">
        <f t="shared" si="34"/>
        <v>-2.8949282425558831E-2</v>
      </c>
      <c r="Q41" s="59">
        <f t="shared" si="34"/>
        <v>1.8260898461743835E-3</v>
      </c>
      <c r="R41" s="59">
        <f t="shared" si="34"/>
        <v>-1.9785754665905708E-2</v>
      </c>
      <c r="S41" s="59">
        <f t="shared" si="34"/>
        <v>-1.6103867504033698E-2</v>
      </c>
      <c r="T41" s="59">
        <f t="shared" si="34"/>
        <v>-2.6586686010487304E-2</v>
      </c>
      <c r="U41" s="59">
        <f t="shared" si="34"/>
        <v>2.009703281516062E-3</v>
      </c>
      <c r="V41" s="59">
        <f t="shared" si="34"/>
        <v>-2.3695619826786585E-2</v>
      </c>
      <c r="W41" s="59">
        <f t="shared" si="34"/>
        <v>-1.3344118858260368E-2</v>
      </c>
      <c r="X41" s="59">
        <f t="shared" si="34"/>
        <v>-3.3156703460329284E-2</v>
      </c>
      <c r="Y41" s="59">
        <f t="shared" si="34"/>
        <v>3.7213628082941597E-3</v>
      </c>
      <c r="Z41" s="59">
        <f t="shared" si="34"/>
        <v>-2.0798276196709153E-2</v>
      </c>
      <c r="AA41" s="59">
        <f t="shared" si="34"/>
        <v>-1.4738580961687564E-2</v>
      </c>
      <c r="AB41" s="59">
        <f t="shared" si="34"/>
        <v>-1.8900799936606871E-2</v>
      </c>
      <c r="AC41" s="59">
        <f t="shared" si="34"/>
        <v>5.3722334273997863E-3</v>
      </c>
      <c r="AD41" s="59">
        <f t="shared" si="34"/>
        <v>-2.1442103771797116E-2</v>
      </c>
      <c r="AE41" s="59">
        <f t="shared" si="34"/>
        <v>-1.9732155839618848E-2</v>
      </c>
      <c r="AF41" s="59">
        <f t="shared" si="34"/>
        <v>-3.9619207459745454E-2</v>
      </c>
      <c r="AG41" s="59">
        <f t="shared" si="34"/>
        <v>7.6111354418999522E-3</v>
      </c>
      <c r="AH41" s="59">
        <f t="shared" si="34"/>
        <v>-1.4574359609003107E-2</v>
      </c>
      <c r="AI41" s="59">
        <f t="shared" si="34"/>
        <v>-1.2484191089493946E-2</v>
      </c>
      <c r="AJ41" s="59">
        <f t="shared" si="34"/>
        <v>-6.1045598512445842E-3</v>
      </c>
      <c r="AK41" s="59">
        <f t="shared" si="34"/>
        <v>7.0460364383679863E-3</v>
      </c>
      <c r="AL41" s="59">
        <f t="shared" si="34"/>
        <v>1.126561834436357E-2</v>
      </c>
      <c r="AM41" s="59">
        <f t="shared" si="34"/>
        <v>1.098864456288251E-2</v>
      </c>
      <c r="AN41" s="59">
        <f t="shared" si="34"/>
        <v>2.9906502899183174E-2</v>
      </c>
      <c r="AO41" s="59">
        <f t="shared" si="34"/>
        <v>4.3171938187244296E-2</v>
      </c>
      <c r="AP41" s="59">
        <f t="shared" si="34"/>
        <v>4.8856157178722714E-2</v>
      </c>
      <c r="AQ41" s="59">
        <f t="shared" si="34"/>
        <v>5.0045493589940371E-2</v>
      </c>
      <c r="AR41" s="59">
        <f t="shared" si="34"/>
        <v>7.8115954360706064E-2</v>
      </c>
      <c r="AS41" s="59">
        <f t="shared" si="34"/>
        <v>7.6749642209076874E-2</v>
      </c>
      <c r="AT41" s="59">
        <f t="shared" si="34"/>
        <v>7.4865377354516149E-2</v>
      </c>
      <c r="AU41" s="59">
        <f t="shared" si="34"/>
        <v>7.3964891995290549E-2</v>
      </c>
      <c r="AV41" s="59">
        <f t="shared" si="34"/>
        <v>0.12819588397921178</v>
      </c>
      <c r="AW41" s="59">
        <f t="shared" si="34"/>
        <v>0.14189217958884381</v>
      </c>
      <c r="AX41" s="59">
        <f t="shared" si="34"/>
        <v>0.12786857248950256</v>
      </c>
      <c r="AY41" s="59">
        <f t="shared" si="34"/>
        <v>0.10245291060656092</v>
      </c>
      <c r="AZ41" s="59">
        <f t="shared" si="34"/>
        <v>0.1373319608513629</v>
      </c>
      <c r="BA41" s="59">
        <f t="shared" si="34"/>
        <v>0.19591079343970863</v>
      </c>
      <c r="BB41" s="59">
        <f t="shared" si="34"/>
        <v>9.815415996704735E-2</v>
      </c>
      <c r="BC41" s="59">
        <f t="shared" si="34"/>
        <v>9.4010558306920511E-2</v>
      </c>
      <c r="BD41" s="59">
        <f t="shared" si="34"/>
        <v>0.1277150905103438</v>
      </c>
      <c r="BE41" s="59">
        <f t="shared" si="34"/>
        <v>6.9943961386389475E-2</v>
      </c>
      <c r="BF41" s="59">
        <f t="shared" si="34"/>
        <v>2.5091815906240655E-2</v>
      </c>
      <c r="BG41" s="59">
        <f t="shared" si="34"/>
        <v>2.1435030173288072E-2</v>
      </c>
      <c r="BH41" s="59">
        <f t="shared" si="34"/>
        <v>5.7199112373119476E-2</v>
      </c>
      <c r="BI41" s="59">
        <f t="shared" si="34"/>
        <v>3.2441928926788099E-2</v>
      </c>
      <c r="BJ41" s="59">
        <f t="shared" si="34"/>
        <v>-7.2863747848073146E-4</v>
      </c>
      <c r="BK41" s="59">
        <f t="shared" si="34"/>
        <v>-5.8286795425934734E-3</v>
      </c>
      <c r="BL41" s="59">
        <f t="shared" si="34"/>
        <v>-5.1664279547827707E-2</v>
      </c>
      <c r="BM41" s="59">
        <f t="shared" si="34"/>
        <v>1.5740955429478065E-2</v>
      </c>
      <c r="BN41" s="59">
        <f t="shared" si="34"/>
        <v>2.4462058606809389E-2</v>
      </c>
      <c r="BO41" s="59">
        <f t="shared" si="34"/>
        <v>2.713746304442799E-2</v>
      </c>
      <c r="BP41" s="59">
        <f t="shared" si="34"/>
        <v>9.8998763038955606E-2</v>
      </c>
      <c r="BQ41" s="59">
        <f t="shared" si="34"/>
        <v>8.6962081075025011E-2</v>
      </c>
      <c r="BR41" s="59">
        <f t="shared" ref="BR41:CK41" si="35">1-BR40/BR39</f>
        <v>8.5082138378888006E-2</v>
      </c>
      <c r="BS41" s="59">
        <f t="shared" si="35"/>
        <v>0.2392670107872128</v>
      </c>
      <c r="BT41" s="59">
        <f t="shared" si="35"/>
        <v>0.28510347993274954</v>
      </c>
      <c r="BU41" s="59">
        <f t="shared" si="35"/>
        <v>0.33496020174578267</v>
      </c>
      <c r="BV41" s="59">
        <f t="shared" si="35"/>
        <v>0.29331218770687273</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8.0276140347524798</v>
      </c>
      <c r="F42" s="29">
        <f t="shared" ref="F42:BQ42" si="36">F39/(F39-F40)</f>
        <v>-11.865659575275568</v>
      </c>
      <c r="G42" s="29">
        <f t="shared" si="36"/>
        <v>-10.778963924397333</v>
      </c>
      <c r="H42" s="29">
        <f t="shared" si="36"/>
        <v>-11.33417510097267</v>
      </c>
      <c r="I42" s="29">
        <f t="shared" si="36"/>
        <v>68.362818818850499</v>
      </c>
      <c r="J42" s="29">
        <f t="shared" si="36"/>
        <v>-9.908888580848366</v>
      </c>
      <c r="K42" s="29">
        <f t="shared" si="36"/>
        <v>-10.255555425602839</v>
      </c>
      <c r="L42" s="29">
        <f t="shared" si="36"/>
        <v>-14.203409539342626</v>
      </c>
      <c r="M42" s="29">
        <f t="shared" si="36"/>
        <v>1055.7365868458239</v>
      </c>
      <c r="N42" s="29">
        <f t="shared" si="36"/>
        <v>-25.713213578333303</v>
      </c>
      <c r="O42" s="29">
        <f t="shared" si="36"/>
        <v>-36.327070226519538</v>
      </c>
      <c r="P42" s="29">
        <f t="shared" si="36"/>
        <v>-34.543170545640656</v>
      </c>
      <c r="Q42" s="29">
        <f t="shared" si="36"/>
        <v>547.61818105226678</v>
      </c>
      <c r="R42" s="29">
        <f t="shared" si="36"/>
        <v>-50.54141309672513</v>
      </c>
      <c r="S42" s="29">
        <f t="shared" si="36"/>
        <v>-62.096884475081694</v>
      </c>
      <c r="T42" s="29">
        <f t="shared" si="36"/>
        <v>-37.612811149367772</v>
      </c>
      <c r="U42" s="29">
        <f t="shared" si="36"/>
        <v>497.585892005711</v>
      </c>
      <c r="V42" s="29">
        <f t="shared" si="36"/>
        <v>-42.201892472530211</v>
      </c>
      <c r="W42" s="29">
        <f t="shared" si="36"/>
        <v>-74.939380458304313</v>
      </c>
      <c r="X42" s="29">
        <f t="shared" si="36"/>
        <v>-30.159813722026513</v>
      </c>
      <c r="Y42" s="29">
        <f t="shared" si="36"/>
        <v>268.71876017334506</v>
      </c>
      <c r="Z42" s="29">
        <f t="shared" si="36"/>
        <v>-48.08090778976338</v>
      </c>
      <c r="AA42" s="29">
        <f t="shared" si="36"/>
        <v>-67.849137077678719</v>
      </c>
      <c r="AB42" s="29">
        <f t="shared" si="36"/>
        <v>-52.907813603338958</v>
      </c>
      <c r="AC42" s="29">
        <f t="shared" si="36"/>
        <v>186.14232116194702</v>
      </c>
      <c r="AD42" s="29">
        <f t="shared" si="36"/>
        <v>-46.637214829419271</v>
      </c>
      <c r="AE42" s="29">
        <f t="shared" si="36"/>
        <v>-50.67869968836176</v>
      </c>
      <c r="AF42" s="29">
        <f t="shared" si="36"/>
        <v>-25.240282784960698</v>
      </c>
      <c r="AG42" s="29">
        <f t="shared" si="36"/>
        <v>131.38644130479042</v>
      </c>
      <c r="AH42" s="29">
        <f t="shared" si="36"/>
        <v>-68.613649369696546</v>
      </c>
      <c r="AI42" s="29">
        <f t="shared" si="36"/>
        <v>-80.101305149161135</v>
      </c>
      <c r="AJ42" s="29">
        <f t="shared" si="36"/>
        <v>-163.81197406003216</v>
      </c>
      <c r="AK42" s="29">
        <f t="shared" si="36"/>
        <v>141.92376220972616</v>
      </c>
      <c r="AL42" s="29">
        <f t="shared" si="36"/>
        <v>88.765655770712698</v>
      </c>
      <c r="AM42" s="29">
        <f t="shared" si="36"/>
        <v>91.00303447595391</v>
      </c>
      <c r="AN42" s="29">
        <f t="shared" si="36"/>
        <v>33.437543780062335</v>
      </c>
      <c r="AO42" s="29">
        <f t="shared" si="36"/>
        <v>23.163194472826859</v>
      </c>
      <c r="AP42" s="29">
        <f t="shared" si="36"/>
        <v>20.468249198189273</v>
      </c>
      <c r="AQ42" s="29">
        <f t="shared" si="36"/>
        <v>19.981819106306311</v>
      </c>
      <c r="AR42" s="29">
        <f t="shared" si="36"/>
        <v>12.801482209158303</v>
      </c>
      <c r="AS42" s="29">
        <f t="shared" si="36"/>
        <v>13.029376700882317</v>
      </c>
      <c r="AT42" s="29">
        <f t="shared" si="36"/>
        <v>13.357309284165064</v>
      </c>
      <c r="AU42" s="29">
        <f t="shared" si="36"/>
        <v>13.519927806609529</v>
      </c>
      <c r="AV42" s="29">
        <f t="shared" si="36"/>
        <v>7.8005624592608571</v>
      </c>
      <c r="AW42" s="29">
        <f t="shared" si="36"/>
        <v>7.0476047580470365</v>
      </c>
      <c r="AX42" s="29">
        <f t="shared" si="36"/>
        <v>7.8205299436035789</v>
      </c>
      <c r="AY42" s="29">
        <f t="shared" si="36"/>
        <v>9.7605816572668562</v>
      </c>
      <c r="AZ42" s="29">
        <f t="shared" si="36"/>
        <v>7.281626169179364</v>
      </c>
      <c r="BA42" s="29">
        <f t="shared" si="36"/>
        <v>5.1043639936446326</v>
      </c>
      <c r="BB42" s="29">
        <f t="shared" si="36"/>
        <v>10.188055201488385</v>
      </c>
      <c r="BC42" s="29">
        <f t="shared" si="36"/>
        <v>10.637103087243192</v>
      </c>
      <c r="BD42" s="29">
        <f t="shared" si="36"/>
        <v>7.8299282880671734</v>
      </c>
      <c r="BE42" s="29">
        <f t="shared" si="36"/>
        <v>14.297159900276842</v>
      </c>
      <c r="BF42" s="29">
        <f t="shared" si="36"/>
        <v>39.853632106048131</v>
      </c>
      <c r="BG42" s="29">
        <f t="shared" si="36"/>
        <v>46.652605194192006</v>
      </c>
      <c r="BH42" s="29">
        <f t="shared" si="36"/>
        <v>17.482788779602568</v>
      </c>
      <c r="BI42" s="29">
        <f t="shared" si="36"/>
        <v>30.824307711687105</v>
      </c>
      <c r="BJ42" s="29">
        <f t="shared" si="36"/>
        <v>-1372.4246000702231</v>
      </c>
      <c r="BK42" s="29">
        <f t="shared" si="36"/>
        <v>-171.56544508793391</v>
      </c>
      <c r="BL42" s="29">
        <f t="shared" si="36"/>
        <v>-19.355732989061831</v>
      </c>
      <c r="BM42" s="29">
        <f t="shared" si="36"/>
        <v>63.5285452957514</v>
      </c>
      <c r="BN42" s="29">
        <f t="shared" si="36"/>
        <v>40.879633888279237</v>
      </c>
      <c r="BO42" s="29">
        <f t="shared" si="36"/>
        <v>36.849428347920906</v>
      </c>
      <c r="BP42" s="29">
        <f t="shared" si="36"/>
        <v>10.101136310223431</v>
      </c>
      <c r="BQ42" s="29">
        <f t="shared" si="36"/>
        <v>11.499264824829421</v>
      </c>
      <c r="BR42" s="29">
        <f t="shared" ref="BR42:CK42" si="37">BR39/(BR39-BR40)</f>
        <v>11.753348223886869</v>
      </c>
      <c r="BS42" s="29">
        <f t="shared" si="37"/>
        <v>4.1794311581437755</v>
      </c>
      <c r="BT42" s="29">
        <f t="shared" si="37"/>
        <v>3.5074984010573318</v>
      </c>
      <c r="BU42" s="29">
        <f t="shared" si="37"/>
        <v>2.9854292981318058</v>
      </c>
      <c r="BV42" s="29">
        <f t="shared" si="37"/>
        <v>3.4093366791814645</v>
      </c>
      <c r="BW42" s="29" t="e">
        <f t="shared" si="37"/>
        <v>#DIV/0!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4" t="s">
        <v>698</v>
      </c>
      <c r="B43" s="285"/>
      <c r="C43" s="285"/>
      <c r="D43" s="285"/>
      <c r="E43" s="285"/>
      <c r="F43" s="285"/>
      <c r="G43" s="285"/>
      <c r="H43" s="285"/>
      <c r="I43" s="285"/>
      <c r="J43" s="285"/>
      <c r="K43" s="285"/>
      <c r="L43" s="285"/>
      <c r="M43" s="285"/>
      <c r="N43" s="285"/>
      <c r="O43" s="285"/>
      <c r="P43" s="285"/>
      <c r="Q43" s="285"/>
      <c r="R43" s="285"/>
      <c r="S43" s="285"/>
      <c r="T43" s="285"/>
      <c r="U43" s="285"/>
      <c r="V43" s="285"/>
      <c r="W43" s="285"/>
      <c r="X43" s="285"/>
      <c r="Y43" s="285"/>
      <c r="Z43" s="285"/>
      <c r="AA43" s="285"/>
      <c r="AB43" s="285"/>
      <c r="AC43" s="285"/>
      <c r="AD43" s="285"/>
      <c r="AE43" s="285"/>
      <c r="AF43" s="285"/>
      <c r="AG43" s="285"/>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35795</v>
      </c>
      <c r="BW46" s="1">
        <v>25569</v>
      </c>
      <c r="BX46" s="1"/>
      <c r="BY46" s="1"/>
      <c r="BZ46" s="1"/>
      <c r="CA46" s="1"/>
      <c r="CB46" s="1"/>
      <c r="CC46" s="1"/>
      <c r="CD46" s="1"/>
      <c r="CE46" s="1"/>
      <c r="CF46" s="1"/>
      <c r="CG46" s="1"/>
      <c r="CH46" s="1"/>
      <c r="CI46" s="1"/>
      <c r="CJ46" s="1"/>
      <c r="CK46" s="1"/>
    </row>
    <row r="47" spans="1:89" s="26" customFormat="1" x14ac:dyDescent="0.25">
      <c r="A47" s="17" t="s">
        <v>424</v>
      </c>
      <c r="E47" s="26">
        <f>股权价值增加表!E42</f>
        <v>379337896.56999964</v>
      </c>
      <c r="F47" s="26">
        <f>股权价值增加表!F42</f>
        <v>287805695.96000075</v>
      </c>
      <c r="G47" s="26">
        <f>股权价值增加表!G42</f>
        <v>188499572.02000028</v>
      </c>
      <c r="H47" s="26">
        <f>股权价值增加表!H42</f>
        <v>111450218.98000008</v>
      </c>
      <c r="I47" s="26">
        <f>股权价值增加表!I42</f>
        <v>171753594.01000005</v>
      </c>
      <c r="J47" s="26">
        <f>股权价值增加表!J42</f>
        <v>420142335.60999954</v>
      </c>
      <c r="K47" s="26">
        <f>股权价值增加表!K42</f>
        <v>356051287.42000002</v>
      </c>
      <c r="L47" s="26">
        <f>股权价值增加表!L42</f>
        <v>121061433.15999983</v>
      </c>
      <c r="M47" s="26">
        <f>股权价值增加表!M42</f>
        <v>2256445876.8700008</v>
      </c>
      <c r="N47" s="26">
        <f>股权价值增加表!N42</f>
        <v>823568554.92999983</v>
      </c>
      <c r="O47" s="26">
        <f>股权价值增加表!O42</f>
        <v>731848942</v>
      </c>
      <c r="P47" s="26">
        <f>股权价值增加表!P42</f>
        <v>188939769.66999987</v>
      </c>
      <c r="Q47" s="26">
        <f>股权价值增加表!Q42</f>
        <v>897490135.94000041</v>
      </c>
      <c r="R47" s="26">
        <f>股权价值增加表!R42</f>
        <v>745365894.9600004</v>
      </c>
      <c r="S47" s="26">
        <f>股权价值增加表!S42</f>
        <v>581402454.77999997</v>
      </c>
      <c r="T47" s="26">
        <f>股权价值增加表!T42</f>
        <v>163961843.54000014</v>
      </c>
      <c r="U47" s="26">
        <f>股权价值增加表!U42</f>
        <v>821212610.93000078</v>
      </c>
      <c r="V47" s="26">
        <f>股权价值增加表!V42</f>
        <v>646104569.07999992</v>
      </c>
      <c r="W47" s="26">
        <f>股权价值增加表!W42</f>
        <v>504924626.23999971</v>
      </c>
      <c r="X47" s="26">
        <f>股权价值增加表!X42</f>
        <v>132689135.61</v>
      </c>
      <c r="Y47" s="26">
        <f>股权价值增加表!Y42</f>
        <v>633596152.00999975</v>
      </c>
      <c r="Z47" s="26">
        <f>股权价值增加表!Z42</f>
        <v>481046260.48999953</v>
      </c>
      <c r="AA47" s="26">
        <f>股权价值增加表!AA42</f>
        <v>361684788.32999992</v>
      </c>
      <c r="AB47" s="26">
        <f>股权价值增加表!AB42</f>
        <v>89715403.160000071</v>
      </c>
      <c r="AC47" s="26">
        <f>股权价值增加表!AC42</f>
        <v>362933280.32999957</v>
      </c>
      <c r="AD47" s="26">
        <f>股权价值增加表!AD42</f>
        <v>279995440.04999989</v>
      </c>
      <c r="AE47" s="26">
        <f>股权价值增加表!AE42</f>
        <v>205751883.50000021</v>
      </c>
      <c r="AF47" s="26">
        <f>股权价值增加表!AF42</f>
        <v>61312768.550000027</v>
      </c>
      <c r="AG47" s="26">
        <f>股权价值增加表!AG42</f>
        <v>247667905.2100004</v>
      </c>
      <c r="AH47" s="26">
        <f>股权价值增加表!AH42</f>
        <v>203968942.69999963</v>
      </c>
      <c r="AI47" s="26">
        <f>股权价值增加表!AI42</f>
        <v>152645993.91</v>
      </c>
      <c r="AJ47" s="26">
        <f>股权价值增加表!AJ42</f>
        <v>41690606.089999944</v>
      </c>
      <c r="AK47" s="26">
        <f>股权价值增加表!AK42</f>
        <v>238826994.26999998</v>
      </c>
      <c r="AL47" s="26">
        <f>股权价值增加表!AL42</f>
        <v>185842206.83999985</v>
      </c>
      <c r="AM47" s="26">
        <f>股权价值增加表!AM42</f>
        <v>142487131.79999995</v>
      </c>
      <c r="AN47" s="26">
        <f>股权价值增加表!AN42</f>
        <v>34362715.960000008</v>
      </c>
      <c r="AO47" s="26">
        <f>股权价值增加表!AO42</f>
        <v>186623950.53999996</v>
      </c>
      <c r="AP47" s="26">
        <f>股权价值增加表!AP42</f>
        <v>158886905.04999989</v>
      </c>
      <c r="AQ47" s="26">
        <f>股权价值增加表!AQ42</f>
        <v>114479818.3600001</v>
      </c>
      <c r="AR47" s="26">
        <f>股权价值增加表!AR42</f>
        <v>29217113.670000002</v>
      </c>
      <c r="AS47" s="26">
        <f>股权价值增加表!AS42</f>
        <v>149046909.51000023</v>
      </c>
      <c r="AT47" s="26">
        <f>股权价值增加表!AT42</f>
        <v>110053635.17000012</v>
      </c>
      <c r="AU47" s="26">
        <f>股权价值增加表!AU42</f>
        <v>74461427.419999987</v>
      </c>
      <c r="AV47" s="26">
        <f>股权价值增加表!AV42</f>
        <v>22164758.449999996</v>
      </c>
      <c r="AW47" s="26">
        <f>股权价值增加表!AW42</f>
        <v>76700752.549999937</v>
      </c>
      <c r="AX47" s="26">
        <f>股权价值增加表!AX42</f>
        <v>72152852.039999902</v>
      </c>
      <c r="AY47" s="26">
        <f>股权价值增加表!AY42</f>
        <v>54600951.349999994</v>
      </c>
      <c r="AZ47" s="26">
        <f>股权价值增加表!AZ42</f>
        <v>18048573.02999999</v>
      </c>
      <c r="BA47" s="26">
        <f>股权价值增加表!BA42</f>
        <v>29921746.77999996</v>
      </c>
      <c r="BB47" s="26">
        <f>股权价值增加表!BB42</f>
        <v>42267256.559999883</v>
      </c>
      <c r="BC47" s="26">
        <f>股权价值增加表!BC42</f>
        <v>30326909.86999996</v>
      </c>
      <c r="BD47" s="26">
        <f>股权价值增加表!BD42</f>
        <v>11696230.609999999</v>
      </c>
      <c r="BE47" s="26">
        <f>股权价值增加表!BE42</f>
        <v>44913705.189999968</v>
      </c>
      <c r="BF47" s="26">
        <f>股权价值增加表!BF42</f>
        <v>65091840.659999996</v>
      </c>
      <c r="BG47" s="26">
        <f>股权价值增加表!BG42</f>
        <v>46154355.100000024</v>
      </c>
      <c r="BH47" s="26">
        <f>股权价值增加表!BH42</f>
        <v>15663448.310000017</v>
      </c>
      <c r="BI47" s="26">
        <f>股权价值增加表!BI42</f>
        <v>84971309.669999957</v>
      </c>
      <c r="BJ47" s="26">
        <f>股权价值增加表!BJ42</f>
        <v>80273829.450000063</v>
      </c>
      <c r="BK47" s="26">
        <f>股权价值增加表!BK42</f>
        <v>57631365.13000004</v>
      </c>
      <c r="BL47" s="26">
        <f>股权价值增加表!BL42</f>
        <v>12273892.069999985</v>
      </c>
      <c r="BM47" s="26">
        <f>股权价值增加表!BM42</f>
        <v>67318300.189999998</v>
      </c>
      <c r="BN47" s="26">
        <f>股权价值增加表!BN42</f>
        <v>69919840.100000024</v>
      </c>
      <c r="BO47" s="26">
        <f>股权价值增加表!BO42</f>
        <v>49956454.100000024</v>
      </c>
      <c r="BP47" s="26">
        <f>股权价值增加表!BP42</f>
        <v>10171477.549999984</v>
      </c>
      <c r="BQ47" s="26">
        <f>股权价值增加表!BQ42</f>
        <v>66628114.64000003</v>
      </c>
      <c r="BR47" s="26">
        <f>股权价值增加表!BR42</f>
        <v>40023287.680000074</v>
      </c>
      <c r="BS47" s="26">
        <f>股权价值增加表!BS42</f>
        <v>42286944.939999923</v>
      </c>
      <c r="BT47" s="26">
        <f>股权价值增加表!BT42</f>
        <v>37463019.930000037</v>
      </c>
      <c r="BU47" s="26">
        <f>股权价值增加表!BU42</f>
        <v>31033134.360000007</v>
      </c>
      <c r="BV47" s="26">
        <f>股权价值增加表!BV42</f>
        <v>50864311.719999924</v>
      </c>
      <c r="BW47" s="26">
        <f>股权价值增加表!BW42</f>
        <v>0</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5.8465397916039268E-2</v>
      </c>
      <c r="F48" s="63">
        <f>股权价值增加表!F43</f>
        <v>7.3899389118769157E-2</v>
      </c>
      <c r="G48" s="63">
        <f>股权价值增加表!G43</f>
        <v>7.1081457023662684E-2</v>
      </c>
      <c r="H48" s="63">
        <f>股权价值增加表!H43</f>
        <v>8.3161517141276425E-2</v>
      </c>
      <c r="I48" s="63">
        <f>股权价值增加表!I43</f>
        <v>3.2277240137776539E-2</v>
      </c>
      <c r="J48" s="63">
        <f>股权价值增加表!J43</f>
        <v>9.7984318079719482E-2</v>
      </c>
      <c r="K48" s="63">
        <f>股权价值增加表!K43</f>
        <v>0.1161391221170805</v>
      </c>
      <c r="L48" s="63">
        <f>股权价值增加表!L43</f>
        <v>7.8555358986515111E-2</v>
      </c>
      <c r="M48" s="63">
        <f>股权价值增加表!M43</f>
        <v>0.38599005490789973</v>
      </c>
      <c r="N48" s="63">
        <f>股权价值增加表!N43</f>
        <v>0.1783557363150183</v>
      </c>
      <c r="O48" s="63">
        <f>股权价值增加表!O43</f>
        <v>0.2276317641777284</v>
      </c>
      <c r="P48" s="63">
        <f>股权价值增加表!P43</f>
        <v>0.1184651586966881</v>
      </c>
      <c r="Q48" s="63">
        <f>股权价值增加表!Q43</f>
        <v>0.16823757290271568</v>
      </c>
      <c r="R48" s="63">
        <f>股权价值增加表!R43</f>
        <v>0.17881918845963926</v>
      </c>
      <c r="S48" s="63">
        <f>股权价值增加表!S43</f>
        <v>0.20621649056602406</v>
      </c>
      <c r="T48" s="63">
        <f>股权价值增加表!T43</f>
        <v>0.12184119220367329</v>
      </c>
      <c r="U48" s="63">
        <f>股权价值增加表!U43</f>
        <v>0.1837779866484785</v>
      </c>
      <c r="V48" s="63">
        <f>股权价值增加表!V43</f>
        <v>0.16102842432839581</v>
      </c>
      <c r="W48" s="63">
        <f>股权价值增加表!W43</f>
        <v>0.18383001396996621</v>
      </c>
      <c r="X48" s="63">
        <f>股权价值增加表!X43</f>
        <v>0.10014074414570603</v>
      </c>
      <c r="Y48" s="63">
        <f>股权价值增加表!Y43</f>
        <v>0.14067027308990948</v>
      </c>
      <c r="Z48" s="63">
        <f>股权价值增加表!Z43</f>
        <v>0.1358609455898899</v>
      </c>
      <c r="AA48" s="63">
        <f>股权价值增加表!AA43</f>
        <v>0.15462623456988656</v>
      </c>
      <c r="AB48" s="63">
        <f>股权价值增加表!AB43</f>
        <v>8.5043651512923937E-2</v>
      </c>
      <c r="AC48" s="63">
        <f>股权价值增加表!AC43</f>
        <v>0.10147416901360258</v>
      </c>
      <c r="AD48" s="63">
        <f>股权价值增加表!AD43</f>
        <v>9.7669421920586766E-2</v>
      </c>
      <c r="AE48" s="63">
        <f>股权价值增加表!AE43</f>
        <v>0.10704192329459382</v>
      </c>
      <c r="AF48" s="63">
        <f>股权价值增加表!AF43</f>
        <v>7.268126080973325E-2</v>
      </c>
      <c r="AG48" s="63">
        <f>股权价值增加表!AG43</f>
        <v>8.0048925864423803E-2</v>
      </c>
      <c r="AH48" s="63">
        <f>股权价值增加表!AH43</f>
        <v>8.3940881449241583E-2</v>
      </c>
      <c r="AI48" s="63">
        <f>股权价值增加表!AI43</f>
        <v>9.6785132641220989E-2</v>
      </c>
      <c r="AJ48" s="63">
        <f>股权价值增加表!AJ43</f>
        <v>6.2419151329480262E-2</v>
      </c>
      <c r="AK48" s="63">
        <f>股权价值增加表!AK43</f>
        <v>8.8549047663306762E-2</v>
      </c>
      <c r="AL48" s="63">
        <f>股权价值增加表!AL43</f>
        <v>8.5188358948153978E-2</v>
      </c>
      <c r="AM48" s="63">
        <f>股权价值增加表!AM43</f>
        <v>0.10000472866462033</v>
      </c>
      <c r="AN48" s="63">
        <f>股权价值增加表!AN43</f>
        <v>5.9004287578554707E-2</v>
      </c>
      <c r="AO48" s="63">
        <f>股权价值增加表!AO43</f>
        <v>7.4844233073289551E-2</v>
      </c>
      <c r="AP48" s="63">
        <f>股权价值增加表!AP43</f>
        <v>7.5739019637490287E-2</v>
      </c>
      <c r="AQ48" s="63">
        <f>股权价值增加表!AQ43</f>
        <v>8.2679231943265444E-2</v>
      </c>
      <c r="AR48" s="63">
        <f>股权价值增加表!AR43</f>
        <v>5.5531505700391857E-2</v>
      </c>
      <c r="AS48" s="63">
        <f>股权价值增加表!AS43</f>
        <v>6.5926654439764754E-2</v>
      </c>
      <c r="AT48" s="63">
        <f>股权价值增加表!AT43</f>
        <v>6.1828476162811716E-2</v>
      </c>
      <c r="AU48" s="63">
        <f>股权价值增加表!AU43</f>
        <v>6.4081195229193144E-2</v>
      </c>
      <c r="AV48" s="63">
        <f>股权价值增加表!AV43</f>
        <v>4.6594781425633849E-2</v>
      </c>
      <c r="AW48" s="63">
        <f>股权价值增加表!AW43</f>
        <v>3.5523842438208962E-2</v>
      </c>
      <c r="AX48" s="63">
        <f>股权价值增加表!AX43</f>
        <v>4.1323051451890434E-2</v>
      </c>
      <c r="AY48" s="63">
        <f>股权价值增加表!AY43</f>
        <v>4.980447512037383E-2</v>
      </c>
      <c r="AZ48" s="63">
        <f>股权价值增加表!AZ43</f>
        <v>4.0304732857245784E-2</v>
      </c>
      <c r="BA48" s="63">
        <f>股权价值增加表!BA43</f>
        <v>1.5353382234032912E-2</v>
      </c>
      <c r="BB48" s="63">
        <f>股权价值增加表!BB43</f>
        <v>2.7419913260706402E-2</v>
      </c>
      <c r="BC48" s="63">
        <f>股权价值增加表!BC43</f>
        <v>3.1271110784383077E-2</v>
      </c>
      <c r="BD48" s="63">
        <f>股权价值增加表!BD43</f>
        <v>3.0572115645179882E-2</v>
      </c>
      <c r="BE48" s="63">
        <f>股权价值增加表!BE43</f>
        <v>2.6911233262677858E-2</v>
      </c>
      <c r="BF48" s="63">
        <f>股权价值增加表!BF43</f>
        <v>5.0635416081100046E-2</v>
      </c>
      <c r="BG48" s="63">
        <f>股权价值增加表!BG43</f>
        <v>5.9603550235211848E-2</v>
      </c>
      <c r="BH48" s="63">
        <f>股权价值增加表!BH43</f>
        <v>5.4732154842961928E-2</v>
      </c>
      <c r="BI48" s="63">
        <f>股权价值增加表!BI43</f>
        <v>5.7166751212313099E-2</v>
      </c>
      <c r="BJ48" s="63">
        <f>股权价值增加表!BJ43</f>
        <v>7.0302278357266254E-2</v>
      </c>
      <c r="BK48" s="63">
        <f>股权价值增加表!BK43</f>
        <v>7.8290269337817547E-2</v>
      </c>
      <c r="BL48" s="63">
        <f>股权价值增加表!BL43</f>
        <v>5.3803297592690362E-2</v>
      </c>
      <c r="BM48" s="63">
        <f>股权价值增加表!BM43</f>
        <v>4.9357769680080078E-2</v>
      </c>
      <c r="BN48" s="63">
        <f>股权价值增加表!BN43</f>
        <v>6.7178032232599508E-2</v>
      </c>
      <c r="BO48" s="63">
        <f>股权价值增加表!BO43</f>
        <v>7.2793929321461809E-2</v>
      </c>
      <c r="BP48" s="63">
        <f>股权价值增加表!BP43</f>
        <v>4.5564462648780973E-2</v>
      </c>
      <c r="BQ48" s="63">
        <f>股权价值增加表!BQ43</f>
        <v>5.1022673775238739E-2</v>
      </c>
      <c r="BR48" s="63">
        <f>股权价值增加表!BR43</f>
        <v>6.2644329106770716E-2</v>
      </c>
      <c r="BS48" s="63">
        <f>股权价值增加表!BS43</f>
        <v>3.5618533008660774E-2</v>
      </c>
      <c r="BT48" s="63">
        <f>股权价值增加表!BT43</f>
        <v>3.4596180698162421E-2</v>
      </c>
      <c r="BU48" s="63">
        <f>股权价值增加表!BU43</f>
        <v>3.1601664379534586E-2</v>
      </c>
      <c r="BV48" s="63">
        <f>股权价值增加表!BV43</f>
        <v>5.6530456013682021E-2</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1.2086169361202035</v>
      </c>
      <c r="F49" s="59">
        <f t="shared" ref="F49:BQ49" si="38">(F47-J47)/J47</f>
        <v>-0.31498049216549634</v>
      </c>
      <c r="G49" s="59">
        <f t="shared" si="38"/>
        <v>-0.47058309103192436</v>
      </c>
      <c r="H49" s="59">
        <f t="shared" si="38"/>
        <v>-7.939121427132928E-2</v>
      </c>
      <c r="I49" s="59">
        <f t="shared" si="38"/>
        <v>-0.92388313153416035</v>
      </c>
      <c r="J49" s="59">
        <f t="shared" si="38"/>
        <v>-0.48985141176776714</v>
      </c>
      <c r="K49" s="59">
        <f t="shared" si="38"/>
        <v>-0.51349073970513437</v>
      </c>
      <c r="L49" s="59">
        <f t="shared" si="38"/>
        <v>-0.35925912595614778</v>
      </c>
      <c r="M49" s="59">
        <f t="shared" si="38"/>
        <v>1.5141734560755664</v>
      </c>
      <c r="N49" s="59">
        <f t="shared" si="38"/>
        <v>0.10491848432935898</v>
      </c>
      <c r="O49" s="59">
        <f t="shared" si="38"/>
        <v>0.25876479533772917</v>
      </c>
      <c r="P49" s="59">
        <f t="shared" si="38"/>
        <v>0.15233987122074602</v>
      </c>
      <c r="Q49" s="59">
        <f t="shared" si="38"/>
        <v>9.2884015655358032E-2</v>
      </c>
      <c r="R49" s="59">
        <f t="shared" si="38"/>
        <v>0.15363043480924532</v>
      </c>
      <c r="S49" s="59">
        <f t="shared" si="38"/>
        <v>0.15146385136630072</v>
      </c>
      <c r="T49" s="59">
        <f t="shared" si="38"/>
        <v>0.23568401275833845</v>
      </c>
      <c r="U49" s="59">
        <f t="shared" si="38"/>
        <v>0.29611363377888689</v>
      </c>
      <c r="V49" s="59">
        <f t="shared" si="38"/>
        <v>0.34312356658145521</v>
      </c>
      <c r="W49" s="59">
        <f t="shared" si="38"/>
        <v>0.39603500764126209</v>
      </c>
      <c r="X49" s="59">
        <f t="shared" si="38"/>
        <v>0.47900060565251873</v>
      </c>
      <c r="Y49" s="59">
        <f t="shared" si="38"/>
        <v>0.74576481780314585</v>
      </c>
      <c r="Z49" s="59">
        <f t="shared" si="38"/>
        <v>0.7180503382629988</v>
      </c>
      <c r="AA49" s="59">
        <f t="shared" si="38"/>
        <v>0.7578686628645106</v>
      </c>
      <c r="AB49" s="59">
        <f t="shared" si="38"/>
        <v>0.46324175667973538</v>
      </c>
      <c r="AC49" s="59">
        <f t="shared" si="38"/>
        <v>0.46540295571307216</v>
      </c>
      <c r="AD49" s="59">
        <f t="shared" si="38"/>
        <v>0.37273565447569679</v>
      </c>
      <c r="AE49" s="59">
        <f t="shared" si="38"/>
        <v>0.34790228180709032</v>
      </c>
      <c r="AF49" s="59">
        <f t="shared" si="38"/>
        <v>0.47066148229269145</v>
      </c>
      <c r="AG49" s="59">
        <f t="shared" si="38"/>
        <v>3.7018055546960242E-2</v>
      </c>
      <c r="AH49" s="59">
        <f t="shared" si="38"/>
        <v>9.7538315801457956E-2</v>
      </c>
      <c r="AI49" s="59">
        <f t="shared" si="38"/>
        <v>7.1296698738096478E-2</v>
      </c>
      <c r="AJ49" s="59">
        <f t="shared" si="38"/>
        <v>0.21325119174310847</v>
      </c>
      <c r="AK49" s="59">
        <f t="shared" si="38"/>
        <v>0.27972317368134969</v>
      </c>
      <c r="AL49" s="59">
        <f t="shared" si="38"/>
        <v>0.16965087073423349</v>
      </c>
      <c r="AM49" s="59">
        <f t="shared" si="38"/>
        <v>0.24464847901772843</v>
      </c>
      <c r="AN49" s="59">
        <f t="shared" si="38"/>
        <v>0.17611603761132255</v>
      </c>
      <c r="AO49" s="59">
        <f t="shared" si="38"/>
        <v>0.25211553297908884</v>
      </c>
      <c r="AP49" s="59">
        <f t="shared" si="38"/>
        <v>0.44372246136683174</v>
      </c>
      <c r="AQ49" s="59">
        <f t="shared" si="38"/>
        <v>0.5374378698688681</v>
      </c>
      <c r="AR49" s="59">
        <f t="shared" si="38"/>
        <v>0.31817875371432291</v>
      </c>
      <c r="AS49" s="59">
        <f t="shared" si="38"/>
        <v>0.94322616864598607</v>
      </c>
      <c r="AT49" s="59">
        <f t="shared" si="38"/>
        <v>0.525284615346721</v>
      </c>
      <c r="AU49" s="59">
        <f t="shared" si="38"/>
        <v>0.3637386451875439</v>
      </c>
      <c r="AV49" s="59">
        <f t="shared" si="38"/>
        <v>0.22806154332301848</v>
      </c>
      <c r="AW49" s="59">
        <f t="shared" si="38"/>
        <v>1.5633781715333412</v>
      </c>
      <c r="AX49" s="59">
        <f t="shared" si="38"/>
        <v>0.70706258016950652</v>
      </c>
      <c r="AY49" s="59">
        <f t="shared" si="38"/>
        <v>0.80041262311437955</v>
      </c>
      <c r="AZ49" s="59">
        <f t="shared" si="38"/>
        <v>0.54311022343975401</v>
      </c>
      <c r="BA49" s="59">
        <f t="shared" si="38"/>
        <v>-0.33379473696456391</v>
      </c>
      <c r="BB49" s="59">
        <f t="shared" si="38"/>
        <v>-0.35065199982931494</v>
      </c>
      <c r="BC49" s="59">
        <f t="shared" si="38"/>
        <v>-0.34292419850104361</v>
      </c>
      <c r="BD49" s="59">
        <f t="shared" si="38"/>
        <v>-0.25327869198937675</v>
      </c>
      <c r="BE49" s="59">
        <f t="shared" si="38"/>
        <v>-0.47142505671114493</v>
      </c>
      <c r="BF49" s="59">
        <f t="shared" si="38"/>
        <v>-0.18912750137896972</v>
      </c>
      <c r="BG49" s="59">
        <f t="shared" si="38"/>
        <v>-0.19914520511723316</v>
      </c>
      <c r="BH49" s="59">
        <f t="shared" si="38"/>
        <v>0.27615985383192604</v>
      </c>
      <c r="BI49" s="59">
        <f t="shared" si="38"/>
        <v>0.26223195520647269</v>
      </c>
      <c r="BJ49" s="59">
        <f t="shared" si="38"/>
        <v>0.14808371036306239</v>
      </c>
      <c r="BK49" s="59">
        <f t="shared" si="38"/>
        <v>0.15363202149289479</v>
      </c>
      <c r="BL49" s="59">
        <f t="shared" si="38"/>
        <v>0.20669706143135563</v>
      </c>
      <c r="BM49" s="59">
        <f t="shared" si="38"/>
        <v>1.0358773525697453E-2</v>
      </c>
      <c r="BN49" s="59">
        <f t="shared" si="38"/>
        <v>0.74697892534549259</v>
      </c>
      <c r="BO49" s="59">
        <f t="shared" si="38"/>
        <v>0.18136824901591281</v>
      </c>
      <c r="BP49" s="59">
        <f t="shared" si="38"/>
        <v>-0.72849285591483359</v>
      </c>
      <c r="BQ49" s="59">
        <f t="shared" si="38"/>
        <v>1.1469991998578133</v>
      </c>
      <c r="BR49" s="59">
        <f t="shared" ref="BR49:CJ49" si="39">(BR47-BV47)/BV47</f>
        <v>-0.21313615919307019</v>
      </c>
      <c r="BS49" s="59" t="e">
        <f t="shared" si="39"/>
        <v>#DIV/0!</v>
      </c>
      <c r="BT49" s="59">
        <f t="shared" si="39"/>
        <v>-1.6565485555779726</v>
      </c>
      <c r="BU49" s="59">
        <f t="shared" si="39"/>
        <v>-1.1424931572204799</v>
      </c>
      <c r="BV49" s="59">
        <f t="shared" si="39"/>
        <v>-2.2467188905080864</v>
      </c>
      <c r="BW49" s="59">
        <f t="shared" si="39"/>
        <v>-1</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-50786251.158800364</v>
      </c>
      <c r="F50" s="26">
        <f>股权价值增加表!F47</f>
        <v>-154315746.30879921</v>
      </c>
      <c r="G50" s="26">
        <f>股权价值增加表!G47</f>
        <v>-245464676.97119975</v>
      </c>
      <c r="H50" s="26">
        <f>股权价值增加表!H47</f>
        <v>-318733854.47679991</v>
      </c>
      <c r="I50" s="26">
        <f>股权价值增加表!I47</f>
        <v>-249376485.76839989</v>
      </c>
      <c r="J50" s="26">
        <f>股权价值增加表!J47</f>
        <v>-19213705.461200476</v>
      </c>
      <c r="K50" s="26">
        <f>股权价值增加表!K47</f>
        <v>-131281713.02239996</v>
      </c>
      <c r="L50" s="26">
        <f>股权价值增加表!L47</f>
        <v>-347196312.67200011</v>
      </c>
      <c r="M50" s="26">
        <f>股权价值增加表!M47</f>
        <v>1798146078.2652009</v>
      </c>
      <c r="N50" s="26">
        <f>股权价值增加表!N47</f>
        <v>475842355.18439984</v>
      </c>
      <c r="O50" s="26">
        <f>股权价值增加表!O47</f>
        <v>392048055.3272</v>
      </c>
      <c r="P50" s="26">
        <f>股权价值增加表!P47</f>
        <v>-130894594.97400013</v>
      </c>
      <c r="Q50" s="26">
        <f>股权价值增加表!Q47</f>
        <v>593073619.09440041</v>
      </c>
      <c r="R50" s="26">
        <f>股权价值增加表!R47</f>
        <v>443268495.03360039</v>
      </c>
      <c r="S50" s="26">
        <f>股权价值增加表!S47</f>
        <v>290517403.67039996</v>
      </c>
      <c r="T50" s="26">
        <f>股权价值增加表!T47</f>
        <v>-120206372.49439985</v>
      </c>
      <c r="U50" s="26">
        <f>股权价值增加表!U47</f>
        <v>551981317.63080072</v>
      </c>
      <c r="V50" s="26">
        <f>股权价值增加表!V47</f>
        <v>390852195.02159989</v>
      </c>
      <c r="W50" s="26">
        <f>股权价值增加表!W47</f>
        <v>262365675.1511997</v>
      </c>
      <c r="X50" s="26">
        <f>股权价值增加表!X47</f>
        <v>-100185882.39479999</v>
      </c>
      <c r="Y50" s="26">
        <f>股权价值增加表!Y47</f>
        <v>415077450.02519977</v>
      </c>
      <c r="Z50" s="26">
        <f>股权价值增加表!Z47</f>
        <v>278854171.61159956</v>
      </c>
      <c r="AA50" s="26">
        <f>股权价值增加表!AA47</f>
        <v>156895536.19639993</v>
      </c>
      <c r="AB50" s="26">
        <f>股权价值增加表!AB47</f>
        <v>-59792092.291199937</v>
      </c>
      <c r="AC50" s="26">
        <f>股权价值增加表!AC47</f>
        <v>220395565.57479957</v>
      </c>
      <c r="AD50" s="26">
        <f>股权价值增加表!AD47</f>
        <v>144375243.95559987</v>
      </c>
      <c r="AE50" s="26">
        <f>股权价值增加表!AE47</f>
        <v>76206747.929600194</v>
      </c>
      <c r="AF50" s="26">
        <f>股权价值增加表!AF47</f>
        <v>-65044157.636399969</v>
      </c>
      <c r="AG50" s="26">
        <f>股权价值增加表!AG47</f>
        <v>126234262.74920039</v>
      </c>
      <c r="AH50" s="26">
        <f>股权价值增加表!AH47</f>
        <v>86476433.93119964</v>
      </c>
      <c r="AI50" s="26">
        <f>股权价值增加表!AI47</f>
        <v>39719309.922800004</v>
      </c>
      <c r="AJ50" s="26">
        <f>股权价值增加表!AJ47</f>
        <v>-71253854.485200062</v>
      </c>
      <c r="AK50" s="26">
        <f>股权价值增加表!AK47</f>
        <v>129339826.01799998</v>
      </c>
      <c r="AL50" s="26">
        <f>股权价值增加表!AL47</f>
        <v>81153011.571999863</v>
      </c>
      <c r="AM50" s="26">
        <f>股权价值增加表!AM47</f>
        <v>41944048.88639994</v>
      </c>
      <c r="AN50" s="26">
        <f>股权价值增加表!AN47</f>
        <v>-60426976.227999985</v>
      </c>
      <c r="AO50" s="26">
        <f>股权价值增加表!AO47</f>
        <v>95063279.670399964</v>
      </c>
      <c r="AP50" s="26">
        <f>股权价值增加表!AP47</f>
        <v>70953839.03399989</v>
      </c>
      <c r="AQ50" s="26">
        <f>股权价值增加表!AQ47</f>
        <v>27305389.264800102</v>
      </c>
      <c r="AR50" s="26">
        <f>股权价值增加表!AR47</f>
        <v>-45100921.900399998</v>
      </c>
      <c r="AS50" s="26">
        <f>股权价值增加表!AS47</f>
        <v>76768856.050800219</v>
      </c>
      <c r="AT50" s="26">
        <f>股权价值增加表!AT47</f>
        <v>39245426.034800112</v>
      </c>
      <c r="AU50" s="26">
        <f>股权价值增加表!AU47</f>
        <v>6506840.4911999851</v>
      </c>
      <c r="AV50" s="26">
        <f>股权价值增加表!AV47</f>
        <v>-44504164.810000002</v>
      </c>
      <c r="AW50" s="26">
        <f>股权价值增加表!AW47</f>
        <v>8239907.8115999401</v>
      </c>
      <c r="AX50" s="26">
        <f>股权价值增加表!AX47</f>
        <v>4857589.4487999082</v>
      </c>
      <c r="AY50" s="26">
        <f>股权价值增加表!AY47</f>
        <v>-11560552.276400007</v>
      </c>
      <c r="AZ50" s="26">
        <f>股权价值增加表!AZ47</f>
        <v>-82230951.706800014</v>
      </c>
      <c r="BA50" s="26">
        <f>股权价值增加表!BA47</f>
        <v>-70221440.632000059</v>
      </c>
      <c r="BB50" s="26">
        <f>股权价值增加表!BB47</f>
        <v>-58244366.200800121</v>
      </c>
      <c r="BC50" s="26">
        <f>股权价值增加表!BC47</f>
        <v>-69058971.127600044</v>
      </c>
      <c r="BD50" s="26">
        <f>股权价值增加表!BD47</f>
        <v>-89729123.171599999</v>
      </c>
      <c r="BE50" s="26">
        <f>股权价值增加表!BE47</f>
        <v>-54996849.914000034</v>
      </c>
      <c r="BF50" s="26">
        <f>股权价值增加表!BF47</f>
        <v>-37805992.386399999</v>
      </c>
      <c r="BG50" s="26">
        <f>股权价值增加表!BG47</f>
        <v>-55156564.744799972</v>
      </c>
      <c r="BH50" s="26">
        <f>股权价值增加表!BH47</f>
        <v>-84563405.425199986</v>
      </c>
      <c r="BI50" s="26">
        <f>股权价值增加表!BI47</f>
        <v>-14143912.995600045</v>
      </c>
      <c r="BJ50" s="26">
        <f>股权价值增加表!BJ47</f>
        <v>-18647703.775599927</v>
      </c>
      <c r="BK50" s="26">
        <f>股权价值增加表!BK47</f>
        <v>-39186788.529199958</v>
      </c>
      <c r="BL50" s="26">
        <f>股权价值增加表!BL47</f>
        <v>-80377292.270800024</v>
      </c>
      <c r="BM50" s="26">
        <f>股权价值增加表!BM47</f>
        <v>-27524128.795599997</v>
      </c>
      <c r="BN50" s="26">
        <f>股权价值增加表!BN47</f>
        <v>-24392461.102399975</v>
      </c>
      <c r="BO50" s="26">
        <f>股权价值增加表!BO47</f>
        <v>-41641160.699999973</v>
      </c>
      <c r="BP50" s="26">
        <f>股权价值增加表!BP47</f>
        <v>-76776111.803600028</v>
      </c>
      <c r="BQ50" s="26">
        <f>股权价值增加表!BQ47</f>
        <v>-19333803.697599977</v>
      </c>
      <c r="BR50" s="26">
        <f>股权价值增加表!BR47</f>
        <v>-45725035.874399923</v>
      </c>
      <c r="BS50" s="26">
        <f>股权价值增加表!BS47</f>
        <v>19073865.016799919</v>
      </c>
      <c r="BT50" s="26">
        <f>股权价值增加表!BT47</f>
        <v>16129527.606800038</v>
      </c>
      <c r="BU50" s="26">
        <f>股权价值增加表!BU47</f>
        <v>12394047.335200008</v>
      </c>
      <c r="BV50" s="26">
        <f>股权价值增加表!BV47</f>
        <v>33730952.641599923</v>
      </c>
      <c r="BW50" s="26">
        <f>股权价值增加表!BW47</f>
        <v>0</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4" t="s">
        <v>683</v>
      </c>
      <c r="B51" s="285"/>
      <c r="C51" s="285"/>
      <c r="D51" s="285"/>
      <c r="E51" s="285"/>
      <c r="F51" s="285"/>
      <c r="G51" s="285"/>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2">
        <f>E39</f>
        <v>526347983.23999965</v>
      </c>
      <c r="F54" s="192">
        <f t="shared" ref="F54:AC54" si="41">F39</f>
        <v>317477101.46000069</v>
      </c>
      <c r="G54" s="192">
        <f t="shared" si="41"/>
        <v>207394506.89000028</v>
      </c>
      <c r="H54" s="192">
        <f t="shared" si="41"/>
        <v>113753416.41000009</v>
      </c>
      <c r="I54" s="192">
        <f t="shared" si="41"/>
        <v>249963875.97000003</v>
      </c>
      <c r="J54" s="192">
        <f t="shared" si="41"/>
        <v>466834549.73999959</v>
      </c>
      <c r="K54" s="192">
        <f t="shared" si="41"/>
        <v>387950091.01000005</v>
      </c>
      <c r="L54" s="192">
        <f t="shared" si="41"/>
        <v>132001719.88999984</v>
      </c>
      <c r="M54" s="192">
        <f t="shared" si="41"/>
        <v>2660463979.6300006</v>
      </c>
      <c r="N54" s="192">
        <f t="shared" si="41"/>
        <v>959186269.0799998</v>
      </c>
      <c r="O54" s="192">
        <f t="shared" si="41"/>
        <v>830992722.55000007</v>
      </c>
      <c r="P54" s="192">
        <f t="shared" si="41"/>
        <v>212686858.32999986</v>
      </c>
      <c r="Q54" s="192">
        <f t="shared" si="41"/>
        <v>1134130346.5100005</v>
      </c>
      <c r="R54" s="192">
        <f t="shared" si="41"/>
        <v>881119556.69000041</v>
      </c>
      <c r="S54" s="192">
        <f t="shared" si="41"/>
        <v>680262829.23999989</v>
      </c>
      <c r="T54" s="192">
        <f t="shared" si="41"/>
        <v>185175096.59000012</v>
      </c>
      <c r="U54" s="192">
        <f t="shared" si="41"/>
        <v>964092877.70000076</v>
      </c>
      <c r="V54" s="192">
        <f t="shared" si="41"/>
        <v>762647946.84000003</v>
      </c>
      <c r="W54" s="192">
        <f t="shared" si="41"/>
        <v>605306752.41999972</v>
      </c>
      <c r="X54" s="192">
        <f t="shared" si="41"/>
        <v>153686096.27000001</v>
      </c>
      <c r="Y54" s="192">
        <f t="shared" si="41"/>
        <v>731750232.44999981</v>
      </c>
      <c r="Z54" s="192">
        <f t="shared" si="41"/>
        <v>600308523.25999951</v>
      </c>
      <c r="AA54" s="192">
        <f t="shared" si="41"/>
        <v>461530263.16999996</v>
      </c>
      <c r="AB54" s="192">
        <f t="shared" si="41"/>
        <v>113685521.10000007</v>
      </c>
      <c r="AC54" s="192">
        <f t="shared" si="41"/>
        <v>452618793.06999958</v>
      </c>
    </row>
    <row r="55" spans="1:88" s="63" customFormat="1" x14ac:dyDescent="0.25">
      <c r="A55" s="63" t="s">
        <v>672</v>
      </c>
      <c r="E55" s="63">
        <f>E54/E2</f>
        <v>8.1123306056906819E-2</v>
      </c>
      <c r="F55" s="63">
        <f t="shared" ref="F55:AC55" si="42">F54/F2</f>
        <v>8.1518066481742618E-2</v>
      </c>
      <c r="G55" s="63">
        <f t="shared" si="42"/>
        <v>7.820656339146019E-2</v>
      </c>
      <c r="H55" s="63">
        <f t="shared" si="42"/>
        <v>8.4880108583335973E-2</v>
      </c>
      <c r="I55" s="63">
        <f t="shared" si="42"/>
        <v>4.6975110459600213E-2</v>
      </c>
      <c r="J55" s="63">
        <f t="shared" si="42"/>
        <v>0.10887373429272205</v>
      </c>
      <c r="K55" s="63">
        <f t="shared" si="42"/>
        <v>0.12654408111153484</v>
      </c>
      <c r="L55" s="63">
        <f t="shared" si="42"/>
        <v>8.5654384076980658E-2</v>
      </c>
      <c r="M55" s="63">
        <f t="shared" si="42"/>
        <v>0.45510182544344552</v>
      </c>
      <c r="N55" s="63">
        <f t="shared" si="42"/>
        <v>0.20772572272330075</v>
      </c>
      <c r="O55" s="63">
        <f t="shared" si="42"/>
        <v>0.2584691028396815</v>
      </c>
      <c r="P55" s="63">
        <f t="shared" si="42"/>
        <v>0.13335457362296185</v>
      </c>
      <c r="Q55" s="63">
        <f t="shared" si="42"/>
        <v>0.21259658375221868</v>
      </c>
      <c r="R55" s="63">
        <f t="shared" si="42"/>
        <v>0.21138756834544786</v>
      </c>
      <c r="S55" s="63">
        <f t="shared" si="42"/>
        <v>0.24128108189957526</v>
      </c>
      <c r="T55" s="63">
        <f t="shared" si="42"/>
        <v>0.13760490884851362</v>
      </c>
      <c r="U55" s="63">
        <f t="shared" si="42"/>
        <v>0.21575295562642852</v>
      </c>
      <c r="V55" s="63">
        <f t="shared" si="42"/>
        <v>0.19007449114901001</v>
      </c>
      <c r="W55" s="63">
        <f t="shared" si="42"/>
        <v>0.22037655319388821</v>
      </c>
      <c r="X55" s="63">
        <f t="shared" si="42"/>
        <v>0.11598719047022374</v>
      </c>
      <c r="Y55" s="63">
        <f t="shared" si="42"/>
        <v>0.16246232668206237</v>
      </c>
      <c r="Z55" s="63">
        <f t="shared" si="42"/>
        <v>0.16954395099693217</v>
      </c>
      <c r="AA55" s="63">
        <f t="shared" si="42"/>
        <v>0.19731182796914587</v>
      </c>
      <c r="AB55" s="63">
        <f t="shared" si="42"/>
        <v>0.10776557311179963</v>
      </c>
      <c r="AC55" s="63">
        <f t="shared" si="42"/>
        <v>0.12654975003933666</v>
      </c>
    </row>
    <row r="56" spans="1:88" x14ac:dyDescent="0.25">
      <c r="A56" s="17" t="s">
        <v>673</v>
      </c>
      <c r="E56" s="192">
        <f>E23</f>
        <v>256908517.02874482</v>
      </c>
      <c r="F56" s="192">
        <f t="shared" ref="F56:AC56" si="43">F23</f>
        <v>208425912.30801302</v>
      </c>
      <c r="G56" s="192">
        <f t="shared" si="43"/>
        <v>134114785.60173094</v>
      </c>
      <c r="H56" s="192">
        <f t="shared" si="43"/>
        <v>88823481.589265153</v>
      </c>
      <c r="I56" s="192">
        <f t="shared" si="43"/>
        <v>138006387.79048923</v>
      </c>
      <c r="J56" s="192">
        <f t="shared" si="43"/>
        <v>373044406.00854594</v>
      </c>
      <c r="K56" s="192">
        <f t="shared" si="43"/>
        <v>317600322.82687438</v>
      </c>
      <c r="L56" s="192">
        <f t="shared" si="43"/>
        <v>112803033.91331214</v>
      </c>
      <c r="M56" s="192">
        <f t="shared" si="43"/>
        <v>656162106.56214035</v>
      </c>
      <c r="N56" s="192">
        <f t="shared" si="43"/>
        <v>630579481.90900242</v>
      </c>
      <c r="O56" s="192">
        <f t="shared" si="43"/>
        <v>549290120.40048015</v>
      </c>
      <c r="P56" s="192">
        <f t="shared" si="43"/>
        <v>143945836.69470143</v>
      </c>
      <c r="Q56" s="192">
        <f t="shared" si="43"/>
        <v>705484959.35875249</v>
      </c>
      <c r="R56" s="192">
        <f t="shared" si="43"/>
        <v>613501663.86566031</v>
      </c>
      <c r="S56" s="192">
        <f t="shared" si="43"/>
        <v>494956164.06761038</v>
      </c>
      <c r="T56" s="192">
        <f t="shared" si="43"/>
        <v>120056425.75616467</v>
      </c>
      <c r="U56" s="192">
        <f t="shared" si="43"/>
        <v>660645571.95259309</v>
      </c>
      <c r="V56" s="192">
        <f t="shared" si="43"/>
        <v>528801311.33066797</v>
      </c>
      <c r="W56" s="192">
        <f t="shared" si="43"/>
        <v>429533731.30566072</v>
      </c>
      <c r="X56" s="192">
        <f t="shared" si="43"/>
        <v>91168568.381361529</v>
      </c>
      <c r="Y56" s="192">
        <f t="shared" si="43"/>
        <v>466153680.54271162</v>
      </c>
      <c r="Z56" s="192">
        <f t="shared" si="43"/>
        <v>362291469.13647711</v>
      </c>
      <c r="AA56" s="192">
        <f t="shared" si="43"/>
        <v>272848979.89675492</v>
      </c>
      <c r="AB56" s="192">
        <f t="shared" si="43"/>
        <v>65326844.162742242</v>
      </c>
      <c r="AC56" s="192">
        <f t="shared" si="43"/>
        <v>282577204.36179614</v>
      </c>
    </row>
    <row r="57" spans="1:88" s="63" customFormat="1" x14ac:dyDescent="0.25">
      <c r="A57" s="63" t="s">
        <v>674</v>
      </c>
      <c r="E57" s="63">
        <f>E56/E2</f>
        <v>3.9595987671992086E-2</v>
      </c>
      <c r="F57" s="63">
        <f t="shared" ref="F57:AC57" si="44">F56/F2</f>
        <v>5.3517174302988635E-2</v>
      </c>
      <c r="G57" s="63">
        <f t="shared" si="44"/>
        <v>5.0573453652062873E-2</v>
      </c>
      <c r="H57" s="63">
        <f t="shared" si="44"/>
        <v>6.6277980916834983E-2</v>
      </c>
      <c r="I57" s="63">
        <f t="shared" si="44"/>
        <v>2.5935208779394623E-2</v>
      </c>
      <c r="J57" s="63">
        <f t="shared" si="44"/>
        <v>8.7000282138031265E-2</v>
      </c>
      <c r="K57" s="63">
        <f t="shared" si="44"/>
        <v>0.10359693667868651</v>
      </c>
      <c r="L57" s="63">
        <f t="shared" si="44"/>
        <v>7.3196579559047778E-2</v>
      </c>
      <c r="M57" s="63">
        <f t="shared" si="44"/>
        <v>0.11224379460487069</v>
      </c>
      <c r="N57" s="63">
        <f t="shared" si="44"/>
        <v>0.13656114858657054</v>
      </c>
      <c r="O57" s="63">
        <f t="shared" si="44"/>
        <v>0.1708492995978918</v>
      </c>
      <c r="P57" s="63">
        <f t="shared" si="44"/>
        <v>9.025398103082892E-2</v>
      </c>
      <c r="Q57" s="63">
        <f t="shared" si="44"/>
        <v>0.13224555070744778</v>
      </c>
      <c r="R57" s="63">
        <f t="shared" si="44"/>
        <v>0.14718391382393886</v>
      </c>
      <c r="S57" s="63">
        <f t="shared" si="44"/>
        <v>0.17555502612500312</v>
      </c>
      <c r="T57" s="63">
        <f t="shared" si="44"/>
        <v>8.921476930255598E-2</v>
      </c>
      <c r="U57" s="63">
        <f t="shared" si="44"/>
        <v>0.14784492040883809</v>
      </c>
      <c r="V57" s="63">
        <f t="shared" si="44"/>
        <v>0.13179297287375089</v>
      </c>
      <c r="W57" s="63">
        <f t="shared" si="44"/>
        <v>0.15638213650716187</v>
      </c>
      <c r="X57" s="63">
        <f t="shared" si="44"/>
        <v>6.8805092733757914E-2</v>
      </c>
      <c r="Y57" s="63">
        <f t="shared" si="44"/>
        <v>0.10349489234709675</v>
      </c>
      <c r="Z57" s="63">
        <f t="shared" si="44"/>
        <v>0.10232126433307021</v>
      </c>
      <c r="AA57" s="63">
        <f t="shared" si="44"/>
        <v>0.11664745582049814</v>
      </c>
      <c r="AB57" s="63">
        <f t="shared" si="44"/>
        <v>6.1925078344766765E-2</v>
      </c>
      <c r="AC57" s="63">
        <f t="shared" si="44"/>
        <v>7.9007047710609304E-2</v>
      </c>
    </row>
    <row r="58" spans="1:88" ht="93" customHeight="1" x14ac:dyDescent="0.25">
      <c r="A58" s="278" t="s">
        <v>675</v>
      </c>
      <c r="B58" s="286"/>
      <c r="C58" s="286"/>
      <c r="D58" s="286"/>
      <c r="E58" s="286"/>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row>
    <row r="60" spans="1:88" s="224" customFormat="1" x14ac:dyDescent="0.25">
      <c r="A60" s="226" t="s">
        <v>677</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678</v>
      </c>
      <c r="B61" s="89"/>
      <c r="C61" s="89"/>
      <c r="D61" s="89"/>
      <c r="E61" s="89">
        <f>股权价值增加表!E38</f>
        <v>460780807.11999965</v>
      </c>
      <c r="F61" s="89">
        <f>股权价值增加表!F38</f>
        <v>344233060.49000072</v>
      </c>
      <c r="G61" s="89">
        <f>股权价值增加表!G38</f>
        <v>226635178.66000029</v>
      </c>
      <c r="H61" s="89">
        <f>股权价值增加表!H38</f>
        <v>123789737.13000008</v>
      </c>
      <c r="I61" s="89">
        <f>股权价值增加表!I38</f>
        <v>246307445.76000005</v>
      </c>
      <c r="J61" s="89">
        <f>股权价值增加表!J38</f>
        <v>513947255.25999957</v>
      </c>
      <c r="K61" s="89">
        <f>股权价值增加表!K38</f>
        <v>425778377.72000003</v>
      </c>
      <c r="L61" s="89">
        <f>股权价值增加表!L38</f>
        <v>141295384.16999984</v>
      </c>
      <c r="M61" s="89">
        <f>股权价值增加表!M38</f>
        <v>2657943972.2600007</v>
      </c>
      <c r="N61" s="89">
        <f>股权价值增加表!N38</f>
        <v>996489512.64999986</v>
      </c>
      <c r="O61" s="89">
        <f>股权价值增加表!O38</f>
        <v>853868025.11000001</v>
      </c>
      <c r="P61" s="89">
        <f>股权价值增加表!P38</f>
        <v>218843990.25999987</v>
      </c>
      <c r="Q61" s="89">
        <f>股权价值增加表!Q38</f>
        <v>1132059322.6000004</v>
      </c>
      <c r="R61" s="89">
        <f>股权价值增加表!R38</f>
        <v>898553172.07000041</v>
      </c>
      <c r="S61" s="89">
        <f>股权价值增加表!S38</f>
        <v>691217691.70999992</v>
      </c>
      <c r="T61" s="89">
        <f>股权价值增加表!T38</f>
        <v>190098288.74000013</v>
      </c>
      <c r="U61" s="89">
        <f>股权价值增加表!U38</f>
        <v>962155337.08000076</v>
      </c>
      <c r="V61" s="89">
        <f>股权价值增加表!V38</f>
        <v>780719362.64999998</v>
      </c>
      <c r="W61" s="89">
        <f>股权价值增加表!W38</f>
        <v>613384037.66999972</v>
      </c>
      <c r="X61" s="89">
        <f>股权价值增加表!X38</f>
        <v>158781820.59</v>
      </c>
      <c r="Y61" s="89">
        <f>股权价值增加表!Y38</f>
        <v>729027124.34999979</v>
      </c>
      <c r="Z61" s="89">
        <f>股权价值增加表!Z38</f>
        <v>612793905.72999954</v>
      </c>
      <c r="AA61" s="89">
        <f>股权价值增加表!AA38</f>
        <v>468332564.31999993</v>
      </c>
      <c r="AB61" s="89">
        <f>股权价值增加表!AB38</f>
        <v>115834268.39000008</v>
      </c>
      <c r="AC61" s="89">
        <f>股权价值增加表!AC38</f>
        <v>450187219.25999957</v>
      </c>
    </row>
    <row r="62" spans="1:88" s="192" customFormat="1" x14ac:dyDescent="0.25">
      <c r="A62" s="89" t="s">
        <v>679</v>
      </c>
      <c r="B62" s="89"/>
      <c r="C62" s="89"/>
      <c r="D62" s="89"/>
      <c r="E62" s="89">
        <f>股权价值增加表!E40</f>
        <v>81442910.549999997</v>
      </c>
      <c r="F62" s="89">
        <f>股权价值增加表!F40</f>
        <v>56427364.530000001</v>
      </c>
      <c r="G62" s="89">
        <f>股权价值增加表!G40</f>
        <v>38135606.640000001</v>
      </c>
      <c r="H62" s="89">
        <f>股权价值增加表!H40</f>
        <v>12339518.15</v>
      </c>
      <c r="I62" s="89">
        <f>股权价值增加表!I40</f>
        <v>74553851.75</v>
      </c>
      <c r="J62" s="89">
        <f>股权价值增加表!J40</f>
        <v>93804919.650000006</v>
      </c>
      <c r="K62" s="89">
        <f>股权价值增加表!K40</f>
        <v>69727090.299999997</v>
      </c>
      <c r="L62" s="89">
        <f>股权价值增加表!L40</f>
        <v>20233951.010000002</v>
      </c>
      <c r="M62" s="89">
        <f>股权价值增加表!M40</f>
        <v>401498095.38999999</v>
      </c>
      <c r="N62" s="89">
        <f>股权价值增加表!N40</f>
        <v>172920957.72</v>
      </c>
      <c r="O62" s="89">
        <f>股权价值增加表!O40</f>
        <v>122019083.11</v>
      </c>
      <c r="P62" s="89">
        <f>股权价值增加表!P40</f>
        <v>29904220.59</v>
      </c>
      <c r="Q62" s="89">
        <f>股权价值增加表!Q40</f>
        <v>234569186.66</v>
      </c>
      <c r="R62" s="89">
        <f>股权价值增加表!R40</f>
        <v>153187277.11000001</v>
      </c>
      <c r="S62" s="89">
        <f>股权价值增加表!S40</f>
        <v>109815236.93000001</v>
      </c>
      <c r="T62" s="89">
        <f>股权价值增加表!T40</f>
        <v>26136445.199999999</v>
      </c>
      <c r="U62" s="89">
        <f>股权价值增加表!U40</f>
        <v>140942726.15000001</v>
      </c>
      <c r="V62" s="89">
        <f>股权价值增加表!V40</f>
        <v>134614793.56999999</v>
      </c>
      <c r="W62" s="89">
        <f>股权价值增加表!W40</f>
        <v>108459411.43000001</v>
      </c>
      <c r="X62" s="89">
        <f>股权价值增加表!X40</f>
        <v>26092684.98</v>
      </c>
      <c r="Y62" s="89">
        <f>股权价值增加表!Y40</f>
        <v>95430972.340000004</v>
      </c>
      <c r="Z62" s="89">
        <f>股权价值增加表!Z40</f>
        <v>131747645.23999999</v>
      </c>
      <c r="AA62" s="89">
        <f>股权价值增加表!AA40</f>
        <v>106647775.98999999</v>
      </c>
      <c r="AB62" s="89">
        <f>股权价值增加表!AB40</f>
        <v>26118865.23</v>
      </c>
      <c r="AC62" s="89">
        <f>股权价值增加表!AC40</f>
        <v>87253938.930000007</v>
      </c>
    </row>
    <row r="63" spans="1:88" x14ac:dyDescent="0.25">
      <c r="A63" s="183" t="s">
        <v>680</v>
      </c>
      <c r="B63" s="64"/>
      <c r="C63" s="64"/>
      <c r="D63" s="64"/>
      <c r="E63" s="64">
        <f>股权价值增加表!E42</f>
        <v>379337896.56999964</v>
      </c>
      <c r="F63" s="64">
        <f>股权价值增加表!F42</f>
        <v>287805695.96000075</v>
      </c>
      <c r="G63" s="64">
        <f>股权价值增加表!G42</f>
        <v>188499572.02000028</v>
      </c>
      <c r="H63" s="64">
        <f>股权价值增加表!H42</f>
        <v>111450218.98000008</v>
      </c>
      <c r="I63" s="64">
        <f>股权价值增加表!I42</f>
        <v>171753594.01000005</v>
      </c>
      <c r="J63" s="64">
        <f>股权价值增加表!J42</f>
        <v>420142335.60999954</v>
      </c>
      <c r="K63" s="64">
        <f>股权价值增加表!K42</f>
        <v>356051287.42000002</v>
      </c>
      <c r="L63" s="64">
        <f>股权价值增加表!L42</f>
        <v>121061433.15999983</v>
      </c>
      <c r="M63" s="64">
        <f>股权价值增加表!M42</f>
        <v>2256445876.8700008</v>
      </c>
      <c r="N63" s="64">
        <f>股权价值增加表!N42</f>
        <v>823568554.92999983</v>
      </c>
      <c r="O63" s="64">
        <f>股权价值增加表!O42</f>
        <v>731848942</v>
      </c>
      <c r="P63" s="64">
        <f>股权价值增加表!P42</f>
        <v>188939769.66999987</v>
      </c>
      <c r="Q63" s="64">
        <f>股权价值增加表!Q42</f>
        <v>897490135.94000041</v>
      </c>
      <c r="R63" s="64">
        <f>股权价值增加表!R42</f>
        <v>745365894.9600004</v>
      </c>
      <c r="S63" s="64">
        <f>股权价值增加表!S42</f>
        <v>581402454.77999997</v>
      </c>
      <c r="T63" s="64">
        <f>股权价值增加表!T42</f>
        <v>163961843.54000014</v>
      </c>
      <c r="U63" s="64">
        <f>股权价值增加表!U42</f>
        <v>821212610.93000078</v>
      </c>
      <c r="V63" s="64">
        <f>股权价值增加表!V42</f>
        <v>646104569.07999992</v>
      </c>
      <c r="W63" s="64">
        <f>股权价值增加表!W42</f>
        <v>504924626.23999971</v>
      </c>
      <c r="X63" s="64">
        <f>股权价值增加表!X42</f>
        <v>132689135.61</v>
      </c>
      <c r="Y63" s="64">
        <f>股权价值增加表!Y42</f>
        <v>633596152.00999975</v>
      </c>
      <c r="Z63" s="64">
        <f>股权价值增加表!Z42</f>
        <v>481046260.48999953</v>
      </c>
      <c r="AA63" s="64">
        <f>股权价值增加表!AA42</f>
        <v>361684788.32999992</v>
      </c>
      <c r="AB63" s="64">
        <f>股权价值增加表!AB42</f>
        <v>89715403.160000071</v>
      </c>
      <c r="AC63" s="64">
        <f>股权价值增加表!AC42</f>
        <v>362933280.32999957</v>
      </c>
    </row>
    <row r="64" spans="1:88" s="63" customFormat="1" x14ac:dyDescent="0.25">
      <c r="A64" s="213" t="s">
        <v>681</v>
      </c>
      <c r="B64" s="213"/>
      <c r="C64" s="213"/>
      <c r="D64" s="213"/>
      <c r="E64" s="213">
        <f>1-E63/E61</f>
        <v>0.17674978925237683</v>
      </c>
      <c r="F64" s="213">
        <f t="shared" ref="F64:AC64" si="46">1-F63/F61</f>
        <v>0.16392197905011818</v>
      </c>
      <c r="G64" s="213">
        <f t="shared" si="46"/>
        <v>0.16826869890843965</v>
      </c>
      <c r="H64" s="213">
        <f t="shared" si="46"/>
        <v>9.9681269514624082E-2</v>
      </c>
      <c r="I64" s="213">
        <f t="shared" si="46"/>
        <v>0.30268614706290553</v>
      </c>
      <c r="J64" s="213">
        <f t="shared" si="46"/>
        <v>0.18251857304412544</v>
      </c>
      <c r="K64" s="213">
        <f t="shared" si="46"/>
        <v>0.16376381222875036</v>
      </c>
      <c r="L64" s="213">
        <f t="shared" si="46"/>
        <v>0.14320319894990685</v>
      </c>
      <c r="M64" s="213">
        <f t="shared" si="46"/>
        <v>0.15105589116260165</v>
      </c>
      <c r="N64" s="213">
        <f t="shared" si="46"/>
        <v>0.17353013305694021</v>
      </c>
      <c r="O64" s="213">
        <f t="shared" si="46"/>
        <v>0.14290157204830434</v>
      </c>
      <c r="P64" s="213">
        <f t="shared" si="46"/>
        <v>0.13664629563038022</v>
      </c>
      <c r="Q64" s="213">
        <f t="shared" si="46"/>
        <v>0.20720573734710734</v>
      </c>
      <c r="R64" s="213">
        <f t="shared" si="46"/>
        <v>0.1704821504965609</v>
      </c>
      <c r="S64" s="213">
        <f t="shared" si="46"/>
        <v>0.15887214440117781</v>
      </c>
      <c r="T64" s="213">
        <f t="shared" si="46"/>
        <v>0.13748911351720339</v>
      </c>
      <c r="U64" s="213">
        <f t="shared" si="46"/>
        <v>0.14648645672718541</v>
      </c>
      <c r="V64" s="213">
        <f t="shared" si="46"/>
        <v>0.17242404890929863</v>
      </c>
      <c r="W64" s="213">
        <f t="shared" si="46"/>
        <v>0.17682137905315221</v>
      </c>
      <c r="X64" s="213">
        <f t="shared" si="46"/>
        <v>0.1643304307951946</v>
      </c>
      <c r="Y64" s="213">
        <f t="shared" si="46"/>
        <v>0.13090181304994142</v>
      </c>
      <c r="Z64" s="213">
        <f t="shared" si="46"/>
        <v>0.21499503178487678</v>
      </c>
      <c r="AA64" s="213">
        <f t="shared" si="46"/>
        <v>0.22771804507091731</v>
      </c>
      <c r="AB64" s="213">
        <f t="shared" si="46"/>
        <v>0.22548478609163325</v>
      </c>
      <c r="AC64" s="213">
        <f t="shared" si="46"/>
        <v>0.19381700589684592</v>
      </c>
    </row>
    <row r="65" spans="1:29" ht="42.6" customHeight="1" x14ac:dyDescent="0.25">
      <c r="A65" s="280" t="s">
        <v>682</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734</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2" t="s">
        <v>702</v>
      </c>
      <c r="B69" s="282"/>
      <c r="C69" s="282"/>
      <c r="D69" s="282"/>
      <c r="E69" s="282"/>
      <c r="F69" s="256"/>
      <c r="G69" s="256"/>
      <c r="H69" s="256"/>
      <c r="I69" s="256" t="s">
        <v>706</v>
      </c>
      <c r="J69" s="256"/>
      <c r="K69" s="256"/>
      <c r="L69" s="256"/>
      <c r="M69" s="256" t="s">
        <v>707</v>
      </c>
    </row>
    <row r="70" spans="1:29" ht="57.6" x14ac:dyDescent="0.25">
      <c r="A70" s="283" t="s">
        <v>703</v>
      </c>
      <c r="B70" s="65"/>
      <c r="C70" s="65"/>
      <c r="D70" s="65"/>
      <c r="E70" s="65" t="s">
        <v>704</v>
      </c>
      <c r="F70" s="65"/>
      <c r="G70" s="65"/>
      <c r="H70" s="65"/>
      <c r="I70" s="257" t="s">
        <v>708</v>
      </c>
      <c r="J70" s="258"/>
      <c r="K70" s="258"/>
      <c r="L70" s="258"/>
      <c r="M70" s="257" t="s">
        <v>709</v>
      </c>
    </row>
    <row r="71" spans="1:29" ht="54.6" customHeight="1" x14ac:dyDescent="0.25">
      <c r="A71" s="283"/>
      <c r="B71" s="65"/>
      <c r="C71" s="65"/>
      <c r="D71" s="65"/>
      <c r="E71" s="65" t="s">
        <v>705</v>
      </c>
      <c r="F71" s="65"/>
      <c r="G71" s="65"/>
      <c r="H71" s="65"/>
      <c r="I71" s="257" t="s">
        <v>710</v>
      </c>
      <c r="J71" s="258"/>
      <c r="K71" s="258"/>
      <c r="L71" s="258"/>
      <c r="M71" s="257" t="s">
        <v>711</v>
      </c>
    </row>
    <row r="72" spans="1:29" ht="57.6" x14ac:dyDescent="0.25">
      <c r="A72" s="283" t="s">
        <v>719</v>
      </c>
      <c r="B72" s="65"/>
      <c r="C72" s="65"/>
      <c r="D72" s="65"/>
      <c r="E72" s="65" t="s">
        <v>712</v>
      </c>
      <c r="F72" s="65"/>
      <c r="G72" s="65"/>
      <c r="H72" s="65"/>
      <c r="I72" s="257" t="s">
        <v>720</v>
      </c>
      <c r="J72" s="258"/>
      <c r="K72" s="258"/>
      <c r="L72" s="258"/>
      <c r="M72" s="257" t="s">
        <v>721</v>
      </c>
    </row>
    <row r="73" spans="1:29" ht="43.2" x14ac:dyDescent="0.25">
      <c r="A73" s="283"/>
      <c r="B73" s="65"/>
      <c r="C73" s="65"/>
      <c r="D73" s="65"/>
      <c r="E73" s="65" t="s">
        <v>713</v>
      </c>
      <c r="F73" s="65"/>
      <c r="G73" s="65"/>
      <c r="H73" s="65"/>
      <c r="I73" s="257" t="s">
        <v>722</v>
      </c>
      <c r="J73" s="258"/>
      <c r="K73" s="258"/>
      <c r="L73" s="258"/>
      <c r="M73" s="257" t="s">
        <v>723</v>
      </c>
    </row>
    <row r="74" spans="1:29" ht="72" x14ac:dyDescent="0.25">
      <c r="A74" s="283"/>
      <c r="B74" s="65"/>
      <c r="C74" s="65"/>
      <c r="D74" s="65"/>
      <c r="E74" s="65" t="s">
        <v>714</v>
      </c>
      <c r="F74" s="65"/>
      <c r="G74" s="65"/>
      <c r="H74" s="65"/>
      <c r="I74" s="257" t="s">
        <v>724</v>
      </c>
      <c r="J74" s="258"/>
      <c r="K74" s="258"/>
      <c r="L74" s="258"/>
      <c r="M74" s="257" t="s">
        <v>725</v>
      </c>
    </row>
    <row r="75" spans="1:29" ht="72" x14ac:dyDescent="0.25">
      <c r="A75" s="283"/>
      <c r="B75" s="65"/>
      <c r="C75" s="65"/>
      <c r="D75" s="65"/>
      <c r="E75" s="65" t="s">
        <v>715</v>
      </c>
      <c r="F75" s="65"/>
      <c r="G75" s="65"/>
      <c r="H75" s="65"/>
      <c r="I75" s="257" t="s">
        <v>726</v>
      </c>
      <c r="J75" s="258"/>
      <c r="K75" s="258"/>
      <c r="L75" s="258"/>
      <c r="M75" s="257" t="s">
        <v>727</v>
      </c>
    </row>
    <row r="76" spans="1:29" x14ac:dyDescent="0.25">
      <c r="A76" s="283"/>
      <c r="B76" s="65"/>
      <c r="C76" s="65"/>
      <c r="D76" s="65"/>
      <c r="E76" s="65" t="s">
        <v>716</v>
      </c>
      <c r="F76" s="65"/>
      <c r="G76" s="65"/>
      <c r="H76" s="65"/>
      <c r="I76" s="257" t="s">
        <v>728</v>
      </c>
      <c r="J76" s="258"/>
      <c r="K76" s="258"/>
      <c r="L76" s="258"/>
      <c r="M76" s="257" t="s">
        <v>729</v>
      </c>
    </row>
    <row r="77" spans="1:29" ht="57.6" x14ac:dyDescent="0.25">
      <c r="A77" s="283"/>
      <c r="B77" s="65"/>
      <c r="C77" s="65"/>
      <c r="D77" s="65"/>
      <c r="E77" s="65" t="s">
        <v>717</v>
      </c>
      <c r="F77" s="65"/>
      <c r="G77" s="65"/>
      <c r="H77" s="65"/>
      <c r="I77" s="257" t="s">
        <v>730</v>
      </c>
      <c r="J77" s="258"/>
      <c r="K77" s="258"/>
      <c r="L77" s="258"/>
      <c r="M77" s="257" t="s">
        <v>731</v>
      </c>
    </row>
    <row r="78" spans="1:29" ht="57.6" x14ac:dyDescent="0.25">
      <c r="A78" s="283"/>
      <c r="B78" s="65"/>
      <c r="C78" s="65"/>
      <c r="D78" s="65"/>
      <c r="E78" s="65" t="s">
        <v>718</v>
      </c>
      <c r="F78" s="65"/>
      <c r="G78" s="65"/>
      <c r="H78" s="65"/>
      <c r="I78" s="257" t="s">
        <v>732</v>
      </c>
      <c r="J78" s="258"/>
      <c r="K78" s="258"/>
      <c r="L78" s="258"/>
      <c r="M78" s="257" t="s">
        <v>733</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51"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20.44140625" hidden="1" customWidth="1"/>
    <col min="15"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8.33203125" hidden="1" customWidth="1"/>
    <col min="45" max="45" width="19.33203125" bestFit="1" customWidth="1"/>
    <col min="46" max="47" width="19.33203125" hidden="1" customWidth="1"/>
    <col min="48" max="48" width="18.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2" width="19.33203125" bestFit="1" customWidth="1"/>
    <col min="73" max="74" width="18.33203125" bestFit="1" customWidth="1"/>
    <col min="75" max="75" width="9.5546875" hidden="1" customWidth="1"/>
    <col min="76"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s="26" customFormat="1" x14ac:dyDescent="0.25">
      <c r="A2" s="17" t="s">
        <v>424</v>
      </c>
      <c r="E2" s="26">
        <f>股权价值增加表!E42</f>
        <v>379337896.56999964</v>
      </c>
      <c r="F2" s="26">
        <f>股权价值增加表!F42</f>
        <v>287805695.96000075</v>
      </c>
      <c r="G2" s="26">
        <f>股权价值增加表!G42</f>
        <v>188499572.02000028</v>
      </c>
      <c r="H2" s="26">
        <f>股权价值增加表!H42</f>
        <v>111450218.98000008</v>
      </c>
      <c r="I2" s="26">
        <f>股权价值增加表!I42</f>
        <v>171753594.01000005</v>
      </c>
      <c r="J2" s="26">
        <f>股权价值增加表!J42</f>
        <v>420142335.60999954</v>
      </c>
      <c r="K2" s="26">
        <f>股权价值增加表!K42</f>
        <v>356051287.42000002</v>
      </c>
      <c r="L2" s="26">
        <f>股权价值增加表!L42</f>
        <v>121061433.15999983</v>
      </c>
      <c r="M2" s="26">
        <f>股权价值增加表!M42</f>
        <v>2256445876.8700008</v>
      </c>
      <c r="N2" s="26">
        <f>股权价值增加表!N42</f>
        <v>823568554.92999983</v>
      </c>
      <c r="O2" s="26">
        <f>股权价值增加表!O42</f>
        <v>731848942</v>
      </c>
      <c r="P2" s="26">
        <f>股权价值增加表!P42</f>
        <v>188939769.66999987</v>
      </c>
      <c r="Q2" s="26">
        <f>股权价值增加表!Q42</f>
        <v>897490135.94000041</v>
      </c>
      <c r="R2" s="26">
        <f>股权价值增加表!R42</f>
        <v>745365894.9600004</v>
      </c>
      <c r="S2" s="26">
        <f>股权价值增加表!S42</f>
        <v>581402454.77999997</v>
      </c>
      <c r="T2" s="26">
        <f>股权价值增加表!T42</f>
        <v>163961843.54000014</v>
      </c>
      <c r="U2" s="26">
        <f>股权价值增加表!U42</f>
        <v>821212610.93000078</v>
      </c>
      <c r="V2" s="26">
        <f>股权价值增加表!V42</f>
        <v>646104569.07999992</v>
      </c>
      <c r="W2" s="26">
        <f>股权价值增加表!W42</f>
        <v>504924626.23999971</v>
      </c>
      <c r="X2" s="26">
        <f>股权价值增加表!X42</f>
        <v>132689135.61</v>
      </c>
      <c r="Y2" s="26">
        <f>股权价值增加表!Y42</f>
        <v>633596152.00999975</v>
      </c>
      <c r="Z2" s="26">
        <f>股权价值增加表!Z42</f>
        <v>481046260.48999953</v>
      </c>
      <c r="AA2" s="26">
        <f>股权价值增加表!AA42</f>
        <v>361684788.32999992</v>
      </c>
      <c r="AB2" s="26">
        <f>股权价值增加表!AB42</f>
        <v>89715403.160000071</v>
      </c>
      <c r="AC2" s="26">
        <f>股权价值增加表!AC42</f>
        <v>362933280.32999957</v>
      </c>
      <c r="AD2" s="26">
        <f>股权价值增加表!AD42</f>
        <v>279995440.04999989</v>
      </c>
      <c r="AE2" s="26">
        <f>股权价值增加表!AE42</f>
        <v>205751883.50000021</v>
      </c>
      <c r="AF2" s="26">
        <f>股权价值增加表!AF42</f>
        <v>61312768.550000027</v>
      </c>
      <c r="AG2" s="26">
        <f>股权价值增加表!AG42</f>
        <v>247667905.2100004</v>
      </c>
      <c r="AH2" s="26">
        <f>股权价值增加表!AH42</f>
        <v>203968942.69999963</v>
      </c>
      <c r="AI2" s="26">
        <f>股权价值增加表!AI42</f>
        <v>152645993.91</v>
      </c>
      <c r="AJ2" s="26">
        <f>股权价值增加表!AJ42</f>
        <v>41690606.089999944</v>
      </c>
      <c r="AK2" s="26">
        <f>股权价值增加表!AK42</f>
        <v>238826994.26999998</v>
      </c>
      <c r="AL2" s="26">
        <f>股权价值增加表!AL42</f>
        <v>185842206.83999985</v>
      </c>
      <c r="AM2" s="26">
        <f>股权价值增加表!AM42</f>
        <v>142487131.79999995</v>
      </c>
      <c r="AN2" s="26">
        <f>股权价值增加表!AN42</f>
        <v>34362715.960000008</v>
      </c>
      <c r="AO2" s="26">
        <f>股权价值增加表!AO42</f>
        <v>186623950.53999996</v>
      </c>
      <c r="AP2" s="26">
        <f>股权价值增加表!AP42</f>
        <v>158886905.04999989</v>
      </c>
      <c r="AQ2" s="26">
        <f>股权价值增加表!AQ42</f>
        <v>114479818.3600001</v>
      </c>
      <c r="AR2" s="26">
        <f>股权价值增加表!AR42</f>
        <v>29217113.670000002</v>
      </c>
      <c r="AS2" s="26">
        <f>股权价值增加表!AS42</f>
        <v>149046909.51000023</v>
      </c>
      <c r="AT2" s="26">
        <f>股权价值增加表!AT42</f>
        <v>110053635.17000012</v>
      </c>
      <c r="AU2" s="26">
        <f>股权价值增加表!AU42</f>
        <v>74461427.419999987</v>
      </c>
      <c r="AV2" s="26">
        <f>股权价值增加表!AV42</f>
        <v>22164758.449999996</v>
      </c>
      <c r="AW2" s="26">
        <f>股权价值增加表!AW42</f>
        <v>76700752.549999937</v>
      </c>
      <c r="AX2" s="26">
        <f>股权价值增加表!AX42</f>
        <v>72152852.039999902</v>
      </c>
      <c r="AY2" s="26">
        <f>股权价值增加表!AY42</f>
        <v>54600951.349999994</v>
      </c>
      <c r="AZ2" s="26">
        <f>股权价值增加表!AZ42</f>
        <v>18048573.02999999</v>
      </c>
      <c r="BA2" s="26">
        <f>股权价值增加表!BA42</f>
        <v>29921746.77999996</v>
      </c>
      <c r="BB2" s="26">
        <f>股权价值增加表!BB42</f>
        <v>42267256.559999883</v>
      </c>
      <c r="BC2" s="26">
        <f>股权价值增加表!BC42</f>
        <v>30326909.86999996</v>
      </c>
      <c r="BD2" s="26">
        <f>股权价值增加表!BD42</f>
        <v>11696230.609999999</v>
      </c>
      <c r="BE2" s="26">
        <f>股权价值增加表!BE42</f>
        <v>44913705.189999968</v>
      </c>
      <c r="BF2" s="26">
        <f>股权价值增加表!BF42</f>
        <v>65091840.659999996</v>
      </c>
      <c r="BG2" s="26">
        <f>股权价值增加表!BG42</f>
        <v>46154355.100000024</v>
      </c>
      <c r="BH2" s="26">
        <f>股权价值增加表!BH42</f>
        <v>15663448.310000017</v>
      </c>
      <c r="BI2" s="26">
        <f>股权价值增加表!BI42</f>
        <v>84971309.669999957</v>
      </c>
      <c r="BJ2" s="26">
        <f>股权价值增加表!BJ42</f>
        <v>80273829.450000063</v>
      </c>
      <c r="BK2" s="26">
        <f>股权价值增加表!BK42</f>
        <v>57631365.13000004</v>
      </c>
      <c r="BL2" s="26">
        <f>股权价值增加表!BL42</f>
        <v>12273892.069999985</v>
      </c>
      <c r="BM2" s="26">
        <f>股权价值增加表!BM42</f>
        <v>67318300.189999998</v>
      </c>
      <c r="BN2" s="26">
        <f>股权价值增加表!BN42</f>
        <v>69919840.100000024</v>
      </c>
      <c r="BO2" s="26">
        <f>股权价值增加表!BO42</f>
        <v>49956454.100000024</v>
      </c>
      <c r="BP2" s="26">
        <f>股权价值增加表!BP42</f>
        <v>10171477.549999984</v>
      </c>
      <c r="BQ2" s="26">
        <f>股权价值增加表!BQ42</f>
        <v>66628114.64000003</v>
      </c>
      <c r="BR2" s="26">
        <f>股权价值增加表!BR42</f>
        <v>40023287.680000074</v>
      </c>
      <c r="BS2" s="26">
        <f>股权价值增加表!BS42</f>
        <v>42286944.939999923</v>
      </c>
      <c r="BT2" s="26">
        <f>股权价值增加表!BT42</f>
        <v>37463019.930000037</v>
      </c>
      <c r="BU2" s="26">
        <f>股权价值增加表!BU42</f>
        <v>31033134.360000007</v>
      </c>
      <c r="BV2" s="26">
        <f>股权价值增加表!BV42</f>
        <v>50864311.719999924</v>
      </c>
      <c r="BW2" s="26">
        <f>股权价值增加表!BW42</f>
        <v>0</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5376551846.6099997</v>
      </c>
      <c r="F3" s="26">
        <f>资产资本表!F107</f>
        <v>5526518028.3599997</v>
      </c>
      <c r="G3" s="26">
        <f>资产资本表!G107</f>
        <v>5424553112.3900003</v>
      </c>
      <c r="H3" s="26">
        <f>资产资本表!H107</f>
        <v>5377300918.21</v>
      </c>
      <c r="I3" s="26">
        <f>资产资本表!I107</f>
        <v>5264125997.2299995</v>
      </c>
      <c r="J3" s="26">
        <f>资产资本表!J107</f>
        <v>5491950513.3900003</v>
      </c>
      <c r="K3" s="26">
        <f>资产资本表!K107</f>
        <v>6091662505.5299997</v>
      </c>
      <c r="L3" s="26">
        <f>资产资本表!L107</f>
        <v>5853221822.8999996</v>
      </c>
      <c r="M3" s="26">
        <f>资产资本表!M107</f>
        <v>5728747482.5600004</v>
      </c>
      <c r="N3" s="26">
        <f>资产资本表!N107</f>
        <v>4346577496.8199997</v>
      </c>
      <c r="O3" s="26">
        <f>资产资本表!O107</f>
        <v>4247511083.4099998</v>
      </c>
      <c r="P3" s="26">
        <f>资产资本表!P107</f>
        <v>3997929558.0500002</v>
      </c>
      <c r="Q3" s="26">
        <f>资产资本表!Q107</f>
        <v>3805206460.5699997</v>
      </c>
      <c r="R3" s="26">
        <f>资产资本表!R107</f>
        <v>3776217499.0799999</v>
      </c>
      <c r="S3" s="26">
        <f>资产资本表!S107</f>
        <v>3636063138.8699999</v>
      </c>
      <c r="T3" s="26">
        <f>资产资本表!T107</f>
        <v>3552102700.4299998</v>
      </c>
      <c r="U3" s="26">
        <f>资产资本表!U107</f>
        <v>3365391166.2400002</v>
      </c>
      <c r="V3" s="26">
        <f>资产资本表!V107</f>
        <v>3190654675.73</v>
      </c>
      <c r="W3" s="26">
        <f>资产资本表!W107</f>
        <v>3031986888.6100001</v>
      </c>
      <c r="X3" s="26">
        <f>资产资本表!X107</f>
        <v>2910937725.0599999</v>
      </c>
      <c r="Y3" s="26">
        <f>资产资本表!Y107</f>
        <v>2731483774.8100004</v>
      </c>
      <c r="Z3" s="26">
        <f>资产资本表!Z107</f>
        <v>2527401110.98</v>
      </c>
      <c r="AA3" s="26">
        <f>资产资本表!AA107</f>
        <v>2559865651.6700001</v>
      </c>
      <c r="AB3" s="26">
        <f>资产资本表!AB107</f>
        <v>1868843693.1399999</v>
      </c>
      <c r="AC3" s="26">
        <f>资产资本表!AC107</f>
        <v>1781721434.4400001</v>
      </c>
      <c r="AD3" s="26">
        <f>资产资本表!AD107</f>
        <v>1695252451.1799998</v>
      </c>
      <c r="AE3" s="26">
        <f>资产资本表!AE107</f>
        <v>1619314194.6300001</v>
      </c>
      <c r="AF3" s="26">
        <f>资产资本表!AF107</f>
        <v>1579461577.3299999</v>
      </c>
      <c r="AG3" s="26">
        <f>资产资本表!AG107</f>
        <v>1517920530.76</v>
      </c>
      <c r="AH3" s="26">
        <f>资产资本表!AH107</f>
        <v>1468656359.6099999</v>
      </c>
      <c r="AI3" s="26">
        <f>资产资本表!AI107</f>
        <v>1411583549.8400002</v>
      </c>
      <c r="AJ3" s="26">
        <f>资产资本表!AJ107</f>
        <v>1411805757.1900001</v>
      </c>
      <c r="AK3" s="26">
        <f>资产资本表!AK107</f>
        <v>1368589603.1500001</v>
      </c>
      <c r="AL3" s="26">
        <f>资产资本表!AL107</f>
        <v>1308614940.8499999</v>
      </c>
      <c r="AM3" s="26">
        <f>资产资本表!AM107</f>
        <v>1256788536.4199998</v>
      </c>
      <c r="AN3" s="26">
        <f>资产资本表!AN107</f>
        <v>1184871152.3500001</v>
      </c>
      <c r="AO3" s="26">
        <f>资产资本表!AO107</f>
        <v>1144508385.8699999</v>
      </c>
      <c r="AP3" s="26">
        <f>资产资本表!AP107</f>
        <v>1099163325.2</v>
      </c>
      <c r="AQ3" s="26">
        <f>资产资本表!AQ107</f>
        <v>1089680363.6900001</v>
      </c>
      <c r="AR3" s="26">
        <f>资产资本表!AR107</f>
        <v>928975444.63</v>
      </c>
      <c r="AS3" s="26">
        <f>资产资本表!AS107</f>
        <v>903475668.24000001</v>
      </c>
      <c r="AT3" s="26">
        <f>资产资本表!AT107</f>
        <v>885102614.19000006</v>
      </c>
      <c r="AU3" s="26">
        <f>资产资本表!AU107</f>
        <v>849432336.61000001</v>
      </c>
      <c r="AV3" s="26">
        <f>资产资本表!AV107</f>
        <v>833361540.75</v>
      </c>
      <c r="AW3" s="26">
        <f>资产资本表!AW107</f>
        <v>855760559.23000002</v>
      </c>
      <c r="AX3" s="26">
        <f>资产资本表!AX107</f>
        <v>841190782.38999999</v>
      </c>
      <c r="AY3" s="26">
        <f>资产资本表!AY107</f>
        <v>827018795.32999992</v>
      </c>
      <c r="AZ3" s="26">
        <f>资产资本表!AZ107</f>
        <v>1253494059.21</v>
      </c>
      <c r="BA3" s="26">
        <f>资产资本表!BA107</f>
        <v>1251789842.6500001</v>
      </c>
      <c r="BB3" s="26">
        <f>资产资本表!BB107</f>
        <v>1256395284.51</v>
      </c>
      <c r="BC3" s="26">
        <f>资产资本表!BC107</f>
        <v>1242323512.4699998</v>
      </c>
      <c r="BD3" s="26">
        <f>资产资本表!BD107</f>
        <v>1267816922.27</v>
      </c>
      <c r="BE3" s="26">
        <f>资产资本表!BE107</f>
        <v>1248881938.8</v>
      </c>
      <c r="BF3" s="26">
        <f>资产资本表!BF107</f>
        <v>1286222913.0800002</v>
      </c>
      <c r="BG3" s="26">
        <f>资产资本表!BG107</f>
        <v>1266386498.0600002</v>
      </c>
      <c r="BH3" s="26">
        <f>资产资本表!BH107</f>
        <v>1252835671.6900001</v>
      </c>
      <c r="BI3" s="26">
        <f>资产资本表!BI107</f>
        <v>1238940283.3199999</v>
      </c>
      <c r="BJ3" s="26">
        <f>资产资本表!BJ107</f>
        <v>1236519165.3199999</v>
      </c>
      <c r="BK3" s="26">
        <f>资产资本表!BK107</f>
        <v>1210226920.74</v>
      </c>
      <c r="BL3" s="26">
        <f>资产资本表!BL107</f>
        <v>1158139804.26</v>
      </c>
      <c r="BM3" s="26">
        <f>资产资本表!BM107</f>
        <v>1185530362.3200002</v>
      </c>
      <c r="BN3" s="26">
        <f>资产资本表!BN107</f>
        <v>1178903765.03</v>
      </c>
      <c r="BO3" s="26">
        <f>资产资本表!BO107</f>
        <v>1144970185</v>
      </c>
      <c r="BP3" s="26">
        <f>资产资本表!BP107</f>
        <v>1086844866.9199998</v>
      </c>
      <c r="BQ3" s="26">
        <f>资产资本表!BQ107</f>
        <v>1074523979.22</v>
      </c>
      <c r="BR3" s="26">
        <f>资产资本表!BR107</f>
        <v>1071854044.4299999</v>
      </c>
      <c r="BS3" s="26">
        <f>资产资本表!BS107</f>
        <v>290163499.04000002</v>
      </c>
      <c r="BT3" s="26">
        <f>资产资本表!BT107</f>
        <v>266668654.03999999</v>
      </c>
      <c r="BU3" s="26">
        <f>资产资本表!BU107</f>
        <v>232988587.81</v>
      </c>
      <c r="BV3" s="26">
        <f>资产资本表!BV107</f>
        <v>214166988.47999999</v>
      </c>
      <c r="BW3" s="26">
        <f>资产资本表!BW107</f>
        <v>0</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7.0554122305949332E-2</v>
      </c>
      <c r="F4" s="59">
        <f t="shared" ref="F4:BQ4" si="0">F2/F3</f>
        <v>5.2077220138085287E-2</v>
      </c>
      <c r="G4" s="59">
        <f t="shared" si="0"/>
        <v>3.4749327385044146E-2</v>
      </c>
      <c r="H4" s="59">
        <f t="shared" si="0"/>
        <v>2.0726052098475403E-2</v>
      </c>
      <c r="I4" s="59">
        <f t="shared" si="0"/>
        <v>3.2627181435318488E-2</v>
      </c>
      <c r="J4" s="59">
        <f t="shared" si="0"/>
        <v>7.6501478770729034E-2</v>
      </c>
      <c r="K4" s="59">
        <f t="shared" si="0"/>
        <v>5.8448951677276498E-2</v>
      </c>
      <c r="L4" s="59">
        <f t="shared" si="0"/>
        <v>2.0682871215705868E-2</v>
      </c>
      <c r="M4" s="59">
        <f t="shared" si="0"/>
        <v>0.39388119021466533</v>
      </c>
      <c r="N4" s="59">
        <f t="shared" si="0"/>
        <v>0.18947518030738689</v>
      </c>
      <c r="O4" s="59">
        <f t="shared" si="0"/>
        <v>0.17230065504913405</v>
      </c>
      <c r="P4" s="59">
        <f t="shared" si="0"/>
        <v>4.7259404380840489E-2</v>
      </c>
      <c r="Q4" s="59">
        <f t="shared" si="0"/>
        <v>0.23585846004412628</v>
      </c>
      <c r="R4" s="59">
        <f t="shared" si="0"/>
        <v>0.19738425955114977</v>
      </c>
      <c r="S4" s="59">
        <f t="shared" si="0"/>
        <v>0.15989888859869628</v>
      </c>
      <c r="T4" s="59">
        <f t="shared" si="0"/>
        <v>4.6159094307760794E-2</v>
      </c>
      <c r="U4" s="59">
        <f t="shared" si="0"/>
        <v>0.24401698654468884</v>
      </c>
      <c r="V4" s="59">
        <f t="shared" si="0"/>
        <v>0.2024990588905318</v>
      </c>
      <c r="W4" s="59">
        <f t="shared" si="0"/>
        <v>0.1665325889557128</v>
      </c>
      <c r="X4" s="59">
        <f t="shared" si="0"/>
        <v>4.5582952348204225E-2</v>
      </c>
      <c r="Y4" s="59">
        <f t="shared" si="0"/>
        <v>0.23196043039064806</v>
      </c>
      <c r="Z4" s="59">
        <f t="shared" si="0"/>
        <v>0.19033237676447559</v>
      </c>
      <c r="AA4" s="59">
        <f t="shared" si="0"/>
        <v>0.14129053534276095</v>
      </c>
      <c r="AB4" s="59">
        <f t="shared" si="0"/>
        <v>4.8005835634793916E-2</v>
      </c>
      <c r="AC4" s="59">
        <f t="shared" si="0"/>
        <v>0.20369810527876964</v>
      </c>
      <c r="AD4" s="59">
        <f t="shared" si="0"/>
        <v>0.16516445079026776</v>
      </c>
      <c r="AE4" s="59">
        <f t="shared" si="0"/>
        <v>0.12706112512464748</v>
      </c>
      <c r="AF4" s="59">
        <f t="shared" si="0"/>
        <v>3.8818778139349336E-2</v>
      </c>
      <c r="AG4" s="59">
        <f t="shared" si="0"/>
        <v>0.16316262952580055</v>
      </c>
      <c r="AH4" s="59">
        <f t="shared" si="0"/>
        <v>0.13888132602657532</v>
      </c>
      <c r="AI4" s="59">
        <f t="shared" si="0"/>
        <v>0.10813812184712841</v>
      </c>
      <c r="AJ4" s="59">
        <f t="shared" si="0"/>
        <v>2.9529987307162713E-2</v>
      </c>
      <c r="AK4" s="59">
        <f t="shared" si="0"/>
        <v>0.17450592472740278</v>
      </c>
      <c r="AL4" s="59">
        <f t="shared" si="0"/>
        <v>0.14201443147155848</v>
      </c>
      <c r="AM4" s="59">
        <f t="shared" si="0"/>
        <v>0.11337399066821445</v>
      </c>
      <c r="AN4" s="59">
        <f t="shared" si="0"/>
        <v>2.9001225907008644E-2</v>
      </c>
      <c r="AO4" s="59">
        <f t="shared" si="0"/>
        <v>0.16306036097598137</v>
      </c>
      <c r="AP4" s="59">
        <f t="shared" si="0"/>
        <v>0.14455258959908379</v>
      </c>
      <c r="AQ4" s="59">
        <f t="shared" si="0"/>
        <v>0.1050581640035574</v>
      </c>
      <c r="AR4" s="59">
        <f t="shared" si="0"/>
        <v>3.1450899847666948E-2</v>
      </c>
      <c r="AS4" s="59">
        <f t="shared" si="0"/>
        <v>0.16497058498581202</v>
      </c>
      <c r="AT4" s="59">
        <f t="shared" si="0"/>
        <v>0.12433997302190265</v>
      </c>
      <c r="AU4" s="59">
        <f t="shared" si="0"/>
        <v>8.7660222257570433E-2</v>
      </c>
      <c r="AV4" s="59">
        <f t="shared" si="0"/>
        <v>2.6596809867242478E-2</v>
      </c>
      <c r="AW4" s="59">
        <f t="shared" si="0"/>
        <v>8.9628753887669319E-2</v>
      </c>
      <c r="AX4" s="59">
        <f t="shared" si="0"/>
        <v>8.5774658437172205E-2</v>
      </c>
      <c r="AY4" s="59">
        <f t="shared" si="0"/>
        <v>6.6021415303158776E-2</v>
      </c>
      <c r="AZ4" s="59">
        <f t="shared" si="0"/>
        <v>1.4398610745211583E-2</v>
      </c>
      <c r="BA4" s="59">
        <f t="shared" si="0"/>
        <v>2.3903171091927505E-2</v>
      </c>
      <c r="BB4" s="59">
        <f t="shared" si="0"/>
        <v>3.3641686721615091E-2</v>
      </c>
      <c r="BC4" s="59">
        <f t="shared" si="0"/>
        <v>2.4411443207497299E-2</v>
      </c>
      <c r="BD4" s="59">
        <f t="shared" si="0"/>
        <v>9.2254886368436703E-3</v>
      </c>
      <c r="BE4" s="59">
        <f t="shared" si="0"/>
        <v>3.5963131337423078E-2</v>
      </c>
      <c r="BF4" s="59">
        <f t="shared" si="0"/>
        <v>5.0606967111268865E-2</v>
      </c>
      <c r="BG4" s="59">
        <f t="shared" si="0"/>
        <v>3.6445710034578457E-2</v>
      </c>
      <c r="BH4" s="59">
        <f t="shared" si="0"/>
        <v>1.2502396494562584E-2</v>
      </c>
      <c r="BI4" s="59">
        <f t="shared" si="0"/>
        <v>6.8583862203835638E-2</v>
      </c>
      <c r="BJ4" s="59">
        <f t="shared" si="0"/>
        <v>6.4919195513824426E-2</v>
      </c>
      <c r="BK4" s="59">
        <f t="shared" si="0"/>
        <v>4.7620296774394194E-2</v>
      </c>
      <c r="BL4" s="59">
        <f t="shared" si="0"/>
        <v>1.0597936470927582E-2</v>
      </c>
      <c r="BM4" s="59">
        <f t="shared" si="0"/>
        <v>5.6783278041283379E-2</v>
      </c>
      <c r="BN4" s="59">
        <f t="shared" si="0"/>
        <v>5.9309200779607954E-2</v>
      </c>
      <c r="BO4" s="59">
        <f t="shared" si="0"/>
        <v>4.3631227043698109E-2</v>
      </c>
      <c r="BP4" s="59">
        <f t="shared" si="0"/>
        <v>9.3587206965653202E-3</v>
      </c>
      <c r="BQ4" s="59">
        <f t="shared" si="0"/>
        <v>6.2007098890771675E-2</v>
      </c>
      <c r="BR4" s="59">
        <f t="shared" ref="BR4:CJ4" si="1">BR2/BR3</f>
        <v>3.7340240388124869E-2</v>
      </c>
      <c r="BS4" s="59">
        <f t="shared" si="1"/>
        <v>0.14573488767507081</v>
      </c>
      <c r="BT4" s="59">
        <f t="shared" si="1"/>
        <v>0.14048527774989492</v>
      </c>
      <c r="BU4" s="59">
        <f t="shared" si="1"/>
        <v>0.13319594170555357</v>
      </c>
      <c r="BV4" s="59">
        <f t="shared" si="1"/>
        <v>0.23749837489427039</v>
      </c>
      <c r="BW4" s="59" t="e">
        <f t="shared" si="1"/>
        <v>#DIV/0!</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-50786251.158800364</v>
      </c>
      <c r="F5" s="26">
        <f>股权价值增加表!F47</f>
        <v>-154315746.30879921</v>
      </c>
      <c r="G5" s="26">
        <f>股权价值增加表!G47</f>
        <v>-245464676.97119975</v>
      </c>
      <c r="H5" s="26">
        <f>股权价值增加表!H47</f>
        <v>-318733854.47679991</v>
      </c>
      <c r="I5" s="26">
        <f>股权价值增加表!I47</f>
        <v>-249376485.76839989</v>
      </c>
      <c r="J5" s="26">
        <f>股权价值增加表!J47</f>
        <v>-19213705.461200476</v>
      </c>
      <c r="K5" s="26">
        <f>股权价值增加表!K47</f>
        <v>-131281713.02239996</v>
      </c>
      <c r="L5" s="26">
        <f>股权价值增加表!L47</f>
        <v>-347196312.67200011</v>
      </c>
      <c r="M5" s="26">
        <f>股权价值增加表!M47</f>
        <v>1798146078.2652009</v>
      </c>
      <c r="N5" s="26">
        <f>股权价值增加表!N47</f>
        <v>475842355.18439984</v>
      </c>
      <c r="O5" s="26">
        <f>股权价值增加表!O47</f>
        <v>392048055.3272</v>
      </c>
      <c r="P5" s="26">
        <f>股权价值增加表!P47</f>
        <v>-130894594.97400013</v>
      </c>
      <c r="Q5" s="26">
        <f>股权价值增加表!Q47</f>
        <v>593073619.09440041</v>
      </c>
      <c r="R5" s="26">
        <f>股权价值增加表!R47</f>
        <v>443268495.03360039</v>
      </c>
      <c r="S5" s="26">
        <f>股权价值增加表!S47</f>
        <v>290517403.67039996</v>
      </c>
      <c r="T5" s="26">
        <f>股权价值增加表!T47</f>
        <v>-120206372.49439985</v>
      </c>
      <c r="U5" s="26">
        <f>股权价值增加表!U47</f>
        <v>551981317.63080072</v>
      </c>
      <c r="V5" s="26">
        <f>股权价值增加表!V47</f>
        <v>390852195.02159989</v>
      </c>
      <c r="W5" s="26">
        <f>股权价值增加表!W47</f>
        <v>262365675.1511997</v>
      </c>
      <c r="X5" s="26">
        <f>股权价值增加表!X47</f>
        <v>-100185882.39479999</v>
      </c>
      <c r="Y5" s="26">
        <f>股权价值增加表!Y47</f>
        <v>415077450.02519977</v>
      </c>
      <c r="Z5" s="26">
        <f>股权价值增加表!Z47</f>
        <v>278854171.61159956</v>
      </c>
      <c r="AA5" s="26">
        <f>股权价值增加表!AA47</f>
        <v>156895536.19639993</v>
      </c>
      <c r="AB5" s="26">
        <f>股权价值增加表!AB47</f>
        <v>-59792092.291199937</v>
      </c>
      <c r="AC5" s="26">
        <f>股权价值增加表!AC47</f>
        <v>220395565.57479957</v>
      </c>
      <c r="AD5" s="26">
        <f>股权价值增加表!AD47</f>
        <v>144375243.95559987</v>
      </c>
      <c r="AE5" s="26">
        <f>股权价值增加表!AE47</f>
        <v>76206747.929600194</v>
      </c>
      <c r="AF5" s="26">
        <f>股权价值增加表!AF47</f>
        <v>-65044157.636399969</v>
      </c>
      <c r="AG5" s="26">
        <f>股权价值增加表!AG47</f>
        <v>126234262.74920039</v>
      </c>
      <c r="AH5" s="26">
        <f>股权价值增加表!AH47</f>
        <v>86476433.93119964</v>
      </c>
      <c r="AI5" s="26">
        <f>股权价值增加表!AI47</f>
        <v>39719309.922800004</v>
      </c>
      <c r="AJ5" s="26">
        <f>股权价值增加表!AJ47</f>
        <v>-71253854.485200062</v>
      </c>
      <c r="AK5" s="26">
        <f>股权价值增加表!AK47</f>
        <v>129339826.01799998</v>
      </c>
      <c r="AL5" s="26">
        <f>股权价值增加表!AL47</f>
        <v>81153011.571999863</v>
      </c>
      <c r="AM5" s="26">
        <f>股权价值增加表!AM47</f>
        <v>41944048.88639994</v>
      </c>
      <c r="AN5" s="26">
        <f>股权价值增加表!AN47</f>
        <v>-60426976.227999985</v>
      </c>
      <c r="AO5" s="26">
        <f>股权价值增加表!AO47</f>
        <v>95063279.670399964</v>
      </c>
      <c r="AP5" s="26">
        <f>股权价值增加表!AP47</f>
        <v>70953839.03399989</v>
      </c>
      <c r="AQ5" s="26">
        <f>股权价值增加表!AQ47</f>
        <v>27305389.264800102</v>
      </c>
      <c r="AR5" s="26">
        <f>股权价值增加表!AR47</f>
        <v>-45100921.900399998</v>
      </c>
      <c r="AS5" s="26">
        <f>股权价值增加表!AS47</f>
        <v>76768856.050800219</v>
      </c>
      <c r="AT5" s="26">
        <f>股权价值增加表!AT47</f>
        <v>39245426.034800112</v>
      </c>
      <c r="AU5" s="26">
        <f>股权价值增加表!AU47</f>
        <v>6506840.4911999851</v>
      </c>
      <c r="AV5" s="26">
        <f>股权价值增加表!AV47</f>
        <v>-44504164.810000002</v>
      </c>
      <c r="AW5" s="26">
        <f>股权价值增加表!AW47</f>
        <v>8239907.8115999401</v>
      </c>
      <c r="AX5" s="26">
        <f>股权价值增加表!AX47</f>
        <v>4857589.4487999082</v>
      </c>
      <c r="AY5" s="26">
        <f>股权价值增加表!AY47</f>
        <v>-11560552.276400007</v>
      </c>
      <c r="AZ5" s="26">
        <f>股权价值增加表!AZ47</f>
        <v>-82230951.706800014</v>
      </c>
      <c r="BA5" s="26">
        <f>股权价值增加表!BA47</f>
        <v>-70221440.632000059</v>
      </c>
      <c r="BB5" s="26">
        <f>股权价值增加表!BB47</f>
        <v>-58244366.200800121</v>
      </c>
      <c r="BC5" s="26">
        <f>股权价值增加表!BC47</f>
        <v>-69058971.127600044</v>
      </c>
      <c r="BD5" s="26">
        <f>股权价值增加表!BD47</f>
        <v>-89729123.171599999</v>
      </c>
      <c r="BE5" s="26">
        <f>股权价值增加表!BE47</f>
        <v>-54996849.914000034</v>
      </c>
      <c r="BF5" s="26">
        <f>股权价值增加表!BF47</f>
        <v>-37805992.386399999</v>
      </c>
      <c r="BG5" s="26">
        <f>股权价值增加表!BG47</f>
        <v>-55156564.744799972</v>
      </c>
      <c r="BH5" s="26">
        <f>股权价值增加表!BH47</f>
        <v>-84563405.425199986</v>
      </c>
      <c r="BI5" s="26">
        <f>股权价值增加表!BI47</f>
        <v>-14143912.995600045</v>
      </c>
      <c r="BJ5" s="26">
        <f>股权价值增加表!BJ47</f>
        <v>-18647703.775599927</v>
      </c>
      <c r="BK5" s="26">
        <f>股权价值增加表!BK47</f>
        <v>-39186788.529199958</v>
      </c>
      <c r="BL5" s="26">
        <f>股权价值增加表!BL47</f>
        <v>-80377292.270800024</v>
      </c>
      <c r="BM5" s="26">
        <f>股权价值增加表!BM47</f>
        <v>-27524128.795599997</v>
      </c>
      <c r="BN5" s="26">
        <f>股权价值增加表!BN47</f>
        <v>-24392461.102399975</v>
      </c>
      <c r="BO5" s="26">
        <f>股权价值增加表!BO47</f>
        <v>-41641160.699999973</v>
      </c>
      <c r="BP5" s="26">
        <f>股权价值增加表!BP47</f>
        <v>-76776111.803600028</v>
      </c>
      <c r="BQ5" s="26">
        <f>股权价值增加表!BQ47</f>
        <v>-19333803.697599977</v>
      </c>
      <c r="BR5" s="26">
        <f>股权价值增加表!BR47</f>
        <v>-45725035.874399923</v>
      </c>
      <c r="BS5" s="26">
        <f>股权价值增加表!BS47</f>
        <v>19073865.016799919</v>
      </c>
      <c r="BT5" s="26">
        <f>股权价值增加表!BT47</f>
        <v>16129527.606800038</v>
      </c>
      <c r="BU5" s="26">
        <f>股权价值增加表!BU47</f>
        <v>12394047.335200008</v>
      </c>
      <c r="BV5" s="26">
        <f>股权价值增加表!BV47</f>
        <v>33730952.641599923</v>
      </c>
      <c r="BW5" s="26">
        <f>股权价值增加表!BW47</f>
        <v>0</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8.1123306056906819E-2</v>
      </c>
      <c r="F6" s="157">
        <f>股权价值增加表!F31/股权价值增加表!F4</f>
        <v>8.1518066481742618E-2</v>
      </c>
      <c r="G6" s="157">
        <f>股权价值增加表!G31/股权价值增加表!G4</f>
        <v>7.820656339146019E-2</v>
      </c>
      <c r="H6" s="157">
        <f>股权价值增加表!H31/股权价值增加表!H4</f>
        <v>8.4880108583335973E-2</v>
      </c>
      <c r="I6" s="157">
        <f>股权价值增加表!I31/股权价值增加表!I4</f>
        <v>4.6975110459600213E-2</v>
      </c>
      <c r="J6" s="157">
        <f>股权价值增加表!J31/股权价值增加表!J4</f>
        <v>0.10887373429272205</v>
      </c>
      <c r="K6" s="157">
        <f>股权价值增加表!K31/股权价值增加表!K4</f>
        <v>0.12654408111153484</v>
      </c>
      <c r="L6" s="157">
        <f>股权价值增加表!L31/股权价值增加表!L4</f>
        <v>8.5654384076980658E-2</v>
      </c>
      <c r="M6" s="157">
        <f>股权价值增加表!M31/股权价值增加表!M4</f>
        <v>0.45510182544344552</v>
      </c>
      <c r="N6" s="157">
        <f>股权价值增加表!N31/股权价值增加表!N4</f>
        <v>0.20772572272330075</v>
      </c>
      <c r="O6" s="157">
        <f>股权价值增加表!O31/股权价值增加表!O4</f>
        <v>0.2584691028396815</v>
      </c>
      <c r="P6" s="157">
        <f>股权价值增加表!P31/股权价值增加表!P4</f>
        <v>0.13335457362296185</v>
      </c>
      <c r="Q6" s="157">
        <f>股权价值增加表!Q31/股权价值增加表!Q4</f>
        <v>0.21259658375221868</v>
      </c>
      <c r="R6" s="157">
        <f>股权价值增加表!R31/股权价值增加表!R4</f>
        <v>0.21138756834544786</v>
      </c>
      <c r="S6" s="157">
        <f>股权价值增加表!S31/股权价值增加表!S4</f>
        <v>0.24128108189957526</v>
      </c>
      <c r="T6" s="157">
        <f>股权价值增加表!T31/股权价值增加表!T4</f>
        <v>0.13760490884851362</v>
      </c>
      <c r="U6" s="157">
        <f>股权价值增加表!U31/股权价值增加表!U4</f>
        <v>0.21575295562642852</v>
      </c>
      <c r="V6" s="157">
        <f>股权价值增加表!V31/股权价值增加表!V4</f>
        <v>0.19007449114901001</v>
      </c>
      <c r="W6" s="157">
        <f>股权价值增加表!W31/股权价值增加表!W4</f>
        <v>0.22037655319388821</v>
      </c>
      <c r="X6" s="157">
        <f>股权价值增加表!X31/股权价值增加表!X4</f>
        <v>0.11598719047022374</v>
      </c>
      <c r="Y6" s="157">
        <f>股权价值增加表!Y31/股权价值增加表!Y4</f>
        <v>0.16246232668206237</v>
      </c>
      <c r="Z6" s="157">
        <f>股权价值增加表!Z31/股权价值增加表!Z4</f>
        <v>0.16954395099693217</v>
      </c>
      <c r="AA6" s="157">
        <f>股权价值增加表!AA31/股权价值增加表!AA4</f>
        <v>0.19731182796914587</v>
      </c>
      <c r="AB6" s="157">
        <f>股权价值增加表!AB31/股权价值增加表!AB4</f>
        <v>0.10776557311179963</v>
      </c>
      <c r="AC6" s="157">
        <f>股权价值增加表!AC31/股权价值增加表!AC4</f>
        <v>0.12654975003933666</v>
      </c>
      <c r="AD6" s="157">
        <f>股权价值增加表!AD31/股权价值增加表!AD4</f>
        <v>0.11928330413452287</v>
      </c>
      <c r="AE6" s="157">
        <f>股权价值增加表!AE31/股权价值增加表!AE4</f>
        <v>0.13679992421971937</v>
      </c>
      <c r="AF6" s="157">
        <f>股权价值增加表!AF31/股权价值增加表!AF4</f>
        <v>9.182160780251207E-2</v>
      </c>
      <c r="AG6" s="157">
        <f>股权价值增加表!AG31/股权价值增加表!AG4</f>
        <v>9.7808416724450356E-2</v>
      </c>
      <c r="AH6" s="157">
        <f>股权价值增加表!AH31/股权价值增加表!AH4</f>
        <v>9.3500178022480229E-2</v>
      </c>
      <c r="AI6" s="157">
        <f>股权价值增加表!AI31/股权价值增加表!AI4</f>
        <v>0.1099440834861302</v>
      </c>
      <c r="AJ6" s="157">
        <f>股权价值增加表!AJ31/股权价值增加表!AJ4</f>
        <v>7.3784344573799621E-2</v>
      </c>
      <c r="AK6" s="157">
        <f>股权价值增加表!AK31/股权价值增加表!AK4</f>
        <v>0.109974296876806</v>
      </c>
      <c r="AL6" s="157">
        <f>股权价值增加表!AL31/股权价值增加表!AL4</f>
        <v>9.7043057457129211E-2</v>
      </c>
      <c r="AM6" s="157">
        <f>股权价值增加表!AM31/股权价值增加表!AM4</f>
        <v>0.1173061858561652</v>
      </c>
      <c r="AN6" s="157">
        <f>股权价值增加表!AN31/股权价值增加表!AN4</f>
        <v>8.3193918986147752E-2</v>
      </c>
      <c r="AO6" s="157">
        <f>股权价值增加表!AO31/股权价值增加表!AO4</f>
        <v>9.6790789223001064E-2</v>
      </c>
      <c r="AP6" s="157">
        <f>股权价值增加表!AP31/股权价值增加表!AP4</f>
        <v>9.3057075271298986E-2</v>
      </c>
      <c r="AQ6" s="157">
        <f>股权价值增加表!AQ31/股权价值增加表!AQ4</f>
        <v>0.10909927571931011</v>
      </c>
      <c r="AR6" s="157">
        <f>股权价值增加表!AR31/股权价值增加表!AR4</f>
        <v>8.9993361126269975E-2</v>
      </c>
      <c r="AS6" s="157">
        <f>股权价值增加表!AS31/股权价值增加表!AS4</f>
        <v>9.0980815229840556E-2</v>
      </c>
      <c r="AT6" s="157">
        <f>股权价值增加表!AT31/股权价值增加表!AT4</f>
        <v>8.489555709047647E-2</v>
      </c>
      <c r="AU6" s="157">
        <f>股权价值增加表!AU31/股权价值增加表!AU4</f>
        <v>9.0725042386858412E-2</v>
      </c>
      <c r="AV6" s="157">
        <f>股权价值增加表!AV31/股权价值增加表!AV4</f>
        <v>7.6579580569700864E-2</v>
      </c>
      <c r="AW6" s="157">
        <f>股权价值增加表!AW31/股权价值增加表!AW4</f>
        <v>5.5584919687040067E-2</v>
      </c>
      <c r="AX6" s="157">
        <f>股权价值增加表!AX31/股权价值增加表!AX4</f>
        <v>5.6584476441183924E-2</v>
      </c>
      <c r="AY6" s="157">
        <f>股权价值增加表!AY31/股权价值增加表!AY4</f>
        <v>6.6044785833992634E-2</v>
      </c>
      <c r="AZ6" s="157">
        <f>股权价值增加表!AZ31/股权价值增加表!AZ4</f>
        <v>6.1025687498510582E-2</v>
      </c>
      <c r="BA6" s="157">
        <f>股权价值增加表!BA31/股权价值增加表!BA4</f>
        <v>2.2513048493109509E-2</v>
      </c>
      <c r="BB6" s="157">
        <f>股权价值增加表!BB31/股权价值增加表!BB4</f>
        <v>3.7354929842004864E-2</v>
      </c>
      <c r="BC6" s="157">
        <f>股权价值增加表!BC31/股权价值增加表!BC4</f>
        <v>3.8851581405606683E-2</v>
      </c>
      <c r="BD6" s="157">
        <f>股权价值增加表!BD31/股权价值增加表!BD4</f>
        <v>3.8249769924873965E-2</v>
      </c>
      <c r="BE6" s="157">
        <f>股权价值增加表!BE31/股权价值增加表!BE4</f>
        <v>3.5614435120909345E-2</v>
      </c>
      <c r="BF6" s="157">
        <f>股权价值增加表!BF31/股权价值增加表!BF4</f>
        <v>5.7921923664044167E-2</v>
      </c>
      <c r="BG6" s="157">
        <f>股权价值增加表!BG31/股权价值增加表!BG4</f>
        <v>6.7838174631436918E-2</v>
      </c>
      <c r="BH6" s="157">
        <f>股权价值增加表!BH31/股权价值增加表!BH4</f>
        <v>6.4933927492751495E-2</v>
      </c>
      <c r="BI6" s="157">
        <f>股权价值增加表!BI31/股权价值增加表!BI4</f>
        <v>6.3570361873803979E-2</v>
      </c>
      <c r="BJ6" s="157">
        <f>股权价值增加表!BJ31/股权价值增加表!BJ4</f>
        <v>7.6345058549148206E-2</v>
      </c>
      <c r="BK6" s="157">
        <f>股权价值增加表!BK31/股权价值增加表!BK4</f>
        <v>8.3778302189428944E-2</v>
      </c>
      <c r="BL6" s="157">
        <f>股权价值增加表!BL31/股权价值增加表!BL4</f>
        <v>5.3349650578306387E-2</v>
      </c>
      <c r="BM6" s="157">
        <f>股权价值增加表!BM31/股权价值增加表!BM4</f>
        <v>6.2535482414546123E-2</v>
      </c>
      <c r="BN6" s="157">
        <f>股权价值增加表!BN31/股权价值增加表!BN4</f>
        <v>8.1266373629301655E-2</v>
      </c>
      <c r="BO6" s="157">
        <f>股权价值增加表!BO31/股权价值增加表!BO4</f>
        <v>8.5854905386533537E-2</v>
      </c>
      <c r="BP6" s="157">
        <f>股权价值增加表!BP31/股权价值增加表!BP4</f>
        <v>5.9108759161111045E-2</v>
      </c>
      <c r="BQ6" s="157">
        <f>股权价值增加表!BQ31/股权价值增加表!BQ4</f>
        <v>6.649147097035063E-2</v>
      </c>
      <c r="BR6" s="157">
        <f>股权价值增加表!BR31/股权价值增加表!BR4</f>
        <v>7.6749068955065336E-2</v>
      </c>
      <c r="BS6" s="157">
        <f>股权价值增加表!BS31/股权价值增加表!BS4</f>
        <v>5.7416908279063025E-2</v>
      </c>
      <c r="BT6" s="157">
        <f>股权价值增加表!BT31/股权价值增加表!BT4</f>
        <v>5.5922726001337165E-2</v>
      </c>
      <c r="BU6" s="157">
        <f>股权价值增加表!BU31/股权价值增加表!BU4</f>
        <v>5.6746344975817979E-2</v>
      </c>
      <c r="BV6" s="157">
        <f>股权价值增加表!BV31/股权价值增加表!BV4</f>
        <v>8.0039002484532953E-2</v>
      </c>
      <c r="BW6" s="157" t="e">
        <f>股权价值增加表!BW31/股权价值增加表!BW4</f>
        <v>#DIV/0!</v>
      </c>
      <c r="BX6" s="157" t="e">
        <f>股权价值增加表!BX31/股权价值增加表!BX4</f>
        <v>#DIV/0!</v>
      </c>
      <c r="BY6" s="157" t="e">
        <f>股权价值增加表!BY31/股权价值增加表!BY4</f>
        <v>#DIV/0!</v>
      </c>
      <c r="BZ6" s="157" t="e">
        <f>股权价值增加表!BZ31/股权价值增加表!BZ4</f>
        <v>#DIV/0!</v>
      </c>
      <c r="CA6" s="157" t="e">
        <f>股权价值增加表!CA31/股权价值增加表!CA4</f>
        <v>#DIV/0!</v>
      </c>
      <c r="CB6" s="157" t="e">
        <f>股权价值增加表!CB31/股权价值增加表!CB4</f>
        <v>#DIV/0!</v>
      </c>
      <c r="CC6" s="157" t="e">
        <f>股权价值增加表!CC31/股权价值增加表!CC4</f>
        <v>#DIV/0!</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1.0012346483243952</v>
      </c>
      <c r="F7" s="61">
        <f>股权价值增加表!F4/资产资本表!F70</f>
        <v>0.69743386391546891</v>
      </c>
      <c r="G7" s="61">
        <f>股权价值增加表!G4/资产资本表!G70</f>
        <v>0.48331120147691242</v>
      </c>
      <c r="H7" s="61">
        <f>股权价值增加表!H4/资产资本表!H70</f>
        <v>0.24768110106196004</v>
      </c>
      <c r="I7" s="61">
        <f>股权价值增加表!I4/资产资本表!I70</f>
        <v>1.003501641468636</v>
      </c>
      <c r="J7" s="61">
        <f>股权价值增加表!J4/资产资本表!J70</f>
        <v>0.78016787210569738</v>
      </c>
      <c r="K7" s="61">
        <f>股权价值增加表!K4/资产资本表!K70</f>
        <v>0.50316886989524401</v>
      </c>
      <c r="L7" s="61">
        <f>股权价值增加表!L4/资产资本表!L70</f>
        <v>0.26323713075808192</v>
      </c>
      <c r="M7" s="61">
        <f>股权价值增加表!M4/资产资本表!M70</f>
        <v>1.0202329739487517</v>
      </c>
      <c r="N7" s="61">
        <f>股权价值增加表!N4/资产资本表!N70</f>
        <v>1.0620100022733938</v>
      </c>
      <c r="O7" s="61">
        <f>股权价值增加表!O4/资产资本表!O70</f>
        <v>0.75650006760035249</v>
      </c>
      <c r="P7" s="61">
        <f>股权价值增加表!P4/资产资本表!P70</f>
        <v>0.39750892062064047</v>
      </c>
      <c r="Q7" s="61">
        <f>股权价值增加表!Q4/资产资本表!Q70</f>
        <v>1.3966878254788635</v>
      </c>
      <c r="R7" s="61">
        <f>股权价值增加表!R4/资产资本表!R70</f>
        <v>1.0919479530139087</v>
      </c>
      <c r="S7" s="61">
        <f>股权价值增加表!S4/资产资本表!S70</f>
        <v>0.76712314725722597</v>
      </c>
      <c r="T7" s="61">
        <f>股权价值增加表!T4/资产资本表!T70</f>
        <v>0.37544449056039725</v>
      </c>
      <c r="U7" s="61">
        <f>股权价值增加表!U4/资产资本表!U70</f>
        <v>1.3153305849097594</v>
      </c>
      <c r="V7" s="61">
        <f>股权价值增加表!V4/资产资本表!V70</f>
        <v>1.2447613563179467</v>
      </c>
      <c r="W7" s="61">
        <f>股权价值增加表!W4/资产资本表!W70</f>
        <v>0.90014770287514823</v>
      </c>
      <c r="X7" s="61">
        <f>股权价值增加表!X4/资产资本表!X70</f>
        <v>0.45319943317915945</v>
      </c>
      <c r="Y7" s="61">
        <f>股权价值增加表!Y4/资产资本表!Y70</f>
        <v>1.6412873109005903</v>
      </c>
      <c r="Z7" s="61">
        <f>股权价值增加表!Z4/资产资本表!Z70</f>
        <v>1.3883978080677337</v>
      </c>
      <c r="AA7" s="61">
        <f>股权价值增加表!AA4/资产资本表!AA70</f>
        <v>0.9088576666116468</v>
      </c>
      <c r="AB7" s="61">
        <f>股权价值增加表!AB4/资产资本表!AB70</f>
        <v>0.55997157108027118</v>
      </c>
      <c r="AC7" s="61">
        <f>股权价值增加表!AC4/资产资本表!AC70</f>
        <v>1.9929029583027369</v>
      </c>
      <c r="AD7" s="61">
        <f>股权价值增加表!AD4/资产资本表!AD70</f>
        <v>1.6761343440368548</v>
      </c>
      <c r="AE7" s="61">
        <f>股权价值增加表!AE4/资产资本表!AE70</f>
        <v>1.1751011290448314</v>
      </c>
      <c r="AF7" s="61">
        <f>股权价值增加表!AF4/资产资本表!AF70</f>
        <v>0.52848020283084374</v>
      </c>
      <c r="AG7" s="61">
        <f>股权价值增加表!AG4/资产资本表!AG70</f>
        <v>2.0132855665277818</v>
      </c>
      <c r="AH7" s="61">
        <f>股权价值增加表!AH4/资产资本表!AH70</f>
        <v>1.6300917127552652</v>
      </c>
      <c r="AI7" s="61">
        <f>股权价值增加表!AI4/资产资本表!AI70</f>
        <v>1.101602153425205</v>
      </c>
      <c r="AJ7" s="61">
        <f>股权价值增加表!AJ4/资产资本表!AJ70</f>
        <v>0.46628808060692067</v>
      </c>
      <c r="AK7" s="61">
        <f>股权价值增加表!AK4/资产资本表!AK70</f>
        <v>1.9429943269042604</v>
      </c>
      <c r="AL7" s="61">
        <f>股权价值增加表!AL4/资产资本表!AL70</f>
        <v>1.6458159437701028</v>
      </c>
      <c r="AM7" s="61">
        <f>股权价值增加表!AM4/资产资本表!AM70</f>
        <v>1.120491789904106</v>
      </c>
      <c r="AN7" s="61">
        <f>股权价值增加表!AN4/资产资本表!AN70</f>
        <v>0.45039572200612743</v>
      </c>
      <c r="AO7" s="61">
        <f>股权价值增加表!AO4/资产资本表!AO70</f>
        <v>1.9856081588569492</v>
      </c>
      <c r="AP7" s="61">
        <f>股权价值增加表!AP4/资产资本表!AP70</f>
        <v>1.7808924639722221</v>
      </c>
      <c r="AQ7" s="61">
        <f>股权价值增加表!AQ4/资产资本表!AQ70</f>
        <v>1.1030925957946478</v>
      </c>
      <c r="AR7" s="61">
        <f>股权价值增加表!AR4/资产资本表!AR70</f>
        <v>0.46163005395189544</v>
      </c>
      <c r="AS7" s="61">
        <f>股权价值增加表!AS4/资产资本表!AS70</f>
        <v>2.0403504738312739</v>
      </c>
      <c r="AT7" s="61">
        <f>股权价值增加表!AT4/资产资本表!AT70</f>
        <v>1.580553173859828</v>
      </c>
      <c r="AU7" s="61">
        <f>股权价值增加表!AU4/资产资本表!AU70</f>
        <v>1.0300073242032475</v>
      </c>
      <c r="AV7" s="61">
        <f>股权价值增加表!AV4/资产资本表!AV70</f>
        <v>0.42421551175747096</v>
      </c>
      <c r="AW7" s="61">
        <f>股权价值增加表!AW4/资产资本表!AW70</f>
        <v>1.9988830900348471</v>
      </c>
      <c r="AX7" s="61">
        <f>股权价值增加表!AX4/资产资本表!AX70</f>
        <v>1.6067030329110596</v>
      </c>
      <c r="AY7" s="61">
        <f>股权价值增加表!AY4/资产资本表!AY70</f>
        <v>0.91146638814980041</v>
      </c>
      <c r="AZ7" s="61">
        <f>股权价值增加表!AZ4/资产资本表!AZ70</f>
        <v>0.28806585692312414</v>
      </c>
      <c r="BA7" s="61">
        <f>股权价值增加表!BA4/资产资本表!BA70</f>
        <v>1.3289781319570075</v>
      </c>
      <c r="BB7" s="61">
        <f>股权价值增加表!BB4/资产资本表!BB70</f>
        <v>1.1309002166235531</v>
      </c>
      <c r="BC7" s="61">
        <f>股权价值增加表!BC4/资产资本表!BC70</f>
        <v>0.69136481513503478</v>
      </c>
      <c r="BD7" s="61">
        <f>股权价值增加表!BD4/资产资本表!BD70</f>
        <v>0.28011144290146078</v>
      </c>
      <c r="BE7" s="61">
        <f>股权价值增加表!BE4/资产资本表!BE70</f>
        <v>1.2072421564329718</v>
      </c>
      <c r="BF7" s="61">
        <f>股权价值增加表!BF4/资产资本表!BF70</f>
        <v>0.93275928507355765</v>
      </c>
      <c r="BG7" s="61">
        <f>股权价值增加表!BG4/资产资本表!BG70</f>
        <v>0.55456460478939196</v>
      </c>
      <c r="BH7" s="61">
        <f>股权价值增加表!BH4/资产资本表!BH70</f>
        <v>0.21657174429857784</v>
      </c>
      <c r="BI7" s="61">
        <f>股权价值增加表!BI4/资产资本表!BI70</f>
        <v>1.1358066774158764</v>
      </c>
      <c r="BJ7" s="61">
        <f>股权价值增加表!BJ4/资产资本表!BJ70</f>
        <v>0.86620792116688605</v>
      </c>
      <c r="BK7" s="61">
        <f>股权价值增加表!BK4/资产资本表!BK70</f>
        <v>0.60827539927420071</v>
      </c>
      <c r="BL7" s="61">
        <f>股权价值增加表!BL4/资产资本表!BL70</f>
        <v>0.17789778659144398</v>
      </c>
      <c r="BM7" s="61">
        <f>股权价值增加表!BM4/资产资本表!BM70</f>
        <v>1.0755792582319708</v>
      </c>
      <c r="BN7" s="61">
        <f>股权价值增加表!BN4/资产资本表!BN70</f>
        <v>0.78216520071754947</v>
      </c>
      <c r="BO7" s="61">
        <f>股权价值增加表!BO4/资产资本表!BO70</f>
        <v>0.51151310493177593</v>
      </c>
      <c r="BP7" s="61">
        <f>股权价值增加表!BP4/资产资本表!BP70</f>
        <v>0.17770759749834514</v>
      </c>
      <c r="BQ7" s="61">
        <f>股权价值增加表!BQ4/资产资本表!BQ70</f>
        <v>1.0530641824867688</v>
      </c>
      <c r="BR7" s="61">
        <f>股权价值增加表!BR4/资产资本表!BR70</f>
        <v>0.49238527160741891</v>
      </c>
      <c r="BS7" s="61">
        <f>股权价值增加表!BS4/资产资本表!BS70</f>
        <v>2.2290858854053641</v>
      </c>
      <c r="BT7" s="61">
        <f>股权价值增加表!BT4/资产资本表!BT70</f>
        <v>1.7179286838335579</v>
      </c>
      <c r="BU7" s="61">
        <f>股权价值增加表!BU4/资产资本表!BU70</f>
        <v>1.5990313046859046</v>
      </c>
      <c r="BV7" s="61">
        <f>股权价值增加表!BV4/资产资本表!BV70</f>
        <v>1.4666349610611027</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8.1223464810799381E-2</v>
      </c>
      <c r="F8" s="63">
        <f>股权价值增加表!F31/资产资本表!F70</f>
        <v>5.6853460085279833E-2</v>
      </c>
      <c r="G8" s="63">
        <f>股权价值增加表!G31/资产资本表!G70</f>
        <v>3.779810811610694E-2</v>
      </c>
      <c r="H8" s="63">
        <f>股权价值增加表!H31/资产资本表!H70</f>
        <v>2.1023198752179378E-2</v>
      </c>
      <c r="I8" s="63">
        <f>股权价值增加表!I31/资产资本表!I70</f>
        <v>4.7139600454379302E-2</v>
      </c>
      <c r="J8" s="63">
        <f>股权价值增加表!J31/资产资本表!J70</f>
        <v>8.4939789611354066E-2</v>
      </c>
      <c r="K8" s="63">
        <f>股权价值增加表!K31/资产资本表!K70</f>
        <v>6.3673042284823081E-2</v>
      </c>
      <c r="L8" s="63">
        <f>股权价值增加表!L31/资产资本表!L70</f>
        <v>2.2547414301275128E-2</v>
      </c>
      <c r="M8" s="63">
        <f>股权价值增加表!M31/资产资本表!M70</f>
        <v>0.46430988882167201</v>
      </c>
      <c r="N8" s="63">
        <f>股权价值增加表!N31/资产资本表!N70</f>
        <v>0.22060679526161503</v>
      </c>
      <c r="O8" s="63">
        <f>股权价值增加表!O31/资产资本表!O70</f>
        <v>0.1955318937708215</v>
      </c>
      <c r="P8" s="63">
        <f>股权价值增加表!P31/资产资本表!P70</f>
        <v>5.30096326206893E-2</v>
      </c>
      <c r="Q8" s="63">
        <f>股权价值增加表!Q31/资产资本表!Q70</f>
        <v>0.29693106026512139</v>
      </c>
      <c r="R8" s="63">
        <f>股权价值增加表!R31/资产资本表!R70</f>
        <v>0.23082422254739948</v>
      </c>
      <c r="S8" s="63">
        <f>股权价值增加表!S31/资产资本表!S70</f>
        <v>0.18509230292043069</v>
      </c>
      <c r="T8" s="63">
        <f>股权价值增加表!T31/资产资本表!T70</f>
        <v>5.1663004901240095E-2</v>
      </c>
      <c r="U8" s="63">
        <f>股权价值增加表!U31/资产资本表!U70</f>
        <v>0.28378646132011959</v>
      </c>
      <c r="V8" s="63">
        <f>股权价值增加表!V31/资产资本表!V70</f>
        <v>0.23659738140408523</v>
      </c>
      <c r="W8" s="63">
        <f>股权价值增加表!W31/资产资本表!W70</f>
        <v>0.19837144812502139</v>
      </c>
      <c r="X8" s="63">
        <f>股权价值增加表!X31/资产资本表!X70</f>
        <v>5.25653289771486E-2</v>
      </c>
      <c r="Y8" s="63">
        <f>股权价值增加表!Y31/资产资本表!Y70</f>
        <v>0.26664735528265537</v>
      </c>
      <c r="Z8" s="63">
        <f>股权价值增加表!Z31/资产资本表!Z70</f>
        <v>0.23539444993528386</v>
      </c>
      <c r="AA8" s="63">
        <f>股权价值增加表!AA31/资产资本表!AA70</f>
        <v>0.17932836756291659</v>
      </c>
      <c r="AB8" s="63">
        <f>股权价值增加表!AB31/资产资本表!AB70</f>
        <v>6.0345657283780267E-2</v>
      </c>
      <c r="AC8" s="63">
        <f>股权价值增加表!AC31/资产资本表!AC70</f>
        <v>0.25220137122586594</v>
      </c>
      <c r="AD8" s="63">
        <f>股权价值增加表!AD31/资产资本表!AD70</f>
        <v>0.19993484273006715</v>
      </c>
      <c r="AE8" s="63">
        <f>股权价值增加表!AE31/资产资本表!AE70</f>
        <v>0.1607537454038396</v>
      </c>
      <c r="AF8" s="63">
        <f>股权价值增加表!AF31/资产资本表!AF70</f>
        <v>4.8525901915725762E-2</v>
      </c>
      <c r="AG8" s="63">
        <f>股权价值增加表!AG31/资产资本表!AG70</f>
        <v>0.1969162736762704</v>
      </c>
      <c r="AH8" s="63">
        <f>股权价值增加表!AH31/资产资本表!AH70</f>
        <v>0.15241386533558701</v>
      </c>
      <c r="AI8" s="63">
        <f>股权价值增加表!AI31/资产资本表!AI70</f>
        <v>0.12111463912468155</v>
      </c>
      <c r="AJ8" s="63">
        <f>股权价值增加表!AJ31/资产资本表!AJ70</f>
        <v>3.4404760410156686E-2</v>
      </c>
      <c r="AK8" s="63">
        <f>股权价值增加表!AK31/资产资本表!AK70</f>
        <v>0.21367943493691896</v>
      </c>
      <c r="AL8" s="63">
        <f>股权价值增加表!AL31/资产资本表!AL70</f>
        <v>0.15971501119514145</v>
      </c>
      <c r="AM8" s="63">
        <f>股权价值增加表!AM31/资产资本表!AM70</f>
        <v>0.13144061815679825</v>
      </c>
      <c r="AN8" s="63">
        <f>股权价值增加表!AN31/资产资本表!AN70</f>
        <v>3.7470185208285288E-2</v>
      </c>
      <c r="AO8" s="63">
        <f>股权价值增加表!AO31/资产资本表!AO70</f>
        <v>0.19218858078339421</v>
      </c>
      <c r="AP8" s="63">
        <f>股权价值增加表!AP31/资产资本表!AP70</f>
        <v>0.16572464406995219</v>
      </c>
      <c r="AQ8" s="63">
        <f>股权价值增加表!AQ31/资产资本表!AQ70</f>
        <v>0.12034660325252977</v>
      </c>
      <c r="AR8" s="63">
        <f>股权价值增加表!AR31/资产资本表!AR70</f>
        <v>4.1543640152032421E-2</v>
      </c>
      <c r="AS8" s="63">
        <f>股权价值增加表!AS31/资产资本表!AS70</f>
        <v>0.18563274946376077</v>
      </c>
      <c r="AT8" s="63">
        <f>股权价值增加表!AT31/资产资本表!AT70</f>
        <v>0.13418194220595078</v>
      </c>
      <c r="AU8" s="63">
        <f>股权价值增加表!AU31/资产资本表!AU70</f>
        <v>9.3447458147114248E-2</v>
      </c>
      <c r="AV8" s="63">
        <f>股权价值增加表!AV31/资产资本表!AV70</f>
        <v>3.248624596154813E-2</v>
      </c>
      <c r="AW8" s="63">
        <f>股权价值增加表!AW31/资产资本表!AW70</f>
        <v>0.11110775602336945</v>
      </c>
      <c r="AX8" s="63">
        <f>股权价值增加表!AX31/资产资本表!AX70</f>
        <v>9.0914449913734624E-2</v>
      </c>
      <c r="AY8" s="63">
        <f>股权价值增加表!AY31/资产资本表!AY70</f>
        <v>6.0197602400236375E-2</v>
      </c>
      <c r="AZ8" s="63">
        <f>股权价值增加表!AZ31/资产资本表!AZ70</f>
        <v>1.7579416963581233E-2</v>
      </c>
      <c r="BA8" s="63">
        <f>股权价值增加表!BA31/资产资本表!BA70</f>
        <v>2.9919349131030195E-2</v>
      </c>
      <c r="BB8" s="63">
        <f>股权价值增加表!BB31/资产资本表!BB70</f>
        <v>4.2244698250280932E-2</v>
      </c>
      <c r="BC8" s="63">
        <f>股权价值增加表!BC31/资产资本表!BC70</f>
        <v>2.6860616396191018E-2</v>
      </c>
      <c r="BD8" s="63">
        <f>股权价值增加表!BD31/资产资本表!BD70</f>
        <v>1.0714198244305344E-2</v>
      </c>
      <c r="BE8" s="63">
        <f>股权价值增加表!BE31/资产资本表!BE70</f>
        <v>4.299524745550877E-2</v>
      </c>
      <c r="BF8" s="63">
        <f>股权价值增加表!BF31/资产资本表!BF70</f>
        <v>5.4027212106959023E-2</v>
      </c>
      <c r="BG8" s="63">
        <f>股权价值增加表!BG31/资产资本表!BG70</f>
        <v>3.7620650504116573E-2</v>
      </c>
      <c r="BH8" s="63">
        <f>股权价值增加表!BH31/资产资本表!BH70</f>
        <v>1.4062853941262572E-2</v>
      </c>
      <c r="BI8" s="63">
        <f>股权价值增加表!BI31/资产资本表!BI70</f>
        <v>7.220364150201021E-2</v>
      </c>
      <c r="BJ8" s="63">
        <f>股权价值增加表!BJ31/资产资本表!BJ70</f>
        <v>6.6130694457221861E-2</v>
      </c>
      <c r="BK8" s="63">
        <f>股权价值增加表!BK31/资产资本表!BK70</f>
        <v>5.096028021478953E-2</v>
      </c>
      <c r="BL8" s="63">
        <f>股权价值增加表!BL31/资产资本表!BL70</f>
        <v>9.4907847533076562E-3</v>
      </c>
      <c r="BM8" s="63">
        <f>股权价值增加表!BM31/资产资本表!BM70</f>
        <v>6.7261867788615967E-2</v>
      </c>
      <c r="BN8" s="63">
        <f>股权价值增加表!BN31/资产资本表!BN70</f>
        <v>6.3563729441350095E-2</v>
      </c>
      <c r="BO8" s="63">
        <f>股权价值增加表!BO31/资产资本表!BO70</f>
        <v>4.391590922788962E-2</v>
      </c>
      <c r="BP8" s="63">
        <f>股权价值增加表!BP31/资产资本表!BP70</f>
        <v>1.0504075581629342E-2</v>
      </c>
      <c r="BQ8" s="63">
        <f>股权价值增加表!BQ31/资产资本表!BQ70</f>
        <v>7.0019786519735019E-2</v>
      </c>
      <c r="BR8" s="63">
        <f>股权价值增加表!BR31/资产资本表!BR70</f>
        <v>3.7790111163056368E-2</v>
      </c>
      <c r="BS8" s="63">
        <f>股权价值增加表!BS31/资产资本表!BS70</f>
        <v>0.12798721982847377</v>
      </c>
      <c r="BT8" s="63">
        <f>股权价值增加表!BT31/资产资本表!BT70</f>
        <v>9.6071255075861853E-2</v>
      </c>
      <c r="BU8" s="63">
        <f>股权价值增加表!BU31/资产资本表!BU70</f>
        <v>9.0739182042838651E-2</v>
      </c>
      <c r="BV8" s="63">
        <f>股权价值增加表!BV31/资产资本表!BV70</f>
        <v>0.1173879992922725</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0.87542998509010483</v>
      </c>
      <c r="F9" s="157">
        <f>股权价值增加表!F38/股权价值增加表!F31</f>
        <v>1.084276815263072</v>
      </c>
      <c r="G9" s="157">
        <f>股权价值增加表!G38/股权价值增加表!G31</f>
        <v>1.0927732950044093</v>
      </c>
      <c r="H9" s="157">
        <f>股权价值增加表!H38/股权价值增加表!H31</f>
        <v>1.0882287410500815</v>
      </c>
      <c r="I9" s="157">
        <f>股权价值增加表!I38/股权价值增加表!I31</f>
        <v>0.9853721654946701</v>
      </c>
      <c r="J9" s="157">
        <f>股权价值增加表!J38/股权价值增加表!J31</f>
        <v>1.1009194918119045</v>
      </c>
      <c r="K9" s="157">
        <f>股权价值增加表!K38/股权价值增加表!K31</f>
        <v>1.0975081269127087</v>
      </c>
      <c r="L9" s="157">
        <f>股权价值增加表!L38/股权价值增加表!L31</f>
        <v>1.0704056302277321</v>
      </c>
      <c r="M9" s="157">
        <f>股权价值增加表!M38/股权价值增加表!M31</f>
        <v>0.99905279402792357</v>
      </c>
      <c r="N9" s="157">
        <f>股权价值增加表!N38/股权价值增加表!N31</f>
        <v>1.0388905103966712</v>
      </c>
      <c r="O9" s="157">
        <f>股权价值增加表!O38/股权价值增加表!O31</f>
        <v>1.0275276809763199</v>
      </c>
      <c r="P9" s="157">
        <f>股权价值增加表!P38/股权价值增加表!P31</f>
        <v>1.0289492824255588</v>
      </c>
      <c r="Q9" s="157">
        <f>股权价值增加表!Q38/股权价值增加表!Q31</f>
        <v>0.99817391015382562</v>
      </c>
      <c r="R9" s="157">
        <f>股权价值增加表!R38/股权价值增加表!R31</f>
        <v>1.0197857546659057</v>
      </c>
      <c r="S9" s="157">
        <f>股权价值增加表!S38/股权价值增加表!S31</f>
        <v>1.0161038675040337</v>
      </c>
      <c r="T9" s="157">
        <f>股权价值增加表!T38/股权价值增加表!T31</f>
        <v>1.0265866860104873</v>
      </c>
      <c r="U9" s="157">
        <f>股权价值增加表!U38/股权价值增加表!U31</f>
        <v>0.99799029671848394</v>
      </c>
      <c r="V9" s="157">
        <f>股权价值增加表!V38/股权价值增加表!V31</f>
        <v>1.0236956198267866</v>
      </c>
      <c r="W9" s="157">
        <f>股权价值增加表!W38/股权价值增加表!W31</f>
        <v>1.0133441188582604</v>
      </c>
      <c r="X9" s="157">
        <f>股权价值增加表!X38/股权价值增加表!X31</f>
        <v>1.0331567034603293</v>
      </c>
      <c r="Y9" s="157">
        <f>股权价值增加表!Y38/股权价值增加表!Y31</f>
        <v>0.99627863719170584</v>
      </c>
      <c r="Z9" s="157">
        <f>股权价值增加表!Z38/股权价值增加表!Z31</f>
        <v>1.0207982761967092</v>
      </c>
      <c r="AA9" s="157">
        <f>股权价值增加表!AA38/股权价值增加表!AA31</f>
        <v>1.0147385809616876</v>
      </c>
      <c r="AB9" s="157">
        <f>股权价值增加表!AB38/股权价值增加表!AB31</f>
        <v>1.0189007999366069</v>
      </c>
      <c r="AC9" s="157">
        <f>股权价值增加表!AC38/股权价值增加表!AC31</f>
        <v>0.99462776657260021</v>
      </c>
      <c r="AD9" s="157">
        <f>股权价值增加表!AD38/股权价值增加表!AD31</f>
        <v>1.0214421037717971</v>
      </c>
      <c r="AE9" s="157">
        <f>股权价值增加表!AE38/股权价值增加表!AE31</f>
        <v>1.0197321558396188</v>
      </c>
      <c r="AF9" s="157">
        <f>股权价值增加表!AF38/股权价值增加表!AF31</f>
        <v>1.0396192074597455</v>
      </c>
      <c r="AG9" s="157">
        <f>股权价值增加表!AG38/股权价值增加表!AG31</f>
        <v>0.99238886455810005</v>
      </c>
      <c r="AH9" s="157">
        <f>股权价值增加表!AH38/股权价值增加表!AH31</f>
        <v>1.0145743596090031</v>
      </c>
      <c r="AI9" s="157">
        <f>股权价值增加表!AI38/股权价值增加表!AI31</f>
        <v>1.0124841910894939</v>
      </c>
      <c r="AJ9" s="157">
        <f>股权价值增加表!AJ38/股权价值增加表!AJ31</f>
        <v>1.0061045598512446</v>
      </c>
      <c r="AK9" s="157">
        <f>股权价值增加表!AK38/股权价值增加表!AK31</f>
        <v>0.99295396356163201</v>
      </c>
      <c r="AL9" s="157">
        <f>股权价值增加表!AL38/股权价值增加表!AL31</f>
        <v>0.98873438165563643</v>
      </c>
      <c r="AM9" s="157">
        <f>股权价值增加表!AM38/股权价值增加表!AM31</f>
        <v>0.98901135543711749</v>
      </c>
      <c r="AN9" s="157">
        <f>股权价值增加表!AN38/股权价值增加表!AN31</f>
        <v>0.97009349710081683</v>
      </c>
      <c r="AO9" s="157">
        <f>股权价值增加表!AO38/股权价值增加表!AO31</f>
        <v>0.9568280618127557</v>
      </c>
      <c r="AP9" s="157">
        <f>股权价值增加表!AP38/股权价值增加表!AP31</f>
        <v>0.95114384282127729</v>
      </c>
      <c r="AQ9" s="157">
        <f>股权价值增加表!AQ38/股权价值增加表!AQ31</f>
        <v>0.94995450641005963</v>
      </c>
      <c r="AR9" s="157">
        <f>股权价值增加表!AR38/股权价值增加表!AR31</f>
        <v>0.92188404563929394</v>
      </c>
      <c r="AS9" s="157">
        <f>股权价值增加表!AS38/股权价值增加表!AS31</f>
        <v>0.92325035779092313</v>
      </c>
      <c r="AT9" s="157">
        <f>股权价值增加表!AT38/股权价值增加表!AT31</f>
        <v>0.92513462264548385</v>
      </c>
      <c r="AU9" s="157">
        <f>股权价值增加表!AU38/股权价值增加表!AU31</f>
        <v>0.92603510800470945</v>
      </c>
      <c r="AV9" s="157">
        <f>股权价值增加表!AV38/股权价值增加表!AV31</f>
        <v>0.87180411602078822</v>
      </c>
      <c r="AW9" s="157">
        <f>股权价值增加表!AW38/股权价值增加表!AW31</f>
        <v>0.85810782041115619</v>
      </c>
      <c r="AX9" s="157">
        <f>股权价值增加表!AX38/股权价值增加表!AX31</f>
        <v>0.87213142751049744</v>
      </c>
      <c r="AY9" s="157">
        <f>股权价值增加表!AY38/股权价值增加表!AY31</f>
        <v>0.89754708939343908</v>
      </c>
      <c r="AZ9" s="157">
        <f>股权价值增加表!AZ38/股权价值增加表!AZ31</f>
        <v>0.8626680391486371</v>
      </c>
      <c r="BA9" s="157">
        <f>股权价值增加表!BA38/股权价值增加表!BA31</f>
        <v>0.80408920656029137</v>
      </c>
      <c r="BB9" s="157">
        <f>股权价值增加表!BB38/股权价值增加表!BB31</f>
        <v>0.90184584003295265</v>
      </c>
      <c r="BC9" s="157">
        <f>股权价值增加表!BC38/股权价值增加表!BC31</f>
        <v>0.90598944169307949</v>
      </c>
      <c r="BD9" s="157">
        <f>股权价值增加表!BD38/股权价值增加表!BD31</f>
        <v>0.8722849094896562</v>
      </c>
      <c r="BE9" s="157">
        <f>股权价值增加表!BE38/股权价值增加表!BE31</f>
        <v>0.93005603861361053</v>
      </c>
      <c r="BF9" s="157">
        <f>股权价值增加表!BF38/股权价值增加表!BF31</f>
        <v>0.97490818409375934</v>
      </c>
      <c r="BG9" s="157">
        <f>股权价值增加表!BG38/股权价值增加表!BG31</f>
        <v>0.97856496982671193</v>
      </c>
      <c r="BH9" s="157">
        <f>股权价值增加表!BH38/股权价值增加表!BH31</f>
        <v>0.94280088762688052</v>
      </c>
      <c r="BI9" s="157">
        <f>股权价值增加表!BI38/股权价值增加表!BI31</f>
        <v>0.9675580710732119</v>
      </c>
      <c r="BJ9" s="157">
        <f>股权价值增加表!BJ38/股权价值增加表!BJ31</f>
        <v>1.0007286374784807</v>
      </c>
      <c r="BK9" s="157">
        <f>股权价值增加表!BK38/股权价值增加表!BK31</f>
        <v>1.0058286795425935</v>
      </c>
      <c r="BL9" s="157">
        <f>股权价值增加表!BL38/股权价值增加表!BL31</f>
        <v>1.0516642795478277</v>
      </c>
      <c r="BM9" s="157">
        <f>股权价值增加表!BM38/股权价值增加表!BM31</f>
        <v>0.98425904457052193</v>
      </c>
      <c r="BN9" s="157">
        <f>股权价值增加表!BN38/股权价值增加表!BN31</f>
        <v>0.97553794139319061</v>
      </c>
      <c r="BO9" s="157">
        <f>股权价值增加表!BO38/股权价值增加表!BO31</f>
        <v>0.97286253695557201</v>
      </c>
      <c r="BP9" s="157">
        <f>股权价值增加表!BP38/股权价值增加表!BP31</f>
        <v>0.90100123696104439</v>
      </c>
      <c r="BQ9" s="157">
        <f>股权价值增加表!BQ38/股权价值增加表!BQ31</f>
        <v>0.91303791892497499</v>
      </c>
      <c r="BR9" s="157">
        <f>股权价值增加表!BR38/股权价值增加表!BR31</f>
        <v>0.91491786162111199</v>
      </c>
      <c r="BS9" s="157">
        <f>股权价值增加表!BS38/股权价值增加表!BS31</f>
        <v>0.7607329892127872</v>
      </c>
      <c r="BT9" s="157">
        <f>股权价值增加表!BT38/股权价值增加表!BT31</f>
        <v>0.71489652006725046</v>
      </c>
      <c r="BU9" s="157">
        <f>股权价值增加表!BU38/股权价值增加表!BU31</f>
        <v>0.66503979825421733</v>
      </c>
      <c r="BV9" s="157">
        <f>股权价值增加表!BV38/股权价值增加表!BV31</f>
        <v>0.70668781229312727</v>
      </c>
      <c r="BW9" s="157" t="e">
        <f>股权价值增加表!BW38/股权价值增加表!BW31</f>
        <v>#DIV/0!</v>
      </c>
      <c r="BX9" s="157" t="e">
        <f>股权价值增加表!BX38/股权价值增加表!BX31</f>
        <v>#DIV/0!</v>
      </c>
      <c r="BY9" s="157" t="e">
        <f>股权价值增加表!BY38/股权价值增加表!BY31</f>
        <v>#DIV/0!</v>
      </c>
      <c r="BZ9" s="157" t="e">
        <f>股权价值增加表!BZ38/股权价值增加表!BZ31</f>
        <v>#DIV/0!</v>
      </c>
      <c r="CA9" s="157" t="e">
        <f>股权价值增加表!CA38/股权价值增加表!CA31</f>
        <v>#DIV/0!</v>
      </c>
      <c r="CB9" s="157" t="e">
        <f>股权价值增加表!CB38/股权价值增加表!CB31</f>
        <v>#DIV/0!</v>
      </c>
      <c r="CC9" s="157" t="e">
        <f>股权价值增加表!CC38/股权价值增加表!CC31</f>
        <v>#DIV/0!</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1.205279066008802</v>
      </c>
      <c r="F10" s="61">
        <f>资产资本表!F70/资产资本表!F107</f>
        <v>1.0104246081880777</v>
      </c>
      <c r="G10" s="61">
        <f>资产资本表!G70/资产资本表!G107</f>
        <v>1.0114937896759812</v>
      </c>
      <c r="H10" s="61">
        <f>资产资本表!H70/资产资本表!H107</f>
        <v>1.0062393854352432</v>
      </c>
      <c r="I10" s="61">
        <f>资产资本表!I70/资产资本表!I107</f>
        <v>1.0073144812567674</v>
      </c>
      <c r="J10" s="61">
        <f>资产资本表!J70/资产资本表!J107</f>
        <v>1.0007490669280374</v>
      </c>
      <c r="K10" s="61">
        <f>资产资本表!K70/资产资本表!K107</f>
        <v>1.0001944099823201</v>
      </c>
      <c r="L10" s="61">
        <f>资产资本表!L70/资产资本表!L107</f>
        <v>1.000202329594851</v>
      </c>
      <c r="M10" s="61">
        <f>资产资本表!M70/资产资本表!M107</f>
        <v>1.0002067258163507</v>
      </c>
      <c r="N10" s="61">
        <f>资产资本表!N70/资产资本表!N107</f>
        <v>1.0003146751670713</v>
      </c>
      <c r="O10" s="61">
        <f>资产资本表!O70/资产资本表!O107</f>
        <v>1.0005645070614095</v>
      </c>
      <c r="P10" s="61">
        <f>资产资本表!P70/资产资本表!P107</f>
        <v>1.0035770565219702</v>
      </c>
      <c r="Q10" s="61">
        <f>资产资本表!Q70/资产资本表!Q107</f>
        <v>1.003758224461192</v>
      </c>
      <c r="R10" s="61">
        <f>资产资本表!R70/资产资本表!R107</f>
        <v>1.0108726784646285</v>
      </c>
      <c r="S10" s="61">
        <f>资产资本表!S70/资产资本表!S107</f>
        <v>1.0107807586977664</v>
      </c>
      <c r="T10" s="61">
        <f>资产资本表!T70/资产资本表!T107</f>
        <v>1.0090609587206203</v>
      </c>
      <c r="U10" s="61">
        <f>资产资本表!U70/资产资本表!U107</f>
        <v>1.0094658965321976</v>
      </c>
      <c r="V10" s="61">
        <f>资产资本表!V70/资产资本表!V107</f>
        <v>1.0102628163238969</v>
      </c>
      <c r="W10" s="61">
        <f>资产资本表!W70/资产资本表!W107</f>
        <v>1.0063963106413336</v>
      </c>
      <c r="X10" s="61">
        <f>资产资本表!X70/资产资本表!X107</f>
        <v>1.0043897641265194</v>
      </c>
      <c r="Y10" s="61">
        <f>资产资本表!Y70/资产资本表!Y107</f>
        <v>1.0046781643434397</v>
      </c>
      <c r="Z10" s="61">
        <f>资产资本表!Z70/资产资本表!Z107</f>
        <v>1.00903009268329</v>
      </c>
      <c r="AA10" s="61">
        <f>资产资本表!AA70/资产资本表!AA107</f>
        <v>1.0053887365108403</v>
      </c>
      <c r="AB10" s="61">
        <f>资产资本表!AB70/资产资本表!AB107</f>
        <v>1.0080594739385043</v>
      </c>
      <c r="AC10" s="61">
        <f>资产资本表!AC70/资产资本表!AC107</f>
        <v>1.0072686888700255</v>
      </c>
      <c r="AD10" s="61">
        <f>资产资本表!AD70/资产资本表!AD107</f>
        <v>1.008902354218391</v>
      </c>
      <c r="AE10" s="61">
        <f>资产资本表!AE70/资产资本表!AE107</f>
        <v>1.0101446066269759</v>
      </c>
      <c r="AF10" s="61">
        <f>资产资本表!AF70/资产资本表!AF107</f>
        <v>1.0106265094896281</v>
      </c>
      <c r="AG10" s="61">
        <f>资产资本表!AG70/资产资本表!AG107</f>
        <v>1.01241788123161</v>
      </c>
      <c r="AH10" s="61">
        <f>资产资本表!AH70/资产资本表!AH107</f>
        <v>1.0149818812454148</v>
      </c>
      <c r="AI10" s="61">
        <f>资产资本表!AI70/资产资本表!AI107</f>
        <v>1.0142508880698418</v>
      </c>
      <c r="AJ10" s="61">
        <f>资产资本表!AJ70/资产资本表!AJ107</f>
        <v>1.0145911895493336</v>
      </c>
      <c r="AK10" s="61">
        <f>资产资本表!AK70/资产资本表!AK107</f>
        <v>1.0142727301486441</v>
      </c>
      <c r="AL10" s="61">
        <f>资产资本表!AL70/资产资本表!AL107</f>
        <v>1.012910241158508</v>
      </c>
      <c r="AM10" s="61">
        <f>资产资本表!AM70/资产资本表!AM107</f>
        <v>1.0117756405482159</v>
      </c>
      <c r="AN10" s="61">
        <f>资产资本表!AN70/资产资本表!AN107</f>
        <v>1.0912858611381315</v>
      </c>
      <c r="AO10" s="61">
        <f>资产资本表!AO70/资产资本表!AO107</f>
        <v>1.0972270561787214</v>
      </c>
      <c r="AP10" s="61">
        <f>资产资本表!AP70/资产资本表!AP107</f>
        <v>1.0716883281341854</v>
      </c>
      <c r="AQ10" s="61">
        <f>资产资本表!AQ70/资产资本表!AQ107</f>
        <v>1.1519175731490876</v>
      </c>
      <c r="AR10" s="61">
        <f>资产资本表!AR70/资产资本表!AR107</f>
        <v>1.2268728363147885</v>
      </c>
      <c r="AS10" s="61">
        <f>资产资本表!AS70/资产资本表!AS107</f>
        <v>1.2264241786040642</v>
      </c>
      <c r="AT10" s="61">
        <f>资产资本表!AT70/资产资本表!AT107</f>
        <v>1.2723691033277753</v>
      </c>
      <c r="AU10" s="61">
        <f>资产资本表!AU70/资产资本表!AU107</f>
        <v>1.3281026737247468</v>
      </c>
      <c r="AV10" s="61">
        <f>资产资本表!AV70/资产资本表!AV107</f>
        <v>1.345568231707482</v>
      </c>
      <c r="AW10" s="61">
        <f>资产资本表!AW70/资产资本表!AW107</f>
        <v>1.2622344505125598</v>
      </c>
      <c r="AX10" s="61">
        <f>资产资本表!AX70/资产资本表!AX107</f>
        <v>1.2919062517094448</v>
      </c>
      <c r="AY10" s="61">
        <f>资产资本表!AY70/资产资本表!AY107</f>
        <v>1.4543730040501159</v>
      </c>
      <c r="AZ10" s="61">
        <f>资产资本表!AZ70/资产资本表!AZ107</f>
        <v>1.2401458309820113</v>
      </c>
      <c r="BA10" s="61">
        <f>资产资本表!BA70/资产资本表!BA107</f>
        <v>1.1714766135948085</v>
      </c>
      <c r="BB10" s="61">
        <f>资产资本表!BB70/资产资本表!BB107</f>
        <v>1.0848942274179245</v>
      </c>
      <c r="BC10" s="61">
        <f>资产资本表!BC70/资产资本表!BC107</f>
        <v>1.129127211591654</v>
      </c>
      <c r="BD10" s="61">
        <f>资产资本表!BD70/资产资本表!BD107</f>
        <v>1.0772910055692817</v>
      </c>
      <c r="BE10" s="61">
        <f>资产资本表!BE70/资产资本表!BE107</f>
        <v>1.1069538267631163</v>
      </c>
      <c r="BF10" s="61">
        <f>资产资本表!BF70/资产资本表!BF107</f>
        <v>1.0714856197436446</v>
      </c>
      <c r="BG10" s="61">
        <f>资产资本表!BG70/资产资本表!BG107</f>
        <v>1.1026105396015073</v>
      </c>
      <c r="BH10" s="61">
        <f>资产资本表!BH70/资产资本表!BH107</f>
        <v>1.0547485242397951</v>
      </c>
      <c r="BI10" s="61">
        <f>资产资本表!BI70/资产资本表!BI107</f>
        <v>1.0562677220916501</v>
      </c>
      <c r="BJ10" s="61">
        <f>资产资本表!BJ70/资产资本表!BJ107</f>
        <v>1.0660598288170171</v>
      </c>
      <c r="BK10" s="61">
        <f>资产资本表!BK70/资产资本表!BK107</f>
        <v>0.99996329291702346</v>
      </c>
      <c r="BL10" s="61">
        <f>资产资本表!BL70/资产资本表!BL107</f>
        <v>1.1072402708750329</v>
      </c>
      <c r="BM10" s="61">
        <f>资产资本表!BM70/资产资本表!BM107</f>
        <v>1.0696027593156883</v>
      </c>
      <c r="BN10" s="61">
        <f>资产资本表!BN70/资产资本表!BN107</f>
        <v>1.1287462057737492</v>
      </c>
      <c r="BO10" s="61">
        <f>资产资本表!BO70/资产资本表!BO107</f>
        <v>1.1717784303003487</v>
      </c>
      <c r="BP10" s="61">
        <f>资产资本表!BP70/资产资本表!BP107</f>
        <v>1.1558041190734762</v>
      </c>
      <c r="BQ10" s="61">
        <f>资产资本表!BQ70/资产资本表!BQ107</f>
        <v>1.1540466312721624</v>
      </c>
      <c r="BR10" s="61">
        <f>资产资本表!BR70/资产资本表!BR107</f>
        <v>1.2105710764472841</v>
      </c>
      <c r="BS10" s="61">
        <f>资产资本表!BS70/资产资本表!BS107</f>
        <v>1.8355266740031244</v>
      </c>
      <c r="BT10" s="61">
        <f>资产资本表!BT70/资产资本表!BT107</f>
        <v>2.3637281461114319</v>
      </c>
      <c r="BU10" s="61">
        <f>资产资本表!BU70/资产资本表!BU107</f>
        <v>2.6358705032403362</v>
      </c>
      <c r="BV10" s="61">
        <f>资产资本表!BV70/资产资本表!BV107</f>
        <v>2.8645481069893783</v>
      </c>
      <c r="BW10" s="61" t="e">
        <f>资产资本表!BW70/资产资本表!BW107</f>
        <v>#DIV/0!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1.0551374347855009</v>
      </c>
      <c r="F11" s="28">
        <f t="shared" ref="F11:BQ11" si="2">F9*F10</f>
        <v>1.0955799762296061</v>
      </c>
      <c r="G11" s="28">
        <f t="shared" si="2"/>
        <v>1.105333401420719</v>
      </c>
      <c r="H11" s="28">
        <f t="shared" si="2"/>
        <v>1.0950186196072025</v>
      </c>
      <c r="I11" s="28">
        <f t="shared" si="2"/>
        <v>0.99257965173012119</v>
      </c>
      <c r="J11" s="28">
        <f t="shared" si="2"/>
        <v>1.1017441541936526</v>
      </c>
      <c r="K11" s="28">
        <f t="shared" si="2"/>
        <v>1.097721493448258</v>
      </c>
      <c r="L11" s="28">
        <f t="shared" si="2"/>
        <v>1.0706222049652223</v>
      </c>
      <c r="M11" s="28">
        <f t="shared" si="2"/>
        <v>0.99925932403234652</v>
      </c>
      <c r="N11" s="28">
        <f t="shared" si="2"/>
        <v>1.0392174234415992</v>
      </c>
      <c r="O11" s="28">
        <f t="shared" si="2"/>
        <v>1.0281077276080248</v>
      </c>
      <c r="P11" s="28">
        <f t="shared" si="2"/>
        <v>1.0326298921670356</v>
      </c>
      <c r="Q11" s="28">
        <f t="shared" si="2"/>
        <v>1.0019252717594893</v>
      </c>
      <c r="R11" s="28">
        <f t="shared" si="2"/>
        <v>1.0308735572791965</v>
      </c>
      <c r="S11" s="28">
        <f t="shared" si="2"/>
        <v>1.0270582381114619</v>
      </c>
      <c r="T11" s="28">
        <f t="shared" si="2"/>
        <v>1.0358885455955666</v>
      </c>
      <c r="U11" s="28">
        <f t="shared" si="2"/>
        <v>1.0074371696073583</v>
      </c>
      <c r="V11" s="28">
        <f t="shared" si="2"/>
        <v>1.0342016199446467</v>
      </c>
      <c r="W11" s="28">
        <f t="shared" si="2"/>
        <v>1.0198257826290462</v>
      </c>
      <c r="X11" s="28">
        <f t="shared" si="2"/>
        <v>1.0376920176942523</v>
      </c>
      <c r="Y11" s="28">
        <f t="shared" si="2"/>
        <v>1.0009393923883467</v>
      </c>
      <c r="Z11" s="28">
        <f t="shared" si="2"/>
        <v>1.0300161792417082</v>
      </c>
      <c r="AA11" s="28">
        <f t="shared" si="2"/>
        <v>1.0202067398018742</v>
      </c>
      <c r="AB11" s="28">
        <f t="shared" si="2"/>
        <v>1.027112604379617</v>
      </c>
      <c r="AC11" s="28">
        <f t="shared" si="2"/>
        <v>1.0018574063493049</v>
      </c>
      <c r="AD11" s="28">
        <f t="shared" si="2"/>
        <v>1.0305353431931521</v>
      </c>
      <c r="AE11" s="28">
        <f t="shared" si="2"/>
        <v>1.0300769374254899</v>
      </c>
      <c r="AF11" s="28">
        <f t="shared" si="2"/>
        <v>1.0506667308334161</v>
      </c>
      <c r="AG11" s="28">
        <f t="shared" si="2"/>
        <v>1.0047122316137549</v>
      </c>
      <c r="AH11" s="28">
        <f t="shared" si="2"/>
        <v>1.029774592179308</v>
      </c>
      <c r="AI11" s="28">
        <f t="shared" si="2"/>
        <v>1.0269129899691947</v>
      </c>
      <c r="AJ11" s="28">
        <f t="shared" si="2"/>
        <v>1.0207848221904829</v>
      </c>
      <c r="AK11" s="28">
        <f t="shared" si="2"/>
        <v>1.0071261275335737</v>
      </c>
      <c r="AL11" s="28">
        <f t="shared" si="2"/>
        <v>1.0014991809645191</v>
      </c>
      <c r="AM11" s="28">
        <f t="shared" si="2"/>
        <v>1.0006575976568488</v>
      </c>
      <c r="AN11" s="28">
        <f t="shared" si="2"/>
        <v>1.0586493173681664</v>
      </c>
      <c r="AO11" s="28">
        <f t="shared" si="2"/>
        <v>1.0498576375320017</v>
      </c>
      <c r="AP11" s="28">
        <f t="shared" si="2"/>
        <v>1.0193297547282589</v>
      </c>
      <c r="AQ11" s="28">
        <f t="shared" si="2"/>
        <v>1.0942692896259152</v>
      </c>
      <c r="AR11" s="28">
        <f t="shared" si="2"/>
        <v>1.1310344938268324</v>
      </c>
      <c r="AS11" s="28">
        <f t="shared" si="2"/>
        <v>1.1322965616996412</v>
      </c>
      <c r="AT11" s="28">
        <f t="shared" si="2"/>
        <v>1.177112710272914</v>
      </c>
      <c r="AU11" s="28">
        <f t="shared" si="2"/>
        <v>1.2298697029040393</v>
      </c>
      <c r="AV11" s="28">
        <f t="shared" si="2"/>
        <v>1.1730719227893964</v>
      </c>
      <c r="AW11" s="28">
        <f t="shared" si="2"/>
        <v>1.083133253177206</v>
      </c>
      <c r="AX11" s="28">
        <f t="shared" si="2"/>
        <v>1.1267120435130942</v>
      </c>
      <c r="AY11" s="28">
        <f t="shared" si="2"/>
        <v>1.3053682566775739</v>
      </c>
      <c r="AZ11" s="28">
        <f t="shared" si="2"/>
        <v>1.0698341722716087</v>
      </c>
      <c r="BA11" s="28">
        <f t="shared" si="2"/>
        <v>0.94197170072938663</v>
      </c>
      <c r="BB11" s="28">
        <f t="shared" si="2"/>
        <v>0.97840734587261935</v>
      </c>
      <c r="BC11" s="28">
        <f t="shared" si="2"/>
        <v>1.0229773320303861</v>
      </c>
      <c r="BD11" s="28">
        <f t="shared" si="2"/>
        <v>0.93970468728702161</v>
      </c>
      <c r="BE11" s="28">
        <f t="shared" si="2"/>
        <v>1.0295290910474808</v>
      </c>
      <c r="BF11" s="28">
        <f t="shared" si="2"/>
        <v>1.044600099826853</v>
      </c>
      <c r="BG11" s="28">
        <f t="shared" si="2"/>
        <v>1.0789760494157636</v>
      </c>
      <c r="BH11" s="28">
        <f t="shared" si="2"/>
        <v>0.99441784487642115</v>
      </c>
      <c r="BI11" s="28">
        <f t="shared" si="2"/>
        <v>1.0220003597238925</v>
      </c>
      <c r="BJ11" s="28">
        <f t="shared" si="2"/>
        <v>1.0668365999625959</v>
      </c>
      <c r="BK11" s="28">
        <f t="shared" si="2"/>
        <v>1.0057917585057934</v>
      </c>
      <c r="BL11" s="28">
        <f t="shared" si="2"/>
        <v>1.1644450417561329</v>
      </c>
      <c r="BM11" s="28">
        <f t="shared" si="2"/>
        <v>1.0527661899540532</v>
      </c>
      <c r="BN11" s="28">
        <f t="shared" si="2"/>
        <v>1.1011347499358981</v>
      </c>
      <c r="BO11" s="28">
        <f t="shared" si="2"/>
        <v>1.1399793364518152</v>
      </c>
      <c r="BP11" s="28">
        <f t="shared" si="2"/>
        <v>1.0413809409698724</v>
      </c>
      <c r="BQ11" s="28">
        <f t="shared" si="2"/>
        <v>1.0536883345591133</v>
      </c>
      <c r="BR11" s="28">
        <f t="shared" ref="BR11:CJ11" si="3">BR9*BR10</f>
        <v>1.107573100603517</v>
      </c>
      <c r="BS11" s="28">
        <f t="shared" si="3"/>
        <v>1.396345693494202</v>
      </c>
      <c r="BT11" s="28">
        <f t="shared" si="3"/>
        <v>1.6898210260400761</v>
      </c>
      <c r="BU11" s="28">
        <f t="shared" si="3"/>
        <v>1.7529587876991954</v>
      </c>
      <c r="BV11" s="28">
        <f t="shared" si="3"/>
        <v>2.0243412349367427</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0.82325021074762317</v>
      </c>
      <c r="F12" s="157">
        <f>F2/股权价值增加表!F38</f>
        <v>0.83607802094988182</v>
      </c>
      <c r="G12" s="157">
        <f>G2/股权价值增加表!G38</f>
        <v>0.83173130109156035</v>
      </c>
      <c r="H12" s="157">
        <f>H2/股权价值增加表!H38</f>
        <v>0.90031873048537592</v>
      </c>
      <c r="I12" s="157">
        <f>I2/股权价值增加表!I38</f>
        <v>0.69731385293709447</v>
      </c>
      <c r="J12" s="157">
        <f>J2/股权价值增加表!J38</f>
        <v>0.81748142695587456</v>
      </c>
      <c r="K12" s="157">
        <f>K2/股权价值增加表!K38</f>
        <v>0.83623618777124964</v>
      </c>
      <c r="L12" s="157">
        <f>L2/股权价值增加表!L38</f>
        <v>0.85679680105009315</v>
      </c>
      <c r="M12" s="157">
        <f>M2/股权价值增加表!M38</f>
        <v>0.84894410883739835</v>
      </c>
      <c r="N12" s="157">
        <f>N2/股权价值增加表!N38</f>
        <v>0.82646986694305979</v>
      </c>
      <c r="O12" s="157">
        <f>O2/股权价值增加表!O38</f>
        <v>0.85709842795169566</v>
      </c>
      <c r="P12" s="157">
        <f>P2/股权价值增加表!P38</f>
        <v>0.86335370436961978</v>
      </c>
      <c r="Q12" s="157">
        <f>Q2/股权价值增加表!Q38</f>
        <v>0.79279426265289266</v>
      </c>
      <c r="R12" s="157">
        <f>R2/股权价值增加表!R38</f>
        <v>0.8295178495034391</v>
      </c>
      <c r="S12" s="157">
        <f>S2/股权价值增加表!S38</f>
        <v>0.84112785559882219</v>
      </c>
      <c r="T12" s="157">
        <f>T2/股权价值增加表!T38</f>
        <v>0.86251088648279661</v>
      </c>
      <c r="U12" s="157">
        <f>U2/股权价值增加表!U38</f>
        <v>0.85351354327281459</v>
      </c>
      <c r="V12" s="157">
        <f>V2/股权价值增加表!V38</f>
        <v>0.82757595109070137</v>
      </c>
      <c r="W12" s="157">
        <f>W2/股权价值增加表!W38</f>
        <v>0.82317862094684779</v>
      </c>
      <c r="X12" s="157">
        <f>X2/股权价值增加表!X38</f>
        <v>0.8356695692048054</v>
      </c>
      <c r="Y12" s="157">
        <f>Y2/股权价值增加表!Y38</f>
        <v>0.86909818695005858</v>
      </c>
      <c r="Z12" s="157">
        <f>Z2/股权价值增加表!Z38</f>
        <v>0.78500496821512322</v>
      </c>
      <c r="AA12" s="157">
        <f>AA2/股权价值增加表!AA38</f>
        <v>0.77228195492908269</v>
      </c>
      <c r="AB12" s="157">
        <f>AB2/股权价值增加表!AB38</f>
        <v>0.77451521390836675</v>
      </c>
      <c r="AC12" s="157">
        <f>AC2/股权价值增加表!AC38</f>
        <v>0.80618299410315408</v>
      </c>
      <c r="AD12" s="157">
        <f>AD2/股权价值增加表!AD38</f>
        <v>0.80161382984488549</v>
      </c>
      <c r="AE12" s="157">
        <f>AE2/股权价值增加表!AE38</f>
        <v>0.76732956638674732</v>
      </c>
      <c r="AF12" s="157">
        <f>AF2/股权价值增加表!AF38</f>
        <v>0.76138315599873096</v>
      </c>
      <c r="AG12" s="157">
        <f>AG2/股权价值增加表!AG38</f>
        <v>0.82470266396599545</v>
      </c>
      <c r="AH12" s="157">
        <f>AH2/股权价值增加表!AH38</f>
        <v>0.88486538234816403</v>
      </c>
      <c r="AI12" s="157">
        <f>AI2/股权价值增加表!AI38</f>
        <v>0.86945785506585094</v>
      </c>
      <c r="AJ12" s="157">
        <f>AJ2/股权价值增加表!AJ38</f>
        <v>0.84083449164449586</v>
      </c>
      <c r="AK12" s="157">
        <f>AK2/股权价值增加表!AK38</f>
        <v>0.81089306655629523</v>
      </c>
      <c r="AL12" s="157">
        <f>AL2/股权价值增加表!AL38</f>
        <v>0.88784293839342476</v>
      </c>
      <c r="AM12" s="157">
        <f>AM2/股权价值增加表!AM38</f>
        <v>0.86198229117480674</v>
      </c>
      <c r="AN12" s="157">
        <f>AN2/股权价值增加表!AN38</f>
        <v>0.73110271172073293</v>
      </c>
      <c r="AO12" s="157">
        <f>AO2/股权价值增加表!AO38</f>
        <v>0.80814707924820217</v>
      </c>
      <c r="AP12" s="157">
        <f>AP2/股权价值增加表!AP38</f>
        <v>0.85570501976491919</v>
      </c>
      <c r="AQ12" s="157">
        <f>AQ2/股权价值增加表!AQ38</f>
        <v>0.79775908520901961</v>
      </c>
      <c r="AR12" s="157">
        <f>AR2/股权价值增加表!AR38</f>
        <v>0.66934909079140026</v>
      </c>
      <c r="AS12" s="157">
        <f>AS2/股权价值增加表!AS38</f>
        <v>0.78485915536562367</v>
      </c>
      <c r="AT12" s="157">
        <f>AT2/股权价值增加表!AT38</f>
        <v>0.78722458001186957</v>
      </c>
      <c r="AU12" s="157">
        <f>AU2/股权价值增加表!AU38</f>
        <v>0.76273903269078847</v>
      </c>
      <c r="AV12" s="157">
        <f>AV2/股权价值增加表!AV38</f>
        <v>0.69791957646122216</v>
      </c>
      <c r="AW12" s="157">
        <f>AW2/股权价值增加表!AW38</f>
        <v>0.74476814469251595</v>
      </c>
      <c r="AX12" s="157">
        <f>AX2/股权价值增加表!AX38</f>
        <v>0.83736180139138261</v>
      </c>
      <c r="AY12" s="157">
        <f>AY2/股权价值增加表!AY38</f>
        <v>0.84018048209363583</v>
      </c>
      <c r="AZ12" s="157">
        <f>AZ2/股权价值增加表!AZ38</f>
        <v>0.76559600397330851</v>
      </c>
      <c r="BA12" s="157">
        <f>BA2/股权价值增加表!BA38</f>
        <v>0.84813604903533613</v>
      </c>
      <c r="BB12" s="157">
        <f>BB2/股权价值增加表!BB38</f>
        <v>0.81392773062831558</v>
      </c>
      <c r="BC12" s="157">
        <f>BC2/股权价值增加表!BC38</f>
        <v>0.88840597497906204</v>
      </c>
      <c r="BD12" s="157">
        <f>BD2/股权价值增加表!BD38</f>
        <v>0.91630130962595002</v>
      </c>
      <c r="BE12" s="157">
        <f>BE2/股权价值增加表!BE38</f>
        <v>0.81245333061356539</v>
      </c>
      <c r="BF12" s="157">
        <f>BF2/股权价值增加表!BF38</f>
        <v>0.89670107394108123</v>
      </c>
      <c r="BG12" s="157">
        <f>BG2/股权价值增加表!BG38</f>
        <v>0.89785935144428863</v>
      </c>
      <c r="BH12" s="157">
        <f>BH2/股权价值增加表!BH38</f>
        <v>0.89402753032947546</v>
      </c>
      <c r="BI12" s="157">
        <f>BI2/股权价值增加表!BI38</f>
        <v>0.92941951745810936</v>
      </c>
      <c r="BJ12" s="157">
        <f>BJ2/股权价值增加表!BJ38</f>
        <v>0.92017862209634638</v>
      </c>
      <c r="BK12" s="157">
        <f>BK2/股权价值增加表!BK38</f>
        <v>0.92907808816858084</v>
      </c>
      <c r="BL12" s="157">
        <f>BL2/股权价值增加表!BL38</f>
        <v>0.95895933670857381</v>
      </c>
      <c r="BM12" s="157">
        <f>BM2/股权价值增加表!BM38</f>
        <v>0.80189888263067199</v>
      </c>
      <c r="BN12" s="157">
        <f>BN2/股权价值增加表!BN38</f>
        <v>0.84736833871710737</v>
      </c>
      <c r="BO12" s="157">
        <f>BO2/股权价值增加表!BO38</f>
        <v>0.871522429971196</v>
      </c>
      <c r="BP12" s="157">
        <f>BP2/股权价值增加表!BP38</f>
        <v>0.85555714620460199</v>
      </c>
      <c r="BQ12" s="157">
        <f>BQ2/股权价值增加表!BQ38</f>
        <v>0.84044337536937963</v>
      </c>
      <c r="BR12" s="157">
        <f>BR2/股权价值增加表!BR38</f>
        <v>0.89212670648187176</v>
      </c>
      <c r="BS12" s="157">
        <f>BS2/股权价值增加表!BS38</f>
        <v>0.81546246436382464</v>
      </c>
      <c r="BT12" s="157">
        <f>BT2/股权价值增加表!BT38</f>
        <v>0.86535964879591731</v>
      </c>
      <c r="BU12" s="157">
        <f>BU2/股权价值增加表!BU38</f>
        <v>0.83738355311023838</v>
      </c>
      <c r="BV12" s="157">
        <f>BV2/股权价值增加表!BV38</f>
        <v>0.99943192927302982</v>
      </c>
      <c r="BW12" s="157" t="e">
        <f>BW2/股权价值增加表!BW38</f>
        <v>#DIV/0!</v>
      </c>
      <c r="BX12" s="157">
        <f>BX2/股权价值增加表!BX38</f>
        <v>-5.948062846312304</v>
      </c>
      <c r="BY12" s="157">
        <f>BY2/股权价值增加表!BY38</f>
        <v>-5.0894858138564683</v>
      </c>
      <c r="BZ12" s="157">
        <f>BZ2/股权价值增加表!BZ38</f>
        <v>-10.640426755835241</v>
      </c>
      <c r="CA12" s="157">
        <f>CA2/股权价值增加表!CA38</f>
        <v>15.20372750495731</v>
      </c>
      <c r="CB12" s="157">
        <f>CB2/股权价值增加表!CB38</f>
        <v>8.8774211764848925</v>
      </c>
      <c r="CC12" s="157">
        <f>CC2/股权价值增加表!CC38</f>
        <v>9.6111449985966146</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0.17674978925237683</v>
      </c>
      <c r="F13" s="63">
        <f>1-F2/股权价值增加表!F38</f>
        <v>0.16392197905011818</v>
      </c>
      <c r="G13" s="63">
        <f>1-G2/股权价值增加表!G38</f>
        <v>0.16826869890843965</v>
      </c>
      <c r="H13" s="63">
        <f>1-H2/股权价值增加表!H38</f>
        <v>9.9681269514624082E-2</v>
      </c>
      <c r="I13" s="63">
        <f>1-I2/股权价值增加表!I38</f>
        <v>0.30268614706290553</v>
      </c>
      <c r="J13" s="63">
        <f>1-J2/股权价值增加表!J38</f>
        <v>0.18251857304412544</v>
      </c>
      <c r="K13" s="63">
        <f>1-K2/股权价值增加表!K38</f>
        <v>0.16376381222875036</v>
      </c>
      <c r="L13" s="63">
        <f>1-L2/股权价值增加表!L38</f>
        <v>0.14320319894990685</v>
      </c>
      <c r="M13" s="63">
        <f>1-M2/股权价值增加表!M38</f>
        <v>0.15105589116260165</v>
      </c>
      <c r="N13" s="63">
        <f>1-N2/股权价值增加表!N38</f>
        <v>0.17353013305694021</v>
      </c>
      <c r="O13" s="63">
        <f>1-O2/股权价值增加表!O38</f>
        <v>0.14290157204830434</v>
      </c>
      <c r="P13" s="63">
        <f>1-P2/股权价值增加表!P38</f>
        <v>0.13664629563038022</v>
      </c>
      <c r="Q13" s="63">
        <f>1-Q2/股权价值增加表!Q38</f>
        <v>0.20720573734710734</v>
      </c>
      <c r="R13" s="63">
        <f>1-R2/股权价值增加表!R38</f>
        <v>0.1704821504965609</v>
      </c>
      <c r="S13" s="63">
        <f>1-S2/股权价值增加表!S38</f>
        <v>0.15887214440117781</v>
      </c>
      <c r="T13" s="63">
        <f>1-T2/股权价值增加表!T38</f>
        <v>0.13748911351720339</v>
      </c>
      <c r="U13" s="63">
        <f>1-U2/股权价值增加表!U38</f>
        <v>0.14648645672718541</v>
      </c>
      <c r="V13" s="63">
        <f>1-V2/股权价值增加表!V38</f>
        <v>0.17242404890929863</v>
      </c>
      <c r="W13" s="63">
        <f>1-W2/股权价值增加表!W38</f>
        <v>0.17682137905315221</v>
      </c>
      <c r="X13" s="63">
        <f>1-X2/股权价值增加表!X38</f>
        <v>0.1643304307951946</v>
      </c>
      <c r="Y13" s="63">
        <f>1-Y2/股权价值增加表!Y38</f>
        <v>0.13090181304994142</v>
      </c>
      <c r="Z13" s="63">
        <f>1-Z2/股权价值增加表!Z38</f>
        <v>0.21499503178487678</v>
      </c>
      <c r="AA13" s="63">
        <f>1-AA2/股权价值增加表!AA38</f>
        <v>0.22771804507091731</v>
      </c>
      <c r="AB13" s="63">
        <f>1-AB2/股权价值增加表!AB38</f>
        <v>0.22548478609163325</v>
      </c>
      <c r="AC13" s="63">
        <f>1-AC2/股权价值增加表!AC38</f>
        <v>0.19381700589684592</v>
      </c>
      <c r="AD13" s="63">
        <f>1-AD2/股权价值增加表!AD38</f>
        <v>0.19838617015511451</v>
      </c>
      <c r="AE13" s="63">
        <f>1-AE2/股权价值增加表!AE38</f>
        <v>0.23267043361325268</v>
      </c>
      <c r="AF13" s="63">
        <f>1-AF2/股权价值增加表!AF38</f>
        <v>0.23861684400126904</v>
      </c>
      <c r="AG13" s="63">
        <f>1-AG2/股权价值增加表!AG38</f>
        <v>0.17529733603400455</v>
      </c>
      <c r="AH13" s="63">
        <f>1-AH2/股权价值增加表!AH38</f>
        <v>0.11513461765183597</v>
      </c>
      <c r="AI13" s="63">
        <f>1-AI2/股权价值增加表!AI38</f>
        <v>0.13054214493414906</v>
      </c>
      <c r="AJ13" s="63">
        <f>1-AJ2/股权价值增加表!AJ38</f>
        <v>0.15916550835550414</v>
      </c>
      <c r="AK13" s="63">
        <f>1-AK2/股权价值增加表!AK38</f>
        <v>0.18910693344370477</v>
      </c>
      <c r="AL13" s="63">
        <f>1-AL2/股权价值增加表!AL38</f>
        <v>0.11215706160657524</v>
      </c>
      <c r="AM13" s="63">
        <f>1-AM2/股权价值增加表!AM38</f>
        <v>0.13801770882519326</v>
      </c>
      <c r="AN13" s="63">
        <f>1-AN2/股权价值增加表!AN38</f>
        <v>0.26889728827926707</v>
      </c>
      <c r="AO13" s="63">
        <f>1-AO2/股权价值增加表!AO38</f>
        <v>0.19185292075179783</v>
      </c>
      <c r="AP13" s="63">
        <f>1-AP2/股权价值增加表!AP38</f>
        <v>0.14429498023508081</v>
      </c>
      <c r="AQ13" s="63">
        <f>1-AQ2/股权价值增加表!AQ38</f>
        <v>0.20224091479098039</v>
      </c>
      <c r="AR13" s="63">
        <f>1-AR2/股权价值增加表!AR38</f>
        <v>0.33065090920859974</v>
      </c>
      <c r="AS13" s="63">
        <f>1-AS2/股权价值增加表!AS38</f>
        <v>0.21514084463437633</v>
      </c>
      <c r="AT13" s="63">
        <f>1-AT2/股权价值增加表!AT38</f>
        <v>0.21277541998813043</v>
      </c>
      <c r="AU13" s="63">
        <f>1-AU2/股权价值增加表!AU38</f>
        <v>0.23726096730921153</v>
      </c>
      <c r="AV13" s="63">
        <f>1-AV2/股权价值增加表!AV38</f>
        <v>0.30208042353877784</v>
      </c>
      <c r="AW13" s="63">
        <f>1-AW2/股权价值增加表!AW38</f>
        <v>0.25523185530748405</v>
      </c>
      <c r="AX13" s="63">
        <f>1-AX2/股权价值增加表!AX38</f>
        <v>0.16263819860861739</v>
      </c>
      <c r="AY13" s="63">
        <f>1-AY2/股权价值增加表!AY38</f>
        <v>0.15981951790636417</v>
      </c>
      <c r="AZ13" s="63">
        <f>1-AZ2/股权价值增加表!AZ38</f>
        <v>0.23440399602669149</v>
      </c>
      <c r="BA13" s="63">
        <f>1-BA2/股权价值增加表!BA38</f>
        <v>0.15186395096466387</v>
      </c>
      <c r="BB13" s="63">
        <f>1-BB2/股权价值增加表!BB38</f>
        <v>0.18607226937168442</v>
      </c>
      <c r="BC13" s="63">
        <f>1-BC2/股权价值增加表!BC38</f>
        <v>0.11159402502093796</v>
      </c>
      <c r="BD13" s="63">
        <f>1-BD2/股权价值增加表!BD38</f>
        <v>8.3698690374049978E-2</v>
      </c>
      <c r="BE13" s="63">
        <f>1-BE2/股权价值增加表!BE38</f>
        <v>0.18754666938643461</v>
      </c>
      <c r="BF13" s="63">
        <f>1-BF2/股权价值增加表!BF38</f>
        <v>0.10329892605891877</v>
      </c>
      <c r="BG13" s="63">
        <f>1-BG2/股权价值增加表!BG38</f>
        <v>0.10214064855571137</v>
      </c>
      <c r="BH13" s="63">
        <f>1-BH2/股权价值增加表!BH38</f>
        <v>0.10597246967052454</v>
      </c>
      <c r="BI13" s="63">
        <f>1-BI2/股权价值增加表!BI38</f>
        <v>7.0580482541890643E-2</v>
      </c>
      <c r="BJ13" s="63">
        <f>1-BJ2/股权价值增加表!BJ38</f>
        <v>7.9821377903653623E-2</v>
      </c>
      <c r="BK13" s="63">
        <f>1-BK2/股权价值增加表!BK38</f>
        <v>7.092191183141916E-2</v>
      </c>
      <c r="BL13" s="63">
        <f>1-BL2/股权价值增加表!BL38</f>
        <v>4.1040663291426194E-2</v>
      </c>
      <c r="BM13" s="63">
        <f>1-BM2/股权价值增加表!BM38</f>
        <v>0.19810111736932801</v>
      </c>
      <c r="BN13" s="63">
        <f>1-BN2/股权价值增加表!BN38</f>
        <v>0.15263166128289263</v>
      </c>
      <c r="BO13" s="63">
        <f>1-BO2/股权价值增加表!BO38</f>
        <v>0.128477570028804</v>
      </c>
      <c r="BP13" s="63">
        <f>1-BP2/股权价值增加表!BP38</f>
        <v>0.14444285379539801</v>
      </c>
      <c r="BQ13" s="63">
        <f>1-BQ2/股权价值增加表!BQ38</f>
        <v>0.15955662463062037</v>
      </c>
      <c r="BR13" s="63">
        <f>1-BR2/股权价值增加表!BR38</f>
        <v>0.10787329351812824</v>
      </c>
      <c r="BS13" s="63">
        <f>1-BS2/股权价值增加表!BS38</f>
        <v>0.18453753563617536</v>
      </c>
      <c r="BT13" s="63">
        <f>1-BT2/股权价值增加表!BT38</f>
        <v>0.13464035120408269</v>
      </c>
      <c r="BU13" s="63">
        <f>1-BU2/股权价值增加表!BU38</f>
        <v>0.16261644688976162</v>
      </c>
      <c r="BV13" s="63">
        <f>1-BV2/股权价值增加表!BV38</f>
        <v>5.6807072697018235E-4</v>
      </c>
      <c r="BW13" s="63" t="e">
        <f>1-BW2/股权价值增加表!BW38</f>
        <v>#DIV/0!</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7.0554122305949332E-2</v>
      </c>
      <c r="F14" s="59">
        <f t="shared" ref="F14:BQ14" si="4">F6*F7*F9*F10*F12</f>
        <v>5.2077220138085273E-2</v>
      </c>
      <c r="G14" s="59">
        <f t="shared" si="4"/>
        <v>3.4749327385044139E-2</v>
      </c>
      <c r="H14" s="59">
        <f t="shared" si="4"/>
        <v>2.0726052098475396E-2</v>
      </c>
      <c r="I14" s="59">
        <f t="shared" si="4"/>
        <v>3.2627181435318481E-2</v>
      </c>
      <c r="J14" s="59">
        <f t="shared" si="4"/>
        <v>7.650147877072902E-2</v>
      </c>
      <c r="K14" s="59">
        <f t="shared" si="4"/>
        <v>5.8448951677276491E-2</v>
      </c>
      <c r="L14" s="59">
        <f t="shared" si="4"/>
        <v>2.0682871215705868E-2</v>
      </c>
      <c r="M14" s="59">
        <f t="shared" si="4"/>
        <v>0.39388119021466544</v>
      </c>
      <c r="N14" s="59">
        <f t="shared" si="4"/>
        <v>0.18947518030738689</v>
      </c>
      <c r="O14" s="59">
        <f t="shared" si="4"/>
        <v>0.17230065504913403</v>
      </c>
      <c r="P14" s="59">
        <f t="shared" si="4"/>
        <v>4.7259404380840489E-2</v>
      </c>
      <c r="Q14" s="59">
        <f t="shared" si="4"/>
        <v>0.23585846004412628</v>
      </c>
      <c r="R14" s="59">
        <f t="shared" si="4"/>
        <v>0.1973842595511498</v>
      </c>
      <c r="S14" s="59">
        <f t="shared" si="4"/>
        <v>0.15989888859869628</v>
      </c>
      <c r="T14" s="59">
        <f t="shared" si="4"/>
        <v>4.6159094307760794E-2</v>
      </c>
      <c r="U14" s="59">
        <f t="shared" si="4"/>
        <v>0.24401698654468879</v>
      </c>
      <c r="V14" s="59">
        <f t="shared" si="4"/>
        <v>0.20249905889053182</v>
      </c>
      <c r="W14" s="59">
        <f t="shared" si="4"/>
        <v>0.16653258895571282</v>
      </c>
      <c r="X14" s="59">
        <f t="shared" si="4"/>
        <v>4.5582952348204239E-2</v>
      </c>
      <c r="Y14" s="59">
        <f t="shared" si="4"/>
        <v>0.23196043039064812</v>
      </c>
      <c r="Z14" s="59">
        <f t="shared" si="4"/>
        <v>0.19033237676447559</v>
      </c>
      <c r="AA14" s="59">
        <f t="shared" si="4"/>
        <v>0.14129053534276095</v>
      </c>
      <c r="AB14" s="59">
        <f t="shared" si="4"/>
        <v>4.8005835634793909E-2</v>
      </c>
      <c r="AC14" s="59">
        <f t="shared" si="4"/>
        <v>0.20369810527876966</v>
      </c>
      <c r="AD14" s="59">
        <f t="shared" si="4"/>
        <v>0.16516445079026776</v>
      </c>
      <c r="AE14" s="59">
        <f t="shared" si="4"/>
        <v>0.12706112512464746</v>
      </c>
      <c r="AF14" s="59">
        <f t="shared" si="4"/>
        <v>3.8818778139349343E-2</v>
      </c>
      <c r="AG14" s="59">
        <f t="shared" si="4"/>
        <v>0.16316262952580057</v>
      </c>
      <c r="AH14" s="59">
        <f t="shared" si="4"/>
        <v>0.13888132602657532</v>
      </c>
      <c r="AI14" s="59">
        <f t="shared" si="4"/>
        <v>0.1081381218471284</v>
      </c>
      <c r="AJ14" s="59">
        <f t="shared" si="4"/>
        <v>2.9529987307162709E-2</v>
      </c>
      <c r="AK14" s="59">
        <f t="shared" si="4"/>
        <v>0.17450592472740278</v>
      </c>
      <c r="AL14" s="59">
        <f t="shared" si="4"/>
        <v>0.14201443147155843</v>
      </c>
      <c r="AM14" s="59">
        <f t="shared" si="4"/>
        <v>0.11337399066821445</v>
      </c>
      <c r="AN14" s="59">
        <f t="shared" si="4"/>
        <v>2.9001225907008651E-2</v>
      </c>
      <c r="AO14" s="59">
        <f t="shared" si="4"/>
        <v>0.16306036097598139</v>
      </c>
      <c r="AP14" s="59">
        <f t="shared" si="4"/>
        <v>0.14455258959908382</v>
      </c>
      <c r="AQ14" s="59">
        <f t="shared" si="4"/>
        <v>0.1050581640035574</v>
      </c>
      <c r="AR14" s="59">
        <f t="shared" si="4"/>
        <v>3.1450899847666948E-2</v>
      </c>
      <c r="AS14" s="59">
        <f t="shared" si="4"/>
        <v>0.16497058498581202</v>
      </c>
      <c r="AT14" s="59">
        <f t="shared" si="4"/>
        <v>0.12433997302190267</v>
      </c>
      <c r="AU14" s="59">
        <f t="shared" si="4"/>
        <v>8.7660222257570461E-2</v>
      </c>
      <c r="AV14" s="59">
        <f t="shared" si="4"/>
        <v>2.6596809867242482E-2</v>
      </c>
      <c r="AW14" s="59">
        <f t="shared" si="4"/>
        <v>8.9628753887669319E-2</v>
      </c>
      <c r="AX14" s="59">
        <f t="shared" si="4"/>
        <v>8.5774658437172205E-2</v>
      </c>
      <c r="AY14" s="59">
        <f t="shared" si="4"/>
        <v>6.6021415303158776E-2</v>
      </c>
      <c r="AZ14" s="59">
        <f t="shared" si="4"/>
        <v>1.4398610745211584E-2</v>
      </c>
      <c r="BA14" s="59">
        <f t="shared" si="4"/>
        <v>2.3903171091927508E-2</v>
      </c>
      <c r="BB14" s="59">
        <f t="shared" si="4"/>
        <v>3.3641686721615091E-2</v>
      </c>
      <c r="BC14" s="59">
        <f t="shared" si="4"/>
        <v>2.4411443207497299E-2</v>
      </c>
      <c r="BD14" s="59">
        <f t="shared" si="4"/>
        <v>9.2254886368436703E-3</v>
      </c>
      <c r="BE14" s="59">
        <f t="shared" si="4"/>
        <v>3.5963131337423078E-2</v>
      </c>
      <c r="BF14" s="59">
        <f t="shared" si="4"/>
        <v>5.0606967111268851E-2</v>
      </c>
      <c r="BG14" s="59">
        <f t="shared" si="4"/>
        <v>3.644571003457845E-2</v>
      </c>
      <c r="BH14" s="59">
        <f t="shared" si="4"/>
        <v>1.2502396494562584E-2</v>
      </c>
      <c r="BI14" s="59">
        <f t="shared" si="4"/>
        <v>6.8583862203835638E-2</v>
      </c>
      <c r="BJ14" s="59">
        <f t="shared" si="4"/>
        <v>6.4919195513824454E-2</v>
      </c>
      <c r="BK14" s="59">
        <f t="shared" si="4"/>
        <v>4.7620296774394201E-2</v>
      </c>
      <c r="BL14" s="59">
        <f t="shared" si="4"/>
        <v>1.0597936470927582E-2</v>
      </c>
      <c r="BM14" s="59">
        <f t="shared" si="4"/>
        <v>5.6783278041283372E-2</v>
      </c>
      <c r="BN14" s="59">
        <f t="shared" si="4"/>
        <v>5.9309200779607961E-2</v>
      </c>
      <c r="BO14" s="59">
        <f t="shared" si="4"/>
        <v>4.3631227043698109E-2</v>
      </c>
      <c r="BP14" s="59">
        <f t="shared" si="4"/>
        <v>9.3587206965653185E-3</v>
      </c>
      <c r="BQ14" s="59">
        <f t="shared" si="4"/>
        <v>6.2007098890771675E-2</v>
      </c>
      <c r="BR14" s="59">
        <f t="shared" ref="BR14:CJ14" si="5">BR6*BR7*BR9*BR10*BR12</f>
        <v>3.7340240388124876E-2</v>
      </c>
      <c r="BS14" s="59">
        <f t="shared" si="5"/>
        <v>0.14573488767507081</v>
      </c>
      <c r="BT14" s="59">
        <f t="shared" si="5"/>
        <v>0.14048527774989489</v>
      </c>
      <c r="BU14" s="59">
        <f t="shared" si="5"/>
        <v>0.13319594170555357</v>
      </c>
      <c r="BV14" s="59">
        <f t="shared" si="5"/>
        <v>0.23749837489427039</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697</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35795</v>
      </c>
      <c r="BW18" s="1">
        <v>25569</v>
      </c>
      <c r="BX18" s="1"/>
      <c r="BY18" s="1"/>
      <c r="BZ18" s="1"/>
      <c r="CA18" s="1"/>
      <c r="CB18" s="1"/>
      <c r="CC18" s="1"/>
      <c r="CD18" s="1"/>
      <c r="CE18" s="1"/>
      <c r="CF18" s="1"/>
      <c r="CG18" s="1"/>
      <c r="CH18" s="1"/>
      <c r="CI18" s="1"/>
      <c r="CJ18" s="1"/>
      <c r="CK18" s="1"/>
    </row>
    <row r="19" spans="1:89" s="116" customFormat="1" x14ac:dyDescent="0.25">
      <c r="A19" s="158" t="s">
        <v>446</v>
      </c>
      <c r="B19" s="76">
        <v>43373</v>
      </c>
      <c r="C19" s="76">
        <v>43281</v>
      </c>
      <c r="D19" s="76">
        <v>43190</v>
      </c>
      <c r="E19" s="76">
        <f>股权价值增加表!E4</f>
        <v>6488246212.1400003</v>
      </c>
      <c r="F19" s="76">
        <f>股权价值增加表!F4</f>
        <v>3894561232.4000001</v>
      </c>
      <c r="G19" s="76">
        <f>股权价值增加表!G4</f>
        <v>2651881094.0700002</v>
      </c>
      <c r="H19" s="76">
        <f>股权价值增加表!H4</f>
        <v>1340165773.9200001</v>
      </c>
      <c r="I19" s="76">
        <f>股权价值增加表!I4</f>
        <v>5321198258.4899998</v>
      </c>
      <c r="J19" s="76">
        <f>股权价值增加表!J4</f>
        <v>4287852830.3699999</v>
      </c>
      <c r="K19" s="76">
        <f>股权价值增加表!K4</f>
        <v>3065730831.52</v>
      </c>
      <c r="L19" s="76">
        <f>股权价值增加表!L4</f>
        <v>1541097064.8199999</v>
      </c>
      <c r="M19" s="76">
        <f>股权价值增加表!M4</f>
        <v>5845865322.6400003</v>
      </c>
      <c r="N19" s="76">
        <f>股权价值增加表!N4</f>
        <v>4617561352.0799999</v>
      </c>
      <c r="O19" s="76">
        <f>股权价值增加表!O4</f>
        <v>3215056319.77</v>
      </c>
      <c r="P19" s="76">
        <f>股权价值增加表!P4</f>
        <v>1594897366.8599999</v>
      </c>
      <c r="Q19" s="76">
        <f>股权价值增加表!Q4</f>
        <v>5334659318.1000004</v>
      </c>
      <c r="R19" s="76">
        <f>股权价值增加表!R4</f>
        <v>4168265729.0900002</v>
      </c>
      <c r="S19" s="76">
        <f>股权价值增加表!S4</f>
        <v>2819379057.3400002</v>
      </c>
      <c r="T19" s="76">
        <f>股权价值增加表!T4</f>
        <v>1345701240.8900001</v>
      </c>
      <c r="U19" s="76">
        <f>股权价值增加表!U4</f>
        <v>4468503687.0100002</v>
      </c>
      <c r="V19" s="76">
        <f>股权价值增加表!V4</f>
        <v>4012363480.3899999</v>
      </c>
      <c r="W19" s="76">
        <f>股权价值增加表!W4</f>
        <v>2746693074.4099998</v>
      </c>
      <c r="X19" s="76">
        <f>股权价值增加表!X4</f>
        <v>1325026458.9300001</v>
      </c>
      <c r="Y19" s="76">
        <f>股权价值增加表!Y4</f>
        <v>4504122570.4099998</v>
      </c>
      <c r="Z19" s="76">
        <f>股权价值增加表!Z4</f>
        <v>3540725102.4299998</v>
      </c>
      <c r="AA19" s="76">
        <f>股权价值增加表!AA4</f>
        <v>2339090706.9299998</v>
      </c>
      <c r="AB19" s="76">
        <f>股权价值增加表!AB4</f>
        <v>1054933573.1</v>
      </c>
      <c r="AC19" s="76">
        <f>股权价值增加表!AC4</f>
        <v>3576607562.8699999</v>
      </c>
      <c r="AD19" s="76">
        <f>股权价值增加表!AD4</f>
        <v>2866766635.29</v>
      </c>
      <c r="AE19" s="76">
        <f>股权价值增加表!AE4</f>
        <v>1922161683.6400001</v>
      </c>
      <c r="AF19" s="76">
        <f>股权价值增加表!AF4</f>
        <v>843584272.85000002</v>
      </c>
      <c r="AG19" s="76">
        <f>股权价值增加表!AG4</f>
        <v>3093956633.8400002</v>
      </c>
      <c r="AH19" s="76">
        <f>股权价值增加表!AH4</f>
        <v>2429911851.9899998</v>
      </c>
      <c r="AI19" s="76">
        <f>股权价值增加表!AI4</f>
        <v>1577163658.76</v>
      </c>
      <c r="AJ19" s="76">
        <f>股权价值增加表!AJ4</f>
        <v>667913696.38999999</v>
      </c>
      <c r="AK19" s="76">
        <f>股权价值增加表!AK4</f>
        <v>2697115334.0700002</v>
      </c>
      <c r="AL19" s="76">
        <f>股权价值增加表!AL4</f>
        <v>2181544628.0999999</v>
      </c>
      <c r="AM19" s="76">
        <f>股权价值增加表!AM4</f>
        <v>1424803943.8</v>
      </c>
      <c r="AN19" s="76">
        <f>股权价值增加表!AN4</f>
        <v>582376592.78999996</v>
      </c>
      <c r="AO19" s="76">
        <f>股权价值增加表!AO4</f>
        <v>2493498067.6100001</v>
      </c>
      <c r="AP19" s="76">
        <f>股权价值增加表!AP4</f>
        <v>2097820988.5799999</v>
      </c>
      <c r="AQ19" s="76">
        <f>股权价值增加表!AQ4</f>
        <v>1384626050.21</v>
      </c>
      <c r="AR19" s="76">
        <f>股权价值增加表!AR4</f>
        <v>526135808.88</v>
      </c>
      <c r="AS19" s="76">
        <f>股权价值增加表!AS4</f>
        <v>2260798925.3600001</v>
      </c>
      <c r="AT19" s="76">
        <f>股权价值增加表!AT4</f>
        <v>1779982978.72</v>
      </c>
      <c r="AU19" s="76">
        <f>股权价值增加表!AU4</f>
        <v>1161985620.8</v>
      </c>
      <c r="AV19" s="76">
        <f>股权价值增加表!AV4</f>
        <v>475691864.44999999</v>
      </c>
      <c r="AW19" s="76">
        <f>股权价值增加表!AW4</f>
        <v>2159134465.3499999</v>
      </c>
      <c r="AX19" s="76">
        <f>股权价值增加表!AX4</f>
        <v>1746067860.55</v>
      </c>
      <c r="AY19" s="76">
        <f>股权价值增加表!AY4</f>
        <v>1096306129.48</v>
      </c>
      <c r="AZ19" s="76">
        <f>股权价值增加表!AZ4</f>
        <v>447802819.93000001</v>
      </c>
      <c r="BA19" s="76">
        <f>股权价值增加表!BA4</f>
        <v>1948870048.5599999</v>
      </c>
      <c r="BB19" s="76">
        <f>股权价值增加表!BB4</f>
        <v>1541480316.0799999</v>
      </c>
      <c r="BC19" s="76">
        <f>股权价值增加表!BC4</f>
        <v>969805968.16999996</v>
      </c>
      <c r="BD19" s="76">
        <f>股权价值增加表!BD4</f>
        <v>382578384.36000001</v>
      </c>
      <c r="BE19" s="76">
        <f>股权价值增加表!BE4</f>
        <v>1668957522.3699999</v>
      </c>
      <c r="BF19" s="76">
        <f>股权价值增加表!BF4</f>
        <v>1285500262.4200001</v>
      </c>
      <c r="BG19" s="76">
        <f>股权价值增加表!BG4</f>
        <v>774355804.61000001</v>
      </c>
      <c r="BH19" s="76">
        <f>股权价值增加表!BH4</f>
        <v>286183658.49000001</v>
      </c>
      <c r="BI19" s="76">
        <f>股权价值增加表!BI4</f>
        <v>1486376396.5599999</v>
      </c>
      <c r="BJ19" s="76">
        <f>股权价值增加表!BJ4</f>
        <v>1141838235.2</v>
      </c>
      <c r="BK19" s="76">
        <f>股权价值增加表!BK4</f>
        <v>736124241.46000004</v>
      </c>
      <c r="BL19" s="76">
        <f>股权价值增加表!BL4</f>
        <v>228125275.19999999</v>
      </c>
      <c r="BM19" s="76">
        <f>股权价值增加表!BM4</f>
        <v>1363884564.2</v>
      </c>
      <c r="BN19" s="76">
        <f>股权价值增加表!BN4</f>
        <v>1040814054.48</v>
      </c>
      <c r="BO19" s="76">
        <f>股权价值增加表!BO4</f>
        <v>686272256.01999998</v>
      </c>
      <c r="BP19" s="76">
        <f>股权价值增加表!BP4</f>
        <v>223232689.66</v>
      </c>
      <c r="BQ19" s="76">
        <f>股权价值增加表!BQ4</f>
        <v>1305853059.24</v>
      </c>
      <c r="BR19" s="76">
        <f>股权价值增加表!BR4</f>
        <v>638897219.44000006</v>
      </c>
      <c r="BS19" s="76">
        <f>股权价值增加表!BS4</f>
        <v>1187217478.3199999</v>
      </c>
      <c r="BT19" s="76">
        <f>股权价值增加表!BT4</f>
        <v>1082865772.29</v>
      </c>
      <c r="BU19" s="76">
        <f>股权价值增加表!BU4</f>
        <v>982009491.25</v>
      </c>
      <c r="BV19" s="76">
        <f>股权价值增加表!BV4</f>
        <v>899768289.63999999</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447</v>
      </c>
      <c r="E20" s="76">
        <f>股权价值增加表!E15</f>
        <v>312066141.82999957</v>
      </c>
      <c r="F20" s="76">
        <f>股权价值增加表!F15</f>
        <v>249290026.87000069</v>
      </c>
      <c r="G20" s="76">
        <f>股权价值增加表!G15</f>
        <v>161247731.60000026</v>
      </c>
      <c r="H20" s="76">
        <f>股权价值增加表!H15</f>
        <v>98657818.15000008</v>
      </c>
      <c r="I20" s="76">
        <f>股权价值增加表!I15</f>
        <v>197911438.60000002</v>
      </c>
      <c r="J20" s="76">
        <f>股权价值增加表!J15</f>
        <v>456333800.01999956</v>
      </c>
      <c r="K20" s="76">
        <f>股权价值增加表!K15</f>
        <v>379797391.54000008</v>
      </c>
      <c r="L20" s="76">
        <f>股权价值增加表!L15</f>
        <v>131656693.59999983</v>
      </c>
      <c r="M20" s="76">
        <f>股权价值增加表!M15</f>
        <v>772915554.43000042</v>
      </c>
      <c r="N20" s="76">
        <f>股权价值增加表!N15</f>
        <v>762979398.43999982</v>
      </c>
      <c r="O20" s="76">
        <f>股权价值增加表!O15</f>
        <v>640871692.78000009</v>
      </c>
      <c r="P20" s="76">
        <f>股权价值增加表!P15</f>
        <v>166728695.27999988</v>
      </c>
      <c r="Q20" s="76">
        <f>股权价值增加表!Q15</f>
        <v>889871423.89000046</v>
      </c>
      <c r="R20" s="76">
        <f>股权价值增加表!R15</f>
        <v>739588261.10000038</v>
      </c>
      <c r="S20" s="76">
        <f>股权价值增加表!S15</f>
        <v>588443434.33999991</v>
      </c>
      <c r="T20" s="76">
        <f>股权价值增加表!T15</f>
        <v>139194099.04000011</v>
      </c>
      <c r="U20" s="76">
        <f>股权价值增加表!U15</f>
        <v>774030567.13000071</v>
      </c>
      <c r="V20" s="76">
        <f>股权价值增加表!V15</f>
        <v>638976169.66000009</v>
      </c>
      <c r="W20" s="76">
        <f>股权价值增加表!W15</f>
        <v>521798939.34999979</v>
      </c>
      <c r="X20" s="76">
        <f>股权价值增加表!X15</f>
        <v>109096432.06000002</v>
      </c>
      <c r="Y20" s="76">
        <f>股权价值增加表!Y15</f>
        <v>536364806.11999983</v>
      </c>
      <c r="Z20" s="76">
        <f>股权价值增加表!Z15</f>
        <v>461514874.17999953</v>
      </c>
      <c r="AA20" s="76">
        <f>股权价值增加表!AA15</f>
        <v>353302285.71999997</v>
      </c>
      <c r="AB20" s="76">
        <f>股权价值增加表!AB15</f>
        <v>84345462.800000072</v>
      </c>
      <c r="AC20" s="76">
        <f>股权价值增加表!AC15</f>
        <v>350512484.6699996</v>
      </c>
      <c r="AD20" s="76">
        <f>股权价值增加表!AD15</f>
        <v>271510842.26999986</v>
      </c>
      <c r="AE20" s="76">
        <f>股权价值增加表!AE15</f>
        <v>219305550.41000021</v>
      </c>
      <c r="AF20" s="76">
        <f>股权价值增加表!AF15</f>
        <v>54279435.420000032</v>
      </c>
      <c r="AG20" s="76">
        <f>股权价值增加表!AG15</f>
        <v>206724461.1400004</v>
      </c>
      <c r="AH20" s="76">
        <f>股权价值增加表!AH15</f>
        <v>197356278.4199996</v>
      </c>
      <c r="AI20" s="76">
        <f>股权价值增加表!AI15</f>
        <v>150086677.31</v>
      </c>
      <c r="AJ20" s="76">
        <f>股权价值增加表!AJ15</f>
        <v>38400866.85999994</v>
      </c>
      <c r="AK20" s="76">
        <f>股权价值增加表!AK15</f>
        <v>274880648.98000002</v>
      </c>
      <c r="AL20" s="76">
        <f>股权价值增加表!AL15</f>
        <v>198743915.86999989</v>
      </c>
      <c r="AM20" s="76">
        <f>股权价值增加表!AM15</f>
        <v>157531977.81999996</v>
      </c>
      <c r="AN20" s="76">
        <f>股权价值增加表!AN15</f>
        <v>41448079.780000016</v>
      </c>
      <c r="AO20" s="76">
        <f>股权价值增加表!AO15</f>
        <v>228172152.57999998</v>
      </c>
      <c r="AP20" s="76">
        <f>股权价值增加表!AP15</f>
        <v>191515017.8899999</v>
      </c>
      <c r="AQ20" s="76">
        <f>股权价值增加表!AQ15</f>
        <v>148296491.6400001</v>
      </c>
      <c r="AR20" s="76">
        <f>股权价值增加表!AR15</f>
        <v>39506739.060000002</v>
      </c>
      <c r="AS20" s="76">
        <f>股权价值增加表!AS15</f>
        <v>189610366.32000026</v>
      </c>
      <c r="AT20" s="76">
        <f>股权价值增加表!AT15</f>
        <v>147876086.69000012</v>
      </c>
      <c r="AU20" s="76">
        <f>股权价值增加表!AU15</f>
        <v>100772144.30999999</v>
      </c>
      <c r="AV20" s="76">
        <f>股权价值增加表!AV15</f>
        <v>34872497.569999993</v>
      </c>
      <c r="AW20" s="76">
        <f>股权价值增加表!AW15</f>
        <v>136152414.18999994</v>
      </c>
      <c r="AX20" s="76">
        <f>股权价值增加表!AX15</f>
        <v>102942258.29999989</v>
      </c>
      <c r="AY20" s="76">
        <f>股权价值增加表!AY15</f>
        <v>68399306.210000008</v>
      </c>
      <c r="AZ20" s="76">
        <f>股权价值增加表!AZ15</f>
        <v>26779119.349999987</v>
      </c>
      <c r="BA20" s="76">
        <f>股权价值增加表!BA15</f>
        <v>47839353.709999956</v>
      </c>
      <c r="BB20" s="76">
        <f>股权价值增加表!BB15</f>
        <v>55479547.28999988</v>
      </c>
      <c r="BC20" s="76">
        <f>股权价值增加表!BC15</f>
        <v>36031900.36999996</v>
      </c>
      <c r="BD20" s="76">
        <f>股权价值增加表!BD15</f>
        <v>11748207.559999999</v>
      </c>
      <c r="BE20" s="76">
        <f>股权价值增加表!BE15</f>
        <v>60357221.589999966</v>
      </c>
      <c r="BF20" s="76">
        <f>股权价值增加表!BF15</f>
        <v>77223333.149999991</v>
      </c>
      <c r="BG20" s="76">
        <f>股权价值增加表!BG15</f>
        <v>54201979.810000025</v>
      </c>
      <c r="BH20" s="76">
        <f>股权价值增加表!BH15</f>
        <v>15391081.200000018</v>
      </c>
      <c r="BI20" s="76">
        <f>股权价值增加表!BI15</f>
        <v>84763864.35999997</v>
      </c>
      <c r="BJ20" s="76">
        <f>股权价值增加表!BJ15</f>
        <v>87100217.510000065</v>
      </c>
      <c r="BK20" s="76">
        <f>股权价值增加表!BK15</f>
        <v>59108375.960000046</v>
      </c>
      <c r="BL20" s="76">
        <f>股权价值增加表!BL15</f>
        <v>8345810.6399999848</v>
      </c>
      <c r="BM20" s="76">
        <f>股权价值增加表!BM15</f>
        <v>67482145.850000009</v>
      </c>
      <c r="BN20" s="76">
        <f>股权价值增加表!BN15</f>
        <v>74131930.360000014</v>
      </c>
      <c r="BO20" s="76">
        <f>股权价值增加表!BO15</f>
        <v>49659271.920000024</v>
      </c>
      <c r="BP20" s="76">
        <f>股权价值增加表!BP15</f>
        <v>12175158.769999985</v>
      </c>
      <c r="BQ20" s="76">
        <f>股权价值增加表!BQ15</f>
        <v>88867286.910000026</v>
      </c>
      <c r="BR20" s="76">
        <f>股权价值增加表!BR15</f>
        <v>48602582.340000078</v>
      </c>
      <c r="BS20" s="76">
        <f>股权价值增加表!BS15</f>
        <v>68200045.109999925</v>
      </c>
      <c r="BT20" s="76">
        <f>股权价值增加表!BT15</f>
        <v>60817132.260000035</v>
      </c>
      <c r="BU20" s="76">
        <f>股权价值增加表!BU15</f>
        <v>48612956.980000004</v>
      </c>
      <c r="BV20" s="76">
        <f>股权价值增加表!BV15</f>
        <v>76948993.099999934</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448</v>
      </c>
      <c r="E21" s="243">
        <f>E20/E19</f>
        <v>4.8097148540093955E-2</v>
      </c>
      <c r="F21" s="243">
        <f t="shared" ref="F21:BQ21" si="6">F20/F19</f>
        <v>6.4009784926754687E-2</v>
      </c>
      <c r="G21" s="243">
        <f t="shared" si="6"/>
        <v>6.0805038340736368E-2</v>
      </c>
      <c r="H21" s="243">
        <f t="shared" si="6"/>
        <v>7.3616130235459487E-2</v>
      </c>
      <c r="I21" s="243">
        <f t="shared" si="6"/>
        <v>3.719302100503985E-2</v>
      </c>
      <c r="J21" s="243">
        <f t="shared" si="6"/>
        <v>0.10642478137026508</v>
      </c>
      <c r="K21" s="243">
        <f t="shared" si="6"/>
        <v>0.12388478063212588</v>
      </c>
      <c r="L21" s="243">
        <f t="shared" si="6"/>
        <v>8.5430500521638017E-2</v>
      </c>
      <c r="M21" s="243">
        <f t="shared" si="6"/>
        <v>0.13221576477936217</v>
      </c>
      <c r="N21" s="243">
        <f t="shared" si="6"/>
        <v>0.16523427416861772</v>
      </c>
      <c r="O21" s="243">
        <f t="shared" si="6"/>
        <v>0.19933451518070047</v>
      </c>
      <c r="P21" s="243">
        <f t="shared" si="6"/>
        <v>0.10453882409264478</v>
      </c>
      <c r="Q21" s="243">
        <f t="shared" si="6"/>
        <v>0.16680941946391026</v>
      </c>
      <c r="R21" s="243">
        <f t="shared" si="6"/>
        <v>0.17743308828380874</v>
      </c>
      <c r="S21" s="243">
        <f t="shared" si="6"/>
        <v>0.20871384172626248</v>
      </c>
      <c r="T21" s="243">
        <f t="shared" si="6"/>
        <v>0.10343610811263128</v>
      </c>
      <c r="U21" s="243">
        <f t="shared" si="6"/>
        <v>0.17321918506638315</v>
      </c>
      <c r="V21" s="243">
        <f t="shared" si="6"/>
        <v>0.15925181573975744</v>
      </c>
      <c r="W21" s="243">
        <f t="shared" si="6"/>
        <v>0.18997351550175812</v>
      </c>
      <c r="X21" s="243">
        <f t="shared" si="6"/>
        <v>8.2335285702972882E-2</v>
      </c>
      <c r="Y21" s="243">
        <f t="shared" si="6"/>
        <v>0.11908308393818327</v>
      </c>
      <c r="Z21" s="243">
        <f t="shared" si="6"/>
        <v>0.13034473471641778</v>
      </c>
      <c r="AA21" s="243">
        <f t="shared" si="6"/>
        <v>0.15104257593486003</v>
      </c>
      <c r="AB21" s="243">
        <f t="shared" si="6"/>
        <v>7.9953340144578694E-2</v>
      </c>
      <c r="AC21" s="243">
        <f t="shared" si="6"/>
        <v>9.8001382178126262E-2</v>
      </c>
      <c r="AD21" s="243">
        <f t="shared" si="6"/>
        <v>9.4709781719827371E-2</v>
      </c>
      <c r="AE21" s="243">
        <f t="shared" si="6"/>
        <v>0.11409318595650132</v>
      </c>
      <c r="AF21" s="243">
        <f t="shared" si="6"/>
        <v>6.434382096363668E-2</v>
      </c>
      <c r="AG21" s="243">
        <f t="shared" si="6"/>
        <v>6.6815565182446857E-2</v>
      </c>
      <c r="AH21" s="243">
        <f t="shared" si="6"/>
        <v>8.1219521711609732E-2</v>
      </c>
      <c r="AI21" s="243">
        <f t="shared" si="6"/>
        <v>9.5162398953575547E-2</v>
      </c>
      <c r="AJ21" s="243">
        <f t="shared" si="6"/>
        <v>5.7493755656684985E-2</v>
      </c>
      <c r="AK21" s="243">
        <f t="shared" si="6"/>
        <v>0.10191653486512188</v>
      </c>
      <c r="AL21" s="243">
        <f t="shared" si="6"/>
        <v>9.1102383746829149E-2</v>
      </c>
      <c r="AM21" s="243">
        <f t="shared" si="6"/>
        <v>0.11056396812031337</v>
      </c>
      <c r="AN21" s="243">
        <f t="shared" si="6"/>
        <v>7.1170579815775389E-2</v>
      </c>
      <c r="AO21" s="243">
        <f t="shared" si="6"/>
        <v>9.1506849571654711E-2</v>
      </c>
      <c r="AP21" s="243">
        <f t="shared" si="6"/>
        <v>9.1292354749313021E-2</v>
      </c>
      <c r="AQ21" s="243">
        <f t="shared" si="6"/>
        <v>0.10710219673933524</v>
      </c>
      <c r="AR21" s="243">
        <f t="shared" si="6"/>
        <v>7.5088481706080984E-2</v>
      </c>
      <c r="AS21" s="243">
        <f t="shared" si="6"/>
        <v>8.3868744005974577E-2</v>
      </c>
      <c r="AT21" s="243">
        <f t="shared" si="6"/>
        <v>8.3077247624209857E-2</v>
      </c>
      <c r="AU21" s="243">
        <f t="shared" si="6"/>
        <v>8.6724088926867032E-2</v>
      </c>
      <c r="AV21" s="243">
        <f t="shared" si="6"/>
        <v>7.3309005631870428E-2</v>
      </c>
      <c r="AW21" s="243">
        <f t="shared" si="6"/>
        <v>6.3058793407722927E-2</v>
      </c>
      <c r="AX21" s="243">
        <f t="shared" si="6"/>
        <v>5.8956619399416557E-2</v>
      </c>
      <c r="AY21" s="243">
        <f t="shared" si="6"/>
        <v>6.2390699432140519E-2</v>
      </c>
      <c r="AZ21" s="243">
        <f t="shared" si="6"/>
        <v>5.9801140497922872E-2</v>
      </c>
      <c r="BA21" s="243">
        <f t="shared" si="6"/>
        <v>2.4547226094088707E-2</v>
      </c>
      <c r="BB21" s="243">
        <f t="shared" si="6"/>
        <v>3.5991083837570451E-2</v>
      </c>
      <c r="BC21" s="243">
        <f t="shared" si="6"/>
        <v>3.7153721004616287E-2</v>
      </c>
      <c r="BD21" s="243">
        <f t="shared" si="6"/>
        <v>3.070797525493528E-2</v>
      </c>
      <c r="BE21" s="243">
        <f t="shared" si="6"/>
        <v>3.6164624192645607E-2</v>
      </c>
      <c r="BF21" s="243">
        <f t="shared" si="6"/>
        <v>6.0072592287631517E-2</v>
      </c>
      <c r="BG21" s="243">
        <f t="shared" si="6"/>
        <v>6.9996220713162402E-2</v>
      </c>
      <c r="BH21" s="243">
        <f t="shared" si="6"/>
        <v>5.3780433450353077E-2</v>
      </c>
      <c r="BI21" s="243">
        <f t="shared" si="6"/>
        <v>5.702718675846407E-2</v>
      </c>
      <c r="BJ21" s="243">
        <f t="shared" si="6"/>
        <v>7.6280697935066019E-2</v>
      </c>
      <c r="BK21" s="243">
        <f t="shared" si="6"/>
        <v>8.029673882599872E-2</v>
      </c>
      <c r="BL21" s="243">
        <f t="shared" si="6"/>
        <v>3.6584331274485557E-2</v>
      </c>
      <c r="BM21" s="243">
        <f t="shared" si="6"/>
        <v>4.9477901298474132E-2</v>
      </c>
      <c r="BN21" s="243">
        <f t="shared" si="6"/>
        <v>7.1224951316627816E-2</v>
      </c>
      <c r="BO21" s="243">
        <f t="shared" si="6"/>
        <v>7.2360891008469985E-2</v>
      </c>
      <c r="BP21" s="243">
        <f t="shared" si="6"/>
        <v>5.4540214466544563E-2</v>
      </c>
      <c r="BQ21" s="243">
        <f t="shared" si="6"/>
        <v>6.8053052585962726E-2</v>
      </c>
      <c r="BR21" s="243">
        <f t="shared" ref="BR21:CK21" si="7">BR20/BR19</f>
        <v>7.6072615220646511E-2</v>
      </c>
      <c r="BS21" s="243">
        <f t="shared" si="7"/>
        <v>5.744528391420585E-2</v>
      </c>
      <c r="BT21" s="243">
        <f t="shared" si="7"/>
        <v>5.6163131032746991E-2</v>
      </c>
      <c r="BU21" s="243">
        <f t="shared" si="7"/>
        <v>4.9503551048290344E-2</v>
      </c>
      <c r="BV21" s="243">
        <f t="shared" si="7"/>
        <v>8.5520899087016572E-2</v>
      </c>
      <c r="BW21" s="243" t="e">
        <f t="shared" si="7"/>
        <v>#DIV/0!</v>
      </c>
      <c r="BX21" s="243" t="e">
        <f t="shared" si="7"/>
        <v>#DIV/0!</v>
      </c>
      <c r="BY21" s="243" t="e">
        <f t="shared" si="7"/>
        <v>#DIV/0!</v>
      </c>
      <c r="BZ21" s="243" t="e">
        <f t="shared" si="7"/>
        <v>#DIV/0!</v>
      </c>
      <c r="CA21" s="243" t="e">
        <f t="shared" si="7"/>
        <v>#DIV/0!</v>
      </c>
      <c r="CB21" s="243" t="e">
        <f t="shared" si="7"/>
        <v>#DIV/0!</v>
      </c>
      <c r="CC21" s="243" t="e">
        <f t="shared" si="7"/>
        <v>#DIV/0!</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684</v>
      </c>
      <c r="E22" s="26">
        <f>资产资本表!E69</f>
        <v>4393634136.6499996</v>
      </c>
      <c r="F22" s="192">
        <f>资产资本表!F69</f>
        <v>3250611873.3699999</v>
      </c>
      <c r="G22" s="192">
        <f>资产资本表!G69</f>
        <v>2685896185.6200004</v>
      </c>
      <c r="H22" s="192">
        <f>资产资本表!H69</f>
        <v>2655815227.6800003</v>
      </c>
      <c r="I22" s="192">
        <f>资产资本表!I69</f>
        <v>2324441427.2200003</v>
      </c>
      <c r="J22" s="192">
        <f>资产资本表!J69</f>
        <v>1963444132.2899997</v>
      </c>
      <c r="K22" s="192">
        <f>资产资本表!K69</f>
        <v>1862631482.6199999</v>
      </c>
      <c r="L22" s="192">
        <f>资产资本表!L69</f>
        <v>1741458418.1700001</v>
      </c>
      <c r="M22" s="192">
        <f>资产资本表!M69</f>
        <v>2015087969.6399999</v>
      </c>
      <c r="N22" s="192">
        <f>资产资本表!N69</f>
        <v>1735766051.9400001</v>
      </c>
      <c r="O22" s="192">
        <f>资产资本表!O69</f>
        <v>1146498972.5900004</v>
      </c>
      <c r="P22" s="192">
        <f>资产资本表!P69</f>
        <v>201381325.6500001</v>
      </c>
      <c r="Q22" s="192">
        <f>资产资本表!Q69</f>
        <v>417693946.64999974</v>
      </c>
      <c r="R22" s="192">
        <f>资产资本表!R69</f>
        <v>658828309.07999992</v>
      </c>
      <c r="S22" s="192">
        <f>资产资本表!S69</f>
        <v>715643673.23000002</v>
      </c>
      <c r="T22" s="192">
        <f>资产资本表!T69</f>
        <v>605594211.15999973</v>
      </c>
      <c r="U22" s="192">
        <f>资产资本表!U69</f>
        <v>980733293.59000015</v>
      </c>
      <c r="V22" s="192">
        <f>资产资本表!V69</f>
        <v>356453980.91000015</v>
      </c>
      <c r="W22" s="192">
        <f>资产资本表!W69</f>
        <v>448798845.53999996</v>
      </c>
      <c r="X22" s="192">
        <f>资产资本表!X69</f>
        <v>327247856.73000002</v>
      </c>
      <c r="Y22" s="192">
        <f>资产资本表!Y69</f>
        <v>416379424.38</v>
      </c>
      <c r="Z22" s="192">
        <f>资产资本表!Z69</f>
        <v>264035369.18999994</v>
      </c>
      <c r="AA22" s="192">
        <f>资产资本表!AA69</f>
        <v>530480010.76000023</v>
      </c>
      <c r="AB22" s="192">
        <f>资产资本表!AB69</f>
        <v>442378688.03999996</v>
      </c>
      <c r="AC22" s="192">
        <f>资产资本表!AC69</f>
        <v>563004100.42999995</v>
      </c>
      <c r="AD22" s="192">
        <f>资产资本表!AD69</f>
        <v>414491919.3599999</v>
      </c>
      <c r="AE22" s="192">
        <f>资产资本表!AE69</f>
        <v>511185049.61000001</v>
      </c>
      <c r="AF22" s="192">
        <f>资产资本表!AF69</f>
        <v>458906097.45999998</v>
      </c>
      <c r="AG22" s="192">
        <f>资产资本表!AG69</f>
        <v>470879952.89999998</v>
      </c>
      <c r="AH22" s="192">
        <f>资产资本表!AH69</f>
        <v>436630480.50999999</v>
      </c>
      <c r="AI22" s="192">
        <f>资产资本表!AI69</f>
        <v>500595030.33000004</v>
      </c>
      <c r="AJ22" s="192">
        <f>资产资本表!AJ69</f>
        <v>497162226.10000002</v>
      </c>
      <c r="AK22" s="192">
        <f>资产资本表!AK69</f>
        <v>517255464.36000007</v>
      </c>
      <c r="AL22" s="192">
        <f>资产资本表!AL69</f>
        <v>425938145.85000002</v>
      </c>
      <c r="AM22" s="192">
        <f>资产资本表!AM69</f>
        <v>599149653.71000004</v>
      </c>
      <c r="AN22" s="192">
        <f>资产资本表!AN69</f>
        <v>581167922.88000011</v>
      </c>
      <c r="AO22" s="192">
        <f>资产资本表!AO69</f>
        <v>595537961.41999996</v>
      </c>
      <c r="AP22" s="192">
        <f>资产资本表!AP69</f>
        <v>530417883.44999999</v>
      </c>
      <c r="AQ22" s="192">
        <f>资产资本表!AQ69</f>
        <v>652115345.58999991</v>
      </c>
      <c r="AR22" s="192">
        <f>资产资本表!AR69</f>
        <v>620931476.22000003</v>
      </c>
      <c r="AS22" s="192">
        <f>资产资本表!AS69</f>
        <v>674757442.36999989</v>
      </c>
      <c r="AT22" s="192">
        <f>资产资本表!AT69</f>
        <v>550705689.87</v>
      </c>
      <c r="AU22" s="192">
        <f>资产资本表!AU69</f>
        <v>675612588.56000018</v>
      </c>
      <c r="AV22" s="192">
        <f>资产资本表!AV69</f>
        <v>759240698.8900001</v>
      </c>
      <c r="AW22" s="192">
        <f>资产资本表!AW69</f>
        <v>707039713.66000009</v>
      </c>
      <c r="AX22" s="192">
        <f>资产资本表!AX69</f>
        <v>716633657.38999999</v>
      </c>
      <c r="AY22" s="192">
        <f>资产资本表!AY69</f>
        <v>816389413.29999995</v>
      </c>
      <c r="AZ22" s="192">
        <f>资产资本表!AZ69</f>
        <v>924314311.5999999</v>
      </c>
      <c r="BA22" s="192">
        <f>资产资本表!BA69</f>
        <v>958260086.3900001</v>
      </c>
      <c r="BB22" s="192">
        <f>资产资本表!BB69</f>
        <v>985078374.13000011</v>
      </c>
      <c r="BC22" s="192">
        <f>资产资本表!BC69</f>
        <v>944250500.82000005</v>
      </c>
      <c r="BD22" s="192">
        <f>资产资本表!BD69</f>
        <v>917285208.31000006</v>
      </c>
      <c r="BE22" s="192">
        <f>资产资本表!BE69</f>
        <v>864374483.19000006</v>
      </c>
      <c r="BF22" s="192">
        <f>资产资本表!BF69</f>
        <v>846544297.93000007</v>
      </c>
      <c r="BG22" s="192">
        <f>资产资本表!BG69</f>
        <v>831052177.44000006</v>
      </c>
      <c r="BH22" s="192">
        <f>资产资本表!BH69</f>
        <v>779801322.38999987</v>
      </c>
      <c r="BI22" s="192">
        <f>资产资本表!BI69</f>
        <v>755392454.55999994</v>
      </c>
      <c r="BJ22" s="192">
        <f>资产资本表!BJ69</f>
        <v>712627509.71000004</v>
      </c>
      <c r="BK22" s="192">
        <f>资产资本表!BK69</f>
        <v>703187337.80999994</v>
      </c>
      <c r="BL22" s="192">
        <f>资产资本表!BL69</f>
        <v>803365946.86999989</v>
      </c>
      <c r="BM22" s="192">
        <f>资产资本表!BM69</f>
        <v>684408776.77999997</v>
      </c>
      <c r="BN22" s="192">
        <f>资产资本表!BN69</f>
        <v>582495957.55999994</v>
      </c>
      <c r="BO22" s="192">
        <f>资产资本表!BO69</f>
        <v>528318660.32999998</v>
      </c>
      <c r="BP22" s="192">
        <f>资产资本表!BP69</f>
        <v>533954015.69</v>
      </c>
      <c r="BQ22" s="192">
        <f>资产资本表!BQ69</f>
        <v>495668372.61000001</v>
      </c>
      <c r="BR22" s="192">
        <f>资产资本表!BR69</f>
        <v>402960924.33000004</v>
      </c>
      <c r="BS22" s="192">
        <f>资产资本表!BS69</f>
        <v>449236009.5</v>
      </c>
      <c r="BT22" s="192">
        <f>资产资本表!BT69</f>
        <v>540351345.68000007</v>
      </c>
      <c r="BU22" s="192">
        <f>资产资本表!BU69</f>
        <v>559550869.04999995</v>
      </c>
      <c r="BV22" s="192">
        <f>资产资本表!BV69</f>
        <v>549156561.25999999</v>
      </c>
      <c r="BW22" s="192">
        <f>资产资本表!BW69</f>
        <v>0</v>
      </c>
      <c r="BX22" s="192">
        <f>资产资本表!BX69</f>
        <v>0</v>
      </c>
      <c r="BY22" s="192">
        <f>资产资本表!BY69</f>
        <v>0</v>
      </c>
      <c r="BZ22" s="192">
        <f>资产资本表!BZ69</f>
        <v>0</v>
      </c>
      <c r="CA22" s="192">
        <f>资产资本表!CA69</f>
        <v>0</v>
      </c>
      <c r="CB22" s="192">
        <f>资产资本表!CB69</f>
        <v>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685</v>
      </c>
      <c r="E23" s="245">
        <f>E19/E22</f>
        <v>1.4767379372846627</v>
      </c>
      <c r="F23" s="245">
        <f t="shared" ref="F23:BQ23" si="8">F19/F22</f>
        <v>1.1981009680993997</v>
      </c>
      <c r="G23" s="245">
        <f t="shared" si="8"/>
        <v>0.9873356640766261</v>
      </c>
      <c r="H23" s="245">
        <f t="shared" si="8"/>
        <v>0.50461559221147634</v>
      </c>
      <c r="I23" s="245">
        <f t="shared" si="8"/>
        <v>2.2892374039530345</v>
      </c>
      <c r="J23" s="245">
        <f t="shared" si="8"/>
        <v>2.1838425447680048</v>
      </c>
      <c r="K23" s="245">
        <f t="shared" si="8"/>
        <v>1.6459137838729678</v>
      </c>
      <c r="L23" s="245">
        <f t="shared" si="8"/>
        <v>0.88494623169897535</v>
      </c>
      <c r="M23" s="245">
        <f t="shared" si="8"/>
        <v>2.9010472052415546</v>
      </c>
      <c r="N23" s="245">
        <f t="shared" si="8"/>
        <v>2.660244073168228</v>
      </c>
      <c r="O23" s="245">
        <f t="shared" si="8"/>
        <v>2.8042382912101713</v>
      </c>
      <c r="P23" s="245">
        <f t="shared" si="8"/>
        <v>7.9197878041180685</v>
      </c>
      <c r="Q23" s="245">
        <f t="shared" si="8"/>
        <v>12.77169410973077</v>
      </c>
      <c r="R23" s="245">
        <f t="shared" si="8"/>
        <v>6.326786010319811</v>
      </c>
      <c r="S23" s="245">
        <f t="shared" si="8"/>
        <v>3.9396408615127694</v>
      </c>
      <c r="T23" s="245">
        <f t="shared" si="8"/>
        <v>2.2221170811926108</v>
      </c>
      <c r="U23" s="245">
        <f t="shared" si="8"/>
        <v>4.5562883571056556</v>
      </c>
      <c r="V23" s="245">
        <f t="shared" si="8"/>
        <v>11.256329555211414</v>
      </c>
      <c r="W23" s="245">
        <f t="shared" si="8"/>
        <v>6.1200983507547733</v>
      </c>
      <c r="X23" s="245">
        <f t="shared" si="8"/>
        <v>4.048999654788358</v>
      </c>
      <c r="Y23" s="245">
        <f t="shared" si="8"/>
        <v>10.817351450823388</v>
      </c>
      <c r="Z23" s="245">
        <f t="shared" si="8"/>
        <v>13.410040909640756</v>
      </c>
      <c r="AA23" s="245">
        <f t="shared" si="8"/>
        <v>4.4093851973401712</v>
      </c>
      <c r="AB23" s="245">
        <f t="shared" si="8"/>
        <v>2.3846844380636454</v>
      </c>
      <c r="AC23" s="245">
        <f t="shared" si="8"/>
        <v>6.3527202735083641</v>
      </c>
      <c r="AD23" s="245">
        <f t="shared" si="8"/>
        <v>6.9163390198690911</v>
      </c>
      <c r="AE23" s="245">
        <f t="shared" si="8"/>
        <v>3.7602071600225413</v>
      </c>
      <c r="AF23" s="245">
        <f t="shared" si="8"/>
        <v>1.8382503033172926</v>
      </c>
      <c r="AG23" s="245">
        <f t="shared" si="8"/>
        <v>6.5705847420033585</v>
      </c>
      <c r="AH23" s="245">
        <f t="shared" si="8"/>
        <v>5.5651448088364699</v>
      </c>
      <c r="AI23" s="245">
        <f t="shared" si="8"/>
        <v>3.1505779386589379</v>
      </c>
      <c r="AJ23" s="245">
        <f t="shared" si="8"/>
        <v>1.3434522200720349</v>
      </c>
      <c r="AK23" s="245">
        <f t="shared" si="8"/>
        <v>5.2142809886158279</v>
      </c>
      <c r="AL23" s="245">
        <f t="shared" si="8"/>
        <v>5.1217404436658764</v>
      </c>
      <c r="AM23" s="245">
        <f t="shared" si="8"/>
        <v>2.3780435071229005</v>
      </c>
      <c r="AN23" s="245">
        <f t="shared" si="8"/>
        <v>1.0020797257770357</v>
      </c>
      <c r="AO23" s="245">
        <f t="shared" si="8"/>
        <v>4.1869674632738887</v>
      </c>
      <c r="AP23" s="245">
        <f t="shared" si="8"/>
        <v>3.9550344248107381</v>
      </c>
      <c r="AQ23" s="245">
        <f t="shared" si="8"/>
        <v>2.1232839551678739</v>
      </c>
      <c r="AR23" s="245">
        <f t="shared" si="8"/>
        <v>0.84733312616541712</v>
      </c>
      <c r="AS23" s="245">
        <f t="shared" si="8"/>
        <v>3.3505357383228422</v>
      </c>
      <c r="AT23" s="245">
        <f t="shared" si="8"/>
        <v>3.232185560204007</v>
      </c>
      <c r="AU23" s="245">
        <f t="shared" si="8"/>
        <v>1.7198993039437804</v>
      </c>
      <c r="AV23" s="245">
        <f t="shared" si="8"/>
        <v>0.62653630811079442</v>
      </c>
      <c r="AW23" s="245">
        <f t="shared" si="8"/>
        <v>3.0537668869733112</v>
      </c>
      <c r="AX23" s="245">
        <f t="shared" si="8"/>
        <v>2.4364859821254119</v>
      </c>
      <c r="AY23" s="245">
        <f t="shared" si="8"/>
        <v>1.3428715654806496</v>
      </c>
      <c r="AZ23" s="245">
        <f t="shared" si="8"/>
        <v>0.48447028712002477</v>
      </c>
      <c r="BA23" s="245">
        <f t="shared" si="8"/>
        <v>2.0337589723702982</v>
      </c>
      <c r="BB23" s="245">
        <f t="shared" si="8"/>
        <v>1.5648301257667969</v>
      </c>
      <c r="BC23" s="245">
        <f t="shared" si="8"/>
        <v>1.0270642878429053</v>
      </c>
      <c r="BD23" s="245">
        <f t="shared" si="8"/>
        <v>0.41707680544076337</v>
      </c>
      <c r="BE23" s="245">
        <f t="shared" si="8"/>
        <v>1.9308269214642499</v>
      </c>
      <c r="BF23" s="245">
        <f t="shared" si="8"/>
        <v>1.5185268692534468</v>
      </c>
      <c r="BG23" s="245">
        <f t="shared" si="8"/>
        <v>0.93177760149230415</v>
      </c>
      <c r="BH23" s="245">
        <f t="shared" si="8"/>
        <v>0.36699560551254334</v>
      </c>
      <c r="BI23" s="245">
        <f t="shared" si="8"/>
        <v>1.9676876404938179</v>
      </c>
      <c r="BJ23" s="245">
        <f t="shared" si="8"/>
        <v>1.6022932312347373</v>
      </c>
      <c r="BK23" s="245">
        <f t="shared" si="8"/>
        <v>1.0468394436005894</v>
      </c>
      <c r="BL23" s="245">
        <f t="shared" si="8"/>
        <v>0.28396184340249991</v>
      </c>
      <c r="BM23" s="245">
        <f t="shared" si="8"/>
        <v>1.9927923347458976</v>
      </c>
      <c r="BN23" s="245">
        <f t="shared" si="8"/>
        <v>1.7868176439195136</v>
      </c>
      <c r="BO23" s="245">
        <f t="shared" si="8"/>
        <v>1.2989740994409293</v>
      </c>
      <c r="BP23" s="245">
        <f t="shared" si="8"/>
        <v>0.41807474632722524</v>
      </c>
      <c r="BQ23" s="245">
        <f t="shared" si="8"/>
        <v>2.6345297206756957</v>
      </c>
      <c r="BR23" s="245">
        <f t="shared" ref="BR23:CK23" si="9">BR19/BR22</f>
        <v>1.5855066356676877</v>
      </c>
      <c r="BS23" s="245">
        <f t="shared" si="9"/>
        <v>2.6427478056386748</v>
      </c>
      <c r="BT23" s="245">
        <f t="shared" si="9"/>
        <v>2.0040031008477968</v>
      </c>
      <c r="BU23" s="245">
        <f t="shared" si="9"/>
        <v>1.7549959182750376</v>
      </c>
      <c r="BV23" s="245">
        <f t="shared" si="9"/>
        <v>1.6384549564072344</v>
      </c>
      <c r="BW23" s="245" t="e">
        <f t="shared" si="9"/>
        <v>#DIV/0!</v>
      </c>
      <c r="BX23" s="245" t="e">
        <f t="shared" si="9"/>
        <v>#DIV/0!</v>
      </c>
      <c r="BY23" s="245" t="e">
        <f t="shared" si="9"/>
        <v>#DIV/0!</v>
      </c>
      <c r="BZ23" s="245" t="e">
        <f t="shared" si="9"/>
        <v>#DIV/0!</v>
      </c>
      <c r="CA23" s="245" t="e">
        <f t="shared" si="9"/>
        <v>#DIV/0!</v>
      </c>
      <c r="CB23" s="245" t="e">
        <f t="shared" si="9"/>
        <v>#DIV/0!</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692</v>
      </c>
      <c r="E24" s="160">
        <f>E21*E23</f>
        <v>7.1026883924372369E-2</v>
      </c>
      <c r="F24" s="160">
        <f t="shared" ref="F24:BQ24" si="10">F21*F23</f>
        <v>7.6690185288579155E-2</v>
      </c>
      <c r="G24" s="160">
        <f t="shared" si="10"/>
        <v>6.0034982909355654E-2</v>
      </c>
      <c r="H24" s="160">
        <f t="shared" si="10"/>
        <v>3.7147847155083555E-2</v>
      </c>
      <c r="I24" s="160">
        <f t="shared" si="10"/>
        <v>8.514365485074811E-2</v>
      </c>
      <c r="J24" s="160">
        <f t="shared" si="10"/>
        <v>0.23241496537401823</v>
      </c>
      <c r="K24" s="160">
        <f t="shared" si="10"/>
        <v>0.20390366805449486</v>
      </c>
      <c r="L24" s="160">
        <f t="shared" si="10"/>
        <v>7.5601399508780906E-2</v>
      </c>
      <c r="M24" s="160">
        <f t="shared" si="10"/>
        <v>0.38356417490204336</v>
      </c>
      <c r="N24" s="160">
        <f t="shared" si="10"/>
        <v>0.43956349854131932</v>
      </c>
      <c r="O24" s="160">
        <f t="shared" si="10"/>
        <v>0.55898148022953542</v>
      </c>
      <c r="P24" s="160">
        <f t="shared" si="10"/>
        <v>0.82792530410577225</v>
      </c>
      <c r="Q24" s="160">
        <f t="shared" si="10"/>
        <v>2.1304388800148319</v>
      </c>
      <c r="R24" s="160">
        <f t="shared" si="10"/>
        <v>1.1225811807218411</v>
      </c>
      <c r="S24" s="160">
        <f t="shared" si="10"/>
        <v>0.82225757922809251</v>
      </c>
      <c r="T24" s="160">
        <f t="shared" si="10"/>
        <v>0.22984714264916353</v>
      </c>
      <c r="U24" s="160">
        <f t="shared" si="10"/>
        <v>0.78923655614529142</v>
      </c>
      <c r="V24" s="160">
        <f t="shared" si="10"/>
        <v>1.7925909202325139</v>
      </c>
      <c r="W24" s="160">
        <f t="shared" si="10"/>
        <v>1.1626565989093962</v>
      </c>
      <c r="X24" s="160">
        <f t="shared" si="10"/>
        <v>0.33337554338823805</v>
      </c>
      <c r="Y24" s="160">
        <f t="shared" si="10"/>
        <v>1.2881635708072301</v>
      </c>
      <c r="Z24" s="160">
        <f t="shared" si="10"/>
        <v>1.747928224903434</v>
      </c>
      <c r="AA24" s="160">
        <f t="shared" si="10"/>
        <v>0.66600489849530065</v>
      </c>
      <c r="AB24" s="160">
        <f t="shared" si="10"/>
        <v>0.19066348601398614</v>
      </c>
      <c r="AC24" s="160">
        <f t="shared" si="10"/>
        <v>0.622575367394824</v>
      </c>
      <c r="AD24" s="160">
        <f t="shared" si="10"/>
        <v>0.65504495887212644</v>
      </c>
      <c r="AE24" s="160">
        <f t="shared" si="10"/>
        <v>0.42901401474341955</v>
      </c>
      <c r="AF24" s="160">
        <f t="shared" si="10"/>
        <v>0.11828004840299869</v>
      </c>
      <c r="AG24" s="160">
        <f t="shared" si="10"/>
        <v>0.43901733311611618</v>
      </c>
      <c r="AH24" s="160">
        <f t="shared" si="10"/>
        <v>0.45199839962954586</v>
      </c>
      <c r="AI24" s="160">
        <f t="shared" si="10"/>
        <v>0.29981655473299551</v>
      </c>
      <c r="AJ24" s="160">
        <f t="shared" si="10"/>
        <v>7.7240113677252559E-2</v>
      </c>
      <c r="AK24" s="160">
        <f t="shared" si="10"/>
        <v>0.53142145017280717</v>
      </c>
      <c r="AL24" s="160">
        <f t="shared" si="10"/>
        <v>0.46660276335050366</v>
      </c>
      <c r="AM24" s="160">
        <f t="shared" si="10"/>
        <v>0.26292592651025459</v>
      </c>
      <c r="AN24" s="160">
        <f t="shared" si="10"/>
        <v>7.1318595105184832E-2</v>
      </c>
      <c r="AO24" s="160">
        <f t="shared" si="10"/>
        <v>0.38313620182321645</v>
      </c>
      <c r="AP24" s="160">
        <f t="shared" si="10"/>
        <v>0.36106440575556709</v>
      </c>
      <c r="AQ24" s="160">
        <f t="shared" si="10"/>
        <v>0.22740837589986351</v>
      </c>
      <c r="AR24" s="160">
        <f t="shared" si="10"/>
        <v>6.3624957943028332E-2</v>
      </c>
      <c r="AS24" s="160">
        <f t="shared" si="10"/>
        <v>0.28100522412026746</v>
      </c>
      <c r="AT24" s="160">
        <f t="shared" si="10"/>
        <v>0.26852108015246373</v>
      </c>
      <c r="AU24" s="160">
        <f t="shared" si="10"/>
        <v>0.14915670018047714</v>
      </c>
      <c r="AV24" s="160">
        <f t="shared" si="10"/>
        <v>4.5930753739865535E-2</v>
      </c>
      <c r="AW24" s="160">
        <f t="shared" si="10"/>
        <v>0.19256685524099521</v>
      </c>
      <c r="AX24" s="160">
        <f t="shared" si="10"/>
        <v>0.14364697672018156</v>
      </c>
      <c r="AY24" s="160">
        <f t="shared" si="10"/>
        <v>8.3782696217871211E-2</v>
      </c>
      <c r="AZ24" s="160">
        <f t="shared" si="10"/>
        <v>2.8971875707133634E-2</v>
      </c>
      <c r="BA24" s="160">
        <f t="shared" si="10"/>
        <v>4.9923141315655221E-2</v>
      </c>
      <c r="BB24" s="160">
        <f t="shared" si="10"/>
        <v>5.6319932248028698E-2</v>
      </c>
      <c r="BC24" s="160">
        <f t="shared" si="10"/>
        <v>3.8159260004320218E-2</v>
      </c>
      <c r="BD24" s="160">
        <f t="shared" si="10"/>
        <v>1.2807584220882417E-2</v>
      </c>
      <c r="BE24" s="160">
        <f t="shared" si="10"/>
        <v>6.9827629995797447E-2</v>
      </c>
      <c r="BF24" s="160">
        <f t="shared" si="10"/>
        <v>9.1221845494475845E-2</v>
      </c>
      <c r="BG24" s="160">
        <f t="shared" si="10"/>
        <v>6.5220910649636407E-2</v>
      </c>
      <c r="BH24" s="160">
        <f t="shared" si="10"/>
        <v>1.9737182738839367E-2</v>
      </c>
      <c r="BI24" s="160">
        <f t="shared" si="10"/>
        <v>0.11221169055676246</v>
      </c>
      <c r="BJ24" s="160">
        <f t="shared" si="10"/>
        <v>0.12222404597521788</v>
      </c>
      <c r="BK24" s="160">
        <f t="shared" si="10"/>
        <v>8.4057793395550348E-2</v>
      </c>
      <c r="BL24" s="160">
        <f t="shared" si="10"/>
        <v>1.0388554148350647E-2</v>
      </c>
      <c r="BM24" s="160">
        <f t="shared" si="10"/>
        <v>9.8599182446913347E-2</v>
      </c>
      <c r="BN24" s="160">
        <f t="shared" si="10"/>
        <v>0.12726599969985897</v>
      </c>
      <c r="BO24" s="160">
        <f t="shared" si="10"/>
        <v>9.3994923232470537E-2</v>
      </c>
      <c r="BP24" s="160">
        <f t="shared" si="10"/>
        <v>2.2801886327733077E-2</v>
      </c>
      <c r="BQ24" s="160">
        <f t="shared" si="10"/>
        <v>0.1792877896204248</v>
      </c>
      <c r="BR24" s="160">
        <f t="shared" ref="BR24:CK24" si="11">BR21*BR23</f>
        <v>0.12061363622492978</v>
      </c>
      <c r="BS24" s="160">
        <f t="shared" si="11"/>
        <v>0.15181339800855817</v>
      </c>
      <c r="BT24" s="160">
        <f t="shared" si="11"/>
        <v>0.11255108874294609</v>
      </c>
      <c r="BU24" s="160">
        <f t="shared" si="11"/>
        <v>8.6878530029869519E-2</v>
      </c>
      <c r="BV24" s="160">
        <f t="shared" si="11"/>
        <v>0.14012214098552522</v>
      </c>
      <c r="BW24" s="160" t="e">
        <f t="shared" si="11"/>
        <v>#DIV/0!</v>
      </c>
      <c r="BX24" s="160" t="e">
        <f t="shared" si="11"/>
        <v>#DIV/0!</v>
      </c>
      <c r="BY24" s="160" t="e">
        <f t="shared" si="11"/>
        <v>#DIV/0!</v>
      </c>
      <c r="BZ24" s="160" t="e">
        <f t="shared" si="11"/>
        <v>#DIV/0!</v>
      </c>
      <c r="CA24" s="160" t="e">
        <f t="shared" si="11"/>
        <v>#DIV/0!</v>
      </c>
      <c r="CB24" s="160" t="e">
        <f t="shared" si="11"/>
        <v>#DIV/0!</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35795</v>
      </c>
      <c r="BW25" s="1">
        <v>25569</v>
      </c>
      <c r="BX25" s="1"/>
      <c r="BY25" s="1"/>
      <c r="BZ25" s="1"/>
      <c r="CA25" s="1"/>
      <c r="CB25" s="1"/>
      <c r="CC25" s="1"/>
      <c r="CD25" s="1"/>
      <c r="CE25" s="1"/>
      <c r="CF25" s="1"/>
      <c r="CG25" s="1"/>
      <c r="CH25" s="1"/>
      <c r="CI25" s="1"/>
      <c r="CJ25" s="1"/>
      <c r="CK25" s="1"/>
    </row>
    <row r="26" spans="1:89" s="76" customFormat="1" x14ac:dyDescent="0.25">
      <c r="A26" s="146" t="s">
        <v>442</v>
      </c>
      <c r="E26" s="76">
        <f>利润表!E14</f>
        <v>13640047.91</v>
      </c>
      <c r="F26" s="76">
        <f>利润表!F14</f>
        <v>-9779217.0399999991</v>
      </c>
      <c r="G26" s="76">
        <f>利润表!G14</f>
        <v>1888578.09</v>
      </c>
      <c r="H26" s="76">
        <f>利润表!H14</f>
        <v>3529220.26</v>
      </c>
      <c r="I26" s="76">
        <f>利润表!I14</f>
        <v>-6260016.5599999996</v>
      </c>
      <c r="J26" s="76">
        <f>利润表!J14</f>
        <v>1384562.93</v>
      </c>
      <c r="K26" s="76">
        <f>利润表!K14</f>
        <v>6836638.21</v>
      </c>
      <c r="L26" s="76">
        <f>利润表!L14</f>
        <v>6712552.8799999999</v>
      </c>
      <c r="M26" s="76">
        <f>利润表!M14</f>
        <v>1744569118.03</v>
      </c>
      <c r="N26" s="76">
        <f>利润表!N14</f>
        <v>144572480.52000001</v>
      </c>
      <c r="O26" s="76">
        <f>利润表!O14</f>
        <v>87983530.760000005</v>
      </c>
      <c r="P26" s="76">
        <f>利润表!P14</f>
        <v>41125567.539999999</v>
      </c>
      <c r="Q26" s="76">
        <f>利润表!Q14</f>
        <v>180202438.43000001</v>
      </c>
      <c r="R26" s="76">
        <f>利润表!R14</f>
        <v>114779536.18000001</v>
      </c>
      <c r="S26" s="76">
        <f>利润表!S14</f>
        <v>73413259.120000005</v>
      </c>
      <c r="T26" s="76">
        <f>利润表!T14</f>
        <v>41448239.780000001</v>
      </c>
      <c r="U26" s="76">
        <f>利润表!U14</f>
        <v>141164887.13999999</v>
      </c>
      <c r="V26" s="76">
        <f>利润表!V14</f>
        <v>105608623.76000001</v>
      </c>
      <c r="W26" s="76">
        <f>利润表!W14</f>
        <v>68271588.920000002</v>
      </c>
      <c r="X26" s="76">
        <f>利润表!X14</f>
        <v>36033744.43</v>
      </c>
      <c r="Y26" s="76">
        <f>利润表!Y14</f>
        <v>166077661.78</v>
      </c>
      <c r="Z26" s="76">
        <f>利润表!Z14</f>
        <v>85105430.769999996</v>
      </c>
      <c r="AA26" s="76">
        <f>利润表!AA14</f>
        <v>52546544.939999998</v>
      </c>
      <c r="AB26" s="76">
        <f>利润表!AB14</f>
        <v>29535114.41</v>
      </c>
      <c r="AC26" s="76">
        <f>利润表!AC14</f>
        <v>87553913.620000005</v>
      </c>
      <c r="AD26" s="76">
        <f>利润表!AD14</f>
        <v>70370262.439999998</v>
      </c>
      <c r="AE26" s="76">
        <f>利润表!AE14</f>
        <v>43742157.560000002</v>
      </c>
      <c r="AF26" s="76">
        <f>利润表!AF14</f>
        <v>23212054.02</v>
      </c>
      <c r="AG26" s="76">
        <f>利润表!AG14</f>
        <v>88817271.540000007</v>
      </c>
      <c r="AH26" s="76">
        <f>利润表!AH14</f>
        <v>29440902.550000001</v>
      </c>
      <c r="AI26" s="76">
        <f>利润表!AI14</f>
        <v>23366795.699999999</v>
      </c>
      <c r="AJ26" s="76">
        <f>利润表!AJ14</f>
        <v>10880707.460000001</v>
      </c>
      <c r="AK26" s="76">
        <f>利润表!AK14</f>
        <v>21083492.84</v>
      </c>
      <c r="AL26" s="76">
        <f>利润表!AL14</f>
        <v>12959844.82</v>
      </c>
      <c r="AM26" s="76">
        <f>利润表!AM14</f>
        <v>9606338.4199999999</v>
      </c>
      <c r="AN26" s="76">
        <f>利润表!AN14</f>
        <v>7002111.2999999998</v>
      </c>
      <c r="AO26" s="76">
        <f>利润表!AO14</f>
        <v>13298216.779999999</v>
      </c>
      <c r="AP26" s="76">
        <f>利润表!AP14</f>
        <v>4629247.9000000004</v>
      </c>
      <c r="AQ26" s="76">
        <f>利润表!AQ14</f>
        <v>3692387.72</v>
      </c>
      <c r="AR26" s="76">
        <f>利润表!AR14</f>
        <v>9109826.0700000003</v>
      </c>
      <c r="AS26" s="76">
        <f>利润表!AS14</f>
        <v>-2102286.02</v>
      </c>
      <c r="AT26" s="76">
        <f>利润表!AT14</f>
        <v>0</v>
      </c>
      <c r="AU26" s="76">
        <f>利润表!AU14</f>
        <v>0</v>
      </c>
      <c r="AV26" s="76">
        <f>利润表!AV14</f>
        <v>60612.02</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207045491.97</v>
      </c>
      <c r="F27" s="76">
        <f>资产资本表!F19</f>
        <v>194880010.28999999</v>
      </c>
      <c r="G27" s="76">
        <f>资产资本表!G19</f>
        <v>205669036.63999999</v>
      </c>
      <c r="H27" s="76">
        <f>资产资本表!H19</f>
        <v>207219060.93000001</v>
      </c>
      <c r="I27" s="76">
        <f>资产资本表!I19</f>
        <v>205101612.72</v>
      </c>
      <c r="J27" s="76">
        <f>资产资本表!J19</f>
        <v>212965977.13999999</v>
      </c>
      <c r="K27" s="76">
        <f>资产资本表!K19</f>
        <v>171657131.87</v>
      </c>
      <c r="L27" s="76">
        <f>资产资本表!L19</f>
        <v>170346402.28</v>
      </c>
      <c r="M27" s="76">
        <f>资产资本表!M19</f>
        <v>118202862.25</v>
      </c>
      <c r="N27" s="76">
        <f>资产资本表!N19</f>
        <v>115560201.05</v>
      </c>
      <c r="O27" s="76">
        <f>资产资本表!O19</f>
        <v>791942039.50999999</v>
      </c>
      <c r="P27" s="76">
        <f>资产资本表!P19</f>
        <v>744940292.03999996</v>
      </c>
      <c r="Q27" s="76">
        <f>资产资本表!Q19</f>
        <v>703752772.44000006</v>
      </c>
      <c r="R27" s="76">
        <f>资产资本表!R19</f>
        <v>655310620.20000005</v>
      </c>
      <c r="S27" s="76">
        <f>资产资本表!S19</f>
        <v>702282180.88</v>
      </c>
      <c r="T27" s="76">
        <f>资产资本表!T19</f>
        <v>675317161.55999994</v>
      </c>
      <c r="U27" s="76">
        <f>资产资本表!U19</f>
        <v>633868921.77999997</v>
      </c>
      <c r="V27" s="76">
        <f>资产资本表!V19</f>
        <v>598754113.67999995</v>
      </c>
      <c r="W27" s="76">
        <f>资产资本表!W19</f>
        <v>561767078.84000003</v>
      </c>
      <c r="X27" s="76">
        <f>资产资本表!X19</f>
        <v>543831936.99000001</v>
      </c>
      <c r="Y27" s="76">
        <f>资产资本表!Y19</f>
        <v>507798192.56</v>
      </c>
      <c r="Z27" s="76">
        <f>资产资本表!Z19</f>
        <v>481002211.52999997</v>
      </c>
      <c r="AA27" s="76">
        <f>资产资本表!AA19</f>
        <v>466395831.44</v>
      </c>
      <c r="AB27" s="76">
        <f>资产资本表!AB19</f>
        <v>387508464.47000003</v>
      </c>
      <c r="AC27" s="76">
        <f>资产资本表!AC19</f>
        <v>358473350.06</v>
      </c>
      <c r="AD27" s="76">
        <f>资产资本表!AD19</f>
        <v>341172083.88</v>
      </c>
      <c r="AE27" s="76">
        <f>资产资本表!AE19</f>
        <v>315011594</v>
      </c>
      <c r="AF27" s="76">
        <f>资产资本表!AF19</f>
        <v>307724741.49000001</v>
      </c>
      <c r="AG27" s="76">
        <f>资产资本表!AG19</f>
        <v>292012679.68000001</v>
      </c>
      <c r="AH27" s="76">
        <f>资产资本表!AH19</f>
        <v>244885572.72999999</v>
      </c>
      <c r="AI27" s="76">
        <f>资产资本表!AI19</f>
        <v>252299709.12</v>
      </c>
      <c r="AJ27" s="76">
        <f>资产资本表!AJ19</f>
        <v>239813620.88</v>
      </c>
      <c r="AK27" s="76">
        <f>资产资本表!AK19</f>
        <v>163932913.41999999</v>
      </c>
      <c r="AL27" s="76">
        <f>资产资本表!AL19</f>
        <v>198436551.91999999</v>
      </c>
      <c r="AM27" s="76">
        <f>资产资本表!AM19</f>
        <v>170625915.52000001</v>
      </c>
      <c r="AN27" s="76">
        <f>资产资本表!AN19</f>
        <v>177159526.24000001</v>
      </c>
      <c r="AO27" s="76">
        <f>资产资本表!AO19</f>
        <v>176249306.83000001</v>
      </c>
      <c r="AP27" s="76">
        <f>资产资本表!AP19</f>
        <v>175603618.08000001</v>
      </c>
      <c r="AQ27" s="76">
        <f>资产资本表!AQ19</f>
        <v>98140365.739999995</v>
      </c>
      <c r="AR27" s="76">
        <f>资产资本表!AR19</f>
        <v>103767804.09</v>
      </c>
      <c r="AS27" s="76">
        <f>资产资本表!AS19</f>
        <v>95057978.010000005</v>
      </c>
      <c r="AT27" s="76">
        <f>资产资本表!AT19</f>
        <v>108995616.31999999</v>
      </c>
      <c r="AU27" s="76">
        <f>资产资本表!AU19</f>
        <v>102201474.23</v>
      </c>
      <c r="AV27" s="76">
        <f>资产资本表!AV19</f>
        <v>99695249.099999994</v>
      </c>
      <c r="AW27" s="76">
        <f>资产资本表!AW19</f>
        <v>141214351.81999999</v>
      </c>
      <c r="AX27" s="76">
        <f>资产资本表!AX19</f>
        <v>139813863.02000001</v>
      </c>
      <c r="AY27" s="76">
        <f>资产资本表!AY19</f>
        <v>146797905.83000001</v>
      </c>
      <c r="AZ27" s="76">
        <f>资产资本表!AZ19</f>
        <v>151320459.31</v>
      </c>
      <c r="BA27" s="76">
        <f>资产资本表!BA19</f>
        <v>143150804.46000001</v>
      </c>
      <c r="BB27" s="76">
        <f>资产资本表!BB19</f>
        <v>132635980.97</v>
      </c>
      <c r="BC27" s="76">
        <f>资产资本表!BC19</f>
        <v>133275752.09</v>
      </c>
      <c r="BD27" s="76">
        <f>资产资本表!BD19</f>
        <v>137615001.56999999</v>
      </c>
      <c r="BE27" s="76">
        <f>资产资本表!BE19</f>
        <v>121066935.12</v>
      </c>
      <c r="BF27" s="76">
        <f>资产资本表!BF19</f>
        <v>120304394.26000001</v>
      </c>
      <c r="BG27" s="76">
        <f>资产资本表!BG19</f>
        <v>93157156.730000004</v>
      </c>
      <c r="BH27" s="76">
        <f>资产资本表!BH19</f>
        <v>109272597.03</v>
      </c>
      <c r="BI27" s="76">
        <f>资产资本表!BI19</f>
        <v>102102723.65000001</v>
      </c>
      <c r="BJ27" s="76">
        <f>资产资本表!BJ19</f>
        <v>96715504.489999995</v>
      </c>
      <c r="BK27" s="76">
        <f>资产资本表!BK19</f>
        <v>99318235.209999993</v>
      </c>
      <c r="BL27" s="76">
        <f>资产资本表!BL19</f>
        <v>66036505.789999999</v>
      </c>
      <c r="BM27" s="76">
        <f>资产资本表!BM19</f>
        <v>65235560.880000003</v>
      </c>
      <c r="BN27" s="76">
        <f>资产资本表!BN19</f>
        <v>59312928.140000001</v>
      </c>
      <c r="BO27" s="76">
        <f>资产资本表!BO19</f>
        <v>69028533.200000003</v>
      </c>
      <c r="BP27" s="76">
        <f>资产资本表!BP19</f>
        <v>11397799.52</v>
      </c>
      <c r="BQ27" s="76">
        <f>资产资本表!BQ19</f>
        <v>11457748.77</v>
      </c>
      <c r="BR27" s="76">
        <f>资产资本表!BR19</f>
        <v>23389260.390000001</v>
      </c>
      <c r="BS27" s="76">
        <f>资产资本表!BS19</f>
        <v>16239320.220000001</v>
      </c>
      <c r="BT27" s="76">
        <f>资产资本表!BT19</f>
        <v>15679775.9</v>
      </c>
      <c r="BU27" s="76">
        <f>资产资本表!BU19</f>
        <v>10421401.550000001</v>
      </c>
      <c r="BV27" s="76">
        <f>资产资本表!BV19</f>
        <v>14017346.949999999</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444</v>
      </c>
      <c r="E28" s="110">
        <f>E26/E27</f>
        <v>6.587947305791321E-2</v>
      </c>
      <c r="F28" s="110">
        <f t="shared" ref="F28:BQ28" si="12">F26/F27</f>
        <v>-5.0180708762523125E-2</v>
      </c>
      <c r="G28" s="110">
        <f t="shared" si="12"/>
        <v>9.1826077510429489E-3</v>
      </c>
      <c r="H28" s="110">
        <f t="shared" si="12"/>
        <v>1.7031349549413287E-2</v>
      </c>
      <c r="I28" s="110">
        <f t="shared" si="12"/>
        <v>-3.0521537480770716E-2</v>
      </c>
      <c r="J28" s="110">
        <f t="shared" si="12"/>
        <v>6.5013339153690885E-3</v>
      </c>
      <c r="K28" s="110">
        <f t="shared" si="12"/>
        <v>3.9827289058852196E-2</v>
      </c>
      <c r="L28" s="110">
        <f t="shared" si="12"/>
        <v>3.9405310532866514E-2</v>
      </c>
      <c r="M28" s="110">
        <f t="shared" si="12"/>
        <v>14.759110607154524</v>
      </c>
      <c r="N28" s="110">
        <f t="shared" si="12"/>
        <v>1.2510577102357856</v>
      </c>
      <c r="O28" s="110">
        <f t="shared" si="12"/>
        <v>0.11109844707125062</v>
      </c>
      <c r="P28" s="110">
        <f t="shared" si="12"/>
        <v>5.5206528602955121E-2</v>
      </c>
      <c r="Q28" s="110">
        <f t="shared" si="12"/>
        <v>0.25605929452358006</v>
      </c>
      <c r="R28" s="110">
        <f t="shared" si="12"/>
        <v>0.17515287047380587</v>
      </c>
      <c r="S28" s="110">
        <f t="shared" si="12"/>
        <v>0.10453527245701857</v>
      </c>
      <c r="T28" s="110">
        <f t="shared" si="12"/>
        <v>6.1375961014012298E-2</v>
      </c>
      <c r="U28" s="110">
        <f t="shared" si="12"/>
        <v>0.22270359421248734</v>
      </c>
      <c r="V28" s="110">
        <f t="shared" si="12"/>
        <v>0.17638062327608794</v>
      </c>
      <c r="W28" s="110">
        <f t="shared" si="12"/>
        <v>0.12153006377834541</v>
      </c>
      <c r="X28" s="110">
        <f t="shared" si="12"/>
        <v>6.6258970794248501E-2</v>
      </c>
      <c r="Y28" s="110">
        <f t="shared" si="12"/>
        <v>0.32705445630426644</v>
      </c>
      <c r="Z28" s="110">
        <f t="shared" si="12"/>
        <v>0.17693355400444347</v>
      </c>
      <c r="AA28" s="110">
        <f t="shared" si="12"/>
        <v>0.11266512562464852</v>
      </c>
      <c r="AB28" s="110">
        <f t="shared" si="12"/>
        <v>7.6217985200389179E-2</v>
      </c>
      <c r="AC28" s="110">
        <f t="shared" si="12"/>
        <v>0.24424106730764097</v>
      </c>
      <c r="AD28" s="110">
        <f t="shared" si="12"/>
        <v>0.20626031778365325</v>
      </c>
      <c r="AE28" s="110">
        <f t="shared" si="12"/>
        <v>0.13885888136549032</v>
      </c>
      <c r="AF28" s="110">
        <f t="shared" si="12"/>
        <v>7.5431224371519418E-2</v>
      </c>
      <c r="AG28" s="110">
        <f t="shared" si="12"/>
        <v>0.30415553063425116</v>
      </c>
      <c r="AH28" s="110">
        <f t="shared" si="12"/>
        <v>0.12022309939205866</v>
      </c>
      <c r="AI28" s="110">
        <f t="shared" si="12"/>
        <v>9.261523043962834E-2</v>
      </c>
      <c r="AJ28" s="110">
        <f t="shared" si="12"/>
        <v>4.5371515679856159E-2</v>
      </c>
      <c r="AK28" s="110">
        <f t="shared" si="12"/>
        <v>0.12861049315937914</v>
      </c>
      <c r="AL28" s="110">
        <f t="shared" si="12"/>
        <v>6.5309766243190834E-2</v>
      </c>
      <c r="AM28" s="110">
        <f t="shared" si="12"/>
        <v>5.6300582421630947E-2</v>
      </c>
      <c r="AN28" s="110">
        <f t="shared" si="12"/>
        <v>3.9524328432184674E-2</v>
      </c>
      <c r="AO28" s="110">
        <f t="shared" si="12"/>
        <v>7.5451172087880589E-2</v>
      </c>
      <c r="AP28" s="110">
        <f t="shared" si="12"/>
        <v>2.6361916403630399E-2</v>
      </c>
      <c r="AQ28" s="110">
        <f t="shared" si="12"/>
        <v>3.7623537391149736E-2</v>
      </c>
      <c r="AR28" s="110">
        <f t="shared" si="12"/>
        <v>8.7790487135093034E-2</v>
      </c>
      <c r="AS28" s="110">
        <f t="shared" si="12"/>
        <v>-2.2115829349734765E-2</v>
      </c>
      <c r="AT28" s="110">
        <f t="shared" si="12"/>
        <v>0</v>
      </c>
      <c r="AU28" s="110">
        <f t="shared" si="12"/>
        <v>0</v>
      </c>
      <c r="AV28" s="110">
        <f t="shared" si="12"/>
        <v>6.0797300319900599E-4</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694</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35795</v>
      </c>
      <c r="BW31" s="1">
        <v>25569</v>
      </c>
      <c r="BX31" s="1"/>
      <c r="BY31" s="1"/>
      <c r="BZ31" s="1"/>
      <c r="CA31" s="1"/>
      <c r="CB31" s="1"/>
      <c r="CC31" s="1"/>
      <c r="CD31" s="1"/>
      <c r="CE31" s="1"/>
      <c r="CF31" s="1"/>
      <c r="CG31" s="1"/>
      <c r="CH31" s="1"/>
      <c r="CI31" s="1"/>
      <c r="CJ31" s="1"/>
      <c r="CK31" s="1"/>
    </row>
    <row r="32" spans="1:89" s="76" customFormat="1" x14ac:dyDescent="0.25">
      <c r="A32" s="146" t="s">
        <v>449</v>
      </c>
      <c r="E32" s="76">
        <f>股权价值增加表!E29</f>
        <v>172155026.25798389</v>
      </c>
      <c r="F32" s="76">
        <f>股权价值增加表!F29</f>
        <v>69360585.127994388</v>
      </c>
      <c r="G32" s="76">
        <f>股权价值增加表!G29</f>
        <v>38395441.2905128</v>
      </c>
      <c r="H32" s="76">
        <f>股权价值增加表!H29</f>
        <v>10729642.719919525</v>
      </c>
      <c r="I32" s="76">
        <f>股权价值增加表!I29</f>
        <v>38414702.069145963</v>
      </c>
      <c r="J32" s="76">
        <f>股权价值增加表!J29</f>
        <v>5027482.7249018438</v>
      </c>
      <c r="K32" s="76">
        <f>股权价值增加表!K29</f>
        <v>-1568889.9941135556</v>
      </c>
      <c r="L32" s="76">
        <f>股权价值增加表!L29</f>
        <v>-6367526.5899999999</v>
      </c>
      <c r="M32" s="76">
        <f>股权价值增加表!M29</f>
        <v>128783754.46793213</v>
      </c>
      <c r="N32" s="76">
        <f>股权价值增加表!N29</f>
        <v>48423073.58766406</v>
      </c>
      <c r="O32" s="76">
        <f>股权价值增加表!O29</f>
        <v>100552839.11712538</v>
      </c>
      <c r="P32" s="76">
        <f>股权价值增加表!P29</f>
        <v>4052033.4799489719</v>
      </c>
      <c r="Q32" s="76">
        <f>股权价值增加表!Q29</f>
        <v>49131843.771174543</v>
      </c>
      <c r="R32" s="76">
        <f>股权价值增加表!R29</f>
        <v>23474506.179111604</v>
      </c>
      <c r="S32" s="76">
        <f>股权价值增加表!S29</f>
        <v>16106709.479678031</v>
      </c>
      <c r="T32" s="76">
        <f>股权价值增加表!T29</f>
        <v>3870810.7230485408</v>
      </c>
      <c r="U32" s="76">
        <f>股权价值增加表!U29</f>
        <v>42305479.434622668</v>
      </c>
      <c r="V32" s="76">
        <f>股权价值增加表!V29</f>
        <v>18063153.420000002</v>
      </c>
      <c r="W32" s="76">
        <f>股权价值增加表!W29</f>
        <v>15236224.15</v>
      </c>
      <c r="X32" s="76">
        <f>股权价值增加表!X29</f>
        <v>8555919.7799999993</v>
      </c>
      <c r="Y32" s="76">
        <f>股权价值增加表!Y29</f>
        <v>26485797.061320454</v>
      </c>
      <c r="Z32" s="76">
        <f>股权价值增加表!Z29</f>
        <v>42170420.6836567</v>
      </c>
      <c r="AA32" s="76">
        <f>股权价值增加表!AA29</f>
        <v>43008827.815072797</v>
      </c>
      <c r="AB32" s="76">
        <f>股权价值增加表!AB29</f>
        <v>-137814.47455734274</v>
      </c>
      <c r="AC32" s="76">
        <f>股权价值增加表!AC29</f>
        <v>11651338.416804019</v>
      </c>
      <c r="AD32" s="76">
        <f>股权价值增加表!AD29</f>
        <v>1207.9825225941604</v>
      </c>
      <c r="AE32" s="76">
        <f>股权价值增加表!AE29</f>
        <v>-95225.03113587237</v>
      </c>
      <c r="AF32" s="76">
        <f>股权价值增加表!AF29</f>
        <v>-31293.505760259824</v>
      </c>
      <c r="AG32" s="76">
        <f>股权价值增加表!AG29</f>
        <v>5762841.3065101523</v>
      </c>
      <c r="AH32" s="76">
        <f>股权价值增加表!AH29</f>
        <v>341004.77865750098</v>
      </c>
      <c r="AI32" s="76">
        <f>股权价值增加表!AI29</f>
        <v>-53660.04</v>
      </c>
      <c r="AJ32" s="76">
        <f>股权价值增加表!AJ29</f>
        <v>0</v>
      </c>
      <c r="AK32" s="76">
        <f>股权价值增加表!AK29</f>
        <v>525001.0004013353</v>
      </c>
      <c r="AL32" s="76">
        <f>股权价值增加表!AL29</f>
        <v>0</v>
      </c>
      <c r="AM32" s="76">
        <f>股权价值增加表!AM29</f>
        <v>0</v>
      </c>
      <c r="AN32" s="76">
        <f>股权价值增加表!AN29</f>
        <v>0</v>
      </c>
      <c r="AO32" s="76">
        <f>股权价值增加表!AO29</f>
        <v>-99178.613835703407</v>
      </c>
      <c r="AP32" s="76">
        <f>股权价值增加表!AP29</f>
        <v>-793392.70858139102</v>
      </c>
      <c r="AQ32" s="76">
        <f>股权价值增加表!AQ29</f>
        <v>-739666.38031037082</v>
      </c>
      <c r="AR32" s="76">
        <f>股权价值增加表!AR29</f>
        <v>-848624.39194126055</v>
      </c>
      <c r="AS32" s="76">
        <f>股权价值增加表!AS29</f>
        <v>14269719.733632091</v>
      </c>
      <c r="AT32" s="76">
        <f>股权价值增加表!AT29</f>
        <v>2547899.5079607586</v>
      </c>
      <c r="AU32" s="76">
        <f>股权价值增加表!AU29</f>
        <v>3546012.1973993322</v>
      </c>
      <c r="AV32" s="76">
        <f>股权价值增加表!AV29</f>
        <v>1043511.1140862862</v>
      </c>
      <c r="AW32" s="76">
        <f>股权价值增加表!AW29</f>
        <v>-12018396.791402478</v>
      </c>
      <c r="AX32" s="76">
        <f>股权价值增加表!AX29</f>
        <v>-3468287.7528124428</v>
      </c>
      <c r="AY32" s="76">
        <f>股权价值增加表!AY29</f>
        <v>3365760.7595834131</v>
      </c>
      <c r="AZ32" s="76">
        <f>股权价值增加表!AZ29</f>
        <v>419818.85611638596</v>
      </c>
      <c r="BA32" s="76">
        <f>股权价值增加表!BA29</f>
        <v>-3362306.2800939269</v>
      </c>
      <c r="BB32" s="76">
        <f>股权价值增加表!BB29</f>
        <v>1711154.265861216</v>
      </c>
      <c r="BC32" s="76">
        <f>股权价值增加表!BC29</f>
        <v>1462844.9696315448</v>
      </c>
      <c r="BD32" s="76">
        <f>股权价值增加表!BD29</f>
        <v>2643829.4769059257</v>
      </c>
      <c r="BE32" s="76">
        <f>股权价值增加表!BE29</f>
        <v>-746028.9255753943</v>
      </c>
      <c r="BF32" s="76">
        <f>股权价值增加表!BF29</f>
        <v>-2479096.0803448837</v>
      </c>
      <c r="BG32" s="76">
        <f>股权价值增加表!BG29</f>
        <v>-1500408.7308100627</v>
      </c>
      <c r="BH32" s="76">
        <f>股权价值增加表!BH29</f>
        <v>2853689.1459926753</v>
      </c>
      <c r="BI32" s="76">
        <f>股权价值增加表!BI29</f>
        <v>9039182.0232714321</v>
      </c>
      <c r="BJ32" s="76">
        <f>股权价值增加表!BJ29</f>
        <v>67623.384032473463</v>
      </c>
      <c r="BK32" s="76">
        <f>股权价值增加表!BK29</f>
        <v>2381100.0328028305</v>
      </c>
      <c r="BL32" s="76">
        <f>股权价值增加表!BL29</f>
        <v>3667629.2431770014</v>
      </c>
      <c r="BM32" s="76">
        <f>股权价值增加表!BM29</f>
        <v>14281043.928059395</v>
      </c>
      <c r="BN32" s="76">
        <f>股权价值增加表!BN29</f>
        <v>8856061.2903853022</v>
      </c>
      <c r="BO32" s="76">
        <f>股权价值增加表!BO29</f>
        <v>8070792.4561015442</v>
      </c>
      <c r="BP32" s="76">
        <f>股权价值增加表!BP29</f>
        <v>872538.68933218694</v>
      </c>
      <c r="BQ32" s="76">
        <f>股权价值增加表!BQ29</f>
        <v>-1713828.8785373762</v>
      </c>
      <c r="BR32" s="76">
        <f>股权价值增加表!BR29</f>
        <v>385563.25428611087</v>
      </c>
      <c r="BS32" s="76">
        <f>股权价值增加表!BS29</f>
        <v>-27471.340272611746</v>
      </c>
      <c r="BT32" s="76">
        <f>股权价值增加表!BT29</f>
        <v>-225275.94476911251</v>
      </c>
      <c r="BU32" s="76">
        <f>股权价值增加表!BU29</f>
        <v>5955884.140633896</v>
      </c>
      <c r="BV32" s="76">
        <f>股权价值增加表!BV29</f>
        <v>-4929634.7570810551</v>
      </c>
      <c r="BW32" s="76" t="e">
        <f>股权价值增加表!BW29</f>
        <v>#DIV/0!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450</v>
      </c>
    </row>
    <row r="34" spans="1:89" s="76" customFormat="1" x14ac:dyDescent="0.25">
      <c r="A34" s="146" t="s">
        <v>451</v>
      </c>
      <c r="E34" s="76">
        <f>资产资本表!E4</f>
        <v>1330955759.4100001</v>
      </c>
      <c r="F34" s="76">
        <f>资产资本表!F4</f>
        <v>1676950117.79</v>
      </c>
      <c r="G34" s="76">
        <f>资产资本表!G4</f>
        <v>2140018551.8399999</v>
      </c>
      <c r="H34" s="76">
        <f>资产资本表!H4</f>
        <v>2106880370.73</v>
      </c>
      <c r="I34" s="76">
        <f>资产资本表!I4</f>
        <v>2330449996.3299999</v>
      </c>
      <c r="J34" s="76">
        <f>资产资本表!J4</f>
        <v>2880954242.46</v>
      </c>
      <c r="K34" s="76">
        <f>资产资本表!K4</f>
        <v>3619608171.04</v>
      </c>
      <c r="L34" s="76">
        <f>资产资本表!L4</f>
        <v>3844051282.4499998</v>
      </c>
      <c r="M34" s="76">
        <f>资产资本表!M4</f>
        <v>3477140930.6700001</v>
      </c>
      <c r="N34" s="76">
        <f>资产资本表!N4</f>
        <v>1670661607.74</v>
      </c>
      <c r="O34" s="76">
        <f>资产资本表!O4</f>
        <v>2139767821.3099999</v>
      </c>
      <c r="P34" s="76">
        <f>资产资本表!P4</f>
        <v>3001408760.3600001</v>
      </c>
      <c r="Q34" s="76">
        <f>资产资本表!Q4</f>
        <v>2633560561.48</v>
      </c>
      <c r="R34" s="76">
        <f>资产资本表!R4</f>
        <v>2370726949.3400002</v>
      </c>
      <c r="S34" s="76">
        <f>资产资本表!S4</f>
        <v>2208807833.5100002</v>
      </c>
      <c r="T34" s="76">
        <f>资产资本表!T4</f>
        <v>2253225380.6399999</v>
      </c>
      <c r="U34" s="76">
        <f>资产资本表!U4</f>
        <v>1733026803.0899999</v>
      </c>
      <c r="V34" s="76">
        <f>资产资本表!V4</f>
        <v>1588745407.8599999</v>
      </c>
      <c r="W34" s="76">
        <f>资产资本表!W4</f>
        <v>1349957091.27</v>
      </c>
      <c r="X34" s="76">
        <f>资产资本表!X4</f>
        <v>1530938466.8699999</v>
      </c>
      <c r="Y34" s="76">
        <f>资产资本表!Y4</f>
        <v>1328500030.21</v>
      </c>
      <c r="Z34" s="76">
        <f>资产资本表!Z4</f>
        <v>1689311720.4200001</v>
      </c>
      <c r="AA34" s="76">
        <f>资产资本表!AA4</f>
        <v>1576784250.97</v>
      </c>
      <c r="AB34" s="76">
        <f>资产资本表!AB4</f>
        <v>1054018437.67</v>
      </c>
      <c r="AC34" s="76">
        <f>资产资本表!AC4</f>
        <v>871579654.60000002</v>
      </c>
      <c r="AD34" s="76">
        <f>资产资本表!AD4</f>
        <v>941436942.50999999</v>
      </c>
      <c r="AE34" s="76">
        <f>资产资本表!AE4</f>
        <v>796301613.28999996</v>
      </c>
      <c r="AF34" s="76">
        <f>资产资本表!AF4</f>
        <v>822114901.82000005</v>
      </c>
      <c r="AG34" s="76">
        <f>资产资本表!AG4</f>
        <v>768359723.28999996</v>
      </c>
      <c r="AH34" s="76">
        <f>资产资本表!AH4</f>
        <v>800320298.29999995</v>
      </c>
      <c r="AI34" s="76">
        <f>资产资本表!AI4</f>
        <v>678805129.55999994</v>
      </c>
      <c r="AJ34" s="76">
        <f>资产资本表!AJ4</f>
        <v>692269835.62</v>
      </c>
      <c r="AK34" s="76">
        <f>资产资本表!AK4</f>
        <v>700605005.73000002</v>
      </c>
      <c r="AL34" s="76">
        <f>资产资本表!AL4</f>
        <v>689605047.82000005</v>
      </c>
      <c r="AM34" s="76">
        <f>资产资本表!AM4</f>
        <v>486582727.50999999</v>
      </c>
      <c r="AN34" s="76">
        <f>资产资本表!AN4</f>
        <v>522189527.00999999</v>
      </c>
      <c r="AO34" s="76">
        <f>资产资本表!AO4</f>
        <v>478990556.25999999</v>
      </c>
      <c r="AP34" s="76">
        <f>资产资本表!AP4</f>
        <v>466931262.31</v>
      </c>
      <c r="AQ34" s="76">
        <f>资产资本表!AQ4</f>
        <v>504966248.72000003</v>
      </c>
      <c r="AR34" s="76">
        <f>资产资本表!AR4</f>
        <v>414543859.06999999</v>
      </c>
      <c r="AS34" s="76">
        <f>资产资本表!AS4</f>
        <v>337658094.49000001</v>
      </c>
      <c r="AT34" s="76">
        <f>资产资本表!AT4</f>
        <v>465844349.69999999</v>
      </c>
      <c r="AU34" s="76">
        <f>资产资本表!AU4</f>
        <v>349804253.05000001</v>
      </c>
      <c r="AV34" s="76">
        <f>资产资本表!AV4</f>
        <v>261977252.28999999</v>
      </c>
      <c r="AW34" s="76">
        <f>资产资本表!AW4</f>
        <v>231085673.77000001</v>
      </c>
      <c r="AX34" s="76">
        <f>资产资本表!AX4</f>
        <v>224546110.24000001</v>
      </c>
      <c r="AY34" s="76">
        <f>资产资本表!AY4</f>
        <v>229902436.65000001</v>
      </c>
      <c r="AZ34" s="76">
        <f>资产资本表!AZ4</f>
        <v>467764060.77999997</v>
      </c>
      <c r="BA34" s="76">
        <f>资产资本表!BA4</f>
        <v>350250323.23000002</v>
      </c>
      <c r="BB34" s="76">
        <f>资产资本表!BB4</f>
        <v>226605194.72</v>
      </c>
      <c r="BC34" s="76">
        <f>资产资本表!BC4</f>
        <v>305300697.36000001</v>
      </c>
      <c r="BD34" s="76">
        <f>资产资本表!BD4</f>
        <v>262260123.28999999</v>
      </c>
      <c r="BE34" s="76">
        <f>资产资本表!BE4</f>
        <v>376853902.33999997</v>
      </c>
      <c r="BF34" s="76">
        <f>资产资本表!BF4</f>
        <v>388795604.60000002</v>
      </c>
      <c r="BG34" s="76">
        <f>资产资本表!BG4</f>
        <v>448866748.66000003</v>
      </c>
      <c r="BH34" s="76">
        <f>资产资本表!BH4</f>
        <v>389457078.69</v>
      </c>
      <c r="BI34" s="76">
        <f>资产资本表!BI4</f>
        <v>422470524.32999998</v>
      </c>
      <c r="BJ34" s="76">
        <f>资产资本表!BJ4</f>
        <v>484643945.29000002</v>
      </c>
      <c r="BK34" s="76">
        <f>资产资本表!BK4</f>
        <v>416024122.68000001</v>
      </c>
      <c r="BL34" s="76">
        <f>资产资本表!BL4</f>
        <v>371399864.50999999</v>
      </c>
      <c r="BM34" s="76">
        <f>资产资本表!BM4</f>
        <v>477729129.73000002</v>
      </c>
      <c r="BN34" s="76">
        <f>资产资本表!BN4</f>
        <v>644075309.75999999</v>
      </c>
      <c r="BO34" s="76">
        <f>资产资本表!BO4</f>
        <v>616799243.40999997</v>
      </c>
      <c r="BP34" s="76">
        <f>资产资本表!BP4</f>
        <v>576480068.09000003</v>
      </c>
      <c r="BQ34" s="76">
        <f>资产资本表!BQ4</f>
        <v>610055618.49000001</v>
      </c>
      <c r="BR34" s="76">
        <f>资产资本表!BR4</f>
        <v>0</v>
      </c>
      <c r="BS34" s="76">
        <f>资产资本表!BS4</f>
        <v>67125512.590000004</v>
      </c>
      <c r="BT34" s="76">
        <f>资产资本表!BT4</f>
        <v>74297081.659999996</v>
      </c>
      <c r="BU34" s="76">
        <f>资产资本表!BU4</f>
        <v>44152475.600000001</v>
      </c>
      <c r="BV34" s="76">
        <f>资产资本表!BV4</f>
        <v>50314733.219999999</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452</v>
      </c>
      <c r="E35" s="76">
        <f>利润表!E12</f>
        <v>-2119167.87</v>
      </c>
      <c r="F35" s="76">
        <f>利润表!F12</f>
        <v>-399266.21</v>
      </c>
      <c r="G35" s="76">
        <f>利润表!G12</f>
        <v>-666741.01</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18837837.73</v>
      </c>
      <c r="S37" s="76">
        <f>资产资本表!S11</f>
        <v>0</v>
      </c>
      <c r="T37" s="76">
        <f>资产资本表!T11</f>
        <v>0</v>
      </c>
      <c r="U37" s="76">
        <f>资产资本表!U11</f>
        <v>0</v>
      </c>
      <c r="V37" s="76">
        <f>资产资本表!V11</f>
        <v>0</v>
      </c>
      <c r="W37" s="76">
        <f>资产资本表!W11</f>
        <v>14302702.640000001</v>
      </c>
      <c r="X37" s="76">
        <f>资产资本表!X11</f>
        <v>0</v>
      </c>
      <c r="Y37" s="76">
        <f>资产资本表!Y11</f>
        <v>0</v>
      </c>
      <c r="Z37" s="76">
        <f>资产资本表!Z11</f>
        <v>15874476.119999999</v>
      </c>
      <c r="AA37" s="76">
        <f>资产资本表!AA11</f>
        <v>0</v>
      </c>
      <c r="AB37" s="76">
        <f>资产资本表!AB11</f>
        <v>0</v>
      </c>
      <c r="AC37" s="76">
        <f>资产资本表!AC11</f>
        <v>1615108.11</v>
      </c>
      <c r="AD37" s="76">
        <f>资产资本表!AD11</f>
        <v>13243243.24</v>
      </c>
      <c r="AE37" s="76">
        <f>资产资本表!AE11</f>
        <v>13243243.24</v>
      </c>
      <c r="AF37" s="76">
        <f>资产资本表!AF11</f>
        <v>7500000</v>
      </c>
      <c r="AG37" s="76">
        <f>资产资本表!AG11</f>
        <v>5517531.7599999998</v>
      </c>
      <c r="AH37" s="76">
        <f>资产资本表!AH11</f>
        <v>8823243.2400000002</v>
      </c>
      <c r="AI37" s="76">
        <f>资产资本表!AI11</f>
        <v>0</v>
      </c>
      <c r="AJ37" s="76">
        <f>资产资本表!AJ11</f>
        <v>3160000</v>
      </c>
      <c r="AK37" s="76">
        <f>资产资本表!AK11</f>
        <v>6329729.7300000004</v>
      </c>
      <c r="AL37" s="76">
        <f>资产资本表!AL11</f>
        <v>11529729.73</v>
      </c>
      <c r="AM37" s="76">
        <f>资产资本表!AM11</f>
        <v>15229729.73</v>
      </c>
      <c r="AN37" s="76">
        <f>资产资本表!AN11</f>
        <v>12516159.699999999</v>
      </c>
      <c r="AO37" s="76">
        <f>资产资本表!AO11</f>
        <v>5007742.49</v>
      </c>
      <c r="AP37" s="76">
        <f>资产资本表!AP11</f>
        <v>5007742.49</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453711.72</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860237.85</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548610000</v>
      </c>
      <c r="F38" s="76">
        <f>资产资本表!F8</f>
        <v>461687812</v>
      </c>
      <c r="G38" s="76">
        <f>资产资本表!G8</f>
        <v>455318010.85000002</v>
      </c>
      <c r="H38" s="76">
        <f>资产资本表!H8</f>
        <v>440937311.89999998</v>
      </c>
      <c r="I38" s="76">
        <f>资产资本表!I8</f>
        <v>442637311.89999998</v>
      </c>
      <c r="J38" s="76">
        <f>资产资本表!J8</f>
        <v>438700000</v>
      </c>
      <c r="K38" s="76">
        <f>资产资本表!K8</f>
        <v>438950000</v>
      </c>
      <c r="L38" s="76">
        <f>资产资本表!L8</f>
        <v>98550000</v>
      </c>
      <c r="M38" s="76">
        <f>资产资本表!M8</f>
        <v>119500000</v>
      </c>
      <c r="N38" s="76">
        <f>资产资本表!N8</f>
        <v>93000000</v>
      </c>
      <c r="O38" s="76">
        <f>资产资本表!O8</f>
        <v>171700000</v>
      </c>
      <c r="P38" s="76">
        <f>资产资本表!P8</f>
        <v>64500000</v>
      </c>
      <c r="Q38" s="76">
        <f>资产资本表!Q8</f>
        <v>64500000</v>
      </c>
      <c r="R38" s="76">
        <f>资产资本表!R8</f>
        <v>113571381.41</v>
      </c>
      <c r="S38" s="76">
        <f>资产资本表!S8</f>
        <v>48528970.560000002</v>
      </c>
      <c r="T38" s="76">
        <f>资产资本表!T8</f>
        <v>50151403.009999998</v>
      </c>
      <c r="U38" s="76">
        <f>资产资本表!U8</f>
        <v>49618592.350000001</v>
      </c>
      <c r="V38" s="76">
        <f>资产资本表!V8</f>
        <v>679446276.16999996</v>
      </c>
      <c r="W38" s="76">
        <f>资产资本表!W8</f>
        <v>676554700.32000005</v>
      </c>
      <c r="X38" s="76">
        <f>资产资本表!X8</f>
        <v>521697794.47000003</v>
      </c>
      <c r="Y38" s="76">
        <f>资产资本表!Y8</f>
        <v>491584457.66000003</v>
      </c>
      <c r="Z38" s="76">
        <f>资产资本表!Z8</f>
        <v>100000000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491599.24</v>
      </c>
      <c r="AS38" s="76">
        <f>资产资本表!AS8</f>
        <v>570889.43999999994</v>
      </c>
      <c r="AT38" s="76">
        <f>资产资本表!AT8</f>
        <v>631563.68000000005</v>
      </c>
      <c r="AU38" s="76">
        <f>资产资本表!AU8</f>
        <v>515041.56</v>
      </c>
      <c r="AV38" s="76">
        <f>资产资本表!AV8</f>
        <v>431614.48</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2000</v>
      </c>
      <c r="BK39" s="76">
        <f>资产资本表!BK9</f>
        <v>2000</v>
      </c>
      <c r="BL39" s="76">
        <f>资产资本表!BL9</f>
        <v>2000</v>
      </c>
      <c r="BM39" s="76">
        <f>资产资本表!BM9</f>
        <v>2000</v>
      </c>
      <c r="BN39" s="76">
        <f>资产资本表!BN9</f>
        <v>2000</v>
      </c>
      <c r="BO39" s="76">
        <f>资产资本表!BO9</f>
        <v>2000</v>
      </c>
      <c r="BP39" s="76">
        <f>资产资本表!BP9</f>
        <v>2000</v>
      </c>
      <c r="BQ39" s="76">
        <f>资产资本表!BQ9</f>
        <v>2000</v>
      </c>
      <c r="BR39" s="76">
        <f>资产资本表!BR9</f>
        <v>2000</v>
      </c>
      <c r="BS39" s="76">
        <f>资产资本表!BS9</f>
        <v>2000</v>
      </c>
      <c r="BT39" s="76">
        <f>资产资本表!BT9</f>
        <v>4000</v>
      </c>
      <c r="BU39" s="76">
        <f>资产资本表!BU9</f>
        <v>3000</v>
      </c>
      <c r="BV39" s="76">
        <f>资产资本表!BV9</f>
        <v>3000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732957396.09000003</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1877446591.5400002</v>
      </c>
      <c r="F43" s="76">
        <f t="shared" ref="F43:BQ43" si="14">SUM(F34:F42)</f>
        <v>2138238663.5799999</v>
      </c>
      <c r="G43" s="76">
        <f t="shared" si="14"/>
        <v>2594669821.6799998</v>
      </c>
      <c r="H43" s="76">
        <f t="shared" si="14"/>
        <v>2547817682.6300001</v>
      </c>
      <c r="I43" s="76">
        <f t="shared" si="14"/>
        <v>2773087308.23</v>
      </c>
      <c r="J43" s="76">
        <f t="shared" si="14"/>
        <v>3319654242.46</v>
      </c>
      <c r="K43" s="76">
        <f t="shared" si="14"/>
        <v>4058558171.04</v>
      </c>
      <c r="L43" s="76">
        <f t="shared" si="14"/>
        <v>3942601282.4499998</v>
      </c>
      <c r="M43" s="76">
        <f t="shared" si="14"/>
        <v>3596640930.6700001</v>
      </c>
      <c r="N43" s="76">
        <f t="shared" si="14"/>
        <v>2496619003.8299999</v>
      </c>
      <c r="O43" s="76">
        <f t="shared" si="14"/>
        <v>2311467821.3099999</v>
      </c>
      <c r="P43" s="76">
        <f t="shared" si="14"/>
        <v>3065908760.3600001</v>
      </c>
      <c r="Q43" s="76">
        <f t="shared" si="14"/>
        <v>2698060561.48</v>
      </c>
      <c r="R43" s="76">
        <f t="shared" si="14"/>
        <v>2503136168.48</v>
      </c>
      <c r="S43" s="76">
        <f t="shared" si="14"/>
        <v>2257336804.0700002</v>
      </c>
      <c r="T43" s="76">
        <f t="shared" si="14"/>
        <v>2303376783.6500001</v>
      </c>
      <c r="U43" s="76">
        <f t="shared" si="14"/>
        <v>1782645395.4399998</v>
      </c>
      <c r="V43" s="76">
        <f t="shared" si="14"/>
        <v>2268191684.0299997</v>
      </c>
      <c r="W43" s="76">
        <f t="shared" si="14"/>
        <v>2040814494.23</v>
      </c>
      <c r="X43" s="76">
        <f t="shared" si="14"/>
        <v>2052636261.3399999</v>
      </c>
      <c r="Y43" s="76">
        <f t="shared" si="14"/>
        <v>1820084487.8700001</v>
      </c>
      <c r="Z43" s="76">
        <f t="shared" si="14"/>
        <v>1805186196.54</v>
      </c>
      <c r="AA43" s="76">
        <f t="shared" si="14"/>
        <v>1576784250.97</v>
      </c>
      <c r="AB43" s="76">
        <f t="shared" si="14"/>
        <v>1054018437.67</v>
      </c>
      <c r="AC43" s="76">
        <f t="shared" si="14"/>
        <v>873194762.71000004</v>
      </c>
      <c r="AD43" s="76">
        <f t="shared" si="14"/>
        <v>954680185.75</v>
      </c>
      <c r="AE43" s="76">
        <f t="shared" si="14"/>
        <v>809544856.52999997</v>
      </c>
      <c r="AF43" s="76">
        <f t="shared" si="14"/>
        <v>829614901.82000005</v>
      </c>
      <c r="AG43" s="76">
        <f t="shared" si="14"/>
        <v>773877255.04999995</v>
      </c>
      <c r="AH43" s="76">
        <f t="shared" si="14"/>
        <v>809143541.53999996</v>
      </c>
      <c r="AI43" s="76">
        <f t="shared" si="14"/>
        <v>678805129.55999994</v>
      </c>
      <c r="AJ43" s="76">
        <f t="shared" si="14"/>
        <v>695429835.62</v>
      </c>
      <c r="AK43" s="76">
        <f t="shared" si="14"/>
        <v>706934735.46000004</v>
      </c>
      <c r="AL43" s="76">
        <f t="shared" si="14"/>
        <v>701134777.55000007</v>
      </c>
      <c r="AM43" s="76">
        <f t="shared" si="14"/>
        <v>501812457.24000001</v>
      </c>
      <c r="AN43" s="76">
        <f t="shared" si="14"/>
        <v>534705686.70999998</v>
      </c>
      <c r="AO43" s="76">
        <f t="shared" si="14"/>
        <v>483998298.75</v>
      </c>
      <c r="AP43" s="76">
        <f t="shared" si="14"/>
        <v>471939004.80000001</v>
      </c>
      <c r="AQ43" s="76">
        <f t="shared" si="14"/>
        <v>504966248.72000003</v>
      </c>
      <c r="AR43" s="76">
        <f t="shared" si="14"/>
        <v>415035458.31</v>
      </c>
      <c r="AS43" s="76">
        <f t="shared" si="14"/>
        <v>338228983.93000001</v>
      </c>
      <c r="AT43" s="76">
        <f t="shared" si="14"/>
        <v>466475913.38</v>
      </c>
      <c r="AU43" s="76">
        <f t="shared" si="14"/>
        <v>350319294.61000001</v>
      </c>
      <c r="AV43" s="76">
        <f t="shared" si="14"/>
        <v>262408866.76999998</v>
      </c>
      <c r="AW43" s="76">
        <f t="shared" si="14"/>
        <v>231085673.77000001</v>
      </c>
      <c r="AX43" s="76">
        <f t="shared" si="14"/>
        <v>224546110.24000001</v>
      </c>
      <c r="AY43" s="76">
        <f t="shared" si="14"/>
        <v>229902436.65000001</v>
      </c>
      <c r="AZ43" s="76">
        <f t="shared" si="14"/>
        <v>467764060.77999997</v>
      </c>
      <c r="BA43" s="76">
        <f t="shared" si="14"/>
        <v>350704034.95000005</v>
      </c>
      <c r="BB43" s="76">
        <f t="shared" si="14"/>
        <v>226605194.72</v>
      </c>
      <c r="BC43" s="76">
        <f t="shared" si="14"/>
        <v>305300697.36000001</v>
      </c>
      <c r="BD43" s="76">
        <f t="shared" si="14"/>
        <v>262260123.28999999</v>
      </c>
      <c r="BE43" s="76">
        <f t="shared" si="14"/>
        <v>376853902.33999997</v>
      </c>
      <c r="BF43" s="76">
        <f t="shared" si="14"/>
        <v>388795604.60000002</v>
      </c>
      <c r="BG43" s="76">
        <f t="shared" si="14"/>
        <v>448866748.66000003</v>
      </c>
      <c r="BH43" s="76">
        <f t="shared" si="14"/>
        <v>389457078.69</v>
      </c>
      <c r="BI43" s="76">
        <f t="shared" si="14"/>
        <v>422470524.32999998</v>
      </c>
      <c r="BJ43" s="76">
        <f t="shared" si="14"/>
        <v>484645945.29000002</v>
      </c>
      <c r="BK43" s="76">
        <f t="shared" si="14"/>
        <v>416026122.68000001</v>
      </c>
      <c r="BL43" s="76">
        <f t="shared" si="14"/>
        <v>371401864.50999999</v>
      </c>
      <c r="BM43" s="76">
        <f t="shared" si="14"/>
        <v>477731129.73000002</v>
      </c>
      <c r="BN43" s="76">
        <f t="shared" si="14"/>
        <v>644077309.75999999</v>
      </c>
      <c r="BO43" s="76">
        <f t="shared" si="14"/>
        <v>616801243.40999997</v>
      </c>
      <c r="BP43" s="76">
        <f t="shared" si="14"/>
        <v>576482068.09000003</v>
      </c>
      <c r="BQ43" s="76">
        <f t="shared" si="14"/>
        <v>610057618.49000001</v>
      </c>
      <c r="BR43" s="76">
        <f t="shared" ref="BR43:CJ43" si="15">SUM(BR34:BR42)</f>
        <v>862237.85</v>
      </c>
      <c r="BS43" s="76">
        <f t="shared" si="15"/>
        <v>67127512.590000004</v>
      </c>
      <c r="BT43" s="76">
        <f t="shared" si="15"/>
        <v>74301081.659999996</v>
      </c>
      <c r="BU43" s="76">
        <f t="shared" si="15"/>
        <v>44155475.600000001</v>
      </c>
      <c r="BV43" s="76">
        <f t="shared" si="15"/>
        <v>50317733.219999999</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461</v>
      </c>
      <c r="E44" s="110">
        <f>E32/E43</f>
        <v>9.1696364111626461E-2</v>
      </c>
      <c r="F44" s="110">
        <f t="shared" ref="F44:BQ44" si="16">F32/F43</f>
        <v>3.2438186769977159E-2</v>
      </c>
      <c r="G44" s="110">
        <f t="shared" si="16"/>
        <v>1.4797813952933893E-2</v>
      </c>
      <c r="H44" s="110">
        <f t="shared" si="16"/>
        <v>4.2113071092448762E-3</v>
      </c>
      <c r="I44" s="110">
        <f t="shared" si="16"/>
        <v>1.3852683958106323E-2</v>
      </c>
      <c r="J44" s="110">
        <f t="shared" si="16"/>
        <v>1.5144597472224314E-3</v>
      </c>
      <c r="K44" s="110">
        <f t="shared" si="16"/>
        <v>-3.8656338729069634E-4</v>
      </c>
      <c r="L44" s="110">
        <f t="shared" si="16"/>
        <v>-1.6150572005199345E-3</v>
      </c>
      <c r="M44" s="110">
        <f t="shared" si="16"/>
        <v>3.5806675437000508E-2</v>
      </c>
      <c r="N44" s="110">
        <f t="shared" si="16"/>
        <v>1.9395459825219407E-2</v>
      </c>
      <c r="O44" s="110">
        <f t="shared" si="16"/>
        <v>4.3501725695726155E-2</v>
      </c>
      <c r="P44" s="110">
        <f t="shared" si="16"/>
        <v>1.3216419002218386E-3</v>
      </c>
      <c r="Q44" s="110">
        <f t="shared" si="16"/>
        <v>1.8210059652709817E-2</v>
      </c>
      <c r="R44" s="110">
        <f t="shared" si="16"/>
        <v>9.3780380287366554E-3</v>
      </c>
      <c r="S44" s="110">
        <f t="shared" si="16"/>
        <v>7.1352708424535843E-3</v>
      </c>
      <c r="T44" s="110">
        <f t="shared" si="16"/>
        <v>1.6804939385187071E-3</v>
      </c>
      <c r="U44" s="110">
        <f t="shared" si="16"/>
        <v>2.3731853537916136E-2</v>
      </c>
      <c r="V44" s="110">
        <f t="shared" si="16"/>
        <v>7.9636802952678023E-3</v>
      </c>
      <c r="W44" s="110">
        <f t="shared" si="16"/>
        <v>7.465756536460034E-3</v>
      </c>
      <c r="X44" s="110">
        <f t="shared" si="16"/>
        <v>4.1682591022797833E-3</v>
      </c>
      <c r="Y44" s="110">
        <f t="shared" si="16"/>
        <v>1.4551960218240269E-2</v>
      </c>
      <c r="Z44" s="110">
        <f t="shared" si="16"/>
        <v>2.3360704155884163E-2</v>
      </c>
      <c r="AA44" s="110">
        <f t="shared" si="16"/>
        <v>2.7276292104398425E-2</v>
      </c>
      <c r="AB44" s="110">
        <f t="shared" si="16"/>
        <v>-1.3075148368561152E-4</v>
      </c>
      <c r="AC44" s="110">
        <f t="shared" si="16"/>
        <v>1.3343344365286338E-2</v>
      </c>
      <c r="AD44" s="110">
        <f t="shared" si="16"/>
        <v>1.2653269027943271E-6</v>
      </c>
      <c r="AE44" s="110">
        <f t="shared" si="16"/>
        <v>-1.1762786257952531E-4</v>
      </c>
      <c r="AF44" s="110">
        <f t="shared" si="16"/>
        <v>-3.7720520318051758E-5</v>
      </c>
      <c r="AG44" s="110">
        <f t="shared" si="16"/>
        <v>7.446712342176043E-3</v>
      </c>
      <c r="AH44" s="110">
        <f t="shared" si="16"/>
        <v>4.214391651801171E-4</v>
      </c>
      <c r="AI44" s="110">
        <f t="shared" si="16"/>
        <v>-7.905072849815134E-5</v>
      </c>
      <c r="AJ44" s="110">
        <f t="shared" si="16"/>
        <v>0</v>
      </c>
      <c r="AK44" s="110">
        <f t="shared" si="16"/>
        <v>7.4264422734825577E-4</v>
      </c>
      <c r="AL44" s="110">
        <f t="shared" si="16"/>
        <v>0</v>
      </c>
      <c r="AM44" s="110">
        <f t="shared" si="16"/>
        <v>0</v>
      </c>
      <c r="AN44" s="110">
        <f t="shared" si="16"/>
        <v>0</v>
      </c>
      <c r="AO44" s="110">
        <f t="shared" si="16"/>
        <v>-2.0491521166881666E-4</v>
      </c>
      <c r="AP44" s="110">
        <f t="shared" si="16"/>
        <v>-1.6811340035723849E-3</v>
      </c>
      <c r="AQ44" s="110">
        <f t="shared" si="16"/>
        <v>-1.4647837992841977E-3</v>
      </c>
      <c r="AR44" s="110">
        <f t="shared" si="16"/>
        <v>-2.0447033499181233E-3</v>
      </c>
      <c r="AS44" s="110">
        <f t="shared" si="16"/>
        <v>4.2189523700267385E-2</v>
      </c>
      <c r="AT44" s="110">
        <f t="shared" si="16"/>
        <v>5.4620172979546579E-3</v>
      </c>
      <c r="AU44" s="110">
        <f t="shared" si="16"/>
        <v>1.0122229211916521E-2</v>
      </c>
      <c r="AV44" s="110">
        <f t="shared" si="16"/>
        <v>3.9766610287636289E-3</v>
      </c>
      <c r="AW44" s="110">
        <f t="shared" si="16"/>
        <v>-5.2008402750939937E-2</v>
      </c>
      <c r="AX44" s="110">
        <f t="shared" si="16"/>
        <v>-1.5445770800061768E-2</v>
      </c>
      <c r="AY44" s="110">
        <f t="shared" si="16"/>
        <v>1.4639952532157788E-2</v>
      </c>
      <c r="AZ44" s="110">
        <f t="shared" si="16"/>
        <v>8.9750130742480511E-4</v>
      </c>
      <c r="BA44" s="110">
        <f t="shared" si="16"/>
        <v>-9.5873042366715049E-3</v>
      </c>
      <c r="BB44" s="110">
        <f t="shared" si="16"/>
        <v>7.5512578958111184E-3</v>
      </c>
      <c r="BC44" s="110">
        <f t="shared" si="16"/>
        <v>4.7914891196812713E-3</v>
      </c>
      <c r="BD44" s="110">
        <f t="shared" si="16"/>
        <v>1.0080943468414571E-2</v>
      </c>
      <c r="BE44" s="110">
        <f t="shared" si="16"/>
        <v>-1.9796237240561256E-3</v>
      </c>
      <c r="BF44" s="110">
        <f t="shared" si="16"/>
        <v>-6.3763480116896453E-3</v>
      </c>
      <c r="BG44" s="110">
        <f t="shared" si="16"/>
        <v>-3.3426595649805346E-3</v>
      </c>
      <c r="BH44" s="110">
        <f t="shared" si="16"/>
        <v>7.3273521066596261E-3</v>
      </c>
      <c r="BI44" s="110">
        <f t="shared" si="16"/>
        <v>2.1396006354778851E-2</v>
      </c>
      <c r="BJ44" s="110">
        <f t="shared" si="16"/>
        <v>1.3953151716148026E-4</v>
      </c>
      <c r="BK44" s="110">
        <f t="shared" si="16"/>
        <v>5.7234387529898709E-3</v>
      </c>
      <c r="BL44" s="110">
        <f t="shared" si="16"/>
        <v>9.8750964753927632E-3</v>
      </c>
      <c r="BM44" s="110">
        <f t="shared" si="16"/>
        <v>2.9893475721648355E-2</v>
      </c>
      <c r="BN44" s="110">
        <f t="shared" si="16"/>
        <v>1.3749997331353439E-2</v>
      </c>
      <c r="BO44" s="110">
        <f t="shared" si="16"/>
        <v>1.3084915995762234E-2</v>
      </c>
      <c r="BP44" s="110">
        <f t="shared" si="16"/>
        <v>1.5135573812782789E-3</v>
      </c>
      <c r="BQ44" s="110">
        <f t="shared" si="16"/>
        <v>-2.8092901827525807E-3</v>
      </c>
      <c r="BR44" s="110">
        <f t="shared" ref="BR44:CK44" si="17">BR32/BR43</f>
        <v>0.44716577251405848</v>
      </c>
      <c r="BS44" s="110">
        <f t="shared" si="17"/>
        <v>-4.0924114737277118E-4</v>
      </c>
      <c r="BT44" s="110">
        <f t="shared" si="17"/>
        <v>-3.0319335834163214E-3</v>
      </c>
      <c r="BU44" s="110">
        <f t="shared" si="17"/>
        <v>0.1348843843193458</v>
      </c>
      <c r="BV44" s="110">
        <f t="shared" si="17"/>
        <v>-9.7970127857859315E-2</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695</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696</v>
      </c>
      <c r="E46" s="57">
        <f>E43/资产资本表!E70</f>
        <v>0.28971844106519951</v>
      </c>
      <c r="F46" s="57">
        <f>F43/资产资本表!F70</f>
        <v>0.38291349503190514</v>
      </c>
      <c r="G46" s="57">
        <f>G43/资产资本表!G70</f>
        <v>0.47288432040043227</v>
      </c>
      <c r="H46" s="57">
        <f>H43/资产资本表!H70</f>
        <v>0.47087181393471372</v>
      </c>
      <c r="I46" s="57">
        <f>I43/资产资本表!I70</f>
        <v>0.52296447727815398</v>
      </c>
      <c r="J46" s="57">
        <f>J43/资产资本表!J70</f>
        <v>0.60400570843360479</v>
      </c>
      <c r="K46" s="57">
        <f>K43/资产资本表!K70</f>
        <v>0.66611853438998914</v>
      </c>
      <c r="L46" s="57">
        <f>L43/资产资本表!L70</f>
        <v>0.67344171435203637</v>
      </c>
      <c r="M46" s="57">
        <f>M43/资产资本表!M70</f>
        <v>0.6276935013730609</v>
      </c>
      <c r="N46" s="57">
        <f>N43/资产资本表!N70</f>
        <v>0.57420663241192171</v>
      </c>
      <c r="O46" s="57">
        <f>O43/资产资本表!O70</f>
        <v>0.54388644837243416</v>
      </c>
      <c r="P46" s="57">
        <f>P43/资产资本表!P70</f>
        <v>0.76414075750308097</v>
      </c>
      <c r="Q46" s="57">
        <f>Q43/资产资本表!Q70</f>
        <v>0.70638968937306446</v>
      </c>
      <c r="R46" s="57">
        <f>R43/资产资本表!R70</f>
        <v>0.65573900344485392</v>
      </c>
      <c r="S46" s="57">
        <f>S43/资产资本表!S70</f>
        <v>0.61419740954999913</v>
      </c>
      <c r="T46" s="57">
        <f>T43/资产资本表!T70</f>
        <v>0.64263158629041506</v>
      </c>
      <c r="U46" s="57">
        <f>U43/资产资本表!U70</f>
        <v>0.5247322537714485</v>
      </c>
      <c r="V46" s="57">
        <f>V43/资产资本表!V70</f>
        <v>0.70366440398561314</v>
      </c>
      <c r="W46" s="57">
        <f>W43/资产资本表!W70</f>
        <v>0.66881680231783591</v>
      </c>
      <c r="X46" s="57">
        <f>X43/资产资本表!X70</f>
        <v>0.70206416173265362</v>
      </c>
      <c r="Y46" s="57">
        <f>Y43/资产资本表!Y70</f>
        <v>0.66323274467109039</v>
      </c>
      <c r="Z46" s="57">
        <f>Z43/资产资本表!Z70</f>
        <v>0.70785403721689089</v>
      </c>
      <c r="AA46" s="57">
        <f>AA43/资产资本表!AA70</f>
        <v>0.61266219853759352</v>
      </c>
      <c r="AB46" s="57">
        <f>AB43/资产资本表!AB70</f>
        <v>0.55948580606382325</v>
      </c>
      <c r="AC46" s="57">
        <f>AC43/资产资本表!AC70</f>
        <v>0.48654832692430527</v>
      </c>
      <c r="AD46" s="57">
        <f>AD43/资产资本表!AD70</f>
        <v>0.55818015572278579</v>
      </c>
      <c r="AE46" s="57">
        <f>AE43/资产资本表!AE70</f>
        <v>0.49491001876562563</v>
      </c>
      <c r="AF46" s="57">
        <f>AF43/资产资本表!AF70</f>
        <v>0.51972881156745254</v>
      </c>
      <c r="AG46" s="57">
        <f>AG43/资产资本表!AG70</f>
        <v>0.50357393210213797</v>
      </c>
      <c r="AH46" s="57">
        <f>AH43/资产资本表!AH70</f>
        <v>0.5428090654455674</v>
      </c>
      <c r="AI46" s="57">
        <f>AI43/资产资本表!AI70</f>
        <v>0.4741252997594978</v>
      </c>
      <c r="AJ46" s="57">
        <f>AJ43/资产资本表!AJ70</f>
        <v>0.48549781955465698</v>
      </c>
      <c r="AK46" s="57">
        <f>AK43/资产资本表!AK70</f>
        <v>0.50927380195403049</v>
      </c>
      <c r="AL46" s="57">
        <f>AL43/资产资本表!AL70</f>
        <v>0.52895493438908414</v>
      </c>
      <c r="AM46" s="57">
        <f>AM43/资产资本表!AM70</f>
        <v>0.39463446241551964</v>
      </c>
      <c r="AN46" s="57">
        <f>AN43/资产资本表!AN70</f>
        <v>0.41352821663519973</v>
      </c>
      <c r="AO46" s="57">
        <f>AO43/资产资本表!AO70</f>
        <v>0.38541476464508528</v>
      </c>
      <c r="AP46" s="57">
        <f>AP43/资产资本表!AP70</f>
        <v>0.40064077043665214</v>
      </c>
      <c r="AQ46" s="57">
        <f>AQ43/资产资本表!AQ70</f>
        <v>0.40229239512339748</v>
      </c>
      <c r="AR46" s="57">
        <f>AR43/资产资本表!AR70</f>
        <v>0.36415092411110356</v>
      </c>
      <c r="AS46" s="57">
        <f>AS43/资产资本表!AS70</f>
        <v>0.30524858265100085</v>
      </c>
      <c r="AT46" s="57">
        <f>AT43/资产资本表!AT70</f>
        <v>0.41421181788609701</v>
      </c>
      <c r="AU46" s="57">
        <f>AU43/资产资本表!AU70</f>
        <v>0.3105300382371266</v>
      </c>
      <c r="AV46" s="57">
        <f>AV43/资产资本表!AV70</f>
        <v>0.23401264563403984</v>
      </c>
      <c r="AW46" s="57">
        <f>AW43/资产资本表!AW70</f>
        <v>0.21393445061481392</v>
      </c>
      <c r="AX46" s="57">
        <f>AX43/资产资本表!AX70</f>
        <v>0.20662365106322167</v>
      </c>
      <c r="AY46" s="57">
        <f>AY43/资产资本表!AY70</f>
        <v>0.19114035571397087</v>
      </c>
      <c r="AZ46" s="57">
        <f>AZ43/资产资本表!AZ70</f>
        <v>0.30090666920653708</v>
      </c>
      <c r="BA46" s="57">
        <f>BA43/资产资本表!BA70</f>
        <v>0.23915293561108211</v>
      </c>
      <c r="BB46" s="57">
        <f>BB43/资产资本表!BB70</f>
        <v>0.16624789893429337</v>
      </c>
      <c r="BC46" s="57">
        <f>BC43/资产资本表!BC70</f>
        <v>0.21764576329550267</v>
      </c>
      <c r="BD46" s="57">
        <f>BD43/资产资本表!BD70</f>
        <v>0.19201832762498755</v>
      </c>
      <c r="BE46" s="57">
        <f>BE43/资产资本表!BE70</f>
        <v>0.27259766148815207</v>
      </c>
      <c r="BF46" s="57">
        <f>BF43/资产资本表!BF70</f>
        <v>0.28211017981725728</v>
      </c>
      <c r="BG46" s="57">
        <f>BG43/资产资本表!BG70</f>
        <v>0.32146154208671845</v>
      </c>
      <c r="BH46" s="57">
        <f>BH43/资产资本表!BH70</f>
        <v>0.29472472085358092</v>
      </c>
      <c r="BI46" s="57">
        <f>BI43/资产资本表!BI70</f>
        <v>0.32282862110561694</v>
      </c>
      <c r="BJ46" s="57">
        <f>BJ43/资产资本表!BJ70</f>
        <v>0.36765641912322194</v>
      </c>
      <c r="BK46" s="57">
        <f>BK43/资产资本表!BK70</f>
        <v>0.34377139296454678</v>
      </c>
      <c r="BL46" s="57">
        <f>BL43/资产资本表!BL70</f>
        <v>0.28962844899294338</v>
      </c>
      <c r="BM46" s="57">
        <f>BM43/资产资本表!BM70</f>
        <v>0.37674573613985529</v>
      </c>
      <c r="BN46" s="57">
        <f>BN43/资产资本表!BN70</f>
        <v>0.48402003806312938</v>
      </c>
      <c r="BO46" s="57">
        <f>BO43/资产资本表!BO70</f>
        <v>0.45973287769516724</v>
      </c>
      <c r="BP46" s="57">
        <f>BP43/资产资本表!BP70</f>
        <v>0.45891685253258852</v>
      </c>
      <c r="BQ46" s="57">
        <f>BQ43/资产资本表!BQ70</f>
        <v>0.4919618043847046</v>
      </c>
      <c r="BR46" s="57">
        <f>BR43/资产资本表!BR70</f>
        <v>6.6450941566872392E-4</v>
      </c>
      <c r="BS46" s="57">
        <f>BS43/资产资本表!BS70</f>
        <v>0.12603671489783116</v>
      </c>
      <c r="BT46" s="57">
        <f>BT43/资产资本表!BT70</f>
        <v>0.11787606801315487</v>
      </c>
      <c r="BU46" s="57">
        <f>BU43/资产资本表!BU70</f>
        <v>7.1899496274542382E-2</v>
      </c>
      <c r="BV46" s="57">
        <f>BV43/资产资本表!BV70</f>
        <v>8.201861251558927E-2</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35795</v>
      </c>
      <c r="BW48" s="1">
        <v>25569</v>
      </c>
      <c r="BX48" s="1"/>
      <c r="BY48" s="1"/>
      <c r="BZ48" s="1"/>
      <c r="CA48" s="1"/>
      <c r="CB48" s="1"/>
      <c r="CC48" s="1"/>
      <c r="CD48" s="1"/>
      <c r="CE48" s="1"/>
      <c r="CF48" s="1"/>
      <c r="CG48" s="1"/>
      <c r="CH48" s="1"/>
      <c r="CI48" s="1"/>
      <c r="CJ48" s="1"/>
      <c r="CK48" s="1"/>
    </row>
    <row r="49" spans="1:89" s="76" customFormat="1" x14ac:dyDescent="0.25">
      <c r="A49" s="146" t="s">
        <v>463</v>
      </c>
      <c r="E49" s="76">
        <f>利润表!E4</f>
        <v>6488246212.1400003</v>
      </c>
      <c r="F49" s="76">
        <f>利润表!F4</f>
        <v>3894561232.4000001</v>
      </c>
      <c r="G49" s="76">
        <f>利润表!G4</f>
        <v>2651881094.0700002</v>
      </c>
      <c r="H49" s="76">
        <f>利润表!H4</f>
        <v>1340165773.9200001</v>
      </c>
      <c r="I49" s="76">
        <f>利润表!I4</f>
        <v>5321198258.4899998</v>
      </c>
      <c r="J49" s="76">
        <f>利润表!J4</f>
        <v>4287852830.3699999</v>
      </c>
      <c r="K49" s="76">
        <f>利润表!K4</f>
        <v>3065730831.52</v>
      </c>
      <c r="L49" s="76">
        <f>利润表!L4</f>
        <v>1541097064.8199999</v>
      </c>
      <c r="M49" s="76">
        <f>利润表!M4</f>
        <v>5845865322.6400003</v>
      </c>
      <c r="N49" s="76">
        <f>利润表!N4</f>
        <v>4617561352.0799999</v>
      </c>
      <c r="O49" s="76">
        <f>利润表!O4</f>
        <v>3215056319.77</v>
      </c>
      <c r="P49" s="76">
        <f>利润表!P4</f>
        <v>1594897366.8599999</v>
      </c>
      <c r="Q49" s="76">
        <f>利润表!Q4</f>
        <v>5334659318.1000004</v>
      </c>
      <c r="R49" s="76">
        <f>利润表!R4</f>
        <v>4168265729.0900002</v>
      </c>
      <c r="S49" s="76">
        <f>利润表!S4</f>
        <v>2819379057.3400002</v>
      </c>
      <c r="T49" s="76">
        <f>利润表!T4</f>
        <v>1345701240.8900001</v>
      </c>
      <c r="U49" s="76">
        <f>利润表!U4</f>
        <v>4468503687.0100002</v>
      </c>
      <c r="V49" s="76">
        <f>利润表!V4</f>
        <v>4012363480.3899999</v>
      </c>
      <c r="W49" s="76">
        <f>利润表!W4</f>
        <v>2746693074.4099998</v>
      </c>
      <c r="X49" s="76">
        <f>利润表!X4</f>
        <v>1325026458.9300001</v>
      </c>
      <c r="Y49" s="76">
        <f>利润表!Y4</f>
        <v>4504122570.4099998</v>
      </c>
      <c r="Z49" s="76">
        <f>利润表!Z4</f>
        <v>3540725102.4299998</v>
      </c>
      <c r="AA49" s="76">
        <f>利润表!AA4</f>
        <v>2339090706.9299998</v>
      </c>
      <c r="AB49" s="76">
        <f>利润表!AB4</f>
        <v>1054933573.1</v>
      </c>
      <c r="AC49" s="76">
        <f>利润表!AC4</f>
        <v>3576607562.8699999</v>
      </c>
      <c r="AD49" s="76">
        <f>利润表!AD4</f>
        <v>2866766635.29</v>
      </c>
      <c r="AE49" s="76">
        <f>利润表!AE4</f>
        <v>1922161683.6400001</v>
      </c>
      <c r="AF49" s="76">
        <f>利润表!AF4</f>
        <v>843584272.85000002</v>
      </c>
      <c r="AG49" s="76">
        <f>利润表!AG4</f>
        <v>3093956633.8400002</v>
      </c>
      <c r="AH49" s="76">
        <f>利润表!AH4</f>
        <v>2429911851.9899998</v>
      </c>
      <c r="AI49" s="76">
        <f>利润表!AI4</f>
        <v>1577163658.76</v>
      </c>
      <c r="AJ49" s="76">
        <f>利润表!AJ4</f>
        <v>667913696.38999999</v>
      </c>
      <c r="AK49" s="76">
        <f>利润表!AK4</f>
        <v>2697115334.0700002</v>
      </c>
      <c r="AL49" s="76">
        <f>利润表!AL4</f>
        <v>2181544628.0999999</v>
      </c>
      <c r="AM49" s="76">
        <f>利润表!AM4</f>
        <v>1424803943.8</v>
      </c>
      <c r="AN49" s="76">
        <f>利润表!AN4</f>
        <v>582376592.78999996</v>
      </c>
      <c r="AO49" s="76">
        <f>利润表!AO4</f>
        <v>2493498067.6100001</v>
      </c>
      <c r="AP49" s="76">
        <f>利润表!AP4</f>
        <v>2097820988.5799999</v>
      </c>
      <c r="AQ49" s="76">
        <f>利润表!AQ4</f>
        <v>1384626050.21</v>
      </c>
      <c r="AR49" s="76">
        <f>利润表!AR4</f>
        <v>526135808.88</v>
      </c>
      <c r="AS49" s="76">
        <f>利润表!AS4</f>
        <v>2260798925.3600001</v>
      </c>
      <c r="AT49" s="76">
        <f>利润表!AT4</f>
        <v>1779982978.72</v>
      </c>
      <c r="AU49" s="76">
        <f>利润表!AU4</f>
        <v>1161985620.8</v>
      </c>
      <c r="AV49" s="76">
        <f>利润表!AV4</f>
        <v>475691864.44999999</v>
      </c>
      <c r="AW49" s="76">
        <f>利润表!AW4</f>
        <v>2159134465.3499999</v>
      </c>
      <c r="AX49" s="76">
        <f>利润表!AX4</f>
        <v>1746067860.55</v>
      </c>
      <c r="AY49" s="76">
        <f>利润表!AY4</f>
        <v>1096306129.48</v>
      </c>
      <c r="AZ49" s="76">
        <f>利润表!AZ4</f>
        <v>447802819.93000001</v>
      </c>
      <c r="BA49" s="76">
        <f>利润表!BA4</f>
        <v>1948870048.5599999</v>
      </c>
      <c r="BB49" s="76">
        <f>利润表!BB4</f>
        <v>1541480316.0799999</v>
      </c>
      <c r="BC49" s="76">
        <f>利润表!BC4</f>
        <v>969805968.16999996</v>
      </c>
      <c r="BD49" s="76">
        <f>利润表!BD4</f>
        <v>382578384.36000001</v>
      </c>
      <c r="BE49" s="76">
        <f>利润表!BE4</f>
        <v>1668957522.3699999</v>
      </c>
      <c r="BF49" s="76">
        <f>利润表!BF4</f>
        <v>1285500262.4200001</v>
      </c>
      <c r="BG49" s="76">
        <f>利润表!BG4</f>
        <v>774355804.61000001</v>
      </c>
      <c r="BH49" s="76">
        <f>利润表!BH4</f>
        <v>286183658.49000001</v>
      </c>
      <c r="BI49" s="76">
        <f>利润表!BI4</f>
        <v>1486376396.5599999</v>
      </c>
      <c r="BJ49" s="76">
        <f>利润表!BJ4</f>
        <v>1141838235.2</v>
      </c>
      <c r="BK49" s="76">
        <f>利润表!BK4</f>
        <v>736124241.46000004</v>
      </c>
      <c r="BL49" s="76">
        <f>利润表!BL4</f>
        <v>228125275.19999999</v>
      </c>
      <c r="BM49" s="76">
        <f>利润表!BM4</f>
        <v>1363884564.2</v>
      </c>
      <c r="BN49" s="76">
        <f>利润表!BN4</f>
        <v>1040814054.48</v>
      </c>
      <c r="BO49" s="76">
        <f>利润表!BO4</f>
        <v>686272256.01999998</v>
      </c>
      <c r="BP49" s="76">
        <f>利润表!BP4</f>
        <v>223232689.66</v>
      </c>
      <c r="BQ49" s="76">
        <f>利润表!BQ4</f>
        <v>1305853059.24</v>
      </c>
      <c r="BR49" s="76">
        <f>利润表!BR4</f>
        <v>638897219.44000006</v>
      </c>
      <c r="BS49" s="76">
        <f>利润表!BS4</f>
        <v>1187217478.3199999</v>
      </c>
      <c r="BT49" s="76">
        <f>利润表!BT4</f>
        <v>1082865772.29</v>
      </c>
      <c r="BU49" s="76">
        <f>利润表!BU4</f>
        <v>982009491.25</v>
      </c>
      <c r="BV49" s="76">
        <f>利润表!BV4</f>
        <v>899768289.63999999</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6" t="s">
        <v>464</v>
      </c>
      <c r="E50" s="76">
        <f>资产资本表!E50</f>
        <v>9805657.1599993706</v>
      </c>
      <c r="F50" s="76">
        <f>资产资本表!F50</f>
        <v>1532261291.1700001</v>
      </c>
      <c r="G50" s="76">
        <f>资产资本表!G50</f>
        <v>1004765458.1000004</v>
      </c>
      <c r="H50" s="76">
        <f>资产资本表!H50</f>
        <v>1019545604.2700005</v>
      </c>
      <c r="I50" s="76">
        <f>资产资本表!I50</f>
        <v>752863803.01000023</v>
      </c>
      <c r="J50" s="76">
        <f>资产资本表!J50</f>
        <v>501250923.10999966</v>
      </c>
      <c r="K50" s="76">
        <f>资产资本表!K50</f>
        <v>657755915.94000006</v>
      </c>
      <c r="L50" s="76">
        <f>资产资本表!L50</f>
        <v>693196335.21000004</v>
      </c>
      <c r="M50" s="76">
        <f>资产资本表!M50</f>
        <v>1019622266.23</v>
      </c>
      <c r="N50" s="76">
        <f>资产资本表!N50</f>
        <v>984172558.88999987</v>
      </c>
      <c r="O50" s="76">
        <f>资产资本表!O50</f>
        <v>422275582.10000038</v>
      </c>
      <c r="P50" s="76">
        <f>资产资本表!P50</f>
        <v>-336760387.14999986</v>
      </c>
      <c r="Q50" s="76">
        <f>资产资本表!Q50</f>
        <v>-29855944.700000286</v>
      </c>
      <c r="R50" s="76">
        <f>资产资本表!R50</f>
        <v>148252313.38999987</v>
      </c>
      <c r="S50" s="76">
        <f>资产资本表!S50</f>
        <v>199119892.86999989</v>
      </c>
      <c r="T50" s="76">
        <f>资产资本表!T50</f>
        <v>71352548.869999647</v>
      </c>
      <c r="U50" s="76">
        <f>资产资本表!U50</f>
        <v>438435219.93000007</v>
      </c>
      <c r="V50" s="76">
        <f>资产资本表!V50</f>
        <v>-130735498.15999985</v>
      </c>
      <c r="W50" s="76">
        <f>资产资本表!W50</f>
        <v>-14802113.920000076</v>
      </c>
      <c r="X50" s="76">
        <f>资产资本表!X50</f>
        <v>-123336996.75999999</v>
      </c>
      <c r="Y50" s="76">
        <f>资产资本表!Y50</f>
        <v>-25890513.840000033</v>
      </c>
      <c r="Z50" s="76">
        <f>资产资本表!Z50</f>
        <v>-182171818.95000005</v>
      </c>
      <c r="AA50" s="76">
        <f>资产资本表!AA50</f>
        <v>101118524.49000025</v>
      </c>
      <c r="AB50" s="76">
        <f>资产资本表!AB50</f>
        <v>25615763.189999938</v>
      </c>
      <c r="AC50" s="76">
        <f>资产资本表!AC50</f>
        <v>142141547.41999996</v>
      </c>
      <c r="AD50" s="76">
        <f>资产资本表!AD50</f>
        <v>-38414043.730000138</v>
      </c>
      <c r="AE50" s="76">
        <f>资产资本表!AE50</f>
        <v>51129659.470000029</v>
      </c>
      <c r="AF50" s="76">
        <f>资产资本表!AF50</f>
        <v>65202341.539999962</v>
      </c>
      <c r="AG50" s="76">
        <f>资产资本表!AG50</f>
        <v>75231032.50999999</v>
      </c>
      <c r="AH50" s="76">
        <f>资产资本表!AH50</f>
        <v>26412043.799999952</v>
      </c>
      <c r="AI50" s="76">
        <f>资产资本表!AI50</f>
        <v>92830363.730000019</v>
      </c>
      <c r="AJ50" s="76">
        <f>资产资本表!AJ50</f>
        <v>82126932.330000043</v>
      </c>
      <c r="AK50" s="76">
        <f>资产资本表!AK50</f>
        <v>116860169.96000004</v>
      </c>
      <c r="AL50" s="76">
        <f>资产资本表!AL50</f>
        <v>13915281.340000033</v>
      </c>
      <c r="AM50" s="76">
        <f>资产资本表!AM50</f>
        <v>186661102.66999996</v>
      </c>
      <c r="AN50" s="76">
        <f>资产资本表!AN50</f>
        <v>168109811.80000001</v>
      </c>
      <c r="AO50" s="76">
        <f>资产资本表!AO50</f>
        <v>181377687.31999993</v>
      </c>
      <c r="AP50" s="76">
        <f>资产资本表!AP50</f>
        <v>119345410.27000004</v>
      </c>
      <c r="AQ50" s="76">
        <f>资产资本表!AQ50</f>
        <v>193406956.79999995</v>
      </c>
      <c r="AR50" s="76">
        <f>资产资本表!AR50</f>
        <v>156880218.11000001</v>
      </c>
      <c r="AS50" s="76">
        <f>资产资本表!AS50</f>
        <v>202952210.58999991</v>
      </c>
      <c r="AT50" s="76">
        <f>资产资本表!AT50</f>
        <v>48865921.980000019</v>
      </c>
      <c r="AU50" s="76">
        <f>资产资本表!AU50</f>
        <v>159725193.74000013</v>
      </c>
      <c r="AV50" s="76">
        <f>资产资本表!AV50</f>
        <v>230974343.47000003</v>
      </c>
      <c r="AW50" s="76">
        <f>资产资本表!AW50</f>
        <v>189599144.3900001</v>
      </c>
      <c r="AX50" s="76">
        <f>资产资本表!AX50</f>
        <v>183452392.24000001</v>
      </c>
      <c r="AY50" s="76">
        <f>资产资本表!AY50</f>
        <v>274322255.02999997</v>
      </c>
      <c r="AZ50" s="76">
        <f>资产资本表!AZ50</f>
        <v>381942858.05000001</v>
      </c>
      <c r="BA50" s="76">
        <f>资产资本表!BA50</f>
        <v>421294049.93000001</v>
      </c>
      <c r="BB50" s="76">
        <f>资产资本表!BB50</f>
        <v>463893947.81000006</v>
      </c>
      <c r="BC50" s="76">
        <f>资产资本表!BC50</f>
        <v>436585207.71000004</v>
      </c>
      <c r="BD50" s="76">
        <f>资产资本表!BD50</f>
        <v>403608530.6500001</v>
      </c>
      <c r="BE50" s="76">
        <f>资产资本表!BE50</f>
        <v>347232905.76000005</v>
      </c>
      <c r="BF50" s="76">
        <f>资产资本表!BF50</f>
        <v>427749338.03999996</v>
      </c>
      <c r="BG50" s="76">
        <f>资产资本表!BG50</f>
        <v>411085038.74000001</v>
      </c>
      <c r="BH50" s="76">
        <f>资产资本表!BH50</f>
        <v>365848079.27999997</v>
      </c>
      <c r="BI50" s="76">
        <f>资产资本表!BI50</f>
        <v>328787644.13</v>
      </c>
      <c r="BJ50" s="76">
        <f>资产资本表!BJ50</f>
        <v>298104653.05000001</v>
      </c>
      <c r="BK50" s="76">
        <f>资产资本表!BK50</f>
        <v>305721279.41999996</v>
      </c>
      <c r="BL50" s="76">
        <f>资产资本表!BL50</f>
        <v>408742707.94999993</v>
      </c>
      <c r="BM50" s="76">
        <f>资产资本表!BM50</f>
        <v>290699401.81999999</v>
      </c>
      <c r="BN50" s="76">
        <f>资产资本表!BN50</f>
        <v>199012691.38</v>
      </c>
      <c r="BO50" s="76">
        <f>资产资本表!BO50</f>
        <v>167672024.51999992</v>
      </c>
      <c r="BP50" s="76">
        <f>资产资本表!BP50</f>
        <v>216487264.01999998</v>
      </c>
      <c r="BQ50" s="76">
        <f>资产资本表!BQ50</f>
        <v>186870903.86000001</v>
      </c>
      <c r="BR50" s="76">
        <f>资产资本表!BR50</f>
        <v>105715656.06</v>
      </c>
      <c r="BS50" s="76">
        <f>资产资本表!BS50</f>
        <v>148466414.48999998</v>
      </c>
      <c r="BT50" s="76">
        <f>资产资本表!BT50</f>
        <v>209309339.91999996</v>
      </c>
      <c r="BU50" s="76">
        <f>资产资本表!BU50</f>
        <v>227601611.15999997</v>
      </c>
      <c r="BV50" s="76">
        <f>资产资本表!BV50</f>
        <v>241764645.63999999</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465</v>
      </c>
      <c r="E51" s="44">
        <f>E49/E50</f>
        <v>661.68397551239866</v>
      </c>
      <c r="F51" s="44">
        <f t="shared" ref="F51:BQ51" si="18">F49/F50</f>
        <v>2.541708294037893</v>
      </c>
      <c r="G51" s="44">
        <f t="shared" si="18"/>
        <v>2.6393036033351267</v>
      </c>
      <c r="H51" s="44">
        <f t="shared" si="18"/>
        <v>1.3144735932431049</v>
      </c>
      <c r="I51" s="44">
        <f t="shared" si="18"/>
        <v>7.0679427503560275</v>
      </c>
      <c r="J51" s="44">
        <f t="shared" si="18"/>
        <v>8.5543041073443167</v>
      </c>
      <c r="K51" s="44">
        <f t="shared" si="18"/>
        <v>4.6608943488387471</v>
      </c>
      <c r="L51" s="44">
        <f t="shared" si="18"/>
        <v>2.2231754360806497</v>
      </c>
      <c r="M51" s="44">
        <f t="shared" si="18"/>
        <v>5.7333637330761533</v>
      </c>
      <c r="N51" s="44">
        <f t="shared" si="18"/>
        <v>4.691820870608221</v>
      </c>
      <c r="O51" s="44">
        <f t="shared" si="18"/>
        <v>7.6136448709189928</v>
      </c>
      <c r="P51" s="44">
        <f t="shared" si="18"/>
        <v>-4.7360005146614839</v>
      </c>
      <c r="Q51" s="44">
        <f t="shared" si="18"/>
        <v>-178.6799704951205</v>
      </c>
      <c r="R51" s="44">
        <f t="shared" si="18"/>
        <v>28.116024861782456</v>
      </c>
      <c r="S51" s="44">
        <f t="shared" si="18"/>
        <v>14.159203365887196</v>
      </c>
      <c r="T51" s="44">
        <f t="shared" si="18"/>
        <v>18.859890252018783</v>
      </c>
      <c r="U51" s="44">
        <f t="shared" si="18"/>
        <v>10.191935966557237</v>
      </c>
      <c r="V51" s="44">
        <f t="shared" si="18"/>
        <v>-30.690696382091215</v>
      </c>
      <c r="W51" s="44">
        <f t="shared" si="18"/>
        <v>-185.56086578274258</v>
      </c>
      <c r="X51" s="44">
        <f t="shared" si="18"/>
        <v>-10.743138666724255</v>
      </c>
      <c r="Y51" s="44">
        <f t="shared" si="18"/>
        <v>-173.96806406566066</v>
      </c>
      <c r="Z51" s="44">
        <f t="shared" si="18"/>
        <v>-19.436184602195844</v>
      </c>
      <c r="AA51" s="44">
        <f t="shared" si="18"/>
        <v>23.132168103988857</v>
      </c>
      <c r="AB51" s="44">
        <f t="shared" si="18"/>
        <v>41.18298429272771</v>
      </c>
      <c r="AC51" s="44">
        <f t="shared" si="18"/>
        <v>25.1622951050465</v>
      </c>
      <c r="AD51" s="44">
        <f t="shared" si="18"/>
        <v>-74.628087983644036</v>
      </c>
      <c r="AE51" s="44">
        <f t="shared" si="18"/>
        <v>37.593868286328309</v>
      </c>
      <c r="AF51" s="44">
        <f t="shared" si="18"/>
        <v>12.937944449931798</v>
      </c>
      <c r="AG51" s="44">
        <f t="shared" si="18"/>
        <v>41.126068998571036</v>
      </c>
      <c r="AH51" s="44">
        <f t="shared" si="18"/>
        <v>92.000144721477568</v>
      </c>
      <c r="AI51" s="44">
        <f t="shared" si="18"/>
        <v>16.989739083078778</v>
      </c>
      <c r="AJ51" s="44">
        <f t="shared" si="18"/>
        <v>8.132699924870062</v>
      </c>
      <c r="AK51" s="44">
        <f t="shared" si="18"/>
        <v>23.079851201595833</v>
      </c>
      <c r="AL51" s="44">
        <f t="shared" si="18"/>
        <v>156.77330373688261</v>
      </c>
      <c r="AM51" s="44">
        <f t="shared" si="18"/>
        <v>7.6331057912956037</v>
      </c>
      <c r="AN51" s="44">
        <f t="shared" si="18"/>
        <v>3.4642629514263721</v>
      </c>
      <c r="AO51" s="44">
        <f t="shared" si="18"/>
        <v>13.74754582249572</v>
      </c>
      <c r="AP51" s="44">
        <f t="shared" si="18"/>
        <v>17.577726565554663</v>
      </c>
      <c r="AQ51" s="44">
        <f t="shared" si="18"/>
        <v>7.1591326037037382</v>
      </c>
      <c r="AR51" s="44">
        <f t="shared" si="18"/>
        <v>3.3537422067522136</v>
      </c>
      <c r="AS51" s="44">
        <f t="shared" si="18"/>
        <v>11.139562948280577</v>
      </c>
      <c r="AT51" s="44">
        <f t="shared" si="18"/>
        <v>36.425854800171713</v>
      </c>
      <c r="AU51" s="44">
        <f t="shared" si="18"/>
        <v>7.2749050640782089</v>
      </c>
      <c r="AV51" s="44">
        <f t="shared" si="18"/>
        <v>2.0595008835333477</v>
      </c>
      <c r="AW51" s="44">
        <f t="shared" si="18"/>
        <v>11.387891397382687</v>
      </c>
      <c r="AX51" s="44">
        <f t="shared" si="18"/>
        <v>9.5178255199077579</v>
      </c>
      <c r="AY51" s="44">
        <f t="shared" si="18"/>
        <v>3.9964170218712574</v>
      </c>
      <c r="AZ51" s="44">
        <f t="shared" si="18"/>
        <v>1.1724340709399474</v>
      </c>
      <c r="BA51" s="44">
        <f t="shared" si="18"/>
        <v>4.6259140115646398</v>
      </c>
      <c r="BB51" s="44">
        <f t="shared" si="18"/>
        <v>3.3229153416576875</v>
      </c>
      <c r="BC51" s="44">
        <f t="shared" si="18"/>
        <v>2.2213440836827201</v>
      </c>
      <c r="BD51" s="44">
        <f t="shared" si="18"/>
        <v>0.94789469326594356</v>
      </c>
      <c r="BE51" s="44">
        <f t="shared" si="18"/>
        <v>4.8064497767488303</v>
      </c>
      <c r="BF51" s="44">
        <f t="shared" si="18"/>
        <v>3.0052653460793657</v>
      </c>
      <c r="BG51" s="44">
        <f t="shared" si="18"/>
        <v>1.8836876354912999</v>
      </c>
      <c r="BH51" s="44">
        <f t="shared" si="18"/>
        <v>0.7822472624517206</v>
      </c>
      <c r="BI51" s="44">
        <f t="shared" si="18"/>
        <v>4.5207793635100799</v>
      </c>
      <c r="BJ51" s="44">
        <f t="shared" si="18"/>
        <v>3.830326777920114</v>
      </c>
      <c r="BK51" s="44">
        <f t="shared" si="18"/>
        <v>2.4078279498782038</v>
      </c>
      <c r="BL51" s="44">
        <f t="shared" si="18"/>
        <v>0.55811460550363079</v>
      </c>
      <c r="BM51" s="44">
        <f t="shared" si="18"/>
        <v>4.6917350213348987</v>
      </c>
      <c r="BN51" s="44">
        <f t="shared" si="18"/>
        <v>5.229887839126012</v>
      </c>
      <c r="BO51" s="44">
        <f t="shared" si="18"/>
        <v>4.0929442939847211</v>
      </c>
      <c r="BP51" s="44">
        <f t="shared" si="18"/>
        <v>1.0311585333693203</v>
      </c>
      <c r="BQ51" s="44">
        <f t="shared" si="18"/>
        <v>6.9879956283527118</v>
      </c>
      <c r="BR51" s="44">
        <f t="shared" ref="BR51:CJ51" si="19">BR49/BR50</f>
        <v>6.0435440052265053</v>
      </c>
      <c r="BS51" s="44">
        <f t="shared" si="19"/>
        <v>7.9965390313912748</v>
      </c>
      <c r="BT51" s="44">
        <f t="shared" si="19"/>
        <v>5.173518643285969</v>
      </c>
      <c r="BU51" s="44">
        <f t="shared" si="19"/>
        <v>4.3145981535238978</v>
      </c>
      <c r="BV51" s="44">
        <f t="shared" si="19"/>
        <v>3.7216702519019318</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466</v>
      </c>
      <c r="E52" s="76">
        <f>资产资本表!E68</f>
        <v>4383828479.4900007</v>
      </c>
      <c r="F52" s="76">
        <f>资产资本表!F68</f>
        <v>1718350582.2</v>
      </c>
      <c r="G52" s="76">
        <f>资产资本表!G68</f>
        <v>1681130727.52</v>
      </c>
      <c r="H52" s="76">
        <f>资产资本表!H68</f>
        <v>1636269623.4099998</v>
      </c>
      <c r="I52" s="76">
        <f>资产资本表!I68</f>
        <v>1571577624.21</v>
      </c>
      <c r="J52" s="76">
        <f>资产资本表!J68</f>
        <v>1462193209.1800001</v>
      </c>
      <c r="K52" s="76">
        <f>资产资本表!K68</f>
        <v>1204875566.6799998</v>
      </c>
      <c r="L52" s="76">
        <f>资产资本表!L68</f>
        <v>1048262082.96</v>
      </c>
      <c r="M52" s="76">
        <f>资产资本表!M68</f>
        <v>995465703.40999997</v>
      </c>
      <c r="N52" s="76">
        <f>资产资本表!N68</f>
        <v>751593493.05000007</v>
      </c>
      <c r="O52" s="76">
        <f>资产资本表!O68</f>
        <v>724223390.49000001</v>
      </c>
      <c r="P52" s="76">
        <f>资产资本表!P68</f>
        <v>538141712.79999995</v>
      </c>
      <c r="Q52" s="76">
        <f>资产资本表!Q68</f>
        <v>447549891.35000002</v>
      </c>
      <c r="R52" s="76">
        <f>资产资本表!R68</f>
        <v>510575995.69000006</v>
      </c>
      <c r="S52" s="76">
        <f>资产资本表!S68</f>
        <v>516523780.36000007</v>
      </c>
      <c r="T52" s="76">
        <f>资产资本表!T68</f>
        <v>534241662.29000008</v>
      </c>
      <c r="U52" s="76">
        <f>资产资本表!U68</f>
        <v>542298073.66000009</v>
      </c>
      <c r="V52" s="76">
        <f>资产资本表!V68</f>
        <v>487189479.06999999</v>
      </c>
      <c r="W52" s="76">
        <f>资产资本表!W68</f>
        <v>463600959.46000004</v>
      </c>
      <c r="X52" s="76">
        <f>资产资本表!X68</f>
        <v>450584853.49000001</v>
      </c>
      <c r="Y52" s="76">
        <f>资产资本表!Y68</f>
        <v>442269938.22000003</v>
      </c>
      <c r="Z52" s="76">
        <f>资产资本表!Z68</f>
        <v>446207188.13999999</v>
      </c>
      <c r="AA52" s="76">
        <f>资产资本表!AA68</f>
        <v>429361486.26999998</v>
      </c>
      <c r="AB52" s="76">
        <f>资产资本表!AB68</f>
        <v>416762924.85000002</v>
      </c>
      <c r="AC52" s="76">
        <f>资产资本表!AC68</f>
        <v>420862553.00999999</v>
      </c>
      <c r="AD52" s="76">
        <f>资产资本表!AD68</f>
        <v>452905963.09000003</v>
      </c>
      <c r="AE52" s="76">
        <f>资产资本表!AE68</f>
        <v>460055390.13999999</v>
      </c>
      <c r="AF52" s="76">
        <f>资产资本表!AF68</f>
        <v>393703755.92000002</v>
      </c>
      <c r="AG52" s="76">
        <f>资产资本表!AG68</f>
        <v>395648920.38999999</v>
      </c>
      <c r="AH52" s="76">
        <f>资产资本表!AH68</f>
        <v>410218436.71000004</v>
      </c>
      <c r="AI52" s="76">
        <f>资产资本表!AI68</f>
        <v>407764666.60000002</v>
      </c>
      <c r="AJ52" s="76">
        <f>资产资本表!AJ68</f>
        <v>415035293.76999998</v>
      </c>
      <c r="AK52" s="76">
        <f>资产资本表!AK68</f>
        <v>400395294.40000004</v>
      </c>
      <c r="AL52" s="76">
        <f>资产资本表!AL68</f>
        <v>412022864.50999999</v>
      </c>
      <c r="AM52" s="76">
        <f>资产资本表!AM68</f>
        <v>412488551.04000002</v>
      </c>
      <c r="AN52" s="76">
        <f>资产资本表!AN68</f>
        <v>413058111.08000004</v>
      </c>
      <c r="AO52" s="76">
        <f>资产资本表!AO68</f>
        <v>414160274.10000002</v>
      </c>
      <c r="AP52" s="76">
        <f>资产资本表!AP68</f>
        <v>411072473.17999995</v>
      </c>
      <c r="AQ52" s="76">
        <f>资产资本表!AQ68</f>
        <v>458708388.79000002</v>
      </c>
      <c r="AR52" s="76">
        <f>资产资本表!AR68</f>
        <v>464051258.11000007</v>
      </c>
      <c r="AS52" s="76">
        <f>资产资本表!AS68</f>
        <v>471805231.77999997</v>
      </c>
      <c r="AT52" s="76">
        <f>资产资本表!AT68</f>
        <v>501839767.88999999</v>
      </c>
      <c r="AU52" s="76">
        <f>资产资本表!AU68</f>
        <v>515887394.81999999</v>
      </c>
      <c r="AV52" s="76">
        <f>资产资本表!AV68</f>
        <v>528266355.42000002</v>
      </c>
      <c r="AW52" s="76">
        <f>资产资本表!AW68</f>
        <v>517440569.26999998</v>
      </c>
      <c r="AX52" s="76">
        <f>资产资本表!AX68</f>
        <v>533181265.14999998</v>
      </c>
      <c r="AY52" s="76">
        <f>资产资本表!AY68</f>
        <v>542067158.26999998</v>
      </c>
      <c r="AZ52" s="76">
        <f>资产资本表!AZ68</f>
        <v>542371453.54999995</v>
      </c>
      <c r="BA52" s="76">
        <f>资产资本表!BA68</f>
        <v>536966036.46000004</v>
      </c>
      <c r="BB52" s="76">
        <f>资产资本表!BB68</f>
        <v>521184426.32000005</v>
      </c>
      <c r="BC52" s="76">
        <f>资产资本表!BC68</f>
        <v>507665293.11000001</v>
      </c>
      <c r="BD52" s="76">
        <f>资产资本表!BD68</f>
        <v>513676677.65999997</v>
      </c>
      <c r="BE52" s="76">
        <f>资产资本表!BE68</f>
        <v>517141577.42999995</v>
      </c>
      <c r="BF52" s="76">
        <f>资产资本表!BF68</f>
        <v>418794959.89000005</v>
      </c>
      <c r="BG52" s="76">
        <f>资产资本表!BG68</f>
        <v>419967138.69999999</v>
      </c>
      <c r="BH52" s="76">
        <f>资产资本表!BH68</f>
        <v>413953243.10999995</v>
      </c>
      <c r="BI52" s="76">
        <f>资产资本表!BI68</f>
        <v>426604810.43000001</v>
      </c>
      <c r="BJ52" s="76">
        <f>资产资本表!BJ68</f>
        <v>414522856.66000003</v>
      </c>
      <c r="BK52" s="76">
        <f>资产资本表!BK68</f>
        <v>397466058.38999999</v>
      </c>
      <c r="BL52" s="76">
        <f>资产资本表!BL68</f>
        <v>394623238.92000002</v>
      </c>
      <c r="BM52" s="76">
        <f>资产资本表!BM68</f>
        <v>393709374.95999998</v>
      </c>
      <c r="BN52" s="76">
        <f>资产资本表!BN68</f>
        <v>383483266.17999995</v>
      </c>
      <c r="BO52" s="76">
        <f>资产资本表!BO68</f>
        <v>360646635.81000006</v>
      </c>
      <c r="BP52" s="76">
        <f>资产资本表!BP68</f>
        <v>317466751.67000002</v>
      </c>
      <c r="BQ52" s="76">
        <f>资产资本表!BQ68</f>
        <v>308797468.75</v>
      </c>
      <c r="BR52" s="76">
        <f>资产资本表!BR68</f>
        <v>297245268.27000004</v>
      </c>
      <c r="BS52" s="76">
        <f>资产资本表!BS68</f>
        <v>300769595.00999999</v>
      </c>
      <c r="BT52" s="76">
        <f>资产资本表!BT68</f>
        <v>331042005.76000005</v>
      </c>
      <c r="BU52" s="76">
        <f>资产资本表!BU68</f>
        <v>331949257.89000005</v>
      </c>
      <c r="BV52" s="76">
        <f>资产资本表!BV68</f>
        <v>307391915.62</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467</v>
      </c>
      <c r="E53" s="44">
        <f>E49/E52</f>
        <v>1.4800410742563588</v>
      </c>
      <c r="F53" s="44">
        <f t="shared" ref="F53:BQ53" si="20">F49/F52</f>
        <v>2.2664532329682125</v>
      </c>
      <c r="G53" s="44">
        <f t="shared" si="20"/>
        <v>1.5774389526399584</v>
      </c>
      <c r="H53" s="44">
        <f t="shared" si="20"/>
        <v>0.8190372507967747</v>
      </c>
      <c r="I53" s="44">
        <f t="shared" si="20"/>
        <v>3.3858959153639372</v>
      </c>
      <c r="J53" s="44">
        <f t="shared" si="20"/>
        <v>2.9324803339598557</v>
      </c>
      <c r="K53" s="44">
        <f t="shared" si="20"/>
        <v>2.5444377131553373</v>
      </c>
      <c r="L53" s="44">
        <f t="shared" si="20"/>
        <v>1.4701448138507225</v>
      </c>
      <c r="M53" s="44">
        <f t="shared" si="20"/>
        <v>5.8724929473861325</v>
      </c>
      <c r="N53" s="44">
        <f t="shared" si="20"/>
        <v>6.1436952219233953</v>
      </c>
      <c r="O53" s="44">
        <f t="shared" si="20"/>
        <v>4.4393157718846048</v>
      </c>
      <c r="P53" s="44">
        <f t="shared" si="20"/>
        <v>2.9637125852251907</v>
      </c>
      <c r="Q53" s="44">
        <f t="shared" si="20"/>
        <v>11.919697493408854</v>
      </c>
      <c r="R53" s="44">
        <f t="shared" si="20"/>
        <v>8.1638497780471315</v>
      </c>
      <c r="S53" s="44">
        <f t="shared" si="20"/>
        <v>5.4583722270734292</v>
      </c>
      <c r="T53" s="44">
        <f t="shared" si="20"/>
        <v>2.518899846039186</v>
      </c>
      <c r="U53" s="44">
        <f t="shared" si="20"/>
        <v>8.2399401805944432</v>
      </c>
      <c r="V53" s="44">
        <f t="shared" si="20"/>
        <v>8.2357350738551123</v>
      </c>
      <c r="W53" s="44">
        <f t="shared" si="20"/>
        <v>5.9246923854716211</v>
      </c>
      <c r="X53" s="44">
        <f t="shared" si="20"/>
        <v>2.9406813137792409</v>
      </c>
      <c r="Y53" s="44">
        <f t="shared" si="20"/>
        <v>10.184102922612608</v>
      </c>
      <c r="Z53" s="44">
        <f t="shared" si="20"/>
        <v>7.9351592635461481</v>
      </c>
      <c r="AA53" s="44">
        <f t="shared" si="20"/>
        <v>5.4478354061292871</v>
      </c>
      <c r="AB53" s="44">
        <f t="shared" si="20"/>
        <v>2.5312558056350341</v>
      </c>
      <c r="AC53" s="44">
        <f t="shared" si="20"/>
        <v>8.4982793961833352</v>
      </c>
      <c r="AD53" s="44">
        <f t="shared" si="20"/>
        <v>6.3297171353876065</v>
      </c>
      <c r="AE53" s="44">
        <f t="shared" si="20"/>
        <v>4.1781092556160786</v>
      </c>
      <c r="AF53" s="44">
        <f t="shared" si="20"/>
        <v>2.1426878970934049</v>
      </c>
      <c r="AG53" s="44">
        <f t="shared" si="20"/>
        <v>7.8199546981961126</v>
      </c>
      <c r="AH53" s="44">
        <f t="shared" si="20"/>
        <v>5.9234584176132543</v>
      </c>
      <c r="AI53" s="44">
        <f t="shared" si="20"/>
        <v>3.8678281566439181</v>
      </c>
      <c r="AJ53" s="44">
        <f t="shared" si="20"/>
        <v>1.6092937309571016</v>
      </c>
      <c r="AK53" s="44">
        <f t="shared" si="20"/>
        <v>6.7361314475777716</v>
      </c>
      <c r="AL53" s="44">
        <f t="shared" si="20"/>
        <v>5.2947173955853435</v>
      </c>
      <c r="AM53" s="44">
        <f t="shared" si="20"/>
        <v>3.4541660373546543</v>
      </c>
      <c r="AN53" s="44">
        <f t="shared" si="20"/>
        <v>1.4099144337519298</v>
      </c>
      <c r="AO53" s="44">
        <f t="shared" si="20"/>
        <v>6.020611399846473</v>
      </c>
      <c r="AP53" s="44">
        <f t="shared" si="20"/>
        <v>5.1032874382260287</v>
      </c>
      <c r="AQ53" s="44">
        <f t="shared" si="20"/>
        <v>3.0185322179575218</v>
      </c>
      <c r="AR53" s="44">
        <f t="shared" si="20"/>
        <v>1.1337881315586977</v>
      </c>
      <c r="AS53" s="44">
        <f t="shared" si="20"/>
        <v>4.7918055440601757</v>
      </c>
      <c r="AT53" s="44">
        <f t="shared" si="20"/>
        <v>3.5469149569472953</v>
      </c>
      <c r="AU53" s="44">
        <f t="shared" si="20"/>
        <v>2.2524016528944895</v>
      </c>
      <c r="AV53" s="44">
        <f t="shared" si="20"/>
        <v>0.90047730575572904</v>
      </c>
      <c r="AW53" s="44">
        <f t="shared" si="20"/>
        <v>4.1727197161909535</v>
      </c>
      <c r="AX53" s="44">
        <f t="shared" si="20"/>
        <v>3.2748109783241883</v>
      </c>
      <c r="AY53" s="44">
        <f t="shared" si="20"/>
        <v>2.022454437156544</v>
      </c>
      <c r="AZ53" s="44">
        <f t="shared" si="20"/>
        <v>0.82563862275380262</v>
      </c>
      <c r="BA53" s="44">
        <f t="shared" si="20"/>
        <v>3.6294102722177963</v>
      </c>
      <c r="BB53" s="44">
        <f t="shared" si="20"/>
        <v>2.9576484603811863</v>
      </c>
      <c r="BC53" s="44">
        <f t="shared" si="20"/>
        <v>1.9103255261530439</v>
      </c>
      <c r="BD53" s="44">
        <f t="shared" si="20"/>
        <v>0.74478441595362199</v>
      </c>
      <c r="BE53" s="44">
        <f t="shared" si="20"/>
        <v>3.2272739133915591</v>
      </c>
      <c r="BF53" s="44">
        <f t="shared" si="20"/>
        <v>3.0695218078977056</v>
      </c>
      <c r="BG53" s="44">
        <f t="shared" si="20"/>
        <v>1.8438485615969935</v>
      </c>
      <c r="BH53" s="44">
        <f t="shared" si="20"/>
        <v>0.69134295540221757</v>
      </c>
      <c r="BI53" s="44">
        <f t="shared" si="20"/>
        <v>3.4841998032366162</v>
      </c>
      <c r="BJ53" s="44">
        <f t="shared" si="20"/>
        <v>2.7545844984286565</v>
      </c>
      <c r="BK53" s="44">
        <f t="shared" si="20"/>
        <v>1.8520430258668863</v>
      </c>
      <c r="BL53" s="44">
        <f t="shared" si="20"/>
        <v>0.57808373329540963</v>
      </c>
      <c r="BM53" s="44">
        <f t="shared" si="20"/>
        <v>3.4641912307487415</v>
      </c>
      <c r="BN53" s="44">
        <f t="shared" si="20"/>
        <v>2.714105532812118</v>
      </c>
      <c r="BO53" s="44">
        <f t="shared" si="20"/>
        <v>1.9028938242516968</v>
      </c>
      <c r="BP53" s="44">
        <f t="shared" si="20"/>
        <v>0.70316872077377623</v>
      </c>
      <c r="BQ53" s="44">
        <f t="shared" si="20"/>
        <v>4.2288334309411333</v>
      </c>
      <c r="BR53" s="44">
        <f t="shared" ref="BR53:CK53" si="21">BR49/BR52</f>
        <v>2.1493940783597725</v>
      </c>
      <c r="BS53" s="44">
        <f t="shared" si="21"/>
        <v>3.9472656080164197</v>
      </c>
      <c r="BT53" s="44">
        <f t="shared" si="21"/>
        <v>3.271082682706616</v>
      </c>
      <c r="BU53" s="44">
        <f t="shared" si="21"/>
        <v>2.9583120549569482</v>
      </c>
      <c r="BV53" s="44">
        <f t="shared" si="21"/>
        <v>2.9271045981323067</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468</v>
      </c>
      <c r="E54" s="76">
        <f>资产资本表!E17</f>
        <v>1879565759.4100001</v>
      </c>
      <c r="F54" s="76">
        <f>资产资本表!F17</f>
        <v>2138637929.79</v>
      </c>
      <c r="G54" s="76">
        <f>资产资本表!G17</f>
        <v>2595336562.6900001</v>
      </c>
      <c r="H54" s="76">
        <f>资产资本表!H17</f>
        <v>2547817682.6300001</v>
      </c>
      <c r="I54" s="76">
        <f>资产资本表!I17</f>
        <v>2773087308.23</v>
      </c>
      <c r="J54" s="76">
        <f>资产资本表!J17</f>
        <v>3319654242.46</v>
      </c>
      <c r="K54" s="76">
        <f>资产资本表!K17</f>
        <v>4058558171.04</v>
      </c>
      <c r="L54" s="76">
        <f>资产资本表!L17</f>
        <v>3942601282.4499998</v>
      </c>
      <c r="M54" s="76">
        <f>资产资本表!M17</f>
        <v>3596640930.6700001</v>
      </c>
      <c r="N54" s="76">
        <f>资产资本表!N17</f>
        <v>2496619003.8299999</v>
      </c>
      <c r="O54" s="76">
        <f>资产资本表!O17</f>
        <v>2311467821.3099999</v>
      </c>
      <c r="P54" s="76">
        <f>资产资本表!P17</f>
        <v>3065908760.3600001</v>
      </c>
      <c r="Q54" s="76">
        <f>资产资本表!Q17</f>
        <v>2698060561.48</v>
      </c>
      <c r="R54" s="76">
        <f>资产资本表!R17</f>
        <v>2503136168.48</v>
      </c>
      <c r="S54" s="76">
        <f>资产资本表!S17</f>
        <v>2257336804.0700002</v>
      </c>
      <c r="T54" s="76">
        <f>资产资本表!T17</f>
        <v>2303376783.6500001</v>
      </c>
      <c r="U54" s="76">
        <f>资产资本表!U17</f>
        <v>1782645395.4399998</v>
      </c>
      <c r="V54" s="76">
        <f>资产资本表!V17</f>
        <v>2268191684.0299997</v>
      </c>
      <c r="W54" s="76">
        <f>资产资本表!W17</f>
        <v>2040814494.2300003</v>
      </c>
      <c r="X54" s="76">
        <f>资产资本表!X17</f>
        <v>2052636261.3399999</v>
      </c>
      <c r="Y54" s="76">
        <f>资产资本表!Y17</f>
        <v>1820084487.8700001</v>
      </c>
      <c r="Z54" s="76">
        <f>资产资本表!Z17</f>
        <v>1805186196.54</v>
      </c>
      <c r="AA54" s="76">
        <f>资产资本表!AA17</f>
        <v>1576784250.97</v>
      </c>
      <c r="AB54" s="76">
        <f>资产资本表!AB17</f>
        <v>1054018437.67</v>
      </c>
      <c r="AC54" s="76">
        <f>资产资本表!AC17</f>
        <v>873194762.71000004</v>
      </c>
      <c r="AD54" s="76">
        <f>资产资本表!AD17</f>
        <v>954680185.75</v>
      </c>
      <c r="AE54" s="76">
        <f>资产资本表!AE17</f>
        <v>809544856.52999997</v>
      </c>
      <c r="AF54" s="76">
        <f>资产资本表!AF17</f>
        <v>829614901.82000005</v>
      </c>
      <c r="AG54" s="76">
        <f>资产资本表!AG17</f>
        <v>773877255.04999995</v>
      </c>
      <c r="AH54" s="76">
        <f>资产资本表!AH17</f>
        <v>809143541.53999996</v>
      </c>
      <c r="AI54" s="76">
        <f>资产资本表!AI17</f>
        <v>678805129.55999994</v>
      </c>
      <c r="AJ54" s="76">
        <f>资产资本表!AJ17</f>
        <v>695429835.62</v>
      </c>
      <c r="AK54" s="76">
        <f>资产资本表!AK17</f>
        <v>706934735.46000004</v>
      </c>
      <c r="AL54" s="76">
        <f>资产资本表!AL17</f>
        <v>701134777.55000007</v>
      </c>
      <c r="AM54" s="76">
        <f>资产资本表!AM17</f>
        <v>501812457.24000001</v>
      </c>
      <c r="AN54" s="76">
        <f>资产资本表!AN17</f>
        <v>534705686.70999998</v>
      </c>
      <c r="AO54" s="76">
        <f>资产资本表!AO17</f>
        <v>483998298.75</v>
      </c>
      <c r="AP54" s="76">
        <f>资产资本表!AP17</f>
        <v>471939004.80000001</v>
      </c>
      <c r="AQ54" s="76">
        <f>资产资本表!AQ17</f>
        <v>504966248.72000003</v>
      </c>
      <c r="AR54" s="76">
        <f>资产资本表!AR17</f>
        <v>415035458.31</v>
      </c>
      <c r="AS54" s="76">
        <f>资产资本表!AS17</f>
        <v>338228983.93000001</v>
      </c>
      <c r="AT54" s="76">
        <f>资产资本表!AT17</f>
        <v>466475913.38</v>
      </c>
      <c r="AU54" s="76">
        <f>资产资本表!AU17</f>
        <v>350319294.61000001</v>
      </c>
      <c r="AV54" s="76">
        <f>资产资本表!AV17</f>
        <v>262408866.76999998</v>
      </c>
      <c r="AW54" s="76">
        <f>资产资本表!AW17</f>
        <v>231916393.77000001</v>
      </c>
      <c r="AX54" s="76">
        <f>资产资本表!AX17</f>
        <v>230292110.24000001</v>
      </c>
      <c r="AY54" s="76">
        <f>资产资本表!AY17</f>
        <v>239606490.64000002</v>
      </c>
      <c r="AZ54" s="76">
        <f>资产资本表!AZ17</f>
        <v>478880660.77999997</v>
      </c>
      <c r="BA54" s="76">
        <f>资产资本表!BA17</f>
        <v>365031634.95000005</v>
      </c>
      <c r="BB54" s="76">
        <f>资产资本表!BB17</f>
        <v>245341636.41999999</v>
      </c>
      <c r="BC54" s="76">
        <f>资产资本表!BC17</f>
        <v>325215030.62</v>
      </c>
      <c r="BD54" s="76">
        <f>资产资本表!BD17</f>
        <v>310907557.19</v>
      </c>
      <c r="BE54" s="76">
        <f>资产资本表!BE17</f>
        <v>397013223.01999998</v>
      </c>
      <c r="BF54" s="76">
        <f>资产资本表!BF17</f>
        <v>411320662.96000004</v>
      </c>
      <c r="BG54" s="76">
        <f>资产资本表!BG17</f>
        <v>472121765.80000001</v>
      </c>
      <c r="BH54" s="76">
        <f>资产资本表!BH17</f>
        <v>432352656.40999997</v>
      </c>
      <c r="BI54" s="76">
        <f>资产资本表!BI17</f>
        <v>451157452.65999997</v>
      </c>
      <c r="BJ54" s="76">
        <f>资产资本表!BJ17</f>
        <v>508860395.50999999</v>
      </c>
      <c r="BK54" s="76">
        <f>资产资本表!BK17</f>
        <v>407676923.81999999</v>
      </c>
      <c r="BL54" s="76">
        <f>资产资本表!BL17</f>
        <v>412936577.91999996</v>
      </c>
      <c r="BM54" s="76">
        <f>资产资本表!BM17</f>
        <v>518402209.13</v>
      </c>
      <c r="BN54" s="76">
        <f>资产资本表!BN17</f>
        <v>688874266.04999995</v>
      </c>
      <c r="BO54" s="76">
        <f>资产资本表!BO17</f>
        <v>744304172.58999991</v>
      </c>
      <c r="BP54" s="76">
        <f>资产资本表!BP17</f>
        <v>710827958.76999998</v>
      </c>
      <c r="BQ54" s="76">
        <f>资产资本表!BQ17</f>
        <v>732924657.05999994</v>
      </c>
      <c r="BR54" s="76">
        <f>资产资本表!BR17</f>
        <v>871205319.63999999</v>
      </c>
      <c r="BS54" s="76">
        <f>资产资本表!BS17</f>
        <v>67127512.590000004</v>
      </c>
      <c r="BT54" s="76">
        <f>资产资本表!BT17</f>
        <v>74301081.659999996</v>
      </c>
      <c r="BU54" s="76">
        <f>资产资本表!BU17</f>
        <v>44155475.600000001</v>
      </c>
      <c r="BV54" s="76">
        <f>资产资本表!BV17</f>
        <v>50317733.219999999</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469</v>
      </c>
      <c r="E55" s="44">
        <f>E49/E54</f>
        <v>3.4519921315105653</v>
      </c>
      <c r="F55" s="44">
        <f t="shared" ref="F55:BQ55" si="22">F49/F54</f>
        <v>1.8210474892224604</v>
      </c>
      <c r="G55" s="44">
        <f t="shared" si="22"/>
        <v>1.021786974449816</v>
      </c>
      <c r="H55" s="44">
        <f t="shared" si="22"/>
        <v>0.52600536649726282</v>
      </c>
      <c r="I55" s="44">
        <f t="shared" si="22"/>
        <v>1.9188715200915916</v>
      </c>
      <c r="J55" s="44">
        <f t="shared" si="22"/>
        <v>1.2916564549181859</v>
      </c>
      <c r="K55" s="44">
        <f t="shared" si="22"/>
        <v>0.75537437245464212</v>
      </c>
      <c r="L55" s="44">
        <f t="shared" si="22"/>
        <v>0.39088331647432933</v>
      </c>
      <c r="M55" s="44">
        <f t="shared" si="22"/>
        <v>1.6253680685191456</v>
      </c>
      <c r="N55" s="44">
        <f t="shared" si="22"/>
        <v>1.8495258367401337</v>
      </c>
      <c r="O55" s="44">
        <f t="shared" si="22"/>
        <v>1.3909154564599999</v>
      </c>
      <c r="P55" s="44">
        <f t="shared" si="22"/>
        <v>0.52020379323771082</v>
      </c>
      <c r="Q55" s="44">
        <f t="shared" si="22"/>
        <v>1.977220005459668</v>
      </c>
      <c r="R55" s="44">
        <f t="shared" si="22"/>
        <v>1.6652173307939258</v>
      </c>
      <c r="S55" s="44">
        <f t="shared" si="22"/>
        <v>1.2489846673551914</v>
      </c>
      <c r="T55" s="44">
        <f t="shared" si="22"/>
        <v>0.58422974931507365</v>
      </c>
      <c r="U55" s="44">
        <f t="shared" si="22"/>
        <v>2.5066699739838421</v>
      </c>
      <c r="V55" s="44">
        <f t="shared" si="22"/>
        <v>1.7689701927048116</v>
      </c>
      <c r="W55" s="44">
        <f t="shared" si="22"/>
        <v>1.3458808148294379</v>
      </c>
      <c r="X55" s="44">
        <f t="shared" si="22"/>
        <v>0.6455242382130566</v>
      </c>
      <c r="Y55" s="44">
        <f t="shared" si="22"/>
        <v>2.4746777418454147</v>
      </c>
      <c r="Z55" s="44">
        <f t="shared" si="22"/>
        <v>1.9614182233480995</v>
      </c>
      <c r="AA55" s="44">
        <f t="shared" si="22"/>
        <v>1.483456411675248</v>
      </c>
      <c r="AB55" s="44">
        <f t="shared" si="22"/>
        <v>1.0008682347455164</v>
      </c>
      <c r="AC55" s="44">
        <f t="shared" si="22"/>
        <v>4.096002078356304</v>
      </c>
      <c r="AD55" s="44">
        <f t="shared" si="22"/>
        <v>3.0028554882364697</v>
      </c>
      <c r="AE55" s="44">
        <f t="shared" si="22"/>
        <v>2.3743732890590836</v>
      </c>
      <c r="AF55" s="44">
        <f t="shared" si="22"/>
        <v>1.0168383800717105</v>
      </c>
      <c r="AG55" s="44">
        <f t="shared" si="22"/>
        <v>3.9979940147486319</v>
      </c>
      <c r="AH55" s="44">
        <f t="shared" si="22"/>
        <v>3.0030664860344527</v>
      </c>
      <c r="AI55" s="44">
        <f t="shared" si="22"/>
        <v>2.3234409848704503</v>
      </c>
      <c r="AJ55" s="44">
        <f t="shared" si="22"/>
        <v>0.9604329037659588</v>
      </c>
      <c r="AK55" s="44">
        <f t="shared" si="22"/>
        <v>3.8152253649199972</v>
      </c>
      <c r="AL55" s="44">
        <f t="shared" si="22"/>
        <v>3.1114483234208521</v>
      </c>
      <c r="AM55" s="44">
        <f t="shared" si="22"/>
        <v>2.8393156113272098</v>
      </c>
      <c r="AN55" s="44">
        <f t="shared" si="22"/>
        <v>1.0891535423408625</v>
      </c>
      <c r="AO55" s="44">
        <f t="shared" si="22"/>
        <v>5.1518736203202415</v>
      </c>
      <c r="AP55" s="44">
        <f t="shared" si="22"/>
        <v>4.4451104215660706</v>
      </c>
      <c r="AQ55" s="44">
        <f t="shared" si="22"/>
        <v>2.7420170233550891</v>
      </c>
      <c r="AR55" s="44">
        <f t="shared" si="22"/>
        <v>1.267688816330041</v>
      </c>
      <c r="AS55" s="44">
        <f t="shared" si="22"/>
        <v>6.6842258729307948</v>
      </c>
      <c r="AT55" s="44">
        <f t="shared" si="22"/>
        <v>3.815808978908612</v>
      </c>
      <c r="AU55" s="44">
        <f t="shared" si="22"/>
        <v>3.3169329770819611</v>
      </c>
      <c r="AV55" s="44">
        <f t="shared" si="22"/>
        <v>1.8127888371506191</v>
      </c>
      <c r="AW55" s="44">
        <f t="shared" si="22"/>
        <v>9.3099691240080791</v>
      </c>
      <c r="AX55" s="44">
        <f t="shared" si="22"/>
        <v>7.5819699542912131</v>
      </c>
      <c r="AY55" s="44">
        <f t="shared" si="22"/>
        <v>4.5754442066728478</v>
      </c>
      <c r="AZ55" s="44">
        <f t="shared" si="22"/>
        <v>0.93510316161153717</v>
      </c>
      <c r="BA55" s="44">
        <f t="shared" si="22"/>
        <v>5.3389072671110958</v>
      </c>
      <c r="BB55" s="44">
        <f t="shared" si="22"/>
        <v>6.2829951677714497</v>
      </c>
      <c r="BC55" s="44">
        <f t="shared" si="22"/>
        <v>2.9820453449557109</v>
      </c>
      <c r="BD55" s="44">
        <f t="shared" si="22"/>
        <v>1.2305213415131011</v>
      </c>
      <c r="BE55" s="44">
        <f t="shared" si="22"/>
        <v>4.2037832132506185</v>
      </c>
      <c r="BF55" s="44">
        <f t="shared" si="22"/>
        <v>3.1252995003195645</v>
      </c>
      <c r="BG55" s="44">
        <f t="shared" si="22"/>
        <v>1.6401612056539503</v>
      </c>
      <c r="BH55" s="44">
        <f t="shared" si="22"/>
        <v>0.66192182295420454</v>
      </c>
      <c r="BI55" s="44">
        <f t="shared" si="22"/>
        <v>3.2945846018865588</v>
      </c>
      <c r="BJ55" s="44">
        <f t="shared" si="22"/>
        <v>2.243912564772514</v>
      </c>
      <c r="BK55" s="44">
        <f t="shared" si="22"/>
        <v>1.8056558967390024</v>
      </c>
      <c r="BL55" s="44">
        <f t="shared" si="22"/>
        <v>0.55244627722031381</v>
      </c>
      <c r="BM55" s="44">
        <f t="shared" si="22"/>
        <v>2.6309389508368741</v>
      </c>
      <c r="BN55" s="44">
        <f t="shared" si="22"/>
        <v>1.5108911825782378</v>
      </c>
      <c r="BO55" s="44">
        <f t="shared" si="22"/>
        <v>0.9220319881211162</v>
      </c>
      <c r="BP55" s="44">
        <f t="shared" si="22"/>
        <v>0.31404601761342732</v>
      </c>
      <c r="BQ55" s="44">
        <f t="shared" si="22"/>
        <v>1.7817016342146312</v>
      </c>
      <c r="BR55" s="44">
        <f t="shared" ref="BR55:CK55" si="23">BR49/BR54</f>
        <v>0.73334862062596862</v>
      </c>
      <c r="BS55" s="44">
        <f t="shared" si="23"/>
        <v>17.68600432986787</v>
      </c>
      <c r="BT55" s="44">
        <f t="shared" si="23"/>
        <v>14.574024335812071</v>
      </c>
      <c r="BU55" s="44">
        <f t="shared" si="23"/>
        <v>22.239812342775444</v>
      </c>
      <c r="BV55" s="44">
        <f t="shared" si="23"/>
        <v>17.881733378290683</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443</v>
      </c>
      <c r="E56" s="76">
        <f>资产资本表!E19</f>
        <v>207045491.97</v>
      </c>
      <c r="F56" s="76">
        <f>资产资本表!F19</f>
        <v>194880010.28999999</v>
      </c>
      <c r="G56" s="76">
        <f>资产资本表!G19</f>
        <v>205669036.63999999</v>
      </c>
      <c r="H56" s="76">
        <f>资产资本表!H19</f>
        <v>207219060.93000001</v>
      </c>
      <c r="I56" s="76">
        <f>资产资本表!I19</f>
        <v>205101612.72</v>
      </c>
      <c r="J56" s="76">
        <f>资产资本表!J19</f>
        <v>212965977.13999999</v>
      </c>
      <c r="K56" s="76">
        <f>资产资本表!K19</f>
        <v>171657131.87</v>
      </c>
      <c r="L56" s="76">
        <f>资产资本表!L19</f>
        <v>170346402.28</v>
      </c>
      <c r="M56" s="76">
        <f>资产资本表!M19</f>
        <v>118202862.25</v>
      </c>
      <c r="N56" s="76">
        <f>资产资本表!N19</f>
        <v>115560201.05</v>
      </c>
      <c r="O56" s="76">
        <f>资产资本表!O19</f>
        <v>791942039.50999999</v>
      </c>
      <c r="P56" s="76">
        <f>资产资本表!P19</f>
        <v>744940292.03999996</v>
      </c>
      <c r="Q56" s="76">
        <f>资产资本表!Q19</f>
        <v>703752772.44000006</v>
      </c>
      <c r="R56" s="76">
        <f>资产资本表!R19</f>
        <v>655310620.20000005</v>
      </c>
      <c r="S56" s="76">
        <f>资产资本表!S19</f>
        <v>702282180.88</v>
      </c>
      <c r="T56" s="76">
        <f>资产资本表!T19</f>
        <v>675317161.55999994</v>
      </c>
      <c r="U56" s="76">
        <f>资产资本表!U19</f>
        <v>633868921.77999997</v>
      </c>
      <c r="V56" s="76">
        <f>资产资本表!V19</f>
        <v>598754113.67999995</v>
      </c>
      <c r="W56" s="76">
        <f>资产资本表!W19</f>
        <v>561767078.84000003</v>
      </c>
      <c r="X56" s="76">
        <f>资产资本表!X19</f>
        <v>543831936.99000001</v>
      </c>
      <c r="Y56" s="76">
        <f>资产资本表!Y19</f>
        <v>507798192.56</v>
      </c>
      <c r="Z56" s="76">
        <f>资产资本表!Z19</f>
        <v>481002211.52999997</v>
      </c>
      <c r="AA56" s="76">
        <f>资产资本表!AA19</f>
        <v>466395831.44</v>
      </c>
      <c r="AB56" s="76">
        <f>资产资本表!AB19</f>
        <v>387508464.47000003</v>
      </c>
      <c r="AC56" s="76">
        <f>资产资本表!AC19</f>
        <v>358473350.06</v>
      </c>
      <c r="AD56" s="76">
        <f>资产资本表!AD19</f>
        <v>341172083.88</v>
      </c>
      <c r="AE56" s="76">
        <f>资产资本表!AE19</f>
        <v>315011594</v>
      </c>
      <c r="AF56" s="76">
        <f>资产资本表!AF19</f>
        <v>307724741.49000001</v>
      </c>
      <c r="AG56" s="76">
        <f>资产资本表!AG19</f>
        <v>292012679.68000001</v>
      </c>
      <c r="AH56" s="76">
        <f>资产资本表!AH19</f>
        <v>244885572.72999999</v>
      </c>
      <c r="AI56" s="76">
        <f>资产资本表!AI19</f>
        <v>252299709.12</v>
      </c>
      <c r="AJ56" s="76">
        <f>资产资本表!AJ19</f>
        <v>239813620.88</v>
      </c>
      <c r="AK56" s="76">
        <f>资产资本表!AK19</f>
        <v>163932913.41999999</v>
      </c>
      <c r="AL56" s="76">
        <f>资产资本表!AL19</f>
        <v>198436551.91999999</v>
      </c>
      <c r="AM56" s="76">
        <f>资产资本表!AM19</f>
        <v>170625915.52000001</v>
      </c>
      <c r="AN56" s="76">
        <f>资产资本表!AN19</f>
        <v>177159526.24000001</v>
      </c>
      <c r="AO56" s="76">
        <f>资产资本表!AO19</f>
        <v>176249306.83000001</v>
      </c>
      <c r="AP56" s="76">
        <f>资产资本表!AP19</f>
        <v>175603618.08000001</v>
      </c>
      <c r="AQ56" s="76">
        <f>资产资本表!AQ19</f>
        <v>98140365.739999995</v>
      </c>
      <c r="AR56" s="76">
        <f>资产资本表!AR19</f>
        <v>103767804.09</v>
      </c>
      <c r="AS56" s="76">
        <f>资产资本表!AS19</f>
        <v>95057978.010000005</v>
      </c>
      <c r="AT56" s="76">
        <f>资产资本表!AT19</f>
        <v>108995616.31999999</v>
      </c>
      <c r="AU56" s="76">
        <f>资产资本表!AU19</f>
        <v>102201474.23</v>
      </c>
      <c r="AV56" s="76">
        <f>资产资本表!AV19</f>
        <v>99695249.099999994</v>
      </c>
      <c r="AW56" s="76">
        <f>资产资本表!AW19</f>
        <v>141214351.81999999</v>
      </c>
      <c r="AX56" s="76">
        <f>资产资本表!AX19</f>
        <v>139813863.02000001</v>
      </c>
      <c r="AY56" s="76">
        <f>资产资本表!AY19</f>
        <v>146797905.83000001</v>
      </c>
      <c r="AZ56" s="76">
        <f>资产资本表!AZ19</f>
        <v>151320459.31</v>
      </c>
      <c r="BA56" s="76">
        <f>资产资本表!BA19</f>
        <v>143150804.46000001</v>
      </c>
      <c r="BB56" s="76">
        <f>资产资本表!BB19</f>
        <v>132635980.97</v>
      </c>
      <c r="BC56" s="76">
        <f>资产资本表!BC19</f>
        <v>133275752.09</v>
      </c>
      <c r="BD56" s="76">
        <f>资产资本表!BD19</f>
        <v>137615001.56999999</v>
      </c>
      <c r="BE56" s="76">
        <f>资产资本表!BE19</f>
        <v>121066935.12</v>
      </c>
      <c r="BF56" s="76">
        <f>资产资本表!BF19</f>
        <v>120304394.26000001</v>
      </c>
      <c r="BG56" s="76">
        <f>资产资本表!BG19</f>
        <v>93157156.730000004</v>
      </c>
      <c r="BH56" s="76">
        <f>资产资本表!BH19</f>
        <v>109272597.03</v>
      </c>
      <c r="BI56" s="76">
        <f>资产资本表!BI19</f>
        <v>102102723.65000001</v>
      </c>
      <c r="BJ56" s="76">
        <f>资产资本表!BJ19</f>
        <v>96715504.489999995</v>
      </c>
      <c r="BK56" s="76">
        <f>资产资本表!BK19</f>
        <v>99318235.209999993</v>
      </c>
      <c r="BL56" s="76">
        <f>资产资本表!BL19</f>
        <v>66036505.789999999</v>
      </c>
      <c r="BM56" s="76">
        <f>资产资本表!BM19</f>
        <v>65235560.880000003</v>
      </c>
      <c r="BN56" s="76">
        <f>资产资本表!BN19</f>
        <v>59312928.140000001</v>
      </c>
      <c r="BO56" s="76">
        <f>资产资本表!BO19</f>
        <v>69028533.200000003</v>
      </c>
      <c r="BP56" s="76">
        <f>资产资本表!BP19</f>
        <v>11397799.52</v>
      </c>
      <c r="BQ56" s="76">
        <f>资产资本表!BQ19</f>
        <v>11457748.77</v>
      </c>
      <c r="BR56" s="76">
        <f>资产资本表!BR19</f>
        <v>23389260.390000001</v>
      </c>
      <c r="BS56" s="76">
        <f>资产资本表!BS19</f>
        <v>16239320.220000001</v>
      </c>
      <c r="BT56" s="76">
        <f>资产资本表!BT19</f>
        <v>15679775.9</v>
      </c>
      <c r="BU56" s="76">
        <f>资产资本表!BU19</f>
        <v>10421401.550000001</v>
      </c>
      <c r="BV56" s="76">
        <f>资产资本表!BV19</f>
        <v>14017346.949999999</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470</v>
      </c>
      <c r="E57" s="117">
        <f>E49/E56</f>
        <v>31.337297665385147</v>
      </c>
      <c r="F57" s="117">
        <f t="shared" ref="F57:BQ57" si="24">F49/F56</f>
        <v>19.98440592549499</v>
      </c>
      <c r="G57" s="117">
        <f t="shared" si="24"/>
        <v>12.893924809458865</v>
      </c>
      <c r="H57" s="117">
        <f t="shared" si="24"/>
        <v>6.4673865806809978</v>
      </c>
      <c r="I57" s="117">
        <f t="shared" si="24"/>
        <v>25.944204864709558</v>
      </c>
      <c r="J57" s="117">
        <f t="shared" si="24"/>
        <v>20.133980497510375</v>
      </c>
      <c r="K57" s="117">
        <f t="shared" si="24"/>
        <v>17.859618170958083</v>
      </c>
      <c r="L57" s="117">
        <f t="shared" si="24"/>
        <v>9.0468424586207821</v>
      </c>
      <c r="M57" s="117">
        <f t="shared" si="24"/>
        <v>49.456207839332592</v>
      </c>
      <c r="N57" s="117">
        <f t="shared" si="24"/>
        <v>39.958059177156478</v>
      </c>
      <c r="O57" s="117">
        <f t="shared" si="24"/>
        <v>4.0597116447552892</v>
      </c>
      <c r="P57" s="117">
        <f t="shared" si="24"/>
        <v>2.1409734228395867</v>
      </c>
      <c r="Q57" s="117">
        <f t="shared" si="24"/>
        <v>7.580303093661799</v>
      </c>
      <c r="R57" s="117">
        <f t="shared" si="24"/>
        <v>6.3607480187301864</v>
      </c>
      <c r="S57" s="117">
        <f t="shared" si="24"/>
        <v>4.0145957481181656</v>
      </c>
      <c r="T57" s="117">
        <f t="shared" si="24"/>
        <v>1.9926951623462312</v>
      </c>
      <c r="U57" s="117">
        <f t="shared" si="24"/>
        <v>7.0495705554734638</v>
      </c>
      <c r="V57" s="117">
        <f t="shared" si="24"/>
        <v>6.7011873300203835</v>
      </c>
      <c r="W57" s="117">
        <f t="shared" si="24"/>
        <v>4.8893806309933314</v>
      </c>
      <c r="X57" s="117">
        <f t="shared" si="24"/>
        <v>2.4364631217941226</v>
      </c>
      <c r="Y57" s="117">
        <f t="shared" si="24"/>
        <v>8.8699066605633998</v>
      </c>
      <c r="Z57" s="117">
        <f t="shared" si="24"/>
        <v>7.3611410042532954</v>
      </c>
      <c r="AA57" s="117">
        <f t="shared" si="24"/>
        <v>5.0152478844162109</v>
      </c>
      <c r="AB57" s="117">
        <f t="shared" si="24"/>
        <v>2.7223497544572228</v>
      </c>
      <c r="AC57" s="117">
        <f t="shared" si="24"/>
        <v>9.9773318219369997</v>
      </c>
      <c r="AD57" s="117">
        <f t="shared" si="24"/>
        <v>8.4026999005531877</v>
      </c>
      <c r="AE57" s="117">
        <f t="shared" si="24"/>
        <v>6.1018759952054342</v>
      </c>
      <c r="AF57" s="117">
        <f t="shared" si="24"/>
        <v>2.7413599204450501</v>
      </c>
      <c r="AG57" s="117">
        <f t="shared" si="24"/>
        <v>10.595281811839438</v>
      </c>
      <c r="AH57" s="117">
        <f t="shared" si="24"/>
        <v>9.922641929866213</v>
      </c>
      <c r="AI57" s="117">
        <f t="shared" si="24"/>
        <v>6.2511513162698966</v>
      </c>
      <c r="AJ57" s="117">
        <f t="shared" si="24"/>
        <v>2.7851366154227595</v>
      </c>
      <c r="AK57" s="117">
        <f t="shared" si="24"/>
        <v>16.452555364278357</v>
      </c>
      <c r="AL57" s="117">
        <f t="shared" si="24"/>
        <v>10.993663248994032</v>
      </c>
      <c r="AM57" s="117">
        <f t="shared" si="24"/>
        <v>8.3504544984140505</v>
      </c>
      <c r="AN57" s="117">
        <f t="shared" si="24"/>
        <v>3.2873004638827483</v>
      </c>
      <c r="AO57" s="117">
        <f t="shared" si="24"/>
        <v>14.147562407238773</v>
      </c>
      <c r="AP57" s="117">
        <f t="shared" si="24"/>
        <v>11.946342629593728</v>
      </c>
      <c r="AQ57" s="117">
        <f t="shared" si="24"/>
        <v>14.10862940819116</v>
      </c>
      <c r="AR57" s="117">
        <f t="shared" si="24"/>
        <v>5.07031842385015</v>
      </c>
      <c r="AS57" s="117">
        <f t="shared" si="24"/>
        <v>23.783368557683463</v>
      </c>
      <c r="AT57" s="117">
        <f t="shared" si="24"/>
        <v>16.330775849683274</v>
      </c>
      <c r="AU57" s="117">
        <f t="shared" si="24"/>
        <v>11.369558311703035</v>
      </c>
      <c r="AV57" s="117">
        <f t="shared" si="24"/>
        <v>4.7714597109121426</v>
      </c>
      <c r="AW57" s="117">
        <f t="shared" si="24"/>
        <v>15.289766496978707</v>
      </c>
      <c r="AX57" s="117">
        <f t="shared" si="24"/>
        <v>12.48851739616285</v>
      </c>
      <c r="AY57" s="117">
        <f t="shared" si="24"/>
        <v>7.4681319415386103</v>
      </c>
      <c r="AZ57" s="117">
        <f t="shared" si="24"/>
        <v>2.9593012205482183</v>
      </c>
      <c r="BA57" s="117">
        <f t="shared" si="24"/>
        <v>13.614104761140647</v>
      </c>
      <c r="BB57" s="117">
        <f t="shared" si="24"/>
        <v>11.621886495706294</v>
      </c>
      <c r="BC57" s="117">
        <f t="shared" si="24"/>
        <v>7.2766872665261575</v>
      </c>
      <c r="BD57" s="117">
        <f t="shared" si="24"/>
        <v>2.780063074485347</v>
      </c>
      <c r="BE57" s="117">
        <f t="shared" si="24"/>
        <v>13.785411522276917</v>
      </c>
      <c r="BF57" s="117">
        <f t="shared" si="24"/>
        <v>10.685397406530278</v>
      </c>
      <c r="BG57" s="117">
        <f t="shared" si="24"/>
        <v>8.3123597991975764</v>
      </c>
      <c r="BH57" s="117">
        <f t="shared" si="24"/>
        <v>2.6189883490316457</v>
      </c>
      <c r="BI57" s="117">
        <f t="shared" si="24"/>
        <v>14.557656675792311</v>
      </c>
      <c r="BJ57" s="117">
        <f t="shared" si="24"/>
        <v>11.806154982297194</v>
      </c>
      <c r="BK57" s="117">
        <f t="shared" si="24"/>
        <v>7.4117732751042915</v>
      </c>
      <c r="BL57" s="117">
        <f t="shared" si="24"/>
        <v>3.4545327992588204</v>
      </c>
      <c r="BM57" s="117">
        <f t="shared" si="24"/>
        <v>20.907071937479753</v>
      </c>
      <c r="BN57" s="117">
        <f t="shared" si="24"/>
        <v>17.547844746819813</v>
      </c>
      <c r="BO57" s="117">
        <f t="shared" si="24"/>
        <v>9.941863519417792</v>
      </c>
      <c r="BP57" s="117">
        <f t="shared" si="24"/>
        <v>19.585595383414852</v>
      </c>
      <c r="BQ57" s="117">
        <f t="shared" si="24"/>
        <v>113.97117230036805</v>
      </c>
      <c r="BR57" s="117">
        <f t="shared" ref="BR57:CK57" si="25">BR49/BR56</f>
        <v>27.315836789484734</v>
      </c>
      <c r="BS57" s="117">
        <f t="shared" si="25"/>
        <v>73.107584691743938</v>
      </c>
      <c r="BT57" s="117">
        <f t="shared" si="25"/>
        <v>69.061304140832775</v>
      </c>
      <c r="BU57" s="117">
        <f t="shared" si="25"/>
        <v>94.230078990670876</v>
      </c>
      <c r="BV57" s="117">
        <f t="shared" si="25"/>
        <v>64.189628240599419</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693</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35795</v>
      </c>
      <c r="BW61" s="1">
        <v>25569</v>
      </c>
      <c r="BX61" s="1"/>
      <c r="BY61" s="1"/>
      <c r="BZ61" s="1"/>
      <c r="CA61" s="1"/>
      <c r="CB61" s="1"/>
      <c r="CC61" s="1"/>
      <c r="CD61" s="1"/>
      <c r="CE61" s="1"/>
      <c r="CF61" s="1"/>
      <c r="CG61" s="1"/>
      <c r="CH61" s="1"/>
      <c r="CI61" s="1"/>
      <c r="CJ61" s="1"/>
      <c r="CK61" s="1"/>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6488246212.1400003</v>
      </c>
      <c r="F63" s="76">
        <f t="shared" ref="F63:BQ63" si="26">F49</f>
        <v>3894561232.4000001</v>
      </c>
      <c r="G63" s="76">
        <f t="shared" si="26"/>
        <v>2651881094.0700002</v>
      </c>
      <c r="H63" s="76">
        <f t="shared" si="26"/>
        <v>1340165773.9200001</v>
      </c>
      <c r="I63" s="76">
        <f t="shared" si="26"/>
        <v>5321198258.4899998</v>
      </c>
      <c r="J63" s="76">
        <f t="shared" si="26"/>
        <v>4287852830.3699999</v>
      </c>
      <c r="K63" s="76">
        <f t="shared" si="26"/>
        <v>3065730831.52</v>
      </c>
      <c r="L63" s="76">
        <f t="shared" si="26"/>
        <v>1541097064.8199999</v>
      </c>
      <c r="M63" s="76">
        <f t="shared" si="26"/>
        <v>5845865322.6400003</v>
      </c>
      <c r="N63" s="76">
        <f t="shared" si="26"/>
        <v>4617561352.0799999</v>
      </c>
      <c r="O63" s="76">
        <f t="shared" si="26"/>
        <v>3215056319.77</v>
      </c>
      <c r="P63" s="76">
        <f t="shared" si="26"/>
        <v>1594897366.8599999</v>
      </c>
      <c r="Q63" s="76">
        <f t="shared" si="26"/>
        <v>5334659318.1000004</v>
      </c>
      <c r="R63" s="76">
        <f t="shared" si="26"/>
        <v>4168265729.0900002</v>
      </c>
      <c r="S63" s="76">
        <f t="shared" si="26"/>
        <v>2819379057.3400002</v>
      </c>
      <c r="T63" s="76">
        <f t="shared" si="26"/>
        <v>1345701240.8900001</v>
      </c>
      <c r="U63" s="76">
        <f t="shared" si="26"/>
        <v>4468503687.0100002</v>
      </c>
      <c r="V63" s="76">
        <f t="shared" si="26"/>
        <v>4012363480.3899999</v>
      </c>
      <c r="W63" s="76">
        <f t="shared" si="26"/>
        <v>2746693074.4099998</v>
      </c>
      <c r="X63" s="76">
        <f t="shared" si="26"/>
        <v>1325026458.9300001</v>
      </c>
      <c r="Y63" s="76">
        <f t="shared" si="26"/>
        <v>4504122570.4099998</v>
      </c>
      <c r="Z63" s="76">
        <f t="shared" si="26"/>
        <v>3540725102.4299998</v>
      </c>
      <c r="AA63" s="76">
        <f t="shared" si="26"/>
        <v>2339090706.9299998</v>
      </c>
      <c r="AB63" s="76">
        <f t="shared" si="26"/>
        <v>1054933573.1</v>
      </c>
      <c r="AC63" s="76">
        <f t="shared" si="26"/>
        <v>3576607562.8699999</v>
      </c>
      <c r="AD63" s="76">
        <f t="shared" si="26"/>
        <v>2866766635.29</v>
      </c>
      <c r="AE63" s="76">
        <f t="shared" si="26"/>
        <v>1922161683.6400001</v>
      </c>
      <c r="AF63" s="76">
        <f t="shared" si="26"/>
        <v>843584272.85000002</v>
      </c>
      <c r="AG63" s="76">
        <f t="shared" si="26"/>
        <v>3093956633.8400002</v>
      </c>
      <c r="AH63" s="76">
        <f t="shared" si="26"/>
        <v>2429911851.9899998</v>
      </c>
      <c r="AI63" s="76">
        <f t="shared" si="26"/>
        <v>1577163658.76</v>
      </c>
      <c r="AJ63" s="76">
        <f t="shared" si="26"/>
        <v>667913696.38999999</v>
      </c>
      <c r="AK63" s="76">
        <f t="shared" si="26"/>
        <v>2697115334.0700002</v>
      </c>
      <c r="AL63" s="76">
        <f t="shared" si="26"/>
        <v>2181544628.0999999</v>
      </c>
      <c r="AM63" s="76">
        <f t="shared" si="26"/>
        <v>1424803943.8</v>
      </c>
      <c r="AN63" s="76">
        <f t="shared" si="26"/>
        <v>582376592.78999996</v>
      </c>
      <c r="AO63" s="76">
        <f t="shared" si="26"/>
        <v>2493498067.6100001</v>
      </c>
      <c r="AP63" s="76">
        <f t="shared" si="26"/>
        <v>2097820988.5799999</v>
      </c>
      <c r="AQ63" s="76">
        <f t="shared" si="26"/>
        <v>1384626050.21</v>
      </c>
      <c r="AR63" s="76">
        <f t="shared" si="26"/>
        <v>526135808.88</v>
      </c>
      <c r="AS63" s="76">
        <f t="shared" si="26"/>
        <v>2260798925.3600001</v>
      </c>
      <c r="AT63" s="76">
        <f t="shared" si="26"/>
        <v>1779982978.72</v>
      </c>
      <c r="AU63" s="76">
        <f t="shared" si="26"/>
        <v>1161985620.8</v>
      </c>
      <c r="AV63" s="76">
        <f t="shared" si="26"/>
        <v>475691864.44999999</v>
      </c>
      <c r="AW63" s="76">
        <f t="shared" si="26"/>
        <v>2159134465.3499999</v>
      </c>
      <c r="AX63" s="76">
        <f t="shared" si="26"/>
        <v>1746067860.55</v>
      </c>
      <c r="AY63" s="76">
        <f t="shared" si="26"/>
        <v>1096306129.48</v>
      </c>
      <c r="AZ63" s="76">
        <f t="shared" si="26"/>
        <v>447802819.93000001</v>
      </c>
      <c r="BA63" s="76">
        <f t="shared" si="26"/>
        <v>1948870048.5599999</v>
      </c>
      <c r="BB63" s="76">
        <f t="shared" si="26"/>
        <v>1541480316.0799999</v>
      </c>
      <c r="BC63" s="76">
        <f t="shared" si="26"/>
        <v>969805968.16999996</v>
      </c>
      <c r="BD63" s="76">
        <f t="shared" si="26"/>
        <v>382578384.36000001</v>
      </c>
      <c r="BE63" s="76">
        <f t="shared" si="26"/>
        <v>1668957522.3699999</v>
      </c>
      <c r="BF63" s="76">
        <f t="shared" si="26"/>
        <v>1285500262.4200001</v>
      </c>
      <c r="BG63" s="76">
        <f t="shared" si="26"/>
        <v>774355804.61000001</v>
      </c>
      <c r="BH63" s="76">
        <f t="shared" si="26"/>
        <v>286183658.49000001</v>
      </c>
      <c r="BI63" s="76">
        <f t="shared" si="26"/>
        <v>1486376396.5599999</v>
      </c>
      <c r="BJ63" s="76">
        <f t="shared" si="26"/>
        <v>1141838235.2</v>
      </c>
      <c r="BK63" s="76">
        <f t="shared" si="26"/>
        <v>736124241.46000004</v>
      </c>
      <c r="BL63" s="76">
        <f t="shared" si="26"/>
        <v>228125275.19999999</v>
      </c>
      <c r="BM63" s="76">
        <f t="shared" si="26"/>
        <v>1363884564.2</v>
      </c>
      <c r="BN63" s="76">
        <f t="shared" si="26"/>
        <v>1040814054.48</v>
      </c>
      <c r="BO63" s="76">
        <f t="shared" si="26"/>
        <v>686272256.01999998</v>
      </c>
      <c r="BP63" s="76">
        <f t="shared" si="26"/>
        <v>223232689.66</v>
      </c>
      <c r="BQ63" s="76">
        <f t="shared" si="26"/>
        <v>1305853059.24</v>
      </c>
      <c r="BR63" s="76">
        <f t="shared" ref="BR63:CJ63" si="27">BR49</f>
        <v>638897219.44000006</v>
      </c>
      <c r="BS63" s="76">
        <f t="shared" si="27"/>
        <v>1187217478.3199999</v>
      </c>
      <c r="BT63" s="76">
        <f t="shared" si="27"/>
        <v>1082865772.29</v>
      </c>
      <c r="BU63" s="76">
        <f t="shared" si="27"/>
        <v>982009491.25</v>
      </c>
      <c r="BV63" s="76">
        <f t="shared" si="27"/>
        <v>899768289.63999999</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6" t="s">
        <v>473</v>
      </c>
      <c r="E64" s="76">
        <f>资产资本表!E22+资产资本表!E23-资产资本表!E37</f>
        <v>851775962.79999995</v>
      </c>
      <c r="F64" s="76">
        <f>资产资本表!F22+资产资本表!F23-资产资本表!F37</f>
        <v>664040537.56000006</v>
      </c>
      <c r="G64" s="76">
        <f>资产资本表!G22+资产资本表!G23-资产资本表!G37</f>
        <v>622763114.77999997</v>
      </c>
      <c r="H64" s="76">
        <f>资产资本表!H22+资产资本表!H23-资产资本表!H37</f>
        <v>607234933.10000002</v>
      </c>
      <c r="I64" s="76">
        <f>资产资本表!I22+资产资本表!I23-资产资本表!I37</f>
        <v>563929524.4000001</v>
      </c>
      <c r="J64" s="76">
        <f>资产资本表!J22+资产资本表!J23-资产资本表!J37</f>
        <v>747509374.92999995</v>
      </c>
      <c r="K64" s="76">
        <f>资产资本表!K22+资产资本表!K23-资产资本表!K37</f>
        <v>829786561.31999993</v>
      </c>
      <c r="L64" s="76">
        <f>资产资本表!L22+资产资本表!L23-资产资本表!L37</f>
        <v>765587888.33000004</v>
      </c>
      <c r="M64" s="76">
        <f>资产资本表!M22+资产资本表!M23-资产资本表!M37</f>
        <v>683847405.1400001</v>
      </c>
      <c r="N64" s="76">
        <f>资产资本表!N22+资产资本表!N23-资产资本表!N37</f>
        <v>815101511.56000006</v>
      </c>
      <c r="O64" s="76">
        <f>资产资本表!O22+资产资本表!O23-资产资本表!O37</f>
        <v>801293533.85000002</v>
      </c>
      <c r="P64" s="76">
        <f>资产资本表!P22+资产资本表!P23-资产资本表!P37</f>
        <v>625762215.56999993</v>
      </c>
      <c r="Q64" s="76">
        <f>资产资本表!Q22+资产资本表!Q23-资产资本表!Q37</f>
        <v>451332506</v>
      </c>
      <c r="R64" s="76">
        <f>资产资本表!R22+资产资本表!R23-资产资本表!R37</f>
        <v>579398817.71999991</v>
      </c>
      <c r="S64" s="76">
        <f>资产资本表!S22+资产资本表!S23-资产资本表!S37</f>
        <v>647955048.83999991</v>
      </c>
      <c r="T64" s="76">
        <f>资产资本表!T22+资产资本表!T23-资产资本表!T37</f>
        <v>445823597.80999994</v>
      </c>
      <c r="U64" s="76">
        <f>资产资本表!U22+资产资本表!U23-资产资本表!U37</f>
        <v>348910991.14999998</v>
      </c>
      <c r="V64" s="76">
        <f>资产资本表!V22+资产资本表!V23-资产资本表!V37</f>
        <v>451296301.97000003</v>
      </c>
      <c r="W64" s="76">
        <f>资产资本表!W22+资产资本表!W23-资产资本表!W37</f>
        <v>561583507.84000003</v>
      </c>
      <c r="X64" s="76">
        <f>资产资本表!X22+资产资本表!X23-资产资本表!X37</f>
        <v>550451341.18999994</v>
      </c>
      <c r="Y64" s="76">
        <f>资产资本表!Y22+资产资本表!Y23-资产资本表!Y37</f>
        <v>371523590.18000007</v>
      </c>
      <c r="Z64" s="76">
        <f>资产资本表!Z22+资产资本表!Z23-资产资本表!Z37</f>
        <v>414668741.38999999</v>
      </c>
      <c r="AA64" s="76">
        <f>资产资本表!AA22+资产资本表!AA23-资产资本表!AA37</f>
        <v>517456099.46000004</v>
      </c>
      <c r="AB64" s="76">
        <f>资产资本表!AB22+资产资本表!AB23-资产资本表!AB37</f>
        <v>424888846.04000002</v>
      </c>
      <c r="AC64" s="76">
        <f>资产资本表!AC22+资产资本表!AC23-资产资本表!AC37</f>
        <v>381641420.44</v>
      </c>
      <c r="AD64" s="76">
        <f>资产资本表!AD22+资产资本表!AD23-资产资本表!AD37</f>
        <v>414004935.40999997</v>
      </c>
      <c r="AE64" s="76">
        <f>资产资本表!AE22+资产资本表!AE23-资产资本表!AE37</f>
        <v>472658168.48000002</v>
      </c>
      <c r="AF64" s="76">
        <f>资产资本表!AF22+资产资本表!AF23-资产资本表!AF37</f>
        <v>331920413.25999999</v>
      </c>
      <c r="AG64" s="76">
        <f>资产资本表!AG22+资产资本表!AG23-资产资本表!AG37</f>
        <v>260110716.20000002</v>
      </c>
      <c r="AH64" s="76">
        <f>资产资本表!AH22+资产资本表!AH23-资产资本表!AH37</f>
        <v>321924224.76999998</v>
      </c>
      <c r="AI64" s="76">
        <f>资产资本表!AI22+资产资本表!AI23-资产资本表!AI37</f>
        <v>369935153.54000002</v>
      </c>
      <c r="AJ64" s="76">
        <f>资产资本表!AJ22+资产资本表!AJ23-资产资本表!AJ37</f>
        <v>296771730.15000004</v>
      </c>
      <c r="AK64" s="76">
        <f>资产资本表!AK22+资产资本表!AK23-资产资本表!AK37</f>
        <v>269329431.24000001</v>
      </c>
      <c r="AL64" s="76">
        <f>资产资本表!AL22+资产资本表!AL23-资产资本表!AL37</f>
        <v>314539968.73000002</v>
      </c>
      <c r="AM64" s="76">
        <f>资产资本表!AM22+资产资本表!AM23-资产资本表!AM37</f>
        <v>388074466.05999994</v>
      </c>
      <c r="AN64" s="76">
        <f>资产资本表!AN22+资产资本表!AN23-资产资本表!AN37</f>
        <v>184129012.88999999</v>
      </c>
      <c r="AO64" s="76">
        <f>资产资本表!AO22+资产资本表!AO23-资产资本表!AO37</f>
        <v>225862977.82000002</v>
      </c>
      <c r="AP64" s="76">
        <f>资产资本表!AP22+资产资本表!AP23-资产资本表!AP37</f>
        <v>304797713.64000005</v>
      </c>
      <c r="AQ64" s="76">
        <f>资产资本表!AQ22+资产资本表!AQ23-资产资本表!AQ37</f>
        <v>399511532.63999999</v>
      </c>
      <c r="AR64" s="76">
        <f>资产资本表!AR22+资产资本表!AR23-资产资本表!AR37</f>
        <v>227914963.53</v>
      </c>
      <c r="AS64" s="76">
        <f>资产资本表!AS22+资产资本表!AS23-资产资本表!AS37</f>
        <v>226086579.18000001</v>
      </c>
      <c r="AT64" s="76">
        <f>资产资本表!AT22+资产资本表!AT23-资产资本表!AT37</f>
        <v>292880111.12000006</v>
      </c>
      <c r="AU64" s="76">
        <f>资产资本表!AU22+资产资本表!AU23-资产资本表!AU37</f>
        <v>305141485.77000004</v>
      </c>
      <c r="AV64" s="76">
        <f>资产资本表!AV22+资产资本表!AV23-资产资本表!AV37</f>
        <v>260848548.24000001</v>
      </c>
      <c r="AW64" s="76">
        <f>资产资本表!AW22+资产资本表!AW23-资产资本表!AW37</f>
        <v>216440038.68000001</v>
      </c>
      <c r="AX64" s="76">
        <f>资产资本表!AX22+资产资本表!AX23-资产资本表!AX37</f>
        <v>324424064.69999993</v>
      </c>
      <c r="AY64" s="76">
        <f>资产资本表!AY22+资产资本表!AY23-资产资本表!AY37</f>
        <v>312095881.04000002</v>
      </c>
      <c r="AZ64" s="76">
        <f>资产资本表!AZ22+资产资本表!AZ23-资产资本表!AZ37</f>
        <v>240849097.98000002</v>
      </c>
      <c r="BA64" s="76">
        <f>资产资本表!BA22+资产资本表!BA23-资产资本表!BA37</f>
        <v>296954710.96999997</v>
      </c>
      <c r="BB64" s="76">
        <f>资产资本表!BB22+资产资本表!BB23-资产资本表!BB37</f>
        <v>476777155.42000002</v>
      </c>
      <c r="BC64" s="76">
        <f>资产资本表!BC22+资产资本表!BC23-资产资本表!BC37</f>
        <v>473339224.54000002</v>
      </c>
      <c r="BD64" s="76">
        <f>资产资本表!BD22+资产资本表!BD23-资产资本表!BD37</f>
        <v>356993852.35000002</v>
      </c>
      <c r="BE64" s="76">
        <f>资产资本表!BE22+资产资本表!BE23-资产资本表!BE37</f>
        <v>368028671.82000005</v>
      </c>
      <c r="BF64" s="76">
        <f>资产资本表!BF22+资产资本表!BF23-资产资本表!BF37</f>
        <v>436600819.75999999</v>
      </c>
      <c r="BG64" s="76">
        <f>资产资本表!BG22+资产资本表!BG23-资产资本表!BG37</f>
        <v>413751951.45000005</v>
      </c>
      <c r="BH64" s="76">
        <f>资产资本表!BH22+资产资本表!BH23-资产资本表!BH37</f>
        <v>310431094.55000001</v>
      </c>
      <c r="BI64" s="76">
        <f>资产资本表!BI22+资产资本表!BI23-资产资本表!BI37</f>
        <v>328837124.87</v>
      </c>
      <c r="BJ64" s="76">
        <f>资产资本表!BJ22+资产资本表!BJ23-资产资本表!BJ37</f>
        <v>356041964.71999997</v>
      </c>
      <c r="BK64" s="76">
        <f>资产资本表!BK22+资产资本表!BK23-资产资本表!BK37</f>
        <v>349249740.80000001</v>
      </c>
      <c r="BL64" s="76">
        <f>资产资本表!BL22+资产资本表!BL23-资产资本表!BL37</f>
        <v>304091901.83999997</v>
      </c>
      <c r="BM64" s="76">
        <f>资产资本表!BM22+资产资本表!BM23-资产资本表!BM37</f>
        <v>296410443.01000005</v>
      </c>
      <c r="BN64" s="76">
        <f>资产资本表!BN22+资产资本表!BN23-资产资本表!BN37</f>
        <v>317704083.15999997</v>
      </c>
      <c r="BO64" s="76">
        <f>资产资本表!BO22+资产资本表!BO23-资产资本表!BO37</f>
        <v>318289110.58999997</v>
      </c>
      <c r="BP64" s="76">
        <f>资产资本表!BP22+资产资本表!BP23-资产资本表!BP37</f>
        <v>223059761.93000001</v>
      </c>
      <c r="BQ64" s="76">
        <f>资产资本表!BQ22+资产资本表!BQ23-资产资本表!BQ37</f>
        <v>257611123.00999999</v>
      </c>
      <c r="BR64" s="76">
        <f>资产资本表!BR22+资产资本表!BR23-资产资本表!BR37</f>
        <v>265813732.81</v>
      </c>
      <c r="BS64" s="76">
        <f>资产资本表!BS22+资产资本表!BS23-资产资本表!BS37</f>
        <v>234004728.16</v>
      </c>
      <c r="BT64" s="76">
        <f>资产资本表!BT22+资产资本表!BT23-资产资本表!BT37</f>
        <v>250923237.67000002</v>
      </c>
      <c r="BU64" s="76">
        <f>资产资本表!BU22+资产资本表!BU23-资产资本表!BU37</f>
        <v>264862864.61999997</v>
      </c>
      <c r="BV64" s="76">
        <f>资产资本表!BV22+资产资本表!BV23-资产资本表!BV37</f>
        <v>297903214.72000003</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691</v>
      </c>
      <c r="E65" s="154">
        <f>E63/(E64+I64)*2</f>
        <v>9.1660960147474384</v>
      </c>
      <c r="F65" s="154">
        <f t="shared" ref="F65:BQ65" si="28">F63/(F64+J64)*2</f>
        <v>5.5181346375912739</v>
      </c>
      <c r="G65" s="154">
        <f t="shared" si="28"/>
        <v>3.6513465084238992</v>
      </c>
      <c r="H65" s="154">
        <f t="shared" si="28"/>
        <v>1.9524235072432978</v>
      </c>
      <c r="I65" s="154">
        <f t="shared" si="28"/>
        <v>8.5290858205748172</v>
      </c>
      <c r="J65" s="154">
        <f t="shared" si="28"/>
        <v>5.4880621496264483</v>
      </c>
      <c r="K65" s="154">
        <f t="shared" si="28"/>
        <v>3.7591419827859194</v>
      </c>
      <c r="L65" s="154">
        <f t="shared" si="28"/>
        <v>2.2152541772200314</v>
      </c>
      <c r="M65" s="154">
        <f t="shared" si="28"/>
        <v>10.299451682102641</v>
      </c>
      <c r="N65" s="154">
        <f t="shared" si="28"/>
        <v>6.6225317486502302</v>
      </c>
      <c r="O65" s="154">
        <f t="shared" si="28"/>
        <v>4.4368597053273273</v>
      </c>
      <c r="P65" s="154">
        <f t="shared" si="28"/>
        <v>2.976704892778244</v>
      </c>
      <c r="Q65" s="154">
        <f t="shared" si="28"/>
        <v>13.332590235594395</v>
      </c>
      <c r="R65" s="154">
        <f t="shared" si="28"/>
        <v>8.088261309209809</v>
      </c>
      <c r="S65" s="154">
        <f t="shared" si="28"/>
        <v>4.6619085299418126</v>
      </c>
      <c r="T65" s="154">
        <f t="shared" si="28"/>
        <v>2.7014656059515723</v>
      </c>
      <c r="U65" s="154">
        <f t="shared" si="28"/>
        <v>12.405022753795798</v>
      </c>
      <c r="V65" s="154">
        <f t="shared" si="28"/>
        <v>9.2668024215429572</v>
      </c>
      <c r="W65" s="154">
        <f t="shared" si="28"/>
        <v>5.0909958370904356</v>
      </c>
      <c r="X65" s="154">
        <f t="shared" si="28"/>
        <v>2.7170549850778141</v>
      </c>
      <c r="Y65" s="154">
        <f t="shared" si="28"/>
        <v>11.96051995751167</v>
      </c>
      <c r="Z65" s="154">
        <f t="shared" si="28"/>
        <v>8.5455232899465017</v>
      </c>
      <c r="AA65" s="154">
        <f t="shared" si="28"/>
        <v>4.7248904145107149</v>
      </c>
      <c r="AB65" s="154">
        <f t="shared" si="28"/>
        <v>2.7878453127694183</v>
      </c>
      <c r="AC65" s="154">
        <f t="shared" si="28"/>
        <v>11.146383030669515</v>
      </c>
      <c r="AD65" s="154">
        <f t="shared" si="28"/>
        <v>7.7908765962985385</v>
      </c>
      <c r="AE65" s="154">
        <f t="shared" si="28"/>
        <v>4.5624897169417045</v>
      </c>
      <c r="AF65" s="154">
        <f t="shared" si="28"/>
        <v>2.6836163985585504</v>
      </c>
      <c r="AG65" s="154">
        <f t="shared" si="28"/>
        <v>11.687654020195472</v>
      </c>
      <c r="AH65" s="154">
        <f t="shared" si="28"/>
        <v>7.6356592462102109</v>
      </c>
      <c r="AI65" s="154">
        <f t="shared" si="28"/>
        <v>4.161328874935033</v>
      </c>
      <c r="AJ65" s="154">
        <f t="shared" si="28"/>
        <v>2.7777611328599869</v>
      </c>
      <c r="AK65" s="154">
        <f t="shared" si="28"/>
        <v>10.893201449472153</v>
      </c>
      <c r="AL65" s="154">
        <f t="shared" si="28"/>
        <v>7.0447663373297464</v>
      </c>
      <c r="AM65" s="154">
        <f t="shared" si="28"/>
        <v>3.6181545790600658</v>
      </c>
      <c r="AN65" s="154">
        <f t="shared" si="28"/>
        <v>2.8267691126074297</v>
      </c>
      <c r="AO65" s="154">
        <f t="shared" si="28"/>
        <v>11.034408725441013</v>
      </c>
      <c r="AP65" s="154">
        <f t="shared" si="28"/>
        <v>7.0199057139936158</v>
      </c>
      <c r="AQ65" s="154">
        <f t="shared" si="28"/>
        <v>3.9299513775852724</v>
      </c>
      <c r="AR65" s="154">
        <f t="shared" si="28"/>
        <v>2.1529258883285318</v>
      </c>
      <c r="AS65" s="154">
        <f t="shared" si="28"/>
        <v>10.217685599537147</v>
      </c>
      <c r="AT65" s="154">
        <f t="shared" si="28"/>
        <v>5.7669558977324211</v>
      </c>
      <c r="AU65" s="154">
        <f t="shared" si="28"/>
        <v>3.765117548878683</v>
      </c>
      <c r="AV65" s="154">
        <f t="shared" si="28"/>
        <v>1.8963288667350207</v>
      </c>
      <c r="AW65" s="154">
        <f t="shared" si="28"/>
        <v>8.411205867695223</v>
      </c>
      <c r="AX65" s="154">
        <f t="shared" si="28"/>
        <v>4.3586250662186528</v>
      </c>
      <c r="AY65" s="154">
        <f t="shared" si="28"/>
        <v>2.7915893284918529</v>
      </c>
      <c r="AZ65" s="154">
        <f t="shared" si="28"/>
        <v>1.4980617223396873</v>
      </c>
      <c r="BA65" s="154">
        <f t="shared" si="28"/>
        <v>5.8614097705218837</v>
      </c>
      <c r="BB65" s="154">
        <f t="shared" si="28"/>
        <v>3.3753393621654153</v>
      </c>
      <c r="BC65" s="154">
        <f t="shared" si="28"/>
        <v>2.1864854355871359</v>
      </c>
      <c r="BD65" s="154">
        <f t="shared" si="28"/>
        <v>1.1464311789272135</v>
      </c>
      <c r="BE65" s="154">
        <f t="shared" si="28"/>
        <v>4.7898965060339549</v>
      </c>
      <c r="BF65" s="154">
        <f t="shared" si="28"/>
        <v>3.2435803052527148</v>
      </c>
      <c r="BG65" s="154">
        <f t="shared" si="28"/>
        <v>2.0297616964033676</v>
      </c>
      <c r="BH65" s="154">
        <f t="shared" si="28"/>
        <v>0.93140097334413452</v>
      </c>
      <c r="BI65" s="154">
        <f t="shared" si="28"/>
        <v>4.7545211622327201</v>
      </c>
      <c r="BJ65" s="154">
        <f t="shared" si="28"/>
        <v>3.389521137208575</v>
      </c>
      <c r="BK65" s="154">
        <f t="shared" si="28"/>
        <v>2.2054873358372666</v>
      </c>
      <c r="BL65" s="154">
        <f t="shared" si="28"/>
        <v>0.86550148990721076</v>
      </c>
      <c r="BM65" s="154">
        <f t="shared" si="28"/>
        <v>4.9235793256133435</v>
      </c>
      <c r="BN65" s="154">
        <f t="shared" si="28"/>
        <v>3.5673771254090059</v>
      </c>
      <c r="BO65" s="154">
        <f t="shared" si="28"/>
        <v>2.4851707836293513</v>
      </c>
      <c r="BP65" s="154">
        <f t="shared" si="28"/>
        <v>0.94194386654537721</v>
      </c>
      <c r="BQ65" s="154">
        <f t="shared" si="28"/>
        <v>4.9987294684793566</v>
      </c>
      <c r="BR65" s="154">
        <f t="shared" ref="BR65:CK65" si="29">BR63/(BR64+BV64)*2</f>
        <v>2.2667305719276754</v>
      </c>
      <c r="BS65" s="154">
        <f t="shared" si="29"/>
        <v>10.146952906936511</v>
      </c>
      <c r="BT65" s="154">
        <f t="shared" si="29"/>
        <v>8.631052128492966</v>
      </c>
      <c r="BU65" s="154">
        <f t="shared" si="29"/>
        <v>7.4152297088449428</v>
      </c>
      <c r="BV65" s="154">
        <f t="shared" si="29"/>
        <v>6.0406752608272081</v>
      </c>
      <c r="BW65" s="154" t="e">
        <f t="shared" si="29"/>
        <v>#DIV/0!</v>
      </c>
      <c r="BX65" s="154" t="e">
        <f t="shared" si="29"/>
        <v>#DIV/0!</v>
      </c>
      <c r="BY65" s="154" t="e">
        <f t="shared" si="29"/>
        <v>#DIV/0!</v>
      </c>
      <c r="BZ65" s="154" t="e">
        <f t="shared" si="29"/>
        <v>#DIV/0!</v>
      </c>
      <c r="CA65" s="154" t="e">
        <f t="shared" si="29"/>
        <v>#DIV/0!</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474</v>
      </c>
      <c r="E66" s="83">
        <f>E62/E65</f>
        <v>39.820660771253898</v>
      </c>
      <c r="F66" s="83">
        <f t="shared" ref="F66:BQ66" si="30">F62/F65</f>
        <v>66.145540834307454</v>
      </c>
      <c r="G66" s="83">
        <f t="shared" si="30"/>
        <v>99.96312296242516</v>
      </c>
      <c r="H66" s="83">
        <f t="shared" si="30"/>
        <v>186.94714473877525</v>
      </c>
      <c r="I66" s="83">
        <f t="shared" si="30"/>
        <v>42.794738812394883</v>
      </c>
      <c r="J66" s="83">
        <f t="shared" si="30"/>
        <v>66.50799317657949</v>
      </c>
      <c r="K66" s="83">
        <f t="shared" si="30"/>
        <v>97.096625153141105</v>
      </c>
      <c r="L66" s="83">
        <f t="shared" si="30"/>
        <v>164.76664563072671</v>
      </c>
      <c r="M66" s="83">
        <f t="shared" si="30"/>
        <v>35.438779778370197</v>
      </c>
      <c r="N66" s="83">
        <f t="shared" si="30"/>
        <v>55.11487356393458</v>
      </c>
      <c r="O66" s="83">
        <f t="shared" si="30"/>
        <v>82.265391344636242</v>
      </c>
      <c r="P66" s="83">
        <f t="shared" si="30"/>
        <v>122.61880607833282</v>
      </c>
      <c r="Q66" s="83">
        <f t="shared" si="30"/>
        <v>27.376525757579284</v>
      </c>
      <c r="R66" s="83">
        <f t="shared" si="30"/>
        <v>45.127127579865373</v>
      </c>
      <c r="S66" s="83">
        <f t="shared" si="30"/>
        <v>78.294114450279821</v>
      </c>
      <c r="T66" s="83">
        <f t="shared" si="30"/>
        <v>135.11184417668397</v>
      </c>
      <c r="U66" s="83">
        <f t="shared" si="30"/>
        <v>29.423565538266676</v>
      </c>
      <c r="V66" s="83">
        <f t="shared" si="30"/>
        <v>39.38791218332959</v>
      </c>
      <c r="W66" s="83">
        <f t="shared" si="30"/>
        <v>71.695206926077915</v>
      </c>
      <c r="X66" s="83">
        <f t="shared" si="30"/>
        <v>134.33662623855466</v>
      </c>
      <c r="Y66" s="83">
        <f t="shared" si="30"/>
        <v>30.517067928202056</v>
      </c>
      <c r="Z66" s="83">
        <f t="shared" si="30"/>
        <v>42.712422354451867</v>
      </c>
      <c r="AA66" s="83">
        <f t="shared" si="30"/>
        <v>77.250468895329391</v>
      </c>
      <c r="AB66" s="83">
        <f t="shared" si="30"/>
        <v>130.92548511503048</v>
      </c>
      <c r="AC66" s="83">
        <f t="shared" si="30"/>
        <v>32.746048560837586</v>
      </c>
      <c r="AD66" s="83">
        <f t="shared" si="30"/>
        <v>46.849670314815697</v>
      </c>
      <c r="AE66" s="83">
        <f t="shared" si="30"/>
        <v>80.000180306086079</v>
      </c>
      <c r="AF66" s="83">
        <f t="shared" si="30"/>
        <v>136.01049695330983</v>
      </c>
      <c r="AG66" s="83">
        <f t="shared" si="30"/>
        <v>31.229534975051862</v>
      </c>
      <c r="AH66" s="83">
        <f t="shared" si="30"/>
        <v>47.802028381656712</v>
      </c>
      <c r="AI66" s="83">
        <f t="shared" si="30"/>
        <v>87.712365681671443</v>
      </c>
      <c r="AJ66" s="83">
        <f t="shared" si="30"/>
        <v>131.40078737590926</v>
      </c>
      <c r="AK66" s="83">
        <f t="shared" si="30"/>
        <v>33.507137611752022</v>
      </c>
      <c r="AL66" s="83">
        <f t="shared" si="30"/>
        <v>51.811512621204962</v>
      </c>
      <c r="AM66" s="83">
        <f t="shared" si="30"/>
        <v>100.88015645114331</v>
      </c>
      <c r="AN66" s="83">
        <f t="shared" si="30"/>
        <v>129.12267874022498</v>
      </c>
      <c r="AO66" s="83">
        <f t="shared" si="30"/>
        <v>33.078346931127662</v>
      </c>
      <c r="AP66" s="83">
        <f t="shared" si="30"/>
        <v>51.995000342013419</v>
      </c>
      <c r="AQ66" s="83">
        <f t="shared" si="30"/>
        <v>92.876467144555704</v>
      </c>
      <c r="AR66" s="83">
        <f t="shared" si="30"/>
        <v>169.53672301436035</v>
      </c>
      <c r="AS66" s="83">
        <f t="shared" si="30"/>
        <v>35.722375330919775</v>
      </c>
      <c r="AT66" s="83">
        <f t="shared" si="30"/>
        <v>63.291623253702831</v>
      </c>
      <c r="AU66" s="83">
        <f t="shared" si="30"/>
        <v>96.942524439563201</v>
      </c>
      <c r="AV66" s="83">
        <f t="shared" si="30"/>
        <v>192.47716279741812</v>
      </c>
      <c r="AW66" s="83">
        <f t="shared" si="30"/>
        <v>43.394491318046249</v>
      </c>
      <c r="AX66" s="83">
        <f t="shared" si="30"/>
        <v>83.742004520856298</v>
      </c>
      <c r="AY66" s="83">
        <f t="shared" si="30"/>
        <v>130.74989085059659</v>
      </c>
      <c r="AZ66" s="83">
        <f t="shared" si="30"/>
        <v>243.64817187234414</v>
      </c>
      <c r="BA66" s="83">
        <f t="shared" si="30"/>
        <v>62.271708392689533</v>
      </c>
      <c r="BB66" s="83">
        <f t="shared" si="30"/>
        <v>108.13727475563758</v>
      </c>
      <c r="BC66" s="83">
        <f t="shared" si="30"/>
        <v>166.93456725541222</v>
      </c>
      <c r="BD66" s="83">
        <f t="shared" si="30"/>
        <v>318.37933816625002</v>
      </c>
      <c r="BE66" s="83">
        <f t="shared" si="30"/>
        <v>76.202063977833376</v>
      </c>
      <c r="BF66" s="83">
        <f t="shared" si="30"/>
        <v>112.5299717133293</v>
      </c>
      <c r="BG66" s="83">
        <f t="shared" si="30"/>
        <v>179.82406538006953</v>
      </c>
      <c r="BH66" s="83">
        <f t="shared" si="30"/>
        <v>391.88277707021422</v>
      </c>
      <c r="BI66" s="83">
        <f t="shared" si="30"/>
        <v>76.769034682053288</v>
      </c>
      <c r="BJ66" s="83">
        <f t="shared" si="30"/>
        <v>107.68482780449457</v>
      </c>
      <c r="BK66" s="83">
        <f t="shared" si="30"/>
        <v>165.4963028211792</v>
      </c>
      <c r="BL66" s="83">
        <f t="shared" si="30"/>
        <v>421.72082227048639</v>
      </c>
      <c r="BM66" s="83">
        <f t="shared" si="30"/>
        <v>74.133059683065213</v>
      </c>
      <c r="BN66" s="83">
        <f t="shared" si="30"/>
        <v>102.31606784722884</v>
      </c>
      <c r="BO66" s="83">
        <f t="shared" si="30"/>
        <v>146.87119388509504</v>
      </c>
      <c r="BP66" s="83">
        <f t="shared" si="30"/>
        <v>387.4965515075271</v>
      </c>
      <c r="BQ66" s="83">
        <f t="shared" si="30"/>
        <v>73.018554475010461</v>
      </c>
      <c r="BR66" s="83">
        <f t="shared" ref="BR66:CJ66" si="31">BR62/BR65</f>
        <v>161.02487191038162</v>
      </c>
      <c r="BS66" s="83">
        <f t="shared" si="31"/>
        <v>35.97138996776895</v>
      </c>
      <c r="BT66" s="83">
        <f t="shared" si="31"/>
        <v>42.289166438359956</v>
      </c>
      <c r="BU66" s="83">
        <f t="shared" si="31"/>
        <v>49.223019964523175</v>
      </c>
      <c r="BV66" s="83">
        <f t="shared" si="31"/>
        <v>60.423708317340839</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475</v>
      </c>
      <c r="E67" s="76">
        <f>股权价值增加表!E5</f>
        <v>2275570034.3000002</v>
      </c>
      <c r="F67" s="76">
        <f>股权价值增加表!F5</f>
        <v>1189227793.3399999</v>
      </c>
      <c r="G67" s="76">
        <f>股权价值增加表!G5</f>
        <v>797774483.53999996</v>
      </c>
      <c r="H67" s="76">
        <f>股权价值增加表!H5</f>
        <v>370371507.20999998</v>
      </c>
      <c r="I67" s="76">
        <f>股权价值增加表!I5</f>
        <v>2061394524.6800001</v>
      </c>
      <c r="J67" s="76">
        <f>股权价值增加表!J5</f>
        <v>1673475318.98</v>
      </c>
      <c r="K67" s="76">
        <f>股权价值增加表!K5</f>
        <v>1200051250.8900001</v>
      </c>
      <c r="L67" s="76">
        <f>股权价值增加表!L5</f>
        <v>617981098.01999998</v>
      </c>
      <c r="M67" s="76">
        <f>股权价值增加表!M5</f>
        <v>2386308497.6300001</v>
      </c>
      <c r="N67" s="76">
        <f>股权价值增加表!N5</f>
        <v>1844309552.8099999</v>
      </c>
      <c r="O67" s="76">
        <f>股权价值增加表!O5</f>
        <v>1263571654.3</v>
      </c>
      <c r="P67" s="76">
        <f>股权价值增加表!P5</f>
        <v>622849948.12</v>
      </c>
      <c r="Q67" s="76">
        <f>股权价值增加表!Q5</f>
        <v>2036991589.78</v>
      </c>
      <c r="R67" s="76">
        <f>股权价值增加表!R5</f>
        <v>1587796996.1099999</v>
      </c>
      <c r="S67" s="76">
        <f>股权价值增加表!S5</f>
        <v>1028397908.3</v>
      </c>
      <c r="T67" s="76">
        <f>股权价值增加表!T5</f>
        <v>491360185.73000002</v>
      </c>
      <c r="U67" s="76">
        <f>股权价值增加表!U5</f>
        <v>1655189245.2</v>
      </c>
      <c r="V67" s="76">
        <f>股权价值增加表!V5</f>
        <v>1746064380.22</v>
      </c>
      <c r="W67" s="76">
        <f>股权价值增加表!W5</f>
        <v>1170805288.22</v>
      </c>
      <c r="X67" s="76">
        <f>股权价值增加表!X5</f>
        <v>575765912.85000002</v>
      </c>
      <c r="Y67" s="76">
        <f>股权价值增加表!Y5</f>
        <v>2026284289.9200001</v>
      </c>
      <c r="Z67" s="76">
        <f>股权价值增加表!Z5</f>
        <v>1600833142.96</v>
      </c>
      <c r="AA67" s="76">
        <f>股权价值增加表!AA5</f>
        <v>1067581427.03</v>
      </c>
      <c r="AB67" s="76">
        <f>股权价值增加表!AB5</f>
        <v>528393933.55000001</v>
      </c>
      <c r="AC67" s="76">
        <f>股权价值增加表!AC5</f>
        <v>1519290854</v>
      </c>
      <c r="AD67" s="76">
        <f>股权价值增加表!AD5</f>
        <v>1295421349.95</v>
      </c>
      <c r="AE67" s="76">
        <f>股权价值增加表!AE5</f>
        <v>887275860.91999996</v>
      </c>
      <c r="AF67" s="76">
        <f>股权价值增加表!AF5</f>
        <v>426499884.14999998</v>
      </c>
      <c r="AG67" s="76">
        <f>股权价值增加表!AG5</f>
        <v>1398717078.0999999</v>
      </c>
      <c r="AH67" s="76">
        <f>股权价值增加表!AH5</f>
        <v>1135606768.6400001</v>
      </c>
      <c r="AI67" s="76">
        <f>股权价值增加表!AI5</f>
        <v>747682978.33000004</v>
      </c>
      <c r="AJ67" s="76">
        <f>股权价值增加表!AJ5</f>
        <v>342547696.07999998</v>
      </c>
      <c r="AK67" s="76">
        <f>股权价值增加表!AK5</f>
        <v>1214789438.05</v>
      </c>
      <c r="AL67" s="76">
        <f>股权价值增加表!AL5</f>
        <v>1018272015.98</v>
      </c>
      <c r="AM67" s="76">
        <f>股权价值增加表!AM5</f>
        <v>679582414.24000001</v>
      </c>
      <c r="AN67" s="76">
        <f>股权价值增加表!AN5</f>
        <v>311262192.52999997</v>
      </c>
      <c r="AO67" s="76">
        <f>股权价值增加表!AO5</f>
        <v>1211140032.72</v>
      </c>
      <c r="AP67" s="76">
        <f>股权价值增加表!AP5</f>
        <v>1068324221.09</v>
      </c>
      <c r="AQ67" s="76">
        <f>股权价值增加表!AQ5</f>
        <v>686070308.13999999</v>
      </c>
      <c r="AR67" s="76">
        <f>股权价值增加表!AR5</f>
        <v>281219677.25999999</v>
      </c>
      <c r="AS67" s="76">
        <f>股权价值增加表!AS5</f>
        <v>1227440965.48</v>
      </c>
      <c r="AT67" s="76">
        <f>股权价值增加表!AT5</f>
        <v>947013822.67999995</v>
      </c>
      <c r="AU67" s="76">
        <f>股权价值增加表!AU5</f>
        <v>611840186.25999999</v>
      </c>
      <c r="AV67" s="76">
        <f>股权价值增加表!AV5</f>
        <v>269980522.58999997</v>
      </c>
      <c r="AW67" s="76">
        <f>股权价值增加表!AW5</f>
        <v>1204725887.3199999</v>
      </c>
      <c r="AX67" s="76">
        <f>股权价值增加表!AX5</f>
        <v>962951387.10000002</v>
      </c>
      <c r="AY67" s="76">
        <f>股权价值增加表!AY5</f>
        <v>597117167.48000002</v>
      </c>
      <c r="AZ67" s="76">
        <f>股权价值增加表!AZ5</f>
        <v>256410377.24000001</v>
      </c>
      <c r="BA67" s="76">
        <f>股权价值增加表!BA5</f>
        <v>1178868883.04</v>
      </c>
      <c r="BB67" s="76">
        <f>股权价值增加表!BB5</f>
        <v>936172938.35000002</v>
      </c>
      <c r="BC67" s="76">
        <f>股权价值增加表!BC5</f>
        <v>584316729.75999999</v>
      </c>
      <c r="BD67" s="76">
        <f>股权价值增加表!BD5</f>
        <v>231227648.68000001</v>
      </c>
      <c r="BE67" s="76">
        <f>股权价值增加表!BE5</f>
        <v>1011576898.9299999</v>
      </c>
      <c r="BF67" s="76">
        <f>股权价值增加表!BF5</f>
        <v>770915558.69000006</v>
      </c>
      <c r="BG67" s="76">
        <f>股权价值增加表!BG5</f>
        <v>461976639.87</v>
      </c>
      <c r="BH67" s="76">
        <f>股权价值增加表!BH5</f>
        <v>162602074.06999999</v>
      </c>
      <c r="BI67" s="76">
        <f>股权价值增加表!BI5</f>
        <v>886419074.60000002</v>
      </c>
      <c r="BJ67" s="76">
        <f>股权价值增加表!BJ5</f>
        <v>678874036.90999997</v>
      </c>
      <c r="BK67" s="76">
        <f>股权价值增加表!BK5</f>
        <v>436111523.74000001</v>
      </c>
      <c r="BL67" s="76">
        <f>股权价值增加表!BL5</f>
        <v>135293823.31999999</v>
      </c>
      <c r="BM67" s="76">
        <f>股权价值增加表!BM5</f>
        <v>813612864.95000005</v>
      </c>
      <c r="BN67" s="76">
        <f>股权价值增加表!BN5</f>
        <v>622844547.99000001</v>
      </c>
      <c r="BO67" s="76">
        <f>股权价值增加表!BO5</f>
        <v>416238818.20999998</v>
      </c>
      <c r="BP67" s="76">
        <f>股权价值增加表!BP5</f>
        <v>127007375.92</v>
      </c>
      <c r="BQ67" s="76">
        <f>股权价值增加表!BQ5</f>
        <v>806010835.77999997</v>
      </c>
      <c r="BR67" s="76">
        <f>股权价值增加表!BR5</f>
        <v>396734690.39999998</v>
      </c>
      <c r="BS67" s="76">
        <f>股权价值增加表!BS5</f>
        <v>745112400.61000001</v>
      </c>
      <c r="BT67" s="76">
        <f>股权价值增加表!BT5</f>
        <v>684553298.67999995</v>
      </c>
      <c r="BU67" s="76">
        <f>股权价值增加表!BU5</f>
        <v>614343901.25999999</v>
      </c>
      <c r="BV67" s="76">
        <f>股权价值增加表!BV5</f>
        <v>507100280.88999999</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476</v>
      </c>
      <c r="E68" s="76">
        <f>资产资本表!E26</f>
        <v>750415795.02999997</v>
      </c>
      <c r="F68" s="76">
        <f>资产资本表!F26</f>
        <v>591039967.70000005</v>
      </c>
      <c r="G68" s="76">
        <f>资产资本表!G26</f>
        <v>636878882.95000005</v>
      </c>
      <c r="H68" s="76">
        <f>资产资本表!H26</f>
        <v>631180644.24000001</v>
      </c>
      <c r="I68" s="76">
        <f>资产资本表!I26</f>
        <v>593697312.38999999</v>
      </c>
      <c r="J68" s="76">
        <f>资产资本表!J26</f>
        <v>683246190.65999997</v>
      </c>
      <c r="K68" s="76">
        <f>资产资本表!K26</f>
        <v>634597095.58000004</v>
      </c>
      <c r="L68" s="76">
        <f>资产资本表!L26</f>
        <v>724307054.13999999</v>
      </c>
      <c r="M68" s="76">
        <f>资产资本表!M26</f>
        <v>677108151.61000001</v>
      </c>
      <c r="N68" s="76">
        <f>资产资本表!N26</f>
        <v>703293294.42999995</v>
      </c>
      <c r="O68" s="76">
        <f>资产资本表!O26</f>
        <v>677960534.10000002</v>
      </c>
      <c r="P68" s="76">
        <f>资产资本表!P26</f>
        <v>621816314.36000001</v>
      </c>
      <c r="Q68" s="76">
        <f>资产资本表!Q26</f>
        <v>524448318.06</v>
      </c>
      <c r="R68" s="76">
        <f>资产资本表!R26</f>
        <v>495236558.51999998</v>
      </c>
      <c r="S68" s="76">
        <f>资产资本表!S26</f>
        <v>484403802.22000003</v>
      </c>
      <c r="T68" s="76">
        <f>资产资本表!T26</f>
        <v>469474644.88</v>
      </c>
      <c r="U68" s="76">
        <f>资产资本表!U26</f>
        <v>436564132.48000002</v>
      </c>
      <c r="V68" s="76">
        <f>资产资本表!V26</f>
        <v>385275930.97000003</v>
      </c>
      <c r="W68" s="76">
        <f>资产资本表!W26</f>
        <v>401334108.26999998</v>
      </c>
      <c r="X68" s="76">
        <f>资产资本表!X26</f>
        <v>357715646.44999999</v>
      </c>
      <c r="Y68" s="76">
        <f>资产资本表!Y26</f>
        <v>374977924.24000001</v>
      </c>
      <c r="Z68" s="76">
        <f>资产资本表!Z26</f>
        <v>390655393.66000003</v>
      </c>
      <c r="AA68" s="76">
        <f>资产资本表!AA26</f>
        <v>414402030.64999998</v>
      </c>
      <c r="AB68" s="76">
        <f>资产资本表!AB26</f>
        <v>373135455.63</v>
      </c>
      <c r="AC68" s="76">
        <f>资产资本表!AC26</f>
        <v>398644823.11000001</v>
      </c>
      <c r="AD68" s="76">
        <f>资产资本表!AD26</f>
        <v>295599970.01999998</v>
      </c>
      <c r="AE68" s="76">
        <f>资产资本表!AE26</f>
        <v>348340307.41000003</v>
      </c>
      <c r="AF68" s="76">
        <f>资产资本表!AF26</f>
        <v>287437718.31999999</v>
      </c>
      <c r="AG68" s="76">
        <f>资产资本表!AG26</f>
        <v>317515496.18000001</v>
      </c>
      <c r="AH68" s="76">
        <f>资产资本表!AH26</f>
        <v>328487017.25999999</v>
      </c>
      <c r="AI68" s="76">
        <f>资产资本表!AI26</f>
        <v>340879302.25</v>
      </c>
      <c r="AJ68" s="76">
        <f>资产资本表!AJ26</f>
        <v>263056206.49000001</v>
      </c>
      <c r="AK68" s="76">
        <f>资产资本表!AK26</f>
        <v>267955613.59999999</v>
      </c>
      <c r="AL68" s="76">
        <f>资产资本表!AL26</f>
        <v>248789834.56999999</v>
      </c>
      <c r="AM68" s="76">
        <f>资产资本表!AM26</f>
        <v>283555156.91000003</v>
      </c>
      <c r="AN68" s="76">
        <f>资产资本表!AN26</f>
        <v>353386353.68000001</v>
      </c>
      <c r="AO68" s="76">
        <f>资产资本表!AO26</f>
        <v>334628555.87</v>
      </c>
      <c r="AP68" s="76">
        <f>资产资本表!AP26</f>
        <v>237681828.58000001</v>
      </c>
      <c r="AQ68" s="76">
        <f>资产资本表!AQ26</f>
        <v>335379001.69999999</v>
      </c>
      <c r="AR68" s="76">
        <f>资产资本表!AR26</f>
        <v>292487837.72000003</v>
      </c>
      <c r="AS68" s="76">
        <f>资产资本表!AS26</f>
        <v>256119303.94999999</v>
      </c>
      <c r="AT68" s="76">
        <f>资产资本表!AT26</f>
        <v>266069487.00999999</v>
      </c>
      <c r="AU68" s="76">
        <f>资产资本表!AU26</f>
        <v>281673799.39999998</v>
      </c>
      <c r="AV68" s="76">
        <f>资产资本表!AV26</f>
        <v>303704997.63</v>
      </c>
      <c r="AW68" s="76">
        <f>资产资本表!AW26</f>
        <v>251840064.31999999</v>
      </c>
      <c r="AX68" s="76">
        <f>资产资本表!AX26</f>
        <v>236053895.34</v>
      </c>
      <c r="AY68" s="76">
        <f>资产资本表!AY26</f>
        <v>257643283.52000001</v>
      </c>
      <c r="AZ68" s="76">
        <f>资产资本表!AZ26</f>
        <v>235212757.56</v>
      </c>
      <c r="BA68" s="76">
        <f>资产资本表!BA26</f>
        <v>207341977.61000001</v>
      </c>
      <c r="BB68" s="76">
        <f>资产资本表!BB26</f>
        <v>219724881.36000001</v>
      </c>
      <c r="BC68" s="76">
        <f>资产资本表!BC26</f>
        <v>228744037.25</v>
      </c>
      <c r="BD68" s="76">
        <f>资产资本表!BD26</f>
        <v>263374915.52000001</v>
      </c>
      <c r="BE68" s="76">
        <f>资产资本表!BE26</f>
        <v>205628983.91</v>
      </c>
      <c r="BF68" s="76">
        <f>资产资本表!BF26</f>
        <v>210722466.72999999</v>
      </c>
      <c r="BG68" s="76">
        <f>资产资本表!BG26</f>
        <v>200828800.37</v>
      </c>
      <c r="BH68" s="76">
        <f>资产资本表!BH26</f>
        <v>192157521.25</v>
      </c>
      <c r="BI68" s="76">
        <f>资产资本表!BI26</f>
        <v>178420120.31999999</v>
      </c>
      <c r="BJ68" s="76">
        <f>资产资本表!BJ26</f>
        <v>197296087.06999999</v>
      </c>
      <c r="BK68" s="76">
        <f>资产资本表!BK26</f>
        <v>198311663.02000001</v>
      </c>
      <c r="BL68" s="76">
        <f>资产资本表!BL26</f>
        <v>203550687.59</v>
      </c>
      <c r="BM68" s="76">
        <f>资产资本表!BM26</f>
        <v>201549744.49000001</v>
      </c>
      <c r="BN68" s="76">
        <f>资产资本表!BN26</f>
        <v>203104633.53999999</v>
      </c>
      <c r="BO68" s="76">
        <f>资产资本表!BO26</f>
        <v>203775573.43000001</v>
      </c>
      <c r="BP68" s="76">
        <f>资产资本表!BP26</f>
        <v>195530577.11000001</v>
      </c>
      <c r="BQ68" s="76">
        <f>资产资本表!BQ26</f>
        <v>150205880.24000001</v>
      </c>
      <c r="BR68" s="76">
        <f>资产资本表!BR26</f>
        <v>180217252.00999999</v>
      </c>
      <c r="BS68" s="76">
        <f>资产资本表!BS26</f>
        <v>133358001.56999999</v>
      </c>
      <c r="BT68" s="76">
        <f>资产资本表!BT26</f>
        <v>152707697.31999999</v>
      </c>
      <c r="BU68" s="76">
        <f>资产资本表!BU26</f>
        <v>162908716.36000001</v>
      </c>
      <c r="BV68" s="76">
        <f>资产资本表!BV26</f>
        <v>184340512.91999999</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477</v>
      </c>
      <c r="E69" s="154">
        <f>E67/(E68+I68)*2</f>
        <v>3.3859799770391561</v>
      </c>
      <c r="F69" s="154">
        <f t="shared" ref="F69:BQ69" si="32">F67/(F68+J68)*2</f>
        <v>1.8665003704827652</v>
      </c>
      <c r="G69" s="154">
        <f t="shared" si="32"/>
        <v>1.2548793638434854</v>
      </c>
      <c r="H69" s="154">
        <f t="shared" si="32"/>
        <v>0.54647712060042508</v>
      </c>
      <c r="I69" s="154">
        <f t="shared" si="32"/>
        <v>3.2442330208300083</v>
      </c>
      <c r="J69" s="154">
        <f t="shared" si="32"/>
        <v>2.4138877211583702</v>
      </c>
      <c r="K69" s="154">
        <f t="shared" si="32"/>
        <v>1.8285692357486369</v>
      </c>
      <c r="L69" s="154">
        <f t="shared" si="32"/>
        <v>0.91816413336412561</v>
      </c>
      <c r="M69" s="154">
        <f t="shared" si="32"/>
        <v>3.9720288773200725</v>
      </c>
      <c r="N69" s="154">
        <f t="shared" si="32"/>
        <v>3.0776197159720486</v>
      </c>
      <c r="O69" s="154">
        <f t="shared" si="32"/>
        <v>2.1741404391335992</v>
      </c>
      <c r="P69" s="154">
        <f t="shared" si="32"/>
        <v>1.1414919968800383</v>
      </c>
      <c r="Q69" s="154">
        <f t="shared" si="32"/>
        <v>4.2392616008989261</v>
      </c>
      <c r="R69" s="154">
        <f t="shared" si="32"/>
        <v>3.6065291862689302</v>
      </c>
      <c r="S69" s="154">
        <f t="shared" si="32"/>
        <v>2.3221268867922316</v>
      </c>
      <c r="T69" s="154">
        <f t="shared" si="32"/>
        <v>1.1880221295633568</v>
      </c>
      <c r="U69" s="154">
        <f t="shared" si="32"/>
        <v>4.0791213012169916</v>
      </c>
      <c r="V69" s="154">
        <f t="shared" si="32"/>
        <v>4.5005642246821367</v>
      </c>
      <c r="W69" s="154">
        <f t="shared" si="32"/>
        <v>2.8705490228006734</v>
      </c>
      <c r="X69" s="154">
        <f t="shared" si="32"/>
        <v>1.575603871189007</v>
      </c>
      <c r="Y69" s="154">
        <f t="shared" si="32"/>
        <v>5.238429963081928</v>
      </c>
      <c r="Z69" s="154">
        <f t="shared" si="32"/>
        <v>4.6654153182151781</v>
      </c>
      <c r="AA69" s="154">
        <f t="shared" si="32"/>
        <v>2.7993238968361038</v>
      </c>
      <c r="AB69" s="154">
        <f t="shared" si="32"/>
        <v>1.5998043952962433</v>
      </c>
      <c r="AC69" s="154">
        <f t="shared" si="32"/>
        <v>4.2428791796401741</v>
      </c>
      <c r="AD69" s="154">
        <f t="shared" si="32"/>
        <v>4.1514127881304548</v>
      </c>
      <c r="AE69" s="154">
        <f t="shared" si="32"/>
        <v>2.5747261061179127</v>
      </c>
      <c r="AF69" s="154">
        <f t="shared" si="32"/>
        <v>1.5495171333533031</v>
      </c>
      <c r="AG69" s="154">
        <f t="shared" si="32"/>
        <v>4.7780908561844839</v>
      </c>
      <c r="AH69" s="154">
        <f t="shared" si="32"/>
        <v>3.9343575445301959</v>
      </c>
      <c r="AI69" s="154">
        <f t="shared" si="32"/>
        <v>2.3947524591637559</v>
      </c>
      <c r="AJ69" s="154">
        <f t="shared" si="32"/>
        <v>1.1113693901522099</v>
      </c>
      <c r="AK69" s="154">
        <f t="shared" si="32"/>
        <v>4.0319327974329697</v>
      </c>
      <c r="AL69" s="154">
        <f t="shared" si="32"/>
        <v>4.1863569581277886</v>
      </c>
      <c r="AM69" s="154">
        <f t="shared" si="32"/>
        <v>2.1959764371906814</v>
      </c>
      <c r="AN69" s="154">
        <f t="shared" si="32"/>
        <v>0.96384774829075148</v>
      </c>
      <c r="AO69" s="154">
        <f t="shared" si="32"/>
        <v>4.1003619821459285</v>
      </c>
      <c r="AP69" s="154">
        <f t="shared" si="32"/>
        <v>4.2414746642944836</v>
      </c>
      <c r="AQ69" s="154">
        <f t="shared" si="32"/>
        <v>2.2237004901913249</v>
      </c>
      <c r="AR69" s="154">
        <f t="shared" si="32"/>
        <v>0.94338496065591804</v>
      </c>
      <c r="AS69" s="154">
        <f t="shared" si="32"/>
        <v>4.8328312938115472</v>
      </c>
      <c r="AT69" s="154">
        <f t="shared" si="32"/>
        <v>3.7720363399444063</v>
      </c>
      <c r="AU69" s="154">
        <f t="shared" si="32"/>
        <v>2.2689442097674397</v>
      </c>
      <c r="AV69" s="154">
        <f t="shared" si="32"/>
        <v>1.0019358983443254</v>
      </c>
      <c r="AW69" s="154">
        <f t="shared" si="32"/>
        <v>5.2472691756689143</v>
      </c>
      <c r="AX69" s="154">
        <f t="shared" si="32"/>
        <v>4.2255209602873984</v>
      </c>
      <c r="AY69" s="154">
        <f t="shared" si="32"/>
        <v>2.4553155149468271</v>
      </c>
      <c r="AZ69" s="154">
        <f t="shared" si="32"/>
        <v>1.0285467976215212</v>
      </c>
      <c r="BA69" s="154">
        <f t="shared" si="32"/>
        <v>5.7092095710603994</v>
      </c>
      <c r="BB69" s="154">
        <f t="shared" si="32"/>
        <v>4.3497674802924351</v>
      </c>
      <c r="BC69" s="154">
        <f t="shared" si="32"/>
        <v>2.72045473357832</v>
      </c>
      <c r="BD69" s="154">
        <f t="shared" si="32"/>
        <v>1.0151972944870562</v>
      </c>
      <c r="BE69" s="154">
        <f t="shared" si="32"/>
        <v>5.2679560388933231</v>
      </c>
      <c r="BF69" s="154">
        <f t="shared" si="32"/>
        <v>3.7788259946035825</v>
      </c>
      <c r="BG69" s="154">
        <f t="shared" si="32"/>
        <v>2.3148574611870547</v>
      </c>
      <c r="BH69" s="154">
        <f t="shared" si="32"/>
        <v>0.82182815740244719</v>
      </c>
      <c r="BI69" s="154">
        <f t="shared" si="32"/>
        <v>4.6657335578085632</v>
      </c>
      <c r="BJ69" s="154">
        <f t="shared" si="32"/>
        <v>3.3909731025246566</v>
      </c>
      <c r="BK69" s="154">
        <f t="shared" si="32"/>
        <v>2.1692383353940703</v>
      </c>
      <c r="BL69" s="154">
        <f t="shared" si="32"/>
        <v>0.67802643364731208</v>
      </c>
      <c r="BM69" s="154">
        <f t="shared" si="32"/>
        <v>4.6260119682493297</v>
      </c>
      <c r="BN69" s="154">
        <f t="shared" si="32"/>
        <v>3.2497207775983199</v>
      </c>
      <c r="BO69" s="154">
        <f t="shared" si="32"/>
        <v>2.4692813120734116</v>
      </c>
      <c r="BP69" s="154">
        <f t="shared" si="32"/>
        <v>0.72942801090940956</v>
      </c>
      <c r="BQ69" s="154">
        <f t="shared" si="32"/>
        <v>5.1483440537885157</v>
      </c>
      <c r="BR69" s="154">
        <f t="shared" ref="BR69:CJ69" si="33">BR67/(BR68+BV68)*2</f>
        <v>2.1765257995597951</v>
      </c>
      <c r="BS69" s="154">
        <f t="shared" si="33"/>
        <v>11.174618573132838</v>
      </c>
      <c r="BT69" s="154">
        <f t="shared" si="33"/>
        <v>8.9655375687515466</v>
      </c>
      <c r="BU69" s="154">
        <f t="shared" si="33"/>
        <v>7.5421857711088522</v>
      </c>
      <c r="BV69" s="154">
        <f t="shared" si="33"/>
        <v>5.5017779093418397</v>
      </c>
      <c r="BW69" s="154" t="e">
        <f t="shared" si="33"/>
        <v>#DIV/0!</v>
      </c>
      <c r="BX69" s="154" t="e">
        <f t="shared" si="33"/>
        <v>#DIV/0!</v>
      </c>
      <c r="BY69" s="154" t="e">
        <f t="shared" si="33"/>
        <v>#DIV/0!</v>
      </c>
      <c r="BZ69" s="154" t="e">
        <f t="shared" si="33"/>
        <v>#DIV/0!</v>
      </c>
      <c r="CA69" s="154" t="e">
        <f t="shared" si="33"/>
        <v>#DIV/0!</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478</v>
      </c>
      <c r="E70" s="83">
        <f>E62/E69</f>
        <v>107.79744785117465</v>
      </c>
      <c r="F70" s="83">
        <f t="shared" ref="F70:BQ70" si="34">F62/F69</f>
        <v>195.55313557510505</v>
      </c>
      <c r="G70" s="83">
        <f t="shared" si="34"/>
        <v>290.86461258081903</v>
      </c>
      <c r="H70" s="83">
        <f t="shared" si="34"/>
        <v>667.91451323518788</v>
      </c>
      <c r="I70" s="83">
        <f t="shared" si="34"/>
        <v>112.5073315191823</v>
      </c>
      <c r="J70" s="83">
        <f t="shared" si="34"/>
        <v>151.20835853328123</v>
      </c>
      <c r="K70" s="83">
        <f t="shared" si="34"/>
        <v>199.60961437184241</v>
      </c>
      <c r="L70" s="83">
        <f t="shared" si="34"/>
        <v>397.53240922475487</v>
      </c>
      <c r="M70" s="83">
        <f t="shared" si="34"/>
        <v>91.892584689934452</v>
      </c>
      <c r="N70" s="83">
        <f t="shared" si="34"/>
        <v>118.59814846705868</v>
      </c>
      <c r="O70" s="83">
        <f t="shared" si="34"/>
        <v>167.88243916085452</v>
      </c>
      <c r="P70" s="83">
        <f t="shared" si="34"/>
        <v>319.75695055035817</v>
      </c>
      <c r="Q70" s="83">
        <f t="shared" si="34"/>
        <v>86.099900020938207</v>
      </c>
      <c r="R70" s="83">
        <f t="shared" si="34"/>
        <v>101.20533652955244</v>
      </c>
      <c r="S70" s="83">
        <f t="shared" si="34"/>
        <v>157.18348643049745</v>
      </c>
      <c r="T70" s="83">
        <f t="shared" si="34"/>
        <v>307.23333422598057</v>
      </c>
      <c r="U70" s="83">
        <f t="shared" si="34"/>
        <v>89.480055396024511</v>
      </c>
      <c r="V70" s="83">
        <f t="shared" si="34"/>
        <v>81.100942410343904</v>
      </c>
      <c r="W70" s="83">
        <f t="shared" si="34"/>
        <v>127.15337627081698</v>
      </c>
      <c r="X70" s="83">
        <f t="shared" si="34"/>
        <v>231.65721198981186</v>
      </c>
      <c r="Y70" s="83">
        <f t="shared" si="34"/>
        <v>69.677365655807947</v>
      </c>
      <c r="Z70" s="83">
        <f t="shared" si="34"/>
        <v>78.235264195007616</v>
      </c>
      <c r="AA70" s="83">
        <f t="shared" si="34"/>
        <v>130.38862720120957</v>
      </c>
      <c r="AB70" s="83">
        <f t="shared" si="34"/>
        <v>228.15289236182605</v>
      </c>
      <c r="AC70" s="83">
        <f t="shared" si="34"/>
        <v>86.026489217860444</v>
      </c>
      <c r="AD70" s="83">
        <f t="shared" si="34"/>
        <v>87.921875907785576</v>
      </c>
      <c r="AE70" s="83">
        <f t="shared" si="34"/>
        <v>141.7626516205776</v>
      </c>
      <c r="AF70" s="83">
        <f t="shared" si="34"/>
        <v>235.55725338131958</v>
      </c>
      <c r="AG70" s="83">
        <f t="shared" si="34"/>
        <v>76.390343127855161</v>
      </c>
      <c r="AH70" s="83">
        <f t="shared" si="34"/>
        <v>92.77245290211286</v>
      </c>
      <c r="AI70" s="83">
        <f t="shared" si="34"/>
        <v>152.41658844666455</v>
      </c>
      <c r="AJ70" s="83">
        <f t="shared" si="34"/>
        <v>328.42365754738904</v>
      </c>
      <c r="AK70" s="83">
        <f t="shared" si="34"/>
        <v>90.527302496804097</v>
      </c>
      <c r="AL70" s="83">
        <f t="shared" si="34"/>
        <v>87.1879783904606</v>
      </c>
      <c r="AM70" s="83">
        <f t="shared" si="34"/>
        <v>166.21307670629903</v>
      </c>
      <c r="AN70" s="83">
        <f t="shared" si="34"/>
        <v>378.6905148113654</v>
      </c>
      <c r="AO70" s="83">
        <f t="shared" si="34"/>
        <v>89.016531123180712</v>
      </c>
      <c r="AP70" s="83">
        <f t="shared" si="34"/>
        <v>86.054975896151717</v>
      </c>
      <c r="AQ70" s="83">
        <f t="shared" si="34"/>
        <v>164.140810154067</v>
      </c>
      <c r="AR70" s="83">
        <f t="shared" si="34"/>
        <v>386.90462030073309</v>
      </c>
      <c r="AS70" s="83">
        <f t="shared" si="34"/>
        <v>75.525086188583373</v>
      </c>
      <c r="AT70" s="83">
        <f t="shared" si="34"/>
        <v>96.764709325515014</v>
      </c>
      <c r="AU70" s="83">
        <f t="shared" si="34"/>
        <v>160.86777208039481</v>
      </c>
      <c r="AV70" s="83">
        <f t="shared" si="34"/>
        <v>364.2947623726763</v>
      </c>
      <c r="AW70" s="83">
        <f t="shared" si="34"/>
        <v>69.559991641456122</v>
      </c>
      <c r="AX70" s="83">
        <f t="shared" si="34"/>
        <v>86.37988154132232</v>
      </c>
      <c r="AY70" s="83">
        <f t="shared" si="34"/>
        <v>148.65706577344073</v>
      </c>
      <c r="AZ70" s="83">
        <f t="shared" si="34"/>
        <v>354.86960908735495</v>
      </c>
      <c r="BA70" s="83">
        <f t="shared" si="34"/>
        <v>63.931792213437134</v>
      </c>
      <c r="BB70" s="83">
        <f t="shared" si="34"/>
        <v>83.91253133729829</v>
      </c>
      <c r="BC70" s="83">
        <f t="shared" si="34"/>
        <v>134.16874594340385</v>
      </c>
      <c r="BD70" s="83">
        <f t="shared" si="34"/>
        <v>359.53602514713339</v>
      </c>
      <c r="BE70" s="83">
        <f t="shared" si="34"/>
        <v>69.286834837877294</v>
      </c>
      <c r="BF70" s="83">
        <f t="shared" si="34"/>
        <v>96.590846077920645</v>
      </c>
      <c r="BG70" s="83">
        <f t="shared" si="34"/>
        <v>157.67709507816895</v>
      </c>
      <c r="BH70" s="83">
        <f t="shared" si="34"/>
        <v>444.1317770781373</v>
      </c>
      <c r="BI70" s="83">
        <f t="shared" si="34"/>
        <v>78.229927936869998</v>
      </c>
      <c r="BJ70" s="83">
        <f t="shared" si="34"/>
        <v>107.63871872892452</v>
      </c>
      <c r="BK70" s="83">
        <f t="shared" si="34"/>
        <v>168.26182445908739</v>
      </c>
      <c r="BL70" s="83">
        <f t="shared" si="34"/>
        <v>538.32709447115963</v>
      </c>
      <c r="BM70" s="83">
        <f t="shared" si="34"/>
        <v>78.901654925490988</v>
      </c>
      <c r="BN70" s="83">
        <f t="shared" si="34"/>
        <v>112.31734200553387</v>
      </c>
      <c r="BO70" s="83">
        <f t="shared" si="34"/>
        <v>147.81628898066538</v>
      </c>
      <c r="BP70" s="83">
        <f t="shared" si="34"/>
        <v>500.39208056315067</v>
      </c>
      <c r="BQ70" s="83">
        <f t="shared" si="34"/>
        <v>70.896582704376016</v>
      </c>
      <c r="BR70" s="83">
        <f t="shared" ref="BR70:CJ70" si="35">BR62/BR69</f>
        <v>167.69844863489405</v>
      </c>
      <c r="BS70" s="83">
        <f t="shared" si="35"/>
        <v>32.663307262904738</v>
      </c>
      <c r="BT70" s="83">
        <f t="shared" si="35"/>
        <v>40.711446157135043</v>
      </c>
      <c r="BU70" s="83">
        <f t="shared" si="35"/>
        <v>48.39445899067767</v>
      </c>
      <c r="BV70" s="83">
        <f t="shared" si="35"/>
        <v>66.342190836209852</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479</v>
      </c>
      <c r="E71" s="76">
        <f>资产资本表!E35+资产资本表!E36-资产资本表!E24</f>
        <v>620562322.13</v>
      </c>
      <c r="F71" s="76">
        <f>资产资本表!F35+资产资本表!F36-资产资本表!F24</f>
        <v>475840565.58000004</v>
      </c>
      <c r="G71" s="76">
        <f>资产资本表!G35+资产资本表!G36-资产资本表!G24</f>
        <v>535865694.89000005</v>
      </c>
      <c r="H71" s="76">
        <f>资产资本表!H35+资产资本表!H36-资产资本表!H24</f>
        <v>381366970.81</v>
      </c>
      <c r="I71" s="76">
        <f>资产资本表!I35+资产资本表!I36-资产资本表!I24</f>
        <v>440384625.86000001</v>
      </c>
      <c r="J71" s="76">
        <f>资产资本表!J35+资产资本表!J36-资产资本表!J24</f>
        <v>515769915.24999994</v>
      </c>
      <c r="K71" s="76">
        <f>资产资本表!K35+资产资本表!K36-资产资本表!K24</f>
        <v>475176428.69999999</v>
      </c>
      <c r="L71" s="76">
        <f>资产资本表!L35+资产资本表!L36-资产资本表!L24</f>
        <v>569276892.60000002</v>
      </c>
      <c r="M71" s="76">
        <f>资产资本表!M35+资产资本表!M36-资产资本表!M24</f>
        <v>553402989.04000008</v>
      </c>
      <c r="N71" s="76">
        <f>资产资本表!N35+资产资本表!N36-资产资本表!N24</f>
        <v>491464575.10000002</v>
      </c>
      <c r="O71" s="76">
        <f>资产资本表!O35+资产资本表!O36-资产资本表!O24</f>
        <v>623652422.77999997</v>
      </c>
      <c r="P71" s="76">
        <f>资产资本表!P35+资产资本表!P36-资产资本表!P24</f>
        <v>557476457.7299999</v>
      </c>
      <c r="Q71" s="76">
        <f>资产资本表!Q35+资产资本表!Q36-资产资本表!Q24</f>
        <v>473867023.50999999</v>
      </c>
      <c r="R71" s="76">
        <f>资产资本表!R35+资产资本表!R36-资产资本表!R24</f>
        <v>528898513.84000003</v>
      </c>
      <c r="S71" s="76">
        <f>资产资本表!S35+资产资本表!S36-资产资本表!S24</f>
        <v>495732943.74000001</v>
      </c>
      <c r="T71" s="76">
        <f>资产资本表!T35+资产资本表!T36-资产资本表!T24</f>
        <v>438810139.05000001</v>
      </c>
      <c r="U71" s="76">
        <f>资产资本表!U35+资产资本表!U36-资产资本表!U24</f>
        <v>353916357.47000003</v>
      </c>
      <c r="V71" s="76">
        <f>资产资本表!V35+资产资本表!V36-资产资本表!V24</f>
        <v>428821071.37</v>
      </c>
      <c r="W71" s="76">
        <f>资产资本表!W35+资产资本表!W36-资产资本表!W24</f>
        <v>513294281.89999998</v>
      </c>
      <c r="X71" s="76">
        <f>资产资本表!X35+资产资本表!X36-资产资本表!X24</f>
        <v>458814839.18000001</v>
      </c>
      <c r="Y71" s="76">
        <f>资产资本表!Y35+资产资本表!Y36-资产资本表!Y24</f>
        <v>446718746.26999998</v>
      </c>
      <c r="Z71" s="76">
        <f>资产资本表!Z35+资产资本表!Z36-资产资本表!Z24</f>
        <v>426946898.70999998</v>
      </c>
      <c r="AA71" s="76">
        <f>资产资本表!AA35+资产资本表!AA36-资产资本表!AA24</f>
        <v>416243164</v>
      </c>
      <c r="AB71" s="76">
        <f>资产资本表!AB35+资产资本表!AB36-资产资本表!AB24</f>
        <v>378090661.28000003</v>
      </c>
      <c r="AC71" s="76">
        <f>资产资本表!AC35+资产资本表!AC36-资产资本表!AC24</f>
        <v>331187668.72000003</v>
      </c>
      <c r="AD71" s="76">
        <f>资产资本表!AD35+资产资本表!AD36-资产资本表!AD24</f>
        <v>320270158.52999997</v>
      </c>
      <c r="AE71" s="76">
        <f>资产资本表!AE35+资产资本表!AE36-资产资本表!AE24</f>
        <v>408535711.42000002</v>
      </c>
      <c r="AF71" s="76">
        <f>资产资本表!AF35+资产资本表!AF36-资产资本表!AF24</f>
        <v>273534897.01999998</v>
      </c>
      <c r="AG71" s="76">
        <f>资产资本表!AG35+资产资本表!AG36-资产资本表!AG24</f>
        <v>280210496.32000005</v>
      </c>
      <c r="AH71" s="76">
        <f>资产资本表!AH35+资产资本表!AH36-资产资本表!AH24</f>
        <v>369504576.47000003</v>
      </c>
      <c r="AI71" s="76">
        <f>资产资本表!AI35+资产资本表!AI36-资产资本表!AI24</f>
        <v>435617413.27999997</v>
      </c>
      <c r="AJ71" s="76">
        <f>资产资本表!AJ35+资产资本表!AJ36-资产资本表!AJ24</f>
        <v>273358355.14999998</v>
      </c>
      <c r="AK71" s="76">
        <f>资产资本表!AK35+资产资本表!AK36-资产资本表!AK24</f>
        <v>284633537.70999998</v>
      </c>
      <c r="AL71" s="76">
        <f>资产资本表!AL35+资产资本表!AL36-资产资本表!AL24</f>
        <v>343910081.5</v>
      </c>
      <c r="AM71" s="76">
        <f>资产资本表!AM35+资产资本表!AM36-资产资本表!AM24</f>
        <v>290179632.5</v>
      </c>
      <c r="AN71" s="76">
        <f>资产资本表!AN35+资产资本表!AN36-资产资本表!AN24</f>
        <v>235361981.59</v>
      </c>
      <c r="AO71" s="76">
        <f>资产资本表!AO35+资产资本表!AO36-资产资本表!AO24</f>
        <v>260008173.22</v>
      </c>
      <c r="AP71" s="76">
        <f>资产资本表!AP35+资产资本表!AP36-资产资本表!AP24</f>
        <v>236562294.80000001</v>
      </c>
      <c r="AQ71" s="76">
        <f>资产资本表!AQ35+资产资本表!AQ36-资产资本表!AQ24</f>
        <v>381927276.89999998</v>
      </c>
      <c r="AR71" s="76">
        <f>资产资本表!AR35+资产资本表!AR36-资产资本表!AR24</f>
        <v>226682336.28</v>
      </c>
      <c r="AS71" s="76">
        <f>资产资本表!AS35+资产资本表!AS36-资产资本表!AS24</f>
        <v>188315393.53</v>
      </c>
      <c r="AT71" s="76">
        <f>资产资本表!AT35+资产资本表!AT36-资产资本表!AT24</f>
        <v>289402326.49000001</v>
      </c>
      <c r="AU71" s="76">
        <f>资产资本表!AU35+资产资本表!AU36-资产资本表!AU24</f>
        <v>280031981.23000002</v>
      </c>
      <c r="AV71" s="76">
        <f>资产资本表!AV35+资产资本表!AV36-资产资本表!AV24</f>
        <v>216945427.63</v>
      </c>
      <c r="AW71" s="76">
        <f>资产资本表!AW35+资产资本表!AW36-资产资本表!AW24</f>
        <v>180716279.90000001</v>
      </c>
      <c r="AX71" s="76">
        <f>资产资本表!AX35+资产资本表!AX36-资产资本表!AX24</f>
        <v>271880047.19</v>
      </c>
      <c r="AY71" s="76">
        <f>资产资本表!AY35+资产资本表!AY36-资产资本表!AY24</f>
        <v>222883222.94999999</v>
      </c>
      <c r="AZ71" s="76">
        <f>资产资本表!AZ35+资产资本表!AZ36-资产资本表!AZ24</f>
        <v>60237868.199999988</v>
      </c>
      <c r="BA71" s="76">
        <f>资产资本表!BA35+资产资本表!BA36-资产资本表!BA24</f>
        <v>45728673.119999975</v>
      </c>
      <c r="BB71" s="76">
        <f>资产资本表!BB35+资产资本表!BB36-资产资本表!BB24</f>
        <v>193825444.37</v>
      </c>
      <c r="BC71" s="76">
        <f>资产资本表!BC35+资产资本表!BC36-资产资本表!BC24</f>
        <v>233360960.88</v>
      </c>
      <c r="BD71" s="76">
        <f>资产资本表!BD35+资产资本表!BD36-资产资本表!BD24</f>
        <v>212405835.73000002</v>
      </c>
      <c r="BE71" s="76">
        <f>资产资本表!BE35+资产资本表!BE36-资产资本表!BE24</f>
        <v>225377369.09999999</v>
      </c>
      <c r="BF71" s="76">
        <f>资产资本表!BF35+资产资本表!BF36-资产资本表!BF24</f>
        <v>221323438.14999998</v>
      </c>
      <c r="BG71" s="76">
        <f>资产资本表!BG35+资产资本表!BG36-资产资本表!BG24</f>
        <v>210763907.34000003</v>
      </c>
      <c r="BH71" s="76">
        <f>资产资本表!BH35+资产资本表!BH36-资产资本表!BH24</f>
        <v>134322393.38999999</v>
      </c>
      <c r="BI71" s="76">
        <f>资产资本表!BI35+资产资本表!BI36-资产资本表!BI24</f>
        <v>162710061.20999998</v>
      </c>
      <c r="BJ71" s="76">
        <f>资产资本表!BJ35+资产资本表!BJ36-资产资本表!BJ24</f>
        <v>219403674.81999999</v>
      </c>
      <c r="BK71" s="76">
        <f>资产资本表!BK35+资产资本表!BK36-资产资本表!BK24</f>
        <v>208417404.19000003</v>
      </c>
      <c r="BL71" s="76">
        <f>资产资本表!BL35+资产资本表!BL36-资产资本表!BL24</f>
        <v>92775967.019999996</v>
      </c>
      <c r="BM71" s="76">
        <f>资产资本表!BM35+资产资本表!BM36-资产资本表!BM24</f>
        <v>164195795.66</v>
      </c>
      <c r="BN71" s="76">
        <f>资产资本表!BN35+资产资本表!BN36-资产资本表!BN24</f>
        <v>266665527.09</v>
      </c>
      <c r="BO71" s="76">
        <f>资产资本表!BO35+资产资本表!BO36-资产资本表!BO24</f>
        <v>295948904.06</v>
      </c>
      <c r="BP71" s="76">
        <f>资产资本表!BP35+资产资本表!BP36-资产资本表!BP24</f>
        <v>160440512.65000001</v>
      </c>
      <c r="BQ71" s="76">
        <f>资产资本表!BQ35+资产资本表!BQ36-资产资本表!BQ24</f>
        <v>165048891.91</v>
      </c>
      <c r="BR71" s="76">
        <f>资产资本表!BR35+资产资本表!BR36-资产资本表!BR24</f>
        <v>298339562.34000003</v>
      </c>
      <c r="BS71" s="76">
        <f>资产资本表!BS35+资产资本表!BS36-资产资本表!BS24</f>
        <v>178371104.78999999</v>
      </c>
      <c r="BT71" s="76">
        <f>资产资本表!BT35+资产资本表!BT36-资产资本表!BT24</f>
        <v>198059265.98000002</v>
      </c>
      <c r="BU71" s="76">
        <f>资产资本表!BU35+资产资本表!BU36-资产资本表!BU24</f>
        <v>217875047.14999998</v>
      </c>
      <c r="BV71" s="76">
        <f>资产资本表!BV35+资产资本表!BV36-资产资本表!BV24</f>
        <v>199025918.34999999</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4.2896961787036476</v>
      </c>
      <c r="F72" s="154">
        <f t="shared" ref="F72:BQ72" si="36">F67/(F71+J71)*2</f>
        <v>2.3985785070456092</v>
      </c>
      <c r="G72" s="154">
        <f t="shared" si="36"/>
        <v>1.5781231363679862</v>
      </c>
      <c r="H72" s="154">
        <f t="shared" si="36"/>
        <v>0.77920138437850239</v>
      </c>
      <c r="I72" s="154">
        <f t="shared" si="36"/>
        <v>4.1485615110778529</v>
      </c>
      <c r="J72" s="154">
        <f t="shared" si="36"/>
        <v>3.3229110698909659</v>
      </c>
      <c r="K72" s="154">
        <f t="shared" si="36"/>
        <v>2.1842368796080751</v>
      </c>
      <c r="L72" s="154">
        <f t="shared" si="36"/>
        <v>1.0969234710311846</v>
      </c>
      <c r="M72" s="154">
        <f t="shared" si="36"/>
        <v>4.6459226269176268</v>
      </c>
      <c r="N72" s="154">
        <f t="shared" si="36"/>
        <v>3.6150064086029481</v>
      </c>
      <c r="O72" s="154">
        <f t="shared" si="36"/>
        <v>2.2576168888615249</v>
      </c>
      <c r="P72" s="154">
        <f t="shared" si="36"/>
        <v>1.2503429236788934</v>
      </c>
      <c r="Q72" s="154">
        <f t="shared" si="36"/>
        <v>4.9215571043923036</v>
      </c>
      <c r="R72" s="154">
        <f t="shared" si="36"/>
        <v>3.3157868349572119</v>
      </c>
      <c r="S72" s="154">
        <f t="shared" si="36"/>
        <v>2.0383947670940468</v>
      </c>
      <c r="T72" s="154">
        <f t="shared" si="36"/>
        <v>1.094800607485096</v>
      </c>
      <c r="U72" s="154">
        <f t="shared" si="36"/>
        <v>4.1346906661177574</v>
      </c>
      <c r="V72" s="154">
        <f t="shared" si="36"/>
        <v>4.0806957990184474</v>
      </c>
      <c r="W72" s="154">
        <f t="shared" si="36"/>
        <v>2.5191137664957624</v>
      </c>
      <c r="X72" s="154">
        <f t="shared" si="36"/>
        <v>1.3759400853107879</v>
      </c>
      <c r="Y72" s="154">
        <f t="shared" si="36"/>
        <v>5.20958370023481</v>
      </c>
      <c r="Z72" s="154">
        <f t="shared" si="36"/>
        <v>4.2847874722587482</v>
      </c>
      <c r="AA72" s="154">
        <f t="shared" si="36"/>
        <v>2.588770054243589</v>
      </c>
      <c r="AB72" s="154">
        <f t="shared" si="36"/>
        <v>1.6217716657047829</v>
      </c>
      <c r="AC72" s="154">
        <f t="shared" si="36"/>
        <v>4.9698901333817451</v>
      </c>
      <c r="AD72" s="154">
        <f t="shared" si="36"/>
        <v>3.7560707408339624</v>
      </c>
      <c r="AE72" s="154">
        <f t="shared" si="36"/>
        <v>2.1021680426411384</v>
      </c>
      <c r="AF72" s="154">
        <f t="shared" si="36"/>
        <v>1.5597189486529774</v>
      </c>
      <c r="AG72" s="154">
        <f t="shared" si="36"/>
        <v>4.9525780351101707</v>
      </c>
      <c r="AH72" s="154">
        <f t="shared" si="36"/>
        <v>3.18358126218302</v>
      </c>
      <c r="AI72" s="154">
        <f t="shared" si="36"/>
        <v>2.060308684575809</v>
      </c>
      <c r="AJ72" s="154">
        <f t="shared" si="36"/>
        <v>1.3467033705596536</v>
      </c>
      <c r="AK72" s="154">
        <f t="shared" si="36"/>
        <v>4.4608755211777407</v>
      </c>
      <c r="AL72" s="154">
        <f t="shared" si="36"/>
        <v>3.5084254050833121</v>
      </c>
      <c r="AM72" s="154">
        <f t="shared" si="36"/>
        <v>2.022244987324036</v>
      </c>
      <c r="AN72" s="154">
        <f t="shared" si="36"/>
        <v>1.3473261351417642</v>
      </c>
      <c r="AO72" s="154">
        <f t="shared" si="36"/>
        <v>5.4029728639956671</v>
      </c>
      <c r="AP72" s="154">
        <f t="shared" si="36"/>
        <v>4.0623425144823964</v>
      </c>
      <c r="AQ72" s="154">
        <f t="shared" si="36"/>
        <v>2.0728475346900122</v>
      </c>
      <c r="AR72" s="154">
        <f t="shared" si="36"/>
        <v>1.2678182031774361</v>
      </c>
      <c r="AS72" s="154">
        <f t="shared" si="36"/>
        <v>6.6522255614074162</v>
      </c>
      <c r="AT72" s="154">
        <f t="shared" si="36"/>
        <v>3.3744648579323258</v>
      </c>
      <c r="AU72" s="154">
        <f t="shared" si="36"/>
        <v>2.4331743449975884</v>
      </c>
      <c r="AV72" s="154">
        <f t="shared" si="36"/>
        <v>1.9480288073028935</v>
      </c>
      <c r="AW72" s="154">
        <f t="shared" si="36"/>
        <v>10.640342133954265</v>
      </c>
      <c r="AX72" s="154">
        <f t="shared" si="36"/>
        <v>4.1354521454078084</v>
      </c>
      <c r="AY72" s="154">
        <f t="shared" si="36"/>
        <v>2.6175332799529576</v>
      </c>
      <c r="AZ72" s="154">
        <f t="shared" si="36"/>
        <v>1.8809191156369574</v>
      </c>
      <c r="BA72" s="154">
        <f t="shared" si="36"/>
        <v>8.6967363278709886</v>
      </c>
      <c r="BB72" s="154">
        <f t="shared" si="36"/>
        <v>4.5100588139239397</v>
      </c>
      <c r="BC72" s="154">
        <f t="shared" si="36"/>
        <v>2.6313173234449687</v>
      </c>
      <c r="BD72" s="154">
        <f t="shared" si="36"/>
        <v>1.3337688094612792</v>
      </c>
      <c r="BE72" s="154">
        <f t="shared" si="36"/>
        <v>5.2131392048537286</v>
      </c>
      <c r="BF72" s="154">
        <f t="shared" si="36"/>
        <v>3.4983804535868246</v>
      </c>
      <c r="BG72" s="154">
        <f t="shared" si="36"/>
        <v>2.2041852876684707</v>
      </c>
      <c r="BH72" s="154">
        <f t="shared" si="36"/>
        <v>1.4319969001664359</v>
      </c>
      <c r="BI72" s="154">
        <f t="shared" si="36"/>
        <v>5.4230846953133698</v>
      </c>
      <c r="BJ72" s="154">
        <f t="shared" si="36"/>
        <v>2.7933225731742599</v>
      </c>
      <c r="BK72" s="154">
        <f t="shared" si="36"/>
        <v>1.729344393574489</v>
      </c>
      <c r="BL72" s="154">
        <f t="shared" si="36"/>
        <v>1.0686020396170053</v>
      </c>
      <c r="BM72" s="154">
        <f t="shared" si="36"/>
        <v>4.9422991207839582</v>
      </c>
      <c r="BN72" s="154">
        <f t="shared" si="36"/>
        <v>2.2047396019683672</v>
      </c>
      <c r="BO72" s="154">
        <f t="shared" si="36"/>
        <v>1.7550970249776339</v>
      </c>
      <c r="BP72" s="154">
        <f t="shared" si="36"/>
        <v>0.70854925715913264</v>
      </c>
      <c r="BQ72" s="154">
        <f t="shared" si="36"/>
        <v>4.2097698971685702</v>
      </c>
      <c r="BR72" s="154">
        <f t="shared" ref="BR72:CJ72" si="37">BR67/(BR71+BV71)*2</f>
        <v>1.5953446944070426</v>
      </c>
      <c r="BS72" s="154">
        <f t="shared" si="37"/>
        <v>8.354631222217705</v>
      </c>
      <c r="BT72" s="154">
        <f t="shared" si="37"/>
        <v>6.9126106803720662</v>
      </c>
      <c r="BU72" s="154">
        <f t="shared" si="37"/>
        <v>5.6394149701507024</v>
      </c>
      <c r="BV72" s="154">
        <f t="shared" si="37"/>
        <v>5.0958215401697702</v>
      </c>
      <c r="BW72" s="154" t="e">
        <f t="shared" si="37"/>
        <v>#DIV/0!</v>
      </c>
      <c r="BX72" s="154" t="e">
        <f t="shared" si="37"/>
        <v>#DIV/0!</v>
      </c>
      <c r="BY72" s="154" t="e">
        <f t="shared" si="37"/>
        <v>#DIV/0!</v>
      </c>
      <c r="BZ72" s="154" t="e">
        <f t="shared" si="37"/>
        <v>#DIV/0!</v>
      </c>
      <c r="CA72" s="154" t="e">
        <f t="shared" si="37"/>
        <v>#DIV/0!</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481</v>
      </c>
      <c r="E73" s="83">
        <f>E62/E72</f>
        <v>85.087611055546489</v>
      </c>
      <c r="F73" s="83">
        <f t="shared" ref="F73:BQ73" si="38">F62/F72</f>
        <v>152.17346396119422</v>
      </c>
      <c r="G73" s="83">
        <f t="shared" si="38"/>
        <v>231.28740184371102</v>
      </c>
      <c r="H73" s="83">
        <f t="shared" si="38"/>
        <v>468.42832586998941</v>
      </c>
      <c r="I73" s="83">
        <f t="shared" si="38"/>
        <v>87.982303992683967</v>
      </c>
      <c r="J73" s="83">
        <f t="shared" si="38"/>
        <v>109.84344519697805</v>
      </c>
      <c r="K73" s="83">
        <f t="shared" si="38"/>
        <v>167.10641753539716</v>
      </c>
      <c r="L73" s="83">
        <f t="shared" si="38"/>
        <v>332.74882855489869</v>
      </c>
      <c r="M73" s="83">
        <f t="shared" si="38"/>
        <v>78.563512419526035</v>
      </c>
      <c r="N73" s="83">
        <f t="shared" si="38"/>
        <v>100.96800911095966</v>
      </c>
      <c r="O73" s="83">
        <f t="shared" si="38"/>
        <v>161.67490675712602</v>
      </c>
      <c r="P73" s="83">
        <f t="shared" si="38"/>
        <v>291.91991499904503</v>
      </c>
      <c r="Q73" s="83">
        <f t="shared" si="38"/>
        <v>74.163520255459659</v>
      </c>
      <c r="R73" s="83">
        <f t="shared" si="38"/>
        <v>110.0794526813151</v>
      </c>
      <c r="S73" s="83">
        <f t="shared" si="38"/>
        <v>179.06246910177617</v>
      </c>
      <c r="T73" s="83">
        <f t="shared" si="38"/>
        <v>333.39404226168091</v>
      </c>
      <c r="U73" s="83">
        <f t="shared" si="38"/>
        <v>88.277462445023616</v>
      </c>
      <c r="V73" s="83">
        <f t="shared" si="38"/>
        <v>89.44553036464896</v>
      </c>
      <c r="W73" s="83">
        <f t="shared" si="38"/>
        <v>144.89222553363948</v>
      </c>
      <c r="X73" s="83">
        <f t="shared" si="38"/>
        <v>265.27317860468924</v>
      </c>
      <c r="Y73" s="83">
        <f t="shared" si="38"/>
        <v>70.063179901217154</v>
      </c>
      <c r="Z73" s="83">
        <f t="shared" si="38"/>
        <v>85.185088493452938</v>
      </c>
      <c r="AA73" s="83">
        <f t="shared" si="38"/>
        <v>140.99359632257841</v>
      </c>
      <c r="AB73" s="83">
        <f t="shared" si="38"/>
        <v>225.0625089330191</v>
      </c>
      <c r="AC73" s="83">
        <f t="shared" si="38"/>
        <v>73.442267374960451</v>
      </c>
      <c r="AD73" s="83">
        <f t="shared" si="38"/>
        <v>97.176018553622569</v>
      </c>
      <c r="AE73" s="83">
        <f t="shared" si="38"/>
        <v>173.63026770277528</v>
      </c>
      <c r="AF73" s="83">
        <f t="shared" si="38"/>
        <v>234.01651965261146</v>
      </c>
      <c r="AG73" s="83">
        <f t="shared" si="38"/>
        <v>73.698990184993733</v>
      </c>
      <c r="AH73" s="83">
        <f t="shared" si="38"/>
        <v>114.65075647219858</v>
      </c>
      <c r="AI73" s="83">
        <f t="shared" si="38"/>
        <v>177.15791945766068</v>
      </c>
      <c r="AJ73" s="83">
        <f t="shared" si="38"/>
        <v>271.03221687810571</v>
      </c>
      <c r="AK73" s="83">
        <f t="shared" si="38"/>
        <v>81.822502839898632</v>
      </c>
      <c r="AL73" s="83">
        <f t="shared" si="38"/>
        <v>104.03527447702216</v>
      </c>
      <c r="AM73" s="83">
        <f t="shared" si="38"/>
        <v>180.49247360627228</v>
      </c>
      <c r="AN73" s="83">
        <f t="shared" si="38"/>
        <v>270.90693966356935</v>
      </c>
      <c r="AO73" s="83">
        <f t="shared" si="38"/>
        <v>67.555401292552688</v>
      </c>
      <c r="AP73" s="83">
        <f t="shared" si="38"/>
        <v>89.849636927157661</v>
      </c>
      <c r="AQ73" s="83">
        <f t="shared" si="38"/>
        <v>176.08627450478869</v>
      </c>
      <c r="AR73" s="83">
        <f t="shared" si="38"/>
        <v>287.89616609481419</v>
      </c>
      <c r="AS73" s="83">
        <f t="shared" si="38"/>
        <v>54.868855036655837</v>
      </c>
      <c r="AT73" s="83">
        <f t="shared" si="38"/>
        <v>108.16529890420925</v>
      </c>
      <c r="AU73" s="83">
        <f t="shared" si="38"/>
        <v>150.00980129122715</v>
      </c>
      <c r="AV73" s="83">
        <f t="shared" si="38"/>
        <v>187.36889240634684</v>
      </c>
      <c r="AW73" s="83">
        <f t="shared" si="38"/>
        <v>34.303408236775866</v>
      </c>
      <c r="AX73" s="83">
        <f t="shared" si="38"/>
        <v>88.261207521241033</v>
      </c>
      <c r="AY73" s="83">
        <f t="shared" si="38"/>
        <v>139.44426334344823</v>
      </c>
      <c r="AZ73" s="83">
        <f t="shared" si="38"/>
        <v>194.0540648269162</v>
      </c>
      <c r="BA73" s="83">
        <f t="shared" si="38"/>
        <v>41.969767305726066</v>
      </c>
      <c r="BB73" s="83">
        <f t="shared" si="38"/>
        <v>80.930208464939</v>
      </c>
      <c r="BC73" s="83">
        <f t="shared" si="38"/>
        <v>138.71379052152301</v>
      </c>
      <c r="BD73" s="83">
        <f t="shared" si="38"/>
        <v>273.66062049946021</v>
      </c>
      <c r="BE73" s="83">
        <f t="shared" si="38"/>
        <v>70.015394881487964</v>
      </c>
      <c r="BF73" s="83">
        <f t="shared" si="38"/>
        <v>104.33399249809216</v>
      </c>
      <c r="BG73" s="83">
        <f t="shared" si="38"/>
        <v>165.59406418418092</v>
      </c>
      <c r="BH73" s="83">
        <f t="shared" si="38"/>
        <v>254.88881991125635</v>
      </c>
      <c r="BI73" s="83">
        <f t="shared" si="38"/>
        <v>67.304868079127189</v>
      </c>
      <c r="BJ73" s="83">
        <f t="shared" si="38"/>
        <v>130.66876110381457</v>
      </c>
      <c r="BK73" s="83">
        <f t="shared" si="38"/>
        <v>211.06264394540807</v>
      </c>
      <c r="BL73" s="83">
        <f t="shared" si="38"/>
        <v>341.56775531779692</v>
      </c>
      <c r="BM73" s="83">
        <f t="shared" si="38"/>
        <v>73.852268160997696</v>
      </c>
      <c r="BN73" s="83">
        <f t="shared" si="38"/>
        <v>165.55243062452001</v>
      </c>
      <c r="BO73" s="83">
        <f t="shared" si="38"/>
        <v>207.96571061628424</v>
      </c>
      <c r="BP73" s="83">
        <f t="shared" si="38"/>
        <v>515.13708653571405</v>
      </c>
      <c r="BQ73" s="83">
        <f t="shared" si="38"/>
        <v>86.703076157557604</v>
      </c>
      <c r="BR73" s="83">
        <f t="shared" ref="BR73:CJ73" si="39">BR62/BR72</f>
        <v>228.79068158725605</v>
      </c>
      <c r="BS73" s="83">
        <f t="shared" si="39"/>
        <v>43.688343661339026</v>
      </c>
      <c r="BT73" s="83">
        <f t="shared" si="39"/>
        <v>52.802047862523935</v>
      </c>
      <c r="BU73" s="83">
        <f t="shared" si="39"/>
        <v>64.723025691838046</v>
      </c>
      <c r="BV73" s="83">
        <f t="shared" si="39"/>
        <v>71.627312126758625</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482</v>
      </c>
      <c r="E74" s="255">
        <f>E66+E70</f>
        <v>147.61810862242857</v>
      </c>
      <c r="F74" s="255">
        <f t="shared" ref="F74:BQ74" si="40">F66+F70</f>
        <v>261.69867640941249</v>
      </c>
      <c r="G74" s="255">
        <f t="shared" si="40"/>
        <v>390.82773554324422</v>
      </c>
      <c r="H74" s="255">
        <f t="shared" si="40"/>
        <v>854.86165797396313</v>
      </c>
      <c r="I74" s="255">
        <f t="shared" si="40"/>
        <v>155.30207033157717</v>
      </c>
      <c r="J74" s="255">
        <f t="shared" si="40"/>
        <v>217.7163517098607</v>
      </c>
      <c r="K74" s="255">
        <f t="shared" si="40"/>
        <v>296.70623952498352</v>
      </c>
      <c r="L74" s="255">
        <f t="shared" si="40"/>
        <v>562.29905485548159</v>
      </c>
      <c r="M74" s="255">
        <f t="shared" si="40"/>
        <v>127.33136446830466</v>
      </c>
      <c r="N74" s="255">
        <f t="shared" si="40"/>
        <v>173.71302203099327</v>
      </c>
      <c r="O74" s="255">
        <f t="shared" si="40"/>
        <v>250.14783050549076</v>
      </c>
      <c r="P74" s="255">
        <f t="shared" si="40"/>
        <v>442.37575662869097</v>
      </c>
      <c r="Q74" s="255">
        <f t="shared" si="40"/>
        <v>113.47642577851749</v>
      </c>
      <c r="R74" s="255">
        <f t="shared" si="40"/>
        <v>146.3324641094178</v>
      </c>
      <c r="S74" s="255">
        <f t="shared" si="40"/>
        <v>235.47760088077729</v>
      </c>
      <c r="T74" s="255">
        <f t="shared" si="40"/>
        <v>442.34517840266454</v>
      </c>
      <c r="U74" s="255">
        <f t="shared" si="40"/>
        <v>118.90362093429118</v>
      </c>
      <c r="V74" s="255">
        <f t="shared" si="40"/>
        <v>120.48885459367349</v>
      </c>
      <c r="W74" s="255">
        <f t="shared" si="40"/>
        <v>198.84858319689488</v>
      </c>
      <c r="X74" s="255">
        <f t="shared" si="40"/>
        <v>365.99383822836649</v>
      </c>
      <c r="Y74" s="255">
        <f t="shared" si="40"/>
        <v>100.19443358401</v>
      </c>
      <c r="Z74" s="255">
        <f t="shared" si="40"/>
        <v>120.94768654945949</v>
      </c>
      <c r="AA74" s="255">
        <f t="shared" si="40"/>
        <v>207.63909609653896</v>
      </c>
      <c r="AB74" s="255">
        <f t="shared" si="40"/>
        <v>359.07837747685653</v>
      </c>
      <c r="AC74" s="255">
        <f t="shared" si="40"/>
        <v>118.77253777869802</v>
      </c>
      <c r="AD74" s="255">
        <f t="shared" si="40"/>
        <v>134.77154622260127</v>
      </c>
      <c r="AE74" s="255">
        <f t="shared" si="40"/>
        <v>221.76283192666369</v>
      </c>
      <c r="AF74" s="255">
        <f t="shared" si="40"/>
        <v>371.56775033462941</v>
      </c>
      <c r="AG74" s="255">
        <f t="shared" si="40"/>
        <v>107.61987810290702</v>
      </c>
      <c r="AH74" s="255">
        <f t="shared" si="40"/>
        <v>140.57448128376956</v>
      </c>
      <c r="AI74" s="255">
        <f t="shared" si="40"/>
        <v>240.12895412833598</v>
      </c>
      <c r="AJ74" s="255">
        <f t="shared" si="40"/>
        <v>459.8244449232983</v>
      </c>
      <c r="AK74" s="255">
        <f t="shared" si="40"/>
        <v>124.03444010855611</v>
      </c>
      <c r="AL74" s="255">
        <f t="shared" si="40"/>
        <v>138.99949101166555</v>
      </c>
      <c r="AM74" s="255">
        <f t="shared" si="40"/>
        <v>267.09323315744234</v>
      </c>
      <c r="AN74" s="255">
        <f t="shared" si="40"/>
        <v>507.81319355159042</v>
      </c>
      <c r="AO74" s="255">
        <f t="shared" si="40"/>
        <v>122.09487805430837</v>
      </c>
      <c r="AP74" s="255">
        <f t="shared" si="40"/>
        <v>138.04997623816513</v>
      </c>
      <c r="AQ74" s="255">
        <f t="shared" si="40"/>
        <v>257.01727729862273</v>
      </c>
      <c r="AR74" s="255">
        <f t="shared" si="40"/>
        <v>556.44134331509349</v>
      </c>
      <c r="AS74" s="255">
        <f t="shared" si="40"/>
        <v>111.24746151950315</v>
      </c>
      <c r="AT74" s="255">
        <f t="shared" si="40"/>
        <v>160.05633257921784</v>
      </c>
      <c r="AU74" s="255">
        <f t="shared" si="40"/>
        <v>257.810296519958</v>
      </c>
      <c r="AV74" s="255">
        <f t="shared" si="40"/>
        <v>556.77192517009439</v>
      </c>
      <c r="AW74" s="255">
        <f t="shared" si="40"/>
        <v>112.95448295950237</v>
      </c>
      <c r="AX74" s="255">
        <f t="shared" si="40"/>
        <v>170.12188606217862</v>
      </c>
      <c r="AY74" s="255">
        <f t="shared" si="40"/>
        <v>279.40695662403732</v>
      </c>
      <c r="AZ74" s="255">
        <f t="shared" si="40"/>
        <v>598.51778095969905</v>
      </c>
      <c r="BA74" s="255">
        <f t="shared" si="40"/>
        <v>126.20350060612667</v>
      </c>
      <c r="BB74" s="255">
        <f t="shared" si="40"/>
        <v>192.04980609293585</v>
      </c>
      <c r="BC74" s="255">
        <f t="shared" si="40"/>
        <v>301.10331319881607</v>
      </c>
      <c r="BD74" s="255">
        <f t="shared" si="40"/>
        <v>677.91536331338341</v>
      </c>
      <c r="BE74" s="255">
        <f t="shared" si="40"/>
        <v>145.48889881571068</v>
      </c>
      <c r="BF74" s="255">
        <f t="shared" si="40"/>
        <v>209.12081779124995</v>
      </c>
      <c r="BG74" s="255">
        <f t="shared" si="40"/>
        <v>337.50116045823847</v>
      </c>
      <c r="BH74" s="255">
        <f t="shared" si="40"/>
        <v>836.01455414835152</v>
      </c>
      <c r="BI74" s="255">
        <f t="shared" si="40"/>
        <v>154.99896261892329</v>
      </c>
      <c r="BJ74" s="255">
        <f t="shared" si="40"/>
        <v>215.32354653341909</v>
      </c>
      <c r="BK74" s="255">
        <f t="shared" si="40"/>
        <v>333.75812728026659</v>
      </c>
      <c r="BL74" s="255">
        <f t="shared" si="40"/>
        <v>960.04791674164608</v>
      </c>
      <c r="BM74" s="255">
        <f t="shared" si="40"/>
        <v>153.03471460855621</v>
      </c>
      <c r="BN74" s="255">
        <f t="shared" si="40"/>
        <v>214.63340985276272</v>
      </c>
      <c r="BO74" s="255">
        <f t="shared" si="40"/>
        <v>294.68748286576044</v>
      </c>
      <c r="BP74" s="255">
        <f t="shared" si="40"/>
        <v>887.88863207067777</v>
      </c>
      <c r="BQ74" s="255">
        <f t="shared" si="40"/>
        <v>143.91513717938648</v>
      </c>
      <c r="BR74" s="255">
        <f t="shared" ref="BR74:CK74" si="41">BR66+BR70</f>
        <v>328.72332054527567</v>
      </c>
      <c r="BS74" s="255">
        <f t="shared" si="41"/>
        <v>68.63469723067368</v>
      </c>
      <c r="BT74" s="255">
        <f t="shared" si="41"/>
        <v>83.000612595494999</v>
      </c>
      <c r="BU74" s="255">
        <f t="shared" si="41"/>
        <v>97.617478955200852</v>
      </c>
      <c r="BV74" s="255">
        <f t="shared" si="41"/>
        <v>126.76589915355069</v>
      </c>
      <c r="BW74" s="255" t="e">
        <f t="shared" si="41"/>
        <v>#DIV/0!</v>
      </c>
      <c r="BX74" s="255" t="e">
        <f t="shared" si="41"/>
        <v>#DIV/0!</v>
      </c>
      <c r="BY74" s="255" t="e">
        <f t="shared" si="41"/>
        <v>#DIV/0!</v>
      </c>
      <c r="BZ74" s="255" t="e">
        <f t="shared" si="41"/>
        <v>#DIV/0!</v>
      </c>
      <c r="CA74" s="255" t="e">
        <f t="shared" si="41"/>
        <v>#DIV/0!</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62.530497566882076</v>
      </c>
      <c r="F75" s="255">
        <f t="shared" ref="F75:BQ75" si="42">F74-F73</f>
        <v>109.52521244821827</v>
      </c>
      <c r="G75" s="255">
        <f t="shared" si="42"/>
        <v>159.54033369953319</v>
      </c>
      <c r="H75" s="255">
        <f t="shared" si="42"/>
        <v>386.43333210397373</v>
      </c>
      <c r="I75" s="255">
        <f t="shared" si="42"/>
        <v>67.319766338893203</v>
      </c>
      <c r="J75" s="255">
        <f t="shared" si="42"/>
        <v>107.87290651288265</v>
      </c>
      <c r="K75" s="255">
        <f t="shared" si="42"/>
        <v>129.59982198958636</v>
      </c>
      <c r="L75" s="255">
        <f t="shared" si="42"/>
        <v>229.55022630058289</v>
      </c>
      <c r="M75" s="255">
        <f t="shared" si="42"/>
        <v>48.767852048778622</v>
      </c>
      <c r="N75" s="255">
        <f t="shared" si="42"/>
        <v>72.745012920033616</v>
      </c>
      <c r="O75" s="255">
        <f t="shared" si="42"/>
        <v>88.472923748364735</v>
      </c>
      <c r="P75" s="255">
        <f t="shared" si="42"/>
        <v>150.45584162964593</v>
      </c>
      <c r="Q75" s="255">
        <f t="shared" si="42"/>
        <v>39.312905523057836</v>
      </c>
      <c r="R75" s="255">
        <f t="shared" si="42"/>
        <v>36.253011428102695</v>
      </c>
      <c r="S75" s="255">
        <f t="shared" si="42"/>
        <v>56.415131779001115</v>
      </c>
      <c r="T75" s="255">
        <f t="shared" si="42"/>
        <v>108.95113614098364</v>
      </c>
      <c r="U75" s="255">
        <f t="shared" si="42"/>
        <v>30.626158489267567</v>
      </c>
      <c r="V75" s="255">
        <f t="shared" si="42"/>
        <v>31.043324229024535</v>
      </c>
      <c r="W75" s="255">
        <f t="shared" si="42"/>
        <v>53.956357663255403</v>
      </c>
      <c r="X75" s="255">
        <f t="shared" si="42"/>
        <v>100.72065962367725</v>
      </c>
      <c r="Y75" s="255">
        <f t="shared" si="42"/>
        <v>30.131253682792845</v>
      </c>
      <c r="Z75" s="255">
        <f t="shared" si="42"/>
        <v>35.762598056006553</v>
      </c>
      <c r="AA75" s="255">
        <f t="shared" si="42"/>
        <v>66.645499773960552</v>
      </c>
      <c r="AB75" s="255">
        <f t="shared" si="42"/>
        <v>134.01586854383743</v>
      </c>
      <c r="AC75" s="255">
        <f t="shared" si="42"/>
        <v>45.330270403737572</v>
      </c>
      <c r="AD75" s="255">
        <f t="shared" si="42"/>
        <v>37.595527668978704</v>
      </c>
      <c r="AE75" s="255">
        <f t="shared" si="42"/>
        <v>48.132564223888409</v>
      </c>
      <c r="AF75" s="255">
        <f t="shared" si="42"/>
        <v>137.55123068201794</v>
      </c>
      <c r="AG75" s="255">
        <f t="shared" si="42"/>
        <v>33.920887917913291</v>
      </c>
      <c r="AH75" s="255">
        <f t="shared" si="42"/>
        <v>25.923724811570978</v>
      </c>
      <c r="AI75" s="255">
        <f t="shared" si="42"/>
        <v>62.971034670675294</v>
      </c>
      <c r="AJ75" s="255">
        <f t="shared" si="42"/>
        <v>188.79222804519259</v>
      </c>
      <c r="AK75" s="255">
        <f t="shared" si="42"/>
        <v>42.211937268657479</v>
      </c>
      <c r="AL75" s="255">
        <f t="shared" si="42"/>
        <v>34.964216534643398</v>
      </c>
      <c r="AM75" s="255">
        <f t="shared" si="42"/>
        <v>86.600759551170057</v>
      </c>
      <c r="AN75" s="255">
        <f t="shared" si="42"/>
        <v>236.90625388802107</v>
      </c>
      <c r="AO75" s="255">
        <f t="shared" si="42"/>
        <v>54.539476761755679</v>
      </c>
      <c r="AP75" s="255">
        <f t="shared" si="42"/>
        <v>48.200339311007468</v>
      </c>
      <c r="AQ75" s="255">
        <f t="shared" si="42"/>
        <v>80.93100279383404</v>
      </c>
      <c r="AR75" s="255">
        <f t="shared" si="42"/>
        <v>268.5451772202793</v>
      </c>
      <c r="AS75" s="255">
        <f t="shared" si="42"/>
        <v>56.37860648284731</v>
      </c>
      <c r="AT75" s="255">
        <f t="shared" si="42"/>
        <v>51.891033675008586</v>
      </c>
      <c r="AU75" s="255">
        <f t="shared" si="42"/>
        <v>107.80049522873085</v>
      </c>
      <c r="AV75" s="255">
        <f t="shared" si="42"/>
        <v>369.40303276374755</v>
      </c>
      <c r="AW75" s="255">
        <f t="shared" si="42"/>
        <v>78.651074722726506</v>
      </c>
      <c r="AX75" s="255">
        <f t="shared" si="42"/>
        <v>81.860678540937585</v>
      </c>
      <c r="AY75" s="255">
        <f t="shared" si="42"/>
        <v>139.96269328058909</v>
      </c>
      <c r="AZ75" s="255">
        <f t="shared" si="42"/>
        <v>404.46371613278285</v>
      </c>
      <c r="BA75" s="255">
        <f t="shared" si="42"/>
        <v>84.233733300400601</v>
      </c>
      <c r="BB75" s="255">
        <f t="shared" si="42"/>
        <v>111.11959762799685</v>
      </c>
      <c r="BC75" s="255">
        <f t="shared" si="42"/>
        <v>162.38952267729306</v>
      </c>
      <c r="BD75" s="255">
        <f t="shared" si="42"/>
        <v>404.2547428139232</v>
      </c>
      <c r="BE75" s="255">
        <f t="shared" si="42"/>
        <v>75.47350393422272</v>
      </c>
      <c r="BF75" s="255">
        <f t="shared" si="42"/>
        <v>104.78682529315779</v>
      </c>
      <c r="BG75" s="255">
        <f t="shared" si="42"/>
        <v>171.90709627405755</v>
      </c>
      <c r="BH75" s="255">
        <f t="shared" si="42"/>
        <v>581.12573423709523</v>
      </c>
      <c r="BI75" s="255">
        <f t="shared" si="42"/>
        <v>87.694094539796097</v>
      </c>
      <c r="BJ75" s="255">
        <f t="shared" si="42"/>
        <v>84.654785429604516</v>
      </c>
      <c r="BK75" s="255">
        <f t="shared" si="42"/>
        <v>122.69548333485852</v>
      </c>
      <c r="BL75" s="255">
        <f t="shared" si="42"/>
        <v>618.48016142384915</v>
      </c>
      <c r="BM75" s="255">
        <f t="shared" si="42"/>
        <v>79.182446447558519</v>
      </c>
      <c r="BN75" s="255">
        <f t="shared" si="42"/>
        <v>49.080979228242711</v>
      </c>
      <c r="BO75" s="255">
        <f t="shared" si="42"/>
        <v>86.721772249476203</v>
      </c>
      <c r="BP75" s="255">
        <f t="shared" si="42"/>
        <v>372.75154553496373</v>
      </c>
      <c r="BQ75" s="255">
        <f t="shared" si="42"/>
        <v>57.212061021828873</v>
      </c>
      <c r="BR75" s="255">
        <f t="shared" ref="BR75:CJ75" si="43">BR74-BR73</f>
        <v>99.932638958019623</v>
      </c>
      <c r="BS75" s="255">
        <f t="shared" si="43"/>
        <v>24.946353569334654</v>
      </c>
      <c r="BT75" s="255">
        <f t="shared" si="43"/>
        <v>30.198564732971064</v>
      </c>
      <c r="BU75" s="255">
        <f t="shared" si="43"/>
        <v>32.894453263362806</v>
      </c>
      <c r="BV75" s="255">
        <f t="shared" si="43"/>
        <v>55.138587026792067</v>
      </c>
      <c r="BW75" s="255" t="e">
        <f t="shared" si="43"/>
        <v>#DIV/0!</v>
      </c>
      <c r="BX75" s="255" t="e">
        <f t="shared" si="43"/>
        <v>#DIV/0!</v>
      </c>
      <c r="BY75" s="255" t="e">
        <f t="shared" si="43"/>
        <v>#DIV/0!</v>
      </c>
      <c r="BZ75" s="255" t="e">
        <f t="shared" si="43"/>
        <v>#DIV/0!</v>
      </c>
      <c r="CA75" s="255" t="e">
        <f t="shared" si="43"/>
        <v>#DIV/0!</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484</v>
      </c>
      <c r="E76" s="120">
        <f>E71-E64-E68</f>
        <v>-981629435.69999993</v>
      </c>
      <c r="F76" s="120">
        <f t="shared" ref="F76:BQ76" si="44">F71-F64-F68</f>
        <v>-779239939.68000007</v>
      </c>
      <c r="G76" s="120">
        <f t="shared" si="44"/>
        <v>-723776302.83999991</v>
      </c>
      <c r="H76" s="120">
        <f t="shared" si="44"/>
        <v>-857048606.52999997</v>
      </c>
      <c r="I76" s="120">
        <f t="shared" si="44"/>
        <v>-717242210.93000007</v>
      </c>
      <c r="J76" s="120">
        <f t="shared" si="44"/>
        <v>-914985650.33999991</v>
      </c>
      <c r="K76" s="120">
        <f t="shared" si="44"/>
        <v>-989207228.20000005</v>
      </c>
      <c r="L76" s="120">
        <f t="shared" si="44"/>
        <v>-920618049.87</v>
      </c>
      <c r="M76" s="120">
        <f t="shared" si="44"/>
        <v>-807552567.71000004</v>
      </c>
      <c r="N76" s="120">
        <f t="shared" si="44"/>
        <v>-1026930230.89</v>
      </c>
      <c r="O76" s="120">
        <f t="shared" si="44"/>
        <v>-855601645.17000008</v>
      </c>
      <c r="P76" s="120">
        <f t="shared" si="44"/>
        <v>-690102072.20000005</v>
      </c>
      <c r="Q76" s="120">
        <f t="shared" si="44"/>
        <v>-501913800.55000001</v>
      </c>
      <c r="R76" s="120">
        <f t="shared" si="44"/>
        <v>-545736862.39999986</v>
      </c>
      <c r="S76" s="120">
        <f t="shared" si="44"/>
        <v>-636625907.31999993</v>
      </c>
      <c r="T76" s="120">
        <f t="shared" si="44"/>
        <v>-476488103.63999993</v>
      </c>
      <c r="U76" s="120">
        <f t="shared" si="44"/>
        <v>-431558766.15999997</v>
      </c>
      <c r="V76" s="120">
        <f t="shared" si="44"/>
        <v>-407751161.57000005</v>
      </c>
      <c r="W76" s="120">
        <f t="shared" si="44"/>
        <v>-449623334.21000004</v>
      </c>
      <c r="X76" s="120">
        <f t="shared" si="44"/>
        <v>-449352148.45999992</v>
      </c>
      <c r="Y76" s="120">
        <f t="shared" si="44"/>
        <v>-299782768.1500001</v>
      </c>
      <c r="Z76" s="120">
        <f t="shared" si="44"/>
        <v>-378377236.34000003</v>
      </c>
      <c r="AA76" s="120">
        <f t="shared" si="44"/>
        <v>-515614966.11000001</v>
      </c>
      <c r="AB76" s="120">
        <f t="shared" si="44"/>
        <v>-419933640.38999999</v>
      </c>
      <c r="AC76" s="120">
        <f t="shared" si="44"/>
        <v>-449098574.82999998</v>
      </c>
      <c r="AD76" s="120">
        <f t="shared" si="44"/>
        <v>-389334746.89999998</v>
      </c>
      <c r="AE76" s="120">
        <f t="shared" si="44"/>
        <v>-412462764.47000003</v>
      </c>
      <c r="AF76" s="120">
        <f t="shared" si="44"/>
        <v>-345823234.56</v>
      </c>
      <c r="AG76" s="120">
        <f t="shared" si="44"/>
        <v>-297415716.05999994</v>
      </c>
      <c r="AH76" s="120">
        <f t="shared" si="44"/>
        <v>-280906665.55999994</v>
      </c>
      <c r="AI76" s="120">
        <f t="shared" si="44"/>
        <v>-275197042.51000005</v>
      </c>
      <c r="AJ76" s="120">
        <f t="shared" si="44"/>
        <v>-286469581.49000007</v>
      </c>
      <c r="AK76" s="120">
        <f t="shared" si="44"/>
        <v>-252651507.13000003</v>
      </c>
      <c r="AL76" s="120">
        <f t="shared" si="44"/>
        <v>-219419721.80000001</v>
      </c>
      <c r="AM76" s="120">
        <f t="shared" si="44"/>
        <v>-381449990.46999997</v>
      </c>
      <c r="AN76" s="120">
        <f t="shared" si="44"/>
        <v>-302153384.98000002</v>
      </c>
      <c r="AO76" s="120">
        <f t="shared" si="44"/>
        <v>-300483360.47000003</v>
      </c>
      <c r="AP76" s="120">
        <f t="shared" si="44"/>
        <v>-305917247.42000008</v>
      </c>
      <c r="AQ76" s="120">
        <f t="shared" si="44"/>
        <v>-352963257.44</v>
      </c>
      <c r="AR76" s="120">
        <f t="shared" si="44"/>
        <v>-293720464.97000003</v>
      </c>
      <c r="AS76" s="120">
        <f t="shared" si="44"/>
        <v>-293890489.60000002</v>
      </c>
      <c r="AT76" s="120">
        <f t="shared" si="44"/>
        <v>-269547271.64000005</v>
      </c>
      <c r="AU76" s="120">
        <f t="shared" si="44"/>
        <v>-306783303.94</v>
      </c>
      <c r="AV76" s="120">
        <f t="shared" si="44"/>
        <v>-347608118.24000001</v>
      </c>
      <c r="AW76" s="120">
        <f t="shared" si="44"/>
        <v>-287563823.10000002</v>
      </c>
      <c r="AX76" s="120">
        <f t="shared" si="44"/>
        <v>-288597912.8499999</v>
      </c>
      <c r="AY76" s="120">
        <f t="shared" si="44"/>
        <v>-346855941.61000001</v>
      </c>
      <c r="AZ76" s="120">
        <f t="shared" si="44"/>
        <v>-415823987.34000003</v>
      </c>
      <c r="BA76" s="120">
        <f t="shared" si="44"/>
        <v>-458568015.46000004</v>
      </c>
      <c r="BB76" s="120">
        <f t="shared" si="44"/>
        <v>-502676592.41000003</v>
      </c>
      <c r="BC76" s="120">
        <f t="shared" si="44"/>
        <v>-468722300.91000003</v>
      </c>
      <c r="BD76" s="120">
        <f t="shared" si="44"/>
        <v>-407962932.13999999</v>
      </c>
      <c r="BE76" s="120">
        <f t="shared" si="44"/>
        <v>-348280286.63000005</v>
      </c>
      <c r="BF76" s="120">
        <f t="shared" si="44"/>
        <v>-425999848.34000003</v>
      </c>
      <c r="BG76" s="120">
        <f t="shared" si="44"/>
        <v>-403816844.48000002</v>
      </c>
      <c r="BH76" s="120">
        <f t="shared" si="44"/>
        <v>-368266222.41000003</v>
      </c>
      <c r="BI76" s="120">
        <f t="shared" si="44"/>
        <v>-344547183.98000002</v>
      </c>
      <c r="BJ76" s="120">
        <f t="shared" si="44"/>
        <v>-333934376.96999997</v>
      </c>
      <c r="BK76" s="120">
        <f t="shared" si="44"/>
        <v>-339143999.63</v>
      </c>
      <c r="BL76" s="120">
        <f t="shared" si="44"/>
        <v>-414866622.40999997</v>
      </c>
      <c r="BM76" s="120">
        <f t="shared" si="44"/>
        <v>-333764391.84000003</v>
      </c>
      <c r="BN76" s="120">
        <f t="shared" si="44"/>
        <v>-254143189.60999995</v>
      </c>
      <c r="BO76" s="120">
        <f t="shared" si="44"/>
        <v>-226115779.95999998</v>
      </c>
      <c r="BP76" s="120">
        <f t="shared" si="44"/>
        <v>-258149826.39000002</v>
      </c>
      <c r="BQ76" s="120">
        <f t="shared" si="44"/>
        <v>-242768111.34</v>
      </c>
      <c r="BR76" s="120">
        <f t="shared" ref="BR76:CJ76" si="45">BR71-BR64-BR68</f>
        <v>-147691422.47999996</v>
      </c>
      <c r="BS76" s="120">
        <f t="shared" si="45"/>
        <v>-188991624.94</v>
      </c>
      <c r="BT76" s="120">
        <f t="shared" si="45"/>
        <v>-205571669.00999999</v>
      </c>
      <c r="BU76" s="120">
        <f t="shared" si="45"/>
        <v>-209896533.83000001</v>
      </c>
      <c r="BV76" s="120">
        <f t="shared" si="45"/>
        <v>-283217809.29000002</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690</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35795</v>
      </c>
      <c r="BW80" s="1">
        <v>25569</v>
      </c>
      <c r="BX80" s="1"/>
      <c r="BY80" s="1"/>
      <c r="BZ80" s="1"/>
      <c r="CA80" s="1"/>
      <c r="CB80" s="1"/>
      <c r="CC80" s="1"/>
      <c r="CD80" s="1"/>
      <c r="CE80" s="1"/>
      <c r="CF80" s="1"/>
      <c r="CG80" s="1"/>
      <c r="CH80" s="1"/>
      <c r="CI80" s="1"/>
      <c r="CJ80" s="1"/>
      <c r="CK80" s="1"/>
    </row>
    <row r="81" spans="1:89" s="76" customFormat="1" x14ac:dyDescent="0.25">
      <c r="A81" s="70" t="s">
        <v>579</v>
      </c>
      <c r="E81" s="76">
        <f>股权价值增加表!E4</f>
        <v>6488246212.1400003</v>
      </c>
      <c r="F81" s="76">
        <f>股权价值增加表!F4</f>
        <v>3894561232.4000001</v>
      </c>
      <c r="G81" s="76">
        <f>股权价值增加表!G4</f>
        <v>2651881094.0700002</v>
      </c>
      <c r="H81" s="76">
        <f>股权价值增加表!H4</f>
        <v>1340165773.9200001</v>
      </c>
      <c r="I81" s="76">
        <f>股权价值增加表!I4</f>
        <v>5321198258.4899998</v>
      </c>
      <c r="J81" s="76">
        <f>股权价值增加表!J4</f>
        <v>4287852830.3699999</v>
      </c>
      <c r="K81" s="76">
        <f>股权价值增加表!K4</f>
        <v>3065730831.52</v>
      </c>
      <c r="L81" s="76">
        <f>股权价值增加表!L4</f>
        <v>1541097064.8199999</v>
      </c>
      <c r="M81" s="76">
        <f>股权价值增加表!M4</f>
        <v>5845865322.6400003</v>
      </c>
      <c r="N81" s="76">
        <f>股权价值增加表!N4</f>
        <v>4617561352.0799999</v>
      </c>
      <c r="O81" s="76">
        <f>股权价值增加表!O4</f>
        <v>3215056319.77</v>
      </c>
      <c r="P81" s="76">
        <f>股权价值增加表!P4</f>
        <v>1594897366.8599999</v>
      </c>
      <c r="Q81" s="76">
        <f>股权价值增加表!Q4</f>
        <v>5334659318.1000004</v>
      </c>
      <c r="R81" s="76">
        <f>股权价值增加表!R4</f>
        <v>4168265729.0900002</v>
      </c>
      <c r="S81" s="76">
        <f>股权价值增加表!S4</f>
        <v>2819379057.3400002</v>
      </c>
      <c r="T81" s="76">
        <f>股权价值增加表!T4</f>
        <v>1345701240.8900001</v>
      </c>
      <c r="U81" s="76">
        <f>股权价值增加表!U4</f>
        <v>4468503687.0100002</v>
      </c>
      <c r="V81" s="76">
        <f>股权价值增加表!V4</f>
        <v>4012363480.3899999</v>
      </c>
      <c r="W81" s="76">
        <f>股权价值增加表!W4</f>
        <v>2746693074.4099998</v>
      </c>
      <c r="X81" s="76">
        <f>股权价值增加表!X4</f>
        <v>1325026458.9300001</v>
      </c>
      <c r="Y81" s="76">
        <f>股权价值增加表!Y4</f>
        <v>4504122570.4099998</v>
      </c>
      <c r="Z81" s="76">
        <f>股权价值增加表!Z4</f>
        <v>3540725102.4299998</v>
      </c>
      <c r="AA81" s="76">
        <f>股权价值增加表!AA4</f>
        <v>2339090706.9299998</v>
      </c>
      <c r="AB81" s="76">
        <f>股权价值增加表!AB4</f>
        <v>1054933573.1</v>
      </c>
      <c r="AC81" s="76">
        <f>股权价值增加表!AC4</f>
        <v>3576607562.8699999</v>
      </c>
      <c r="AD81" s="76">
        <f>股权价值增加表!AD4</f>
        <v>2866766635.29</v>
      </c>
      <c r="AE81" s="76">
        <f>股权价值增加表!AE4</f>
        <v>1922161683.6400001</v>
      </c>
      <c r="AF81" s="76">
        <f>股权价值增加表!AF4</f>
        <v>843584272.85000002</v>
      </c>
      <c r="AG81" s="76">
        <f>股权价值增加表!AG4</f>
        <v>3093956633.8400002</v>
      </c>
      <c r="AH81" s="76">
        <f>股权价值增加表!AH4</f>
        <v>2429911851.9899998</v>
      </c>
      <c r="AI81" s="76">
        <f>股权价值增加表!AI4</f>
        <v>1577163658.76</v>
      </c>
      <c r="AJ81" s="76">
        <f>股权价值增加表!AJ4</f>
        <v>667913696.38999999</v>
      </c>
      <c r="AK81" s="76">
        <f>股权价值增加表!AK4</f>
        <v>2697115334.0700002</v>
      </c>
      <c r="AL81" s="76">
        <f>股权价值增加表!AL4</f>
        <v>2181544628.0999999</v>
      </c>
      <c r="AM81" s="76">
        <f>股权价值增加表!AM4</f>
        <v>1424803943.8</v>
      </c>
      <c r="AN81" s="76">
        <f>股权价值增加表!AN4</f>
        <v>582376592.78999996</v>
      </c>
      <c r="AO81" s="76">
        <f>股权价值增加表!AO4</f>
        <v>2493498067.6100001</v>
      </c>
      <c r="AP81" s="76">
        <f>股权价值增加表!AP4</f>
        <v>2097820988.5799999</v>
      </c>
      <c r="AQ81" s="76">
        <f>股权价值增加表!AQ4</f>
        <v>1384626050.21</v>
      </c>
      <c r="AR81" s="76">
        <f>股权价值增加表!AR4</f>
        <v>526135808.88</v>
      </c>
      <c r="AS81" s="76">
        <f>股权价值增加表!AS4</f>
        <v>2260798925.3600001</v>
      </c>
      <c r="AT81" s="76">
        <f>股权价值增加表!AT4</f>
        <v>1779982978.72</v>
      </c>
      <c r="AU81" s="76">
        <f>股权价值增加表!AU4</f>
        <v>1161985620.8</v>
      </c>
      <c r="AV81" s="76">
        <f>股权价值增加表!AV4</f>
        <v>475691864.44999999</v>
      </c>
      <c r="AW81" s="76">
        <f>股权价值增加表!AW4</f>
        <v>2159134465.3499999</v>
      </c>
      <c r="AX81" s="76">
        <f>股权价值增加表!AX4</f>
        <v>1746067860.55</v>
      </c>
      <c r="AY81" s="76">
        <f>股权价值增加表!AY4</f>
        <v>1096306129.48</v>
      </c>
      <c r="AZ81" s="76">
        <f>股权价值增加表!AZ4</f>
        <v>447802819.93000001</v>
      </c>
      <c r="BA81" s="76">
        <f>股权价值增加表!BA4</f>
        <v>1948870048.5599999</v>
      </c>
      <c r="BB81" s="76">
        <f>股权价值增加表!BB4</f>
        <v>1541480316.0799999</v>
      </c>
      <c r="BC81" s="76">
        <f>股权价值增加表!BC4</f>
        <v>969805968.16999996</v>
      </c>
      <c r="BD81" s="76">
        <f>股权价值增加表!BD4</f>
        <v>382578384.36000001</v>
      </c>
      <c r="BE81" s="76">
        <f>股权价值增加表!BE4</f>
        <v>1668957522.3699999</v>
      </c>
      <c r="BF81" s="76">
        <f>股权价值增加表!BF4</f>
        <v>1285500262.4200001</v>
      </c>
      <c r="BG81" s="76">
        <f>股权价值增加表!BG4</f>
        <v>774355804.61000001</v>
      </c>
      <c r="BH81" s="76">
        <f>股权价值增加表!BH4</f>
        <v>286183658.49000001</v>
      </c>
      <c r="BI81" s="76">
        <f>股权价值增加表!BI4</f>
        <v>1486376396.5599999</v>
      </c>
      <c r="BJ81" s="76">
        <f>股权价值增加表!BJ4</f>
        <v>1141838235.2</v>
      </c>
      <c r="BK81" s="76">
        <f>股权价值增加表!BK4</f>
        <v>736124241.46000004</v>
      </c>
      <c r="BL81" s="76">
        <f>股权价值增加表!BL4</f>
        <v>228125275.19999999</v>
      </c>
      <c r="BM81" s="76">
        <f>股权价值增加表!BM4</f>
        <v>1363884564.2</v>
      </c>
      <c r="BN81" s="76">
        <f>股权价值增加表!BN4</f>
        <v>1040814054.48</v>
      </c>
      <c r="BO81" s="76">
        <f>股权价值增加表!BO4</f>
        <v>686272256.01999998</v>
      </c>
      <c r="BP81" s="76">
        <f>股权价值增加表!BP4</f>
        <v>223232689.66</v>
      </c>
      <c r="BQ81" s="76">
        <f>股权价值增加表!BQ4</f>
        <v>1305853059.24</v>
      </c>
      <c r="BR81" s="76">
        <f>股权价值增加表!BR4</f>
        <v>638897219.44000006</v>
      </c>
      <c r="BS81" s="76">
        <f>股权价值增加表!BS4</f>
        <v>1187217478.3199999</v>
      </c>
      <c r="BT81" s="76">
        <f>股权价值增加表!BT4</f>
        <v>1082865772.29</v>
      </c>
      <c r="BU81" s="76">
        <f>股权价值增加表!BU4</f>
        <v>982009491.25</v>
      </c>
      <c r="BV81" s="76">
        <f>股权价值增加表!BV4</f>
        <v>899768289.63999999</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2724274108.3900003</v>
      </c>
      <c r="F82" s="76">
        <f>投资和筹资活动现金流表!F34</f>
        <v>1913230592.4899998</v>
      </c>
      <c r="G82" s="76">
        <f>投资和筹资活动现金流表!G34</f>
        <v>1886799764.1600003</v>
      </c>
      <c r="H82" s="76">
        <f>投资和筹资活动现金流表!H34</f>
        <v>1843488684.3399997</v>
      </c>
      <c r="I82" s="76">
        <f>投资和筹资活动现金流表!I34</f>
        <v>1776679236.9299998</v>
      </c>
      <c r="J82" s="76">
        <f>投资和筹资活动现金流表!J34</f>
        <v>1675159186.3199999</v>
      </c>
      <c r="K82" s="76">
        <f>投资和筹资活动现金流表!K34</f>
        <v>1376532698.55</v>
      </c>
      <c r="L82" s="76">
        <f>投资和筹资活动现金流表!L34</f>
        <v>1218608485.24</v>
      </c>
      <c r="M82" s="76">
        <f>投资和筹资活动现金流表!M34</f>
        <v>1113668565.6600001</v>
      </c>
      <c r="N82" s="76">
        <f>投资和筹资活动现金流表!N34</f>
        <v>955706154.92999995</v>
      </c>
      <c r="O82" s="76">
        <f>投资和筹资活动现金流表!O34</f>
        <v>1609318877.1500001</v>
      </c>
      <c r="P82" s="76">
        <f>投资和筹资活动现金流表!P34</f>
        <v>1341990518.96</v>
      </c>
      <c r="Q82" s="76">
        <f>投资和筹资活动现金流表!Q34</f>
        <v>1205907962.55</v>
      </c>
      <c r="R82" s="76">
        <f>投资和筹资活动现金流表!R34</f>
        <v>1177300050.6199999</v>
      </c>
      <c r="S82" s="76">
        <f>投资和筹资活动现金流表!S34</f>
        <v>1229640851.9100001</v>
      </c>
      <c r="T82" s="76">
        <f>投资和筹资活动现金流表!T34</f>
        <v>1219659301.5999999</v>
      </c>
      <c r="U82" s="76">
        <f>投资和筹资活动现金流表!U34</f>
        <v>1186320402.1400001</v>
      </c>
      <c r="V82" s="76">
        <f>投资和筹资活动现金流表!V34</f>
        <v>1094017530.25</v>
      </c>
      <c r="W82" s="76">
        <f>投资和筹资活动现金流表!W34</f>
        <v>1033441975.7999998</v>
      </c>
      <c r="X82" s="76">
        <f>投资和筹资活动现金流表!X34</f>
        <v>1002490727.98</v>
      </c>
      <c r="Y82" s="76">
        <f>投资和筹资活动现金流表!AZ34</f>
        <v>693691912.86000001</v>
      </c>
      <c r="Z82" s="76">
        <f>投资和筹资活动现金流表!BA34</f>
        <v>680116840.91999996</v>
      </c>
      <c r="AA82" s="76">
        <f>投资和筹资活动现金流表!BB34</f>
        <v>653820407.28999996</v>
      </c>
      <c r="AB82" s="76">
        <f>投资和筹资活动现金流表!BC34</f>
        <v>640941045.20000005</v>
      </c>
      <c r="AC82" s="76">
        <f>投资和筹资活动现金流表!BD34</f>
        <v>651291679.23000002</v>
      </c>
      <c r="AD82" s="76">
        <f>投资和筹资活动现金流表!BE34</f>
        <v>638208512.54999995</v>
      </c>
      <c r="AE82" s="76">
        <f>投资和筹资活动现金流表!BF34</f>
        <v>539099354.14999998</v>
      </c>
      <c r="AF82" s="76">
        <f>投资和筹资活动现金流表!BG34</f>
        <v>513124295.43000001</v>
      </c>
      <c r="AG82" s="76">
        <f>投资和筹资活动现金流表!BH34</f>
        <v>523225840.13999999</v>
      </c>
      <c r="AH82" s="76">
        <f>投资和筹资活动现金流表!BI34</f>
        <v>528707534.07999998</v>
      </c>
      <c r="AI82" s="76">
        <f>投资和筹资活动现金流表!BJ34</f>
        <v>511240361.14999998</v>
      </c>
      <c r="AJ82" s="76">
        <f>投资和筹资活动现金流表!BK34</f>
        <v>496786293.60000002</v>
      </c>
      <c r="AK82" s="76">
        <f>投资和筹资活动现金流表!BL34</f>
        <v>460661744.70999998</v>
      </c>
      <c r="AL82" s="76">
        <f>投资和筹资活动现金流表!BM34</f>
        <v>458946935.83999997</v>
      </c>
      <c r="AM82" s="76">
        <f>投资和筹资活动现金流表!BN34</f>
        <v>442798194.31999999</v>
      </c>
      <c r="AN82" s="76">
        <f>投资和筹资活动现金流表!BO34</f>
        <v>429677169.00999999</v>
      </c>
      <c r="AO82" s="76">
        <f>投资和筹资活动现金流表!BP34</f>
        <v>328866551.19</v>
      </c>
      <c r="AP82" s="76">
        <f>投资和筹资活动现金流表!BQ34</f>
        <v>557918000.05999994</v>
      </c>
      <c r="AQ82" s="76">
        <f>投资和筹资活动现金流表!BR34</f>
        <v>528090663.32999998</v>
      </c>
      <c r="AR82" s="76">
        <f>投资和筹资活动现金流表!BS34</f>
        <v>567920482.00999999</v>
      </c>
      <c r="AS82" s="76">
        <f>投资和筹资活动现金流表!AS34</f>
        <v>566984452.14999998</v>
      </c>
      <c r="AT82" s="76">
        <f>投资和筹资活动现金流表!AT34</f>
        <v>611948899.88</v>
      </c>
      <c r="AU82" s="76">
        <f>投资和筹资活动现金流表!AU34</f>
        <v>619163932.42000008</v>
      </c>
      <c r="AV82" s="76">
        <f>投资和筹资活动现金流表!AV34</f>
        <v>629009136.94999993</v>
      </c>
      <c r="AW82" s="76">
        <f>投资和筹资活动现金流表!AW34</f>
        <v>658654921.09000003</v>
      </c>
      <c r="AX82" s="76">
        <f>投资和筹资活动现金流表!AX34</f>
        <v>672995128.16999996</v>
      </c>
      <c r="AY82" s="76">
        <f>投资和筹资活动现金流表!AY34</f>
        <v>688865064.10000002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581</v>
      </c>
      <c r="E83" s="154">
        <f>E81/E82</f>
        <v>2.3816422114639719</v>
      </c>
      <c r="F83" s="154">
        <f t="shared" ref="F83:BQ83" si="46">F81/F82</f>
        <v>2.035594270595146</v>
      </c>
      <c r="G83" s="154">
        <f t="shared" si="46"/>
        <v>1.4054915335706608</v>
      </c>
      <c r="H83" s="154">
        <f t="shared" si="46"/>
        <v>0.72697260650656081</v>
      </c>
      <c r="I83" s="154">
        <f t="shared" si="46"/>
        <v>2.9950247337188034</v>
      </c>
      <c r="J83" s="154">
        <f t="shared" si="46"/>
        <v>2.5596688752843733</v>
      </c>
      <c r="K83" s="154">
        <f t="shared" si="46"/>
        <v>2.2271398527251498</v>
      </c>
      <c r="L83" s="154">
        <f t="shared" si="46"/>
        <v>1.2646367422236413</v>
      </c>
      <c r="M83" s="154">
        <f t="shared" si="46"/>
        <v>5.2491966666721259</v>
      </c>
      <c r="N83" s="154">
        <f t="shared" si="46"/>
        <v>4.8315701727569289</v>
      </c>
      <c r="O83" s="154">
        <f t="shared" si="46"/>
        <v>1.9977745650157646</v>
      </c>
      <c r="P83" s="154">
        <f t="shared" si="46"/>
        <v>1.1884565086912795</v>
      </c>
      <c r="Q83" s="154">
        <f t="shared" si="46"/>
        <v>4.4237698761183957</v>
      </c>
      <c r="R83" s="154">
        <f t="shared" si="46"/>
        <v>3.5405296439891192</v>
      </c>
      <c r="S83" s="154">
        <f t="shared" si="46"/>
        <v>2.2928475846916285</v>
      </c>
      <c r="T83" s="154">
        <f t="shared" si="46"/>
        <v>1.1033419243592477</v>
      </c>
      <c r="U83" s="154">
        <f t="shared" si="46"/>
        <v>3.7666921001689584</v>
      </c>
      <c r="V83" s="154">
        <f t="shared" si="46"/>
        <v>3.6675495313800983</v>
      </c>
      <c r="W83" s="154">
        <f t="shared" si="46"/>
        <v>2.6578106354580302</v>
      </c>
      <c r="X83" s="154">
        <f t="shared" si="46"/>
        <v>1.3217343781322581</v>
      </c>
      <c r="Y83" s="154">
        <f t="shared" si="46"/>
        <v>6.4929725817908102</v>
      </c>
      <c r="Z83" s="154">
        <f t="shared" si="46"/>
        <v>5.2060541504022018</v>
      </c>
      <c r="AA83" s="154">
        <f t="shared" si="46"/>
        <v>3.5775737203205766</v>
      </c>
      <c r="AB83" s="154">
        <f t="shared" si="46"/>
        <v>1.6459135844090267</v>
      </c>
      <c r="AC83" s="154">
        <f t="shared" si="46"/>
        <v>5.4915603514211959</v>
      </c>
      <c r="AD83" s="154">
        <f t="shared" si="46"/>
        <v>4.4918965806890663</v>
      </c>
      <c r="AE83" s="154">
        <f t="shared" si="46"/>
        <v>3.5655054468961103</v>
      </c>
      <c r="AF83" s="154">
        <f t="shared" si="46"/>
        <v>1.6440154566118788</v>
      </c>
      <c r="AG83" s="154">
        <f t="shared" si="46"/>
        <v>5.9132336296925772</v>
      </c>
      <c r="AH83" s="154">
        <f t="shared" si="46"/>
        <v>4.5959470886267422</v>
      </c>
      <c r="AI83" s="154">
        <f t="shared" si="46"/>
        <v>3.0849748545132059</v>
      </c>
      <c r="AJ83" s="154">
        <f t="shared" si="46"/>
        <v>1.3444688490697119</v>
      </c>
      <c r="AK83" s="154">
        <f t="shared" si="46"/>
        <v>5.8548715300158323</v>
      </c>
      <c r="AL83" s="154">
        <f t="shared" si="46"/>
        <v>4.7533700690411393</v>
      </c>
      <c r="AM83" s="154">
        <f t="shared" si="46"/>
        <v>3.2177275383610242</v>
      </c>
      <c r="AN83" s="154">
        <f t="shared" si="46"/>
        <v>1.3553817488879567</v>
      </c>
      <c r="AO83" s="154">
        <f t="shared" si="46"/>
        <v>7.5820969283355355</v>
      </c>
      <c r="AP83" s="154">
        <f t="shared" si="46"/>
        <v>3.7600883792141406</v>
      </c>
      <c r="AQ83" s="154">
        <f t="shared" si="46"/>
        <v>2.6219476055094679</v>
      </c>
      <c r="AR83" s="154">
        <f t="shared" si="46"/>
        <v>0.92642513440946084</v>
      </c>
      <c r="AS83" s="154">
        <f t="shared" si="46"/>
        <v>3.987409031741648</v>
      </c>
      <c r="AT83" s="154">
        <f t="shared" si="46"/>
        <v>2.9087117879761619</v>
      </c>
      <c r="AU83" s="154">
        <f t="shared" si="46"/>
        <v>1.8767010802105077</v>
      </c>
      <c r="AV83" s="154">
        <f t="shared" si="46"/>
        <v>0.75625588963076196</v>
      </c>
      <c r="AW83" s="154">
        <f t="shared" si="46"/>
        <v>3.2780966120724861</v>
      </c>
      <c r="AX83" s="154">
        <f t="shared" si="46"/>
        <v>2.5944732546547344</v>
      </c>
      <c r="AY83" s="154">
        <f t="shared" si="46"/>
        <v>1.5914671633294692</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582</v>
      </c>
      <c r="E84" s="76">
        <f>资产资本表!E52</f>
        <v>297062924.36000001</v>
      </c>
      <c r="F84" s="76">
        <f>资产资本表!F52</f>
        <v>187811063.59</v>
      </c>
      <c r="G84" s="76">
        <f>资产资本表!G52</f>
        <v>198619254.72999999</v>
      </c>
      <c r="H84" s="76">
        <f>资产资本表!H52</f>
        <v>201466347.58000001</v>
      </c>
      <c r="I84" s="76">
        <f>资产资本表!I52</f>
        <v>206527861.86000001</v>
      </c>
      <c r="J84" s="76">
        <f>资产资本表!J52</f>
        <v>207698826.53999999</v>
      </c>
      <c r="K84" s="76">
        <f>资产资本表!K52</f>
        <v>211654467.03999999</v>
      </c>
      <c r="L84" s="76">
        <f>资产资本表!L52</f>
        <v>216257532.15000001</v>
      </c>
      <c r="M84" s="76">
        <f>资产资本表!M52</f>
        <v>223990917.56999999</v>
      </c>
      <c r="N84" s="76">
        <f>资产资本表!N52</f>
        <v>189755973.36000001</v>
      </c>
      <c r="O84" s="76">
        <f>资产资本表!O52</f>
        <v>194772817.52000001</v>
      </c>
      <c r="P84" s="76">
        <f>资产资本表!P52</f>
        <v>211071704.46000001</v>
      </c>
      <c r="Q84" s="76">
        <f>资产资本表!Q52</f>
        <v>215581175.34999999</v>
      </c>
      <c r="R84" s="76">
        <f>资产资本表!R52</f>
        <v>214693826.5</v>
      </c>
      <c r="S84" s="76">
        <f>资产资本表!S52</f>
        <v>228150384.83000001</v>
      </c>
      <c r="T84" s="76">
        <f>资产资本表!T52</f>
        <v>224601979.87</v>
      </c>
      <c r="U84" s="76">
        <f>资产资本表!U52</f>
        <v>216466934.61000001</v>
      </c>
      <c r="V84" s="76">
        <f>资产资本表!V52</f>
        <v>217266110.41999999</v>
      </c>
      <c r="W84" s="76">
        <f>资产资本表!W52</f>
        <v>210129158.63</v>
      </c>
      <c r="X84" s="76">
        <f>资产资本表!X52</f>
        <v>214264857.59999999</v>
      </c>
      <c r="Y84" s="76">
        <f>资产资本表!Y52</f>
        <v>217467104.56</v>
      </c>
      <c r="Z84" s="76">
        <f>资产资本表!Z52</f>
        <v>226164520.31</v>
      </c>
      <c r="AA84" s="76">
        <f>资产资本表!AA52</f>
        <v>225380073.88999999</v>
      </c>
      <c r="AB84" s="76">
        <f>资产资本表!AB52</f>
        <v>228548788.24000001</v>
      </c>
      <c r="AC84" s="76">
        <f>资产资本表!AC52</f>
        <v>234531569.31</v>
      </c>
      <c r="AD84" s="76">
        <f>资产资本表!AD52</f>
        <v>250919584.00999999</v>
      </c>
      <c r="AE84" s="76">
        <f>资产资本表!AE52</f>
        <v>252765826.65000001</v>
      </c>
      <c r="AF84" s="76">
        <f>资产资本表!AF52</f>
        <v>250725181.22999999</v>
      </c>
      <c r="AG84" s="76">
        <f>资产资本表!AG52</f>
        <v>257760918.06999999</v>
      </c>
      <c r="AH84" s="76">
        <f>资产资本表!AH52</f>
        <v>248338802.63</v>
      </c>
      <c r="AI84" s="76">
        <f>资产资本表!AI52</f>
        <v>252847769.41</v>
      </c>
      <c r="AJ84" s="76">
        <f>资产资本表!AJ52</f>
        <v>258640549.88</v>
      </c>
      <c r="AK84" s="76">
        <f>资产资本表!AK52</f>
        <v>262068655.86000001</v>
      </c>
      <c r="AL84" s="76">
        <f>资产资本表!AL52</f>
        <v>281218145.36000001</v>
      </c>
      <c r="AM84" s="76">
        <f>资产资本表!AM52</f>
        <v>281873857.37</v>
      </c>
      <c r="AN84" s="76">
        <f>资产资本表!AN52</f>
        <v>286058982.05000001</v>
      </c>
      <c r="AO84" s="76">
        <f>资产资本表!AO52</f>
        <v>283120631.62</v>
      </c>
      <c r="AP84" s="76">
        <f>资产资本表!AP52</f>
        <v>279938730.94</v>
      </c>
      <c r="AQ84" s="76">
        <f>资产资本表!AQ52</f>
        <v>327806800.24000001</v>
      </c>
      <c r="AR84" s="76">
        <f>资产资本表!AR52</f>
        <v>364800049.42000002</v>
      </c>
      <c r="AS84" s="76">
        <f>资产资本表!AS52</f>
        <v>373808526.88999999</v>
      </c>
      <c r="AT84" s="76">
        <f>资产资本表!AT52</f>
        <v>380326409.80000001</v>
      </c>
      <c r="AU84" s="76">
        <f>资产资本表!AU52</f>
        <v>392991166.18000001</v>
      </c>
      <c r="AV84" s="76">
        <f>资产资本表!AV52</f>
        <v>402827537.75</v>
      </c>
      <c r="AW84" s="76">
        <f>资产资本表!AW52</f>
        <v>446119707.56</v>
      </c>
      <c r="AX84" s="76">
        <f>资产资本表!AX52</f>
        <v>416491849.99000001</v>
      </c>
      <c r="AY84" s="76">
        <f>资产资本表!AY52</f>
        <v>419993120.44999999</v>
      </c>
      <c r="AZ84" s="76">
        <f>资产资本表!AZ52</f>
        <v>408800889.36000001</v>
      </c>
      <c r="BA84" s="76">
        <f>资产资本表!BA52</f>
        <v>417967079.56</v>
      </c>
      <c r="BB84" s="76">
        <f>资产资本表!BB52</f>
        <v>403336058.80000001</v>
      </c>
      <c r="BC84" s="76">
        <f>资产资本表!BC52</f>
        <v>412214707.44</v>
      </c>
      <c r="BD84" s="76">
        <f>资产资本表!BD52</f>
        <v>421686447.94999999</v>
      </c>
      <c r="BE84" s="76">
        <f>资产资本表!BE52</f>
        <v>431883492.13</v>
      </c>
      <c r="BF84" s="76">
        <f>资产资本表!BF52</f>
        <v>336953694.74000001</v>
      </c>
      <c r="BG84" s="76">
        <f>资产资本表!BG52</f>
        <v>334280296.25</v>
      </c>
      <c r="BH84" s="76">
        <f>资产资本表!BH52</f>
        <v>330934296.20999998</v>
      </c>
      <c r="BI84" s="76">
        <f>资产资本表!BI52</f>
        <v>345349617.94</v>
      </c>
      <c r="BJ84" s="76">
        <f>资产资本表!BJ52</f>
        <v>319252509.68000001</v>
      </c>
      <c r="BK84" s="76">
        <f>资产资本表!BK52</f>
        <v>305007847.69</v>
      </c>
      <c r="BL84" s="76">
        <f>资产资本表!BL52</f>
        <v>299295084.94999999</v>
      </c>
      <c r="BM84" s="76">
        <f>资产资本表!BM52</f>
        <v>307001312.16000003</v>
      </c>
      <c r="BN84" s="76">
        <f>资产资本表!BN52</f>
        <v>259483407.24000001</v>
      </c>
      <c r="BO84" s="76">
        <f>资产资本表!BO52</f>
        <v>257640559.43000001</v>
      </c>
      <c r="BP84" s="76">
        <f>资产资本表!BP52</f>
        <v>223730557.47999999</v>
      </c>
      <c r="BQ84" s="76">
        <f>资产资本表!BQ52</f>
        <v>228985805.99000001</v>
      </c>
      <c r="BR84" s="76">
        <f>资产资本表!BR52</f>
        <v>230587790.81</v>
      </c>
      <c r="BS84" s="76">
        <f>资产资本表!BS52</f>
        <v>239724274.46000001</v>
      </c>
      <c r="BT84" s="76">
        <f>资产资本表!BT52</f>
        <v>278402995.75</v>
      </c>
      <c r="BU84" s="76">
        <f>资产资本表!BU52</f>
        <v>230762140.72</v>
      </c>
      <c r="BV84" s="76">
        <f>资产资本表!BV52</f>
        <v>139259547.97999999</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583</v>
      </c>
      <c r="E85" s="154">
        <f>E81/E84</f>
        <v>21.841319397627437</v>
      </c>
      <c r="F85" s="154">
        <f t="shared" ref="F85:BQ85" si="48">F81/F84</f>
        <v>20.736591114259394</v>
      </c>
      <c r="G85" s="154">
        <f t="shared" si="48"/>
        <v>13.351581132830889</v>
      </c>
      <c r="H85" s="154">
        <f t="shared" si="48"/>
        <v>6.6520577258583362</v>
      </c>
      <c r="I85" s="154">
        <f t="shared" si="48"/>
        <v>25.765038240201726</v>
      </c>
      <c r="J85" s="154">
        <f t="shared" si="48"/>
        <v>20.644569359395092</v>
      </c>
      <c r="K85" s="154">
        <f t="shared" si="48"/>
        <v>14.48460254297688</v>
      </c>
      <c r="L85" s="154">
        <f t="shared" si="48"/>
        <v>7.1262122040265776</v>
      </c>
      <c r="M85" s="154">
        <f t="shared" si="48"/>
        <v>26.09867125890537</v>
      </c>
      <c r="N85" s="154">
        <f t="shared" si="48"/>
        <v>24.334208142790239</v>
      </c>
      <c r="O85" s="154">
        <f t="shared" si="48"/>
        <v>16.506699244312497</v>
      </c>
      <c r="P85" s="154">
        <f t="shared" si="48"/>
        <v>7.5561874621723506</v>
      </c>
      <c r="Q85" s="154">
        <f t="shared" si="48"/>
        <v>24.745478400138989</v>
      </c>
      <c r="R85" s="154">
        <f t="shared" si="48"/>
        <v>19.414930541051213</v>
      </c>
      <c r="S85" s="154">
        <f t="shared" si="48"/>
        <v>12.357546797217909</v>
      </c>
      <c r="T85" s="154">
        <f t="shared" si="48"/>
        <v>5.9914932257894353</v>
      </c>
      <c r="U85" s="154">
        <f t="shared" si="48"/>
        <v>20.642892620347435</v>
      </c>
      <c r="V85" s="154">
        <f t="shared" si="48"/>
        <v>18.467507300764243</v>
      </c>
      <c r="W85" s="154">
        <f t="shared" si="48"/>
        <v>13.071451350768681</v>
      </c>
      <c r="X85" s="154">
        <f t="shared" si="48"/>
        <v>6.1840587101951341</v>
      </c>
      <c r="Y85" s="154">
        <f t="shared" si="48"/>
        <v>20.711742033459114</v>
      </c>
      <c r="Z85" s="154">
        <f t="shared" si="48"/>
        <v>15.655528539917693</v>
      </c>
      <c r="AA85" s="154">
        <f t="shared" si="48"/>
        <v>10.378427278676051</v>
      </c>
      <c r="AB85" s="154">
        <f t="shared" si="48"/>
        <v>4.6157915831617098</v>
      </c>
      <c r="AC85" s="154">
        <f t="shared" si="48"/>
        <v>15.25000482192015</v>
      </c>
      <c r="AD85" s="154">
        <f t="shared" si="48"/>
        <v>11.425041399621282</v>
      </c>
      <c r="AE85" s="154">
        <f t="shared" si="48"/>
        <v>7.6045156464191681</v>
      </c>
      <c r="AF85" s="154">
        <f t="shared" si="48"/>
        <v>3.3645773779544994</v>
      </c>
      <c r="AG85" s="154">
        <f t="shared" si="48"/>
        <v>12.003203034060331</v>
      </c>
      <c r="AH85" s="154">
        <f t="shared" si="48"/>
        <v>9.7846644433182899</v>
      </c>
      <c r="AI85" s="154">
        <f t="shared" si="48"/>
        <v>6.2376016305786877</v>
      </c>
      <c r="AJ85" s="154">
        <f t="shared" si="48"/>
        <v>2.5824013160345047</v>
      </c>
      <c r="AK85" s="154">
        <f t="shared" si="48"/>
        <v>10.291636461518806</v>
      </c>
      <c r="AL85" s="154">
        <f t="shared" si="48"/>
        <v>7.7574817418246838</v>
      </c>
      <c r="AM85" s="154">
        <f t="shared" si="48"/>
        <v>5.0547573197954989</v>
      </c>
      <c r="AN85" s="154">
        <f t="shared" si="48"/>
        <v>2.0358619352431551</v>
      </c>
      <c r="AO85" s="154">
        <f t="shared" si="48"/>
        <v>8.8071930800039091</v>
      </c>
      <c r="AP85" s="154">
        <f t="shared" si="48"/>
        <v>7.4938576078264472</v>
      </c>
      <c r="AQ85" s="154">
        <f t="shared" si="48"/>
        <v>4.223908867040775</v>
      </c>
      <c r="AR85" s="154">
        <f t="shared" si="48"/>
        <v>1.4422580526414666</v>
      </c>
      <c r="AS85" s="154">
        <f t="shared" si="48"/>
        <v>6.0480132547251433</v>
      </c>
      <c r="AT85" s="154">
        <f t="shared" si="48"/>
        <v>4.6801456140162054</v>
      </c>
      <c r="AU85" s="154">
        <f t="shared" si="48"/>
        <v>2.9567728763342758</v>
      </c>
      <c r="AV85" s="154">
        <f t="shared" si="48"/>
        <v>1.1808821887078151</v>
      </c>
      <c r="AW85" s="154">
        <f t="shared" si="48"/>
        <v>4.8398096492063427</v>
      </c>
      <c r="AX85" s="154">
        <f t="shared" si="48"/>
        <v>4.1923217959533261</v>
      </c>
      <c r="AY85" s="154">
        <f t="shared" si="48"/>
        <v>2.6102954455667442</v>
      </c>
      <c r="AZ85" s="154">
        <f t="shared" si="48"/>
        <v>1.0954056891389341</v>
      </c>
      <c r="BA85" s="154">
        <f t="shared" si="48"/>
        <v>4.6627357604613353</v>
      </c>
      <c r="BB85" s="154">
        <f t="shared" si="48"/>
        <v>3.8218261979010539</v>
      </c>
      <c r="BC85" s="154">
        <f t="shared" si="48"/>
        <v>2.3526719223407628</v>
      </c>
      <c r="BD85" s="154">
        <f t="shared" si="48"/>
        <v>0.90725795486167227</v>
      </c>
      <c r="BE85" s="154">
        <f t="shared" si="48"/>
        <v>3.8643697959810694</v>
      </c>
      <c r="BF85" s="154">
        <f t="shared" si="48"/>
        <v>3.8150650445068335</v>
      </c>
      <c r="BG85" s="154">
        <f t="shared" si="48"/>
        <v>2.3164865332980273</v>
      </c>
      <c r="BH85" s="154">
        <f t="shared" si="48"/>
        <v>0.86477485642164242</v>
      </c>
      <c r="BI85" s="154">
        <f t="shared" si="48"/>
        <v>4.3039757953872657</v>
      </c>
      <c r="BJ85" s="154">
        <f t="shared" si="48"/>
        <v>3.5765990887417352</v>
      </c>
      <c r="BK85" s="154">
        <f t="shared" si="48"/>
        <v>2.4134600045051058</v>
      </c>
      <c r="BL85" s="154">
        <f t="shared" si="48"/>
        <v>0.76220855827990097</v>
      </c>
      <c r="BM85" s="154">
        <f t="shared" si="48"/>
        <v>4.4426017420055315</v>
      </c>
      <c r="BN85" s="154">
        <f t="shared" si="48"/>
        <v>4.0111006154522082</v>
      </c>
      <c r="BO85" s="154">
        <f t="shared" si="48"/>
        <v>2.6636809729737356</v>
      </c>
      <c r="BP85" s="154">
        <f t="shared" si="48"/>
        <v>0.99777469905940541</v>
      </c>
      <c r="BQ85" s="154">
        <f t="shared" si="48"/>
        <v>5.7027685781407236</v>
      </c>
      <c r="BR85" s="154">
        <f t="shared" ref="BR85:CK85" si="49">BR81/BR84</f>
        <v>2.7707330782592878</v>
      </c>
      <c r="BS85" s="154">
        <f t="shared" si="49"/>
        <v>4.9524291229760173</v>
      </c>
      <c r="BT85" s="154">
        <f t="shared" si="49"/>
        <v>3.8895622131250001</v>
      </c>
      <c r="BU85" s="154">
        <f t="shared" si="49"/>
        <v>4.2555052062961289</v>
      </c>
      <c r="BV85" s="154">
        <f t="shared" si="49"/>
        <v>6.4610886843408526</v>
      </c>
      <c r="BW85" s="154" t="e">
        <f t="shared" si="49"/>
        <v>#DIV/0!</v>
      </c>
      <c r="BX85" s="154" t="e">
        <f t="shared" si="49"/>
        <v>#DIV/0!</v>
      </c>
      <c r="BY85" s="154" t="e">
        <f t="shared" si="49"/>
        <v>#DIV/0!</v>
      </c>
      <c r="BZ85" s="154" t="e">
        <f t="shared" si="49"/>
        <v>#DIV/0!</v>
      </c>
      <c r="CA85" s="154" t="e">
        <f t="shared" si="49"/>
        <v>#DIV/0!</v>
      </c>
      <c r="CB85" s="154" t="e">
        <f t="shared" si="49"/>
        <v>#DIV/0!</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584</v>
      </c>
      <c r="E86" s="76">
        <f>资产资本表!E53</f>
        <v>928864153.22000003</v>
      </c>
      <c r="F86" s="76">
        <f>资产资本表!F53</f>
        <v>804391494.25</v>
      </c>
      <c r="G86" s="76">
        <f>资产资本表!G53</f>
        <v>746603891.78999996</v>
      </c>
      <c r="H86" s="76">
        <f>资产资本表!H53</f>
        <v>704476549.73000002</v>
      </c>
      <c r="I86" s="76">
        <f>资产资本表!I53</f>
        <v>584874097.07000005</v>
      </c>
      <c r="J86" s="76">
        <f>资产资本表!J53</f>
        <v>543647826.29999995</v>
      </c>
      <c r="K86" s="76">
        <f>资产资本表!K53</f>
        <v>356445805.98000002</v>
      </c>
      <c r="L86" s="76">
        <f>资产资本表!L53</f>
        <v>213359458.28</v>
      </c>
      <c r="M86" s="76">
        <f>资产资本表!M53</f>
        <v>153160043.77000001</v>
      </c>
      <c r="N86" s="76">
        <f>资产资本表!N53</f>
        <v>84446275.329999998</v>
      </c>
      <c r="O86" s="76">
        <f>资产资本表!O53</f>
        <v>61289438.479999997</v>
      </c>
      <c r="P86" s="76">
        <f>资产资本表!P53</f>
        <v>35903913.950000003</v>
      </c>
      <c r="Q86" s="76">
        <f>资产资本表!Q53</f>
        <v>28548849.52</v>
      </c>
      <c r="R86" s="76">
        <f>资产资本表!R53</f>
        <v>41873784.210000001</v>
      </c>
      <c r="S86" s="76">
        <f>资产资本表!S53</f>
        <v>41614978.700000003</v>
      </c>
      <c r="T86" s="76">
        <f>资产资本表!T53</f>
        <v>39690760.920000002</v>
      </c>
      <c r="U86" s="76">
        <f>资产资本表!U53</f>
        <v>45997096.359999999</v>
      </c>
      <c r="V86" s="76">
        <f>资产资本表!V53</f>
        <v>40707819.579999998</v>
      </c>
      <c r="W86" s="76">
        <f>资产资本表!W53</f>
        <v>34830137.219999999</v>
      </c>
      <c r="X86" s="76">
        <f>资产资本表!X53</f>
        <v>22846209.170000002</v>
      </c>
      <c r="Y86" s="76">
        <f>资产资本表!Y53</f>
        <v>9904261.5700000003</v>
      </c>
      <c r="Z86" s="76">
        <f>资产资本表!Z53</f>
        <v>27078111.199999999</v>
      </c>
      <c r="AA86" s="76">
        <f>资产资本表!AA53</f>
        <v>20753027.469999999</v>
      </c>
      <c r="AB86" s="76">
        <f>资产资本表!AB53</f>
        <v>20539557.239999998</v>
      </c>
      <c r="AC86" s="76">
        <f>资产资本表!AC53</f>
        <v>16560029.26</v>
      </c>
      <c r="AD86" s="76">
        <f>资产资本表!AD53</f>
        <v>31957867.190000001</v>
      </c>
      <c r="AE86" s="76">
        <f>资产资本表!AE53</f>
        <v>32776102.43</v>
      </c>
      <c r="AF86" s="76">
        <f>资产资本表!AF53</f>
        <v>33005203.23</v>
      </c>
      <c r="AG86" s="76">
        <f>资产资本表!AG53</f>
        <v>31687558.539999999</v>
      </c>
      <c r="AH86" s="76">
        <f>资产资本表!AH53</f>
        <v>35291977.960000001</v>
      </c>
      <c r="AI86" s="76">
        <f>资产资本表!AI53</f>
        <v>36904401.969999999</v>
      </c>
      <c r="AJ86" s="76">
        <f>资产资本表!AJ53</f>
        <v>32186283.420000002</v>
      </c>
      <c r="AK86" s="76">
        <f>资产资本表!AK53</f>
        <v>30475652.690000001</v>
      </c>
      <c r="AL86" s="76">
        <f>资产资本表!AL53</f>
        <v>33749797.329999998</v>
      </c>
      <c r="AM86" s="76">
        <f>资产资本表!AM53</f>
        <v>32664936.260000002</v>
      </c>
      <c r="AN86" s="76">
        <f>资产资本表!AN53</f>
        <v>29436393.190000001</v>
      </c>
      <c r="AO86" s="76">
        <f>资产资本表!AO53</f>
        <v>31330383.289999999</v>
      </c>
      <c r="AP86" s="76">
        <f>资产资本表!AP53</f>
        <v>37256962.079999998</v>
      </c>
      <c r="AQ86" s="76">
        <f>资产资本表!AQ53</f>
        <v>30008701.859999999</v>
      </c>
      <c r="AR86" s="76">
        <f>资产资本表!AR53</f>
        <v>25119857.239999998</v>
      </c>
      <c r="AS86" s="76">
        <f>资产资本表!AS53</f>
        <v>17994664.18</v>
      </c>
      <c r="AT86" s="76">
        <f>资产资本表!AT53</f>
        <v>32145912.609999999</v>
      </c>
      <c r="AU86" s="76">
        <f>资产资本表!AU53</f>
        <v>30012637.82</v>
      </c>
      <c r="AV86" s="76">
        <f>资产资本表!AV53</f>
        <v>27644779.309999999</v>
      </c>
      <c r="AW86" s="76">
        <f>资产资本表!AW53</f>
        <v>19857093.579999998</v>
      </c>
      <c r="AX86" s="76">
        <f>资产资本表!AX53</f>
        <v>67272844.049999997</v>
      </c>
      <c r="AY86" s="76">
        <f>资产资本表!AY53</f>
        <v>65595419.210000001</v>
      </c>
      <c r="AZ86" s="76">
        <f>资产资本表!AZ53</f>
        <v>74804131.780000001</v>
      </c>
      <c r="BA86" s="76">
        <f>资产资本表!BA53</f>
        <v>57989673.119999997</v>
      </c>
      <c r="BB86" s="76">
        <f>资产资本表!BB53</f>
        <v>61799084.159999996</v>
      </c>
      <c r="BC86" s="76">
        <f>资产资本表!BC53</f>
        <v>40437162.109999999</v>
      </c>
      <c r="BD86" s="76">
        <f>资产资本表!BD53</f>
        <v>36116045.520000003</v>
      </c>
      <c r="BE86" s="76">
        <f>资产资本表!BE53</f>
        <v>29287913.449999999</v>
      </c>
      <c r="BF86" s="76">
        <f>资产资本表!BF53</f>
        <v>33178313.699999999</v>
      </c>
      <c r="BG86" s="76">
        <f>资产资本表!BG53</f>
        <v>30180953.300000001</v>
      </c>
      <c r="BH86" s="76">
        <f>资产资本表!BH53</f>
        <v>29389017.32</v>
      </c>
      <c r="BI86" s="76">
        <f>资产资本表!BI53</f>
        <v>25189071.960000001</v>
      </c>
      <c r="BJ86" s="76">
        <f>资产资本表!BJ53</f>
        <v>40858695.469999999</v>
      </c>
      <c r="BK86" s="76">
        <f>资产资本表!BK53</f>
        <v>35666409.130000003</v>
      </c>
      <c r="BL86" s="76">
        <f>资产资本表!BL53</f>
        <v>37934684.880000003</v>
      </c>
      <c r="BM86" s="76">
        <f>资产资本表!BM53</f>
        <v>28249593.800000001</v>
      </c>
      <c r="BN86" s="76">
        <f>资产资本表!BN53</f>
        <v>63886854.869999997</v>
      </c>
      <c r="BO86" s="76">
        <f>资产资本表!BO53</f>
        <v>57438503.479999997</v>
      </c>
      <c r="BP86" s="76">
        <f>资产资本表!BP53</f>
        <v>48438957.509999998</v>
      </c>
      <c r="BQ86" s="76">
        <f>资产资本表!BQ53</f>
        <v>33631464.689999998</v>
      </c>
      <c r="BR86" s="76">
        <f>资产资本表!BR53</f>
        <v>19581388.68</v>
      </c>
      <c r="BS86" s="76">
        <f>资产资本表!BS53</f>
        <v>13536233.970000001</v>
      </c>
      <c r="BT86" s="76">
        <f>资产资本表!BT53</f>
        <v>15138865.800000001</v>
      </c>
      <c r="BU86" s="76">
        <f>资产资本表!BU53</f>
        <v>67141737.450000003</v>
      </c>
      <c r="BV86" s="76">
        <f>资产资本表!BV53</f>
        <v>134235138.52000001</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585</v>
      </c>
      <c r="E87" s="54">
        <f>E81/E86</f>
        <v>6.9851400655820868</v>
      </c>
      <c r="F87" s="54">
        <f t="shared" ref="F87:BQ87" si="50">F81/F86</f>
        <v>4.8416240850870986</v>
      </c>
      <c r="G87" s="54">
        <f t="shared" si="50"/>
        <v>3.5519250880303535</v>
      </c>
      <c r="H87" s="54">
        <f t="shared" si="50"/>
        <v>1.9023568271131757</v>
      </c>
      <c r="I87" s="54">
        <f t="shared" si="50"/>
        <v>9.0980234637628996</v>
      </c>
      <c r="J87" s="54">
        <f t="shared" si="50"/>
        <v>7.8871884020075962</v>
      </c>
      <c r="K87" s="54">
        <f t="shared" si="50"/>
        <v>8.6008329459542487</v>
      </c>
      <c r="L87" s="54">
        <f t="shared" si="50"/>
        <v>7.2230079568235395</v>
      </c>
      <c r="M87" s="54">
        <f t="shared" si="50"/>
        <v>38.168344554789492</v>
      </c>
      <c r="N87" s="54">
        <f t="shared" si="50"/>
        <v>54.68046203382503</v>
      </c>
      <c r="O87" s="54">
        <f t="shared" si="50"/>
        <v>52.456938740255204</v>
      </c>
      <c r="P87" s="54">
        <f t="shared" si="50"/>
        <v>44.421267527575495</v>
      </c>
      <c r="Q87" s="54">
        <f t="shared" si="50"/>
        <v>186.86074597726909</v>
      </c>
      <c r="R87" s="54">
        <f t="shared" si="50"/>
        <v>99.543564254566803</v>
      </c>
      <c r="S87" s="54">
        <f t="shared" si="50"/>
        <v>67.749140944291767</v>
      </c>
      <c r="T87" s="54">
        <f t="shared" si="50"/>
        <v>33.904647068933038</v>
      </c>
      <c r="U87" s="54">
        <f t="shared" si="50"/>
        <v>97.147516704900113</v>
      </c>
      <c r="V87" s="54">
        <f t="shared" si="50"/>
        <v>98.564932285425044</v>
      </c>
      <c r="W87" s="54">
        <f t="shared" si="50"/>
        <v>78.859668483671854</v>
      </c>
      <c r="X87" s="54">
        <f t="shared" si="50"/>
        <v>57.997650685520711</v>
      </c>
      <c r="Y87" s="54">
        <f t="shared" si="50"/>
        <v>454.76611644153093</v>
      </c>
      <c r="Z87" s="54">
        <f t="shared" si="50"/>
        <v>130.75967803950815</v>
      </c>
      <c r="AA87" s="54">
        <f t="shared" si="50"/>
        <v>112.7108182317652</v>
      </c>
      <c r="AB87" s="54">
        <f t="shared" si="50"/>
        <v>51.361066880524447</v>
      </c>
      <c r="AC87" s="54">
        <f t="shared" si="50"/>
        <v>215.97833595071799</v>
      </c>
      <c r="AD87" s="54">
        <f t="shared" si="50"/>
        <v>89.704566898852548</v>
      </c>
      <c r="AE87" s="54">
        <f t="shared" si="50"/>
        <v>58.645218349105583</v>
      </c>
      <c r="AF87" s="54">
        <f t="shared" si="50"/>
        <v>25.559129782398252</v>
      </c>
      <c r="AG87" s="54">
        <f t="shared" si="50"/>
        <v>97.639476702959655</v>
      </c>
      <c r="AH87" s="54">
        <f t="shared" si="50"/>
        <v>68.851676569221112</v>
      </c>
      <c r="AI87" s="54">
        <f t="shared" si="50"/>
        <v>42.736464339459936</v>
      </c>
      <c r="AJ87" s="54">
        <f t="shared" si="50"/>
        <v>20.751501118484835</v>
      </c>
      <c r="AK87" s="54">
        <f t="shared" si="50"/>
        <v>88.50065859147314</v>
      </c>
      <c r="AL87" s="54">
        <f t="shared" si="50"/>
        <v>64.638747509183929</v>
      </c>
      <c r="AM87" s="54">
        <f t="shared" si="50"/>
        <v>43.61875781599948</v>
      </c>
      <c r="AN87" s="54">
        <f t="shared" si="50"/>
        <v>19.784237458407176</v>
      </c>
      <c r="AO87" s="54">
        <f t="shared" si="50"/>
        <v>79.587218724064329</v>
      </c>
      <c r="AP87" s="54">
        <f t="shared" si="50"/>
        <v>56.306818147852596</v>
      </c>
      <c r="AQ87" s="54">
        <f t="shared" si="50"/>
        <v>46.140817975722996</v>
      </c>
      <c r="AR87" s="54">
        <f t="shared" si="50"/>
        <v>20.945015883378485</v>
      </c>
      <c r="AS87" s="54">
        <f t="shared" si="50"/>
        <v>125.63718348646616</v>
      </c>
      <c r="AT87" s="54">
        <f t="shared" si="50"/>
        <v>55.371984622588698</v>
      </c>
      <c r="AU87" s="54">
        <f t="shared" si="50"/>
        <v>38.716544269416701</v>
      </c>
      <c r="AV87" s="54">
        <f t="shared" si="50"/>
        <v>17.207294698059936</v>
      </c>
      <c r="AW87" s="54">
        <f t="shared" si="50"/>
        <v>108.73366017294057</v>
      </c>
      <c r="AX87" s="54">
        <f t="shared" si="50"/>
        <v>25.95501773720536</v>
      </c>
      <c r="AY87" s="54">
        <f t="shared" si="50"/>
        <v>16.713150745637257</v>
      </c>
      <c r="AZ87" s="54">
        <f t="shared" si="50"/>
        <v>5.9863380440935314</v>
      </c>
      <c r="BA87" s="54">
        <f t="shared" si="50"/>
        <v>33.607191482647906</v>
      </c>
      <c r="BB87" s="54">
        <f t="shared" si="50"/>
        <v>24.943416832667832</v>
      </c>
      <c r="BC87" s="54">
        <f t="shared" si="50"/>
        <v>23.983037324228288</v>
      </c>
      <c r="BD87" s="54">
        <f t="shared" si="50"/>
        <v>10.593030849629962</v>
      </c>
      <c r="BE87" s="54">
        <f t="shared" si="50"/>
        <v>56.984514285021554</v>
      </c>
      <c r="BF87" s="54">
        <f t="shared" si="50"/>
        <v>38.745195854242588</v>
      </c>
      <c r="BG87" s="54">
        <f t="shared" si="50"/>
        <v>25.657102243022919</v>
      </c>
      <c r="BH87" s="54">
        <f t="shared" si="50"/>
        <v>9.7377756926647727</v>
      </c>
      <c r="BI87" s="54">
        <f t="shared" si="50"/>
        <v>59.008779637469416</v>
      </c>
      <c r="BJ87" s="54">
        <f t="shared" si="50"/>
        <v>27.946027695337971</v>
      </c>
      <c r="BK87" s="54">
        <f t="shared" si="50"/>
        <v>20.639146452251779</v>
      </c>
      <c r="BL87" s="54">
        <f t="shared" si="50"/>
        <v>6.0136330622393714</v>
      </c>
      <c r="BM87" s="54">
        <f t="shared" si="50"/>
        <v>48.279793821318592</v>
      </c>
      <c r="BN87" s="54">
        <f t="shared" si="50"/>
        <v>16.291521262048317</v>
      </c>
      <c r="BO87" s="54">
        <f t="shared" si="50"/>
        <v>11.94794805646284</v>
      </c>
      <c r="BP87" s="54">
        <f t="shared" si="50"/>
        <v>4.6085362100106027</v>
      </c>
      <c r="BQ87" s="54">
        <f t="shared" si="50"/>
        <v>38.828313642500476</v>
      </c>
      <c r="BR87" s="54">
        <f t="shared" ref="BR87:CK87" si="51">BR81/BR86</f>
        <v>32.627778850667298</v>
      </c>
      <c r="BS87" s="54">
        <f t="shared" si="51"/>
        <v>87.70663102833467</v>
      </c>
      <c r="BT87" s="54">
        <f t="shared" si="51"/>
        <v>71.52885735270867</v>
      </c>
      <c r="BU87" s="54">
        <f t="shared" si="51"/>
        <v>14.625917179776526</v>
      </c>
      <c r="BV87" s="54">
        <f t="shared" si="51"/>
        <v>6.7029266670436023</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125157.43</v>
      </c>
      <c r="G89" s="76">
        <f>资产资本表!G55</f>
        <v>121020.1</v>
      </c>
      <c r="H89" s="76">
        <f>资产资本表!H55</f>
        <v>121020.1</v>
      </c>
      <c r="I89" s="76">
        <f>资产资本表!I55</f>
        <v>62372.34</v>
      </c>
      <c r="J89" s="76">
        <f>资产资本表!J55</f>
        <v>28185.95</v>
      </c>
      <c r="K89" s="76">
        <f>资产资本表!K55</f>
        <v>59972.34</v>
      </c>
      <c r="L89" s="76">
        <f>资产资本表!L55</f>
        <v>17122.900000000001</v>
      </c>
      <c r="M89" s="76">
        <f>资产资本表!M55</f>
        <v>13430</v>
      </c>
      <c r="N89" s="76">
        <f>资产资本表!N55</f>
        <v>149892.70000000001</v>
      </c>
      <c r="O89" s="76">
        <f>资产资本表!O55</f>
        <v>148183.29999999999</v>
      </c>
      <c r="P89" s="76">
        <f>资产资本表!P55</f>
        <v>149892.70000000001</v>
      </c>
      <c r="Q89" s="76">
        <f>资产资本表!Q55</f>
        <v>149892.70000000001</v>
      </c>
      <c r="R89" s="76">
        <f>资产资本表!R55</f>
        <v>134837.17000000001</v>
      </c>
      <c r="S89" s="76">
        <f>资产资本表!S55</f>
        <v>141605.47</v>
      </c>
      <c r="T89" s="76">
        <f>资产资本表!T55</f>
        <v>141605.47</v>
      </c>
      <c r="U89" s="76">
        <f>资产资本表!U55</f>
        <v>141605.47</v>
      </c>
      <c r="V89" s="76">
        <f>资产资本表!V55</f>
        <v>141883.29</v>
      </c>
      <c r="W89" s="76">
        <f>资产资本表!W55</f>
        <v>144721.07999999999</v>
      </c>
      <c r="X89" s="76">
        <f>资产资本表!X55</f>
        <v>0</v>
      </c>
      <c r="Y89" s="76">
        <f>资产资本表!Y55</f>
        <v>0</v>
      </c>
      <c r="Z89" s="76">
        <f>资产资本表!Z55</f>
        <v>0</v>
      </c>
      <c r="AA89" s="76">
        <f>资产资本表!AA55</f>
        <v>0</v>
      </c>
      <c r="AB89" s="76">
        <f>资产资本表!AB55</f>
        <v>0</v>
      </c>
      <c r="AC89" s="76">
        <f>资产资本表!AC55</f>
        <v>0</v>
      </c>
      <c r="AD89" s="76">
        <f>资产资本表!AD55</f>
        <v>28671.19</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-56683.12</v>
      </c>
      <c r="AM89" s="76">
        <f>资产资本表!AM55</f>
        <v>1524.38</v>
      </c>
      <c r="AN89" s="76">
        <f>资产资本表!AN55</f>
        <v>208802.79</v>
      </c>
      <c r="AO89" s="76">
        <f>资产资本表!AO55</f>
        <v>207002.79</v>
      </c>
      <c r="AP89" s="76">
        <f>资产资本表!AP55</f>
        <v>13707.66</v>
      </c>
      <c r="AQ89" s="76">
        <f>资产资本表!AQ55</f>
        <v>0</v>
      </c>
      <c r="AR89" s="76">
        <f>资产资本表!AR55</f>
        <v>30291.360000000001</v>
      </c>
      <c r="AS89" s="76">
        <f>资产资本表!AS55</f>
        <v>0</v>
      </c>
      <c r="AT89" s="76">
        <f>资产资本表!AT55</f>
        <v>282711.02</v>
      </c>
      <c r="AU89" s="76">
        <f>资产资本表!AU55</f>
        <v>300599.43</v>
      </c>
      <c r="AV89" s="76">
        <f>资产资本表!AV55</f>
        <v>238070.88</v>
      </c>
      <c r="AW89" s="76">
        <f>资产资本表!AW55</f>
        <v>100851.5</v>
      </c>
      <c r="AX89" s="76">
        <f>资产资本表!AX55</f>
        <v>81152.95</v>
      </c>
      <c r="AY89" s="76">
        <f>资产资本表!AY55</f>
        <v>79059.850000000006</v>
      </c>
      <c r="AZ89" s="76">
        <f>资产资本表!AZ55</f>
        <v>95040</v>
      </c>
      <c r="BA89" s="76">
        <f>资产资本表!BA55</f>
        <v>95040</v>
      </c>
      <c r="BB89" s="76">
        <f>资产资本表!BB55</f>
        <v>98780</v>
      </c>
      <c r="BC89" s="76">
        <f>资产资本表!BC55</f>
        <v>98780</v>
      </c>
      <c r="BD89" s="76">
        <f>资产资本表!BD55</f>
        <v>88780</v>
      </c>
      <c r="BE89" s="76">
        <f>资产资本表!BE55</f>
        <v>98780</v>
      </c>
      <c r="BF89" s="76">
        <f>资产资本表!BF55</f>
        <v>66635.179999999993</v>
      </c>
      <c r="BG89" s="76">
        <f>资产资本表!BG55</f>
        <v>3740</v>
      </c>
      <c r="BH89" s="76">
        <f>资产资本表!BH55</f>
        <v>3740</v>
      </c>
      <c r="BI89" s="76">
        <f>资产资本表!BI55</f>
        <v>296424.40999999997</v>
      </c>
      <c r="BJ89" s="76">
        <f>资产资本表!BJ55</f>
        <v>853417.17</v>
      </c>
      <c r="BK89" s="76">
        <f>资产资本表!BK55</f>
        <v>884879.92</v>
      </c>
      <c r="BL89" s="76">
        <f>资产资本表!BL55</f>
        <v>796169.3</v>
      </c>
      <c r="BM89" s="76">
        <f>资产资本表!BM55</f>
        <v>305397.90000000002</v>
      </c>
      <c r="BN89" s="76">
        <f>资产资本表!BN55</f>
        <v>505797.9</v>
      </c>
      <c r="BO89" s="76">
        <f>资产资本表!BO55</f>
        <v>534904.92000000004</v>
      </c>
      <c r="BP89" s="76">
        <f>资产资本表!BP55</f>
        <v>363564.64</v>
      </c>
      <c r="BQ89" s="76">
        <f>资产资本表!BQ55</f>
        <v>281351.87</v>
      </c>
      <c r="BR89" s="76">
        <f>资产资本表!BR55</f>
        <v>287377.78999999998</v>
      </c>
      <c r="BS89" s="76">
        <f>资产资本表!BS55</f>
        <v>61355.38</v>
      </c>
      <c r="BT89" s="76">
        <f>资产资本表!BT55</f>
        <v>131978.22</v>
      </c>
      <c r="BU89" s="76">
        <f>资产资本表!BU55</f>
        <v>5843472.4199999999</v>
      </c>
      <c r="BV89" s="76">
        <f>资产资本表!BV55</f>
        <v>4637179.25</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821805447.64999998</v>
      </c>
      <c r="F92" s="76">
        <f>资产资本表!F58</f>
        <v>308668374.06999999</v>
      </c>
      <c r="G92" s="76">
        <f>资产资本表!G58</f>
        <v>311698753.70999998</v>
      </c>
      <c r="H92" s="76">
        <f>资产资本表!H58</f>
        <v>314799780.39999998</v>
      </c>
      <c r="I92" s="76">
        <f>资产资本表!I58</f>
        <v>318035170.17000002</v>
      </c>
      <c r="J92" s="76">
        <f>资产资本表!J58</f>
        <v>325011031.92000002</v>
      </c>
      <c r="K92" s="76">
        <f>资产资本表!K58</f>
        <v>329190255.50999999</v>
      </c>
      <c r="L92" s="76">
        <f>资产资本表!L58</f>
        <v>328530250.67000002</v>
      </c>
      <c r="M92" s="76">
        <f>资产资本表!M58</f>
        <v>334411010.38999999</v>
      </c>
      <c r="N92" s="76">
        <f>资产资本表!N58</f>
        <v>126449050.01000001</v>
      </c>
      <c r="O92" s="76">
        <f>资产资本表!O58</f>
        <v>128001128.25</v>
      </c>
      <c r="P92" s="76">
        <f>资产资本表!P58</f>
        <v>134130911.33</v>
      </c>
      <c r="Q92" s="76">
        <f>资产资本表!Q58</f>
        <v>135620626.41999999</v>
      </c>
      <c r="R92" s="76">
        <f>资产资本表!R58</f>
        <v>131507705.34999999</v>
      </c>
      <c r="S92" s="76">
        <f>资产资本表!S58</f>
        <v>132601698.59999999</v>
      </c>
      <c r="T92" s="76">
        <f>资产资本表!T58</f>
        <v>134599454.44</v>
      </c>
      <c r="U92" s="76">
        <f>资产资本表!U58</f>
        <v>136559113.96000001</v>
      </c>
      <c r="V92" s="76">
        <f>资产资本表!V58</f>
        <v>131860418.7</v>
      </c>
      <c r="W92" s="76">
        <f>资产资本表!W58</f>
        <v>112533205.36</v>
      </c>
      <c r="X92" s="76">
        <f>资产资本表!X58</f>
        <v>114298534.47</v>
      </c>
      <c r="Y92" s="76">
        <f>资产资本表!Y58</f>
        <v>115357637.83</v>
      </c>
      <c r="Z92" s="76">
        <f>资产资本表!Z58</f>
        <v>119324435.03</v>
      </c>
      <c r="AA92" s="76">
        <f>资产资本表!AA58</f>
        <v>120101779.52</v>
      </c>
      <c r="AB92" s="76">
        <f>资产资本表!AB58</f>
        <v>97148474.329999998</v>
      </c>
      <c r="AC92" s="76">
        <f>资产资本表!AC58</f>
        <v>94225631.549999997</v>
      </c>
      <c r="AD92" s="76">
        <f>资产资本表!AD58</f>
        <v>35502321.350000001</v>
      </c>
      <c r="AE92" s="76">
        <f>资产资本表!AE58</f>
        <v>36336948.119999997</v>
      </c>
      <c r="AF92" s="76">
        <f>资产资本表!AF58</f>
        <v>31008980</v>
      </c>
      <c r="AG92" s="76">
        <f>资产资本表!AG58</f>
        <v>31453008.699999999</v>
      </c>
      <c r="AH92" s="76">
        <f>资产资本表!AH58</f>
        <v>31974430.73</v>
      </c>
      <c r="AI92" s="76">
        <f>资产资本表!AI58</f>
        <v>22954956.420000002</v>
      </c>
      <c r="AJ92" s="76">
        <f>资产资本表!AJ58</f>
        <v>23358406.18</v>
      </c>
      <c r="AK92" s="76">
        <f>资产资本表!AK58</f>
        <v>23494764.34</v>
      </c>
      <c r="AL92" s="76">
        <f>资产资本表!AL58</f>
        <v>26171249.760000002</v>
      </c>
      <c r="AM92" s="76">
        <f>资产资本表!AM58</f>
        <v>26897221.699999999</v>
      </c>
      <c r="AN92" s="76">
        <f>资产资本表!AN58</f>
        <v>28061480.989999998</v>
      </c>
      <c r="AO92" s="76">
        <f>资产资本表!AO58</f>
        <v>29297093.09</v>
      </c>
      <c r="AP92" s="76">
        <f>资产资本表!AP58</f>
        <v>30272193.800000001</v>
      </c>
      <c r="AQ92" s="76">
        <f>资产资本表!AQ58</f>
        <v>36298778.950000003</v>
      </c>
      <c r="AR92" s="76">
        <f>资产资本表!AR58</f>
        <v>41813780.850000001</v>
      </c>
      <c r="AS92" s="76">
        <f>资产资本表!AS58</f>
        <v>42800209.259999998</v>
      </c>
      <c r="AT92" s="76">
        <f>资产资本表!AT58</f>
        <v>46594797.969999999</v>
      </c>
      <c r="AU92" s="76">
        <f>资产资本表!AU58</f>
        <v>46295685.5</v>
      </c>
      <c r="AV92" s="76">
        <f>资产资本表!AV58</f>
        <v>46401383.810000002</v>
      </c>
      <c r="AW92" s="76">
        <f>资产资本表!AW58</f>
        <v>46924170.619999997</v>
      </c>
      <c r="AX92" s="76">
        <f>资产资本表!AX58</f>
        <v>43196675.140000001</v>
      </c>
      <c r="AY92" s="76">
        <f>资产资本表!AY58</f>
        <v>49358292.299999997</v>
      </c>
      <c r="AZ92" s="76">
        <f>资产资本表!AZ58</f>
        <v>50707040.039999999</v>
      </c>
      <c r="BA92" s="76">
        <f>资产资本表!BA58</f>
        <v>51978771.119999997</v>
      </c>
      <c r="BB92" s="76">
        <f>资产资本表!BB58</f>
        <v>52450024.060000002</v>
      </c>
      <c r="BC92" s="76">
        <f>资产资本表!BC58</f>
        <v>51193771.990000002</v>
      </c>
      <c r="BD92" s="76">
        <f>资产资本表!BD58</f>
        <v>51312378.689999998</v>
      </c>
      <c r="BE92" s="76">
        <f>资产资本表!BE58</f>
        <v>51692234.020000003</v>
      </c>
      <c r="BF92" s="76">
        <f>资产资本表!BF58</f>
        <v>43166903.479999997</v>
      </c>
      <c r="BG92" s="76">
        <f>资产资本表!BG58</f>
        <v>49703390.219999999</v>
      </c>
      <c r="BH92" s="76">
        <f>资产资本表!BH58</f>
        <v>49847513.799999997</v>
      </c>
      <c r="BI92" s="76">
        <f>资产资本表!BI58</f>
        <v>51767317.560000002</v>
      </c>
      <c r="BJ92" s="76">
        <f>资产资本表!BJ58</f>
        <v>48626345.170000002</v>
      </c>
      <c r="BK92" s="76">
        <f>资产资本表!BK58</f>
        <v>49329173.659999996</v>
      </c>
      <c r="BL92" s="76">
        <f>资产资本表!BL58</f>
        <v>50180759.93</v>
      </c>
      <c r="BM92" s="76">
        <f>资产资本表!BM58</f>
        <v>51023901.759999998</v>
      </c>
      <c r="BN92" s="76">
        <f>资产资本表!BN58</f>
        <v>51633265.909999996</v>
      </c>
      <c r="BO92" s="76">
        <f>资产资本表!BO58</f>
        <v>40579862.82</v>
      </c>
      <c r="BP92" s="76">
        <f>资产资本表!BP58</f>
        <v>39448900.840000004</v>
      </c>
      <c r="BQ92" s="76">
        <f>资产资本表!BQ58</f>
        <v>40088259.649999999</v>
      </c>
      <c r="BR92" s="76">
        <f>资产资本表!BR58</f>
        <v>41368643.950000003</v>
      </c>
      <c r="BS92" s="76">
        <f>资产资本表!BS58</f>
        <v>42092826.950000003</v>
      </c>
      <c r="BT92" s="76">
        <f>资产资本表!BT58</f>
        <v>23337014.690000001</v>
      </c>
      <c r="BU92" s="76">
        <f>资产资本表!BU58</f>
        <v>14483980.08</v>
      </c>
      <c r="BV92" s="76">
        <f>资产资本表!BV58</f>
        <v>15108575</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689</v>
      </c>
      <c r="E93" s="154">
        <f>E81/E92</f>
        <v>7.8951121955853596</v>
      </c>
      <c r="F93" s="154">
        <f t="shared" ref="F93:BQ93" si="52">F81/F92</f>
        <v>12.617299210306493</v>
      </c>
      <c r="G93" s="154">
        <f t="shared" si="52"/>
        <v>8.5078334850747339</v>
      </c>
      <c r="H93" s="154">
        <f t="shared" si="52"/>
        <v>4.2572004726849553</v>
      </c>
      <c r="I93" s="154">
        <f t="shared" si="52"/>
        <v>16.731477388634875</v>
      </c>
      <c r="J93" s="154">
        <f t="shared" si="52"/>
        <v>13.192945498002159</v>
      </c>
      <c r="K93" s="154">
        <f t="shared" si="52"/>
        <v>9.3129452655589642</v>
      </c>
      <c r="L93" s="154">
        <f t="shared" si="52"/>
        <v>4.690883295151993</v>
      </c>
      <c r="M93" s="154">
        <f t="shared" si="52"/>
        <v>17.481079094322819</v>
      </c>
      <c r="N93" s="154">
        <f t="shared" si="52"/>
        <v>36.517169181696723</v>
      </c>
      <c r="O93" s="154">
        <f t="shared" si="52"/>
        <v>25.117406102004416</v>
      </c>
      <c r="P93" s="154">
        <f t="shared" si="52"/>
        <v>11.890602628771388</v>
      </c>
      <c r="Q93" s="154">
        <f t="shared" si="52"/>
        <v>39.335162054031755</v>
      </c>
      <c r="R93" s="154">
        <f t="shared" si="52"/>
        <v>31.695980992113025</v>
      </c>
      <c r="S93" s="154">
        <f t="shared" si="52"/>
        <v>21.262013134875485</v>
      </c>
      <c r="T93" s="154">
        <f t="shared" si="52"/>
        <v>9.997820916056309</v>
      </c>
      <c r="U93" s="154">
        <f t="shared" si="52"/>
        <v>32.722119801677131</v>
      </c>
      <c r="V93" s="154">
        <f t="shared" si="52"/>
        <v>30.428869557275263</v>
      </c>
      <c r="W93" s="154">
        <f t="shared" si="52"/>
        <v>24.407845361048551</v>
      </c>
      <c r="X93" s="154">
        <f t="shared" si="52"/>
        <v>11.592681087943262</v>
      </c>
      <c r="Y93" s="154">
        <f t="shared" si="52"/>
        <v>39.044857845023024</v>
      </c>
      <c r="Z93" s="154">
        <f t="shared" si="52"/>
        <v>29.673093373874405</v>
      </c>
      <c r="AA93" s="154">
        <f t="shared" si="52"/>
        <v>19.475903823227547</v>
      </c>
      <c r="AB93" s="154">
        <f t="shared" si="52"/>
        <v>10.858982401684825</v>
      </c>
      <c r="AC93" s="154">
        <f t="shared" si="52"/>
        <v>37.957904914355545</v>
      </c>
      <c r="AD93" s="154">
        <f t="shared" si="52"/>
        <v>80.748709556987876</v>
      </c>
      <c r="AE93" s="154">
        <f t="shared" si="52"/>
        <v>52.898269752655281</v>
      </c>
      <c r="AF93" s="154">
        <f t="shared" si="52"/>
        <v>27.204515364581486</v>
      </c>
      <c r="AG93" s="154">
        <f t="shared" si="52"/>
        <v>98.367589038946221</v>
      </c>
      <c r="AH93" s="154">
        <f t="shared" si="52"/>
        <v>75.995468770305138</v>
      </c>
      <c r="AI93" s="154">
        <f t="shared" si="52"/>
        <v>68.706889697506114</v>
      </c>
      <c r="AJ93" s="154">
        <f t="shared" si="52"/>
        <v>28.594146845596125</v>
      </c>
      <c r="AK93" s="154">
        <f t="shared" si="52"/>
        <v>114.79644124278968</v>
      </c>
      <c r="AL93" s="154">
        <f t="shared" si="52"/>
        <v>83.356532382120363</v>
      </c>
      <c r="AM93" s="154">
        <f t="shared" si="52"/>
        <v>52.972160459234345</v>
      </c>
      <c r="AN93" s="154">
        <f t="shared" si="52"/>
        <v>20.753594330874268</v>
      </c>
      <c r="AO93" s="154">
        <f t="shared" si="52"/>
        <v>85.110767131402113</v>
      </c>
      <c r="AP93" s="154">
        <f t="shared" si="52"/>
        <v>69.29861120867956</v>
      </c>
      <c r="AQ93" s="154">
        <f t="shared" si="52"/>
        <v>38.145251445434639</v>
      </c>
      <c r="AR93" s="154">
        <f t="shared" si="52"/>
        <v>12.582832697368957</v>
      </c>
      <c r="AS93" s="154">
        <f t="shared" si="52"/>
        <v>52.82214653732747</v>
      </c>
      <c r="AT93" s="154">
        <f t="shared" si="52"/>
        <v>38.201324102017566</v>
      </c>
      <c r="AU93" s="154">
        <f t="shared" si="52"/>
        <v>25.099220548316538</v>
      </c>
      <c r="AV93" s="154">
        <f t="shared" si="52"/>
        <v>10.25167409657044</v>
      </c>
      <c r="AW93" s="154">
        <f t="shared" si="52"/>
        <v>46.013268573994459</v>
      </c>
      <c r="AX93" s="154">
        <f t="shared" si="52"/>
        <v>40.421348515620963</v>
      </c>
      <c r="AY93" s="154">
        <f t="shared" si="52"/>
        <v>22.211184350071207</v>
      </c>
      <c r="AZ93" s="154">
        <f t="shared" si="52"/>
        <v>8.8311764910109716</v>
      </c>
      <c r="BA93" s="154">
        <f t="shared" si="52"/>
        <v>37.493576830832936</v>
      </c>
      <c r="BB93" s="154">
        <f t="shared" si="52"/>
        <v>29.389506367368476</v>
      </c>
      <c r="BC93" s="154">
        <f t="shared" si="52"/>
        <v>18.943827158495729</v>
      </c>
      <c r="BD93" s="154">
        <f t="shared" si="52"/>
        <v>7.4558692098707695</v>
      </c>
      <c r="BE93" s="154">
        <f t="shared" si="52"/>
        <v>32.286426655970629</v>
      </c>
      <c r="BF93" s="154">
        <f t="shared" si="52"/>
        <v>29.779765486667245</v>
      </c>
      <c r="BG93" s="154">
        <f t="shared" si="52"/>
        <v>15.579536952761208</v>
      </c>
      <c r="BH93" s="154">
        <f t="shared" si="52"/>
        <v>5.7411821909160095</v>
      </c>
      <c r="BI93" s="154">
        <f t="shared" si="52"/>
        <v>28.712640844046852</v>
      </c>
      <c r="BJ93" s="154">
        <f t="shared" si="52"/>
        <v>23.481884793275736</v>
      </c>
      <c r="BK93" s="154">
        <f t="shared" si="52"/>
        <v>14.922695574300851</v>
      </c>
      <c r="BL93" s="154">
        <f t="shared" si="52"/>
        <v>4.5460705560901218</v>
      </c>
      <c r="BM93" s="154">
        <f t="shared" si="52"/>
        <v>26.730307114012444</v>
      </c>
      <c r="BN93" s="154">
        <f t="shared" si="52"/>
        <v>20.157819501369598</v>
      </c>
      <c r="BO93" s="154">
        <f t="shared" si="52"/>
        <v>16.911645538677551</v>
      </c>
      <c r="BP93" s="154">
        <f t="shared" si="52"/>
        <v>5.6587809775842661</v>
      </c>
      <c r="BQ93" s="154">
        <f t="shared" si="52"/>
        <v>32.574451239366788</v>
      </c>
      <c r="BR93" s="154">
        <f t="shared" ref="BR93:CK93" si="53">BR81/BR92</f>
        <v>15.443997154274621</v>
      </c>
      <c r="BS93" s="154">
        <f t="shared" si="53"/>
        <v>28.204745662015934</v>
      </c>
      <c r="BT93" s="154">
        <f t="shared" si="53"/>
        <v>46.40121226619496</v>
      </c>
      <c r="BU93" s="154">
        <f t="shared" si="53"/>
        <v>67.799699103839146</v>
      </c>
      <c r="BV93" s="154">
        <f t="shared" si="53"/>
        <v>59.553484669467501</v>
      </c>
      <c r="BW93" s="154" t="e">
        <f t="shared" si="53"/>
        <v>#DIV/0!</v>
      </c>
      <c r="BX93" s="154" t="e">
        <f t="shared" si="53"/>
        <v>#DIV/0!</v>
      </c>
      <c r="BY93" s="154" t="e">
        <f t="shared" si="53"/>
        <v>#DIV/0!</v>
      </c>
      <c r="BZ93" s="154" t="e">
        <f t="shared" si="53"/>
        <v>#DIV/0!</v>
      </c>
      <c r="CA93" s="154" t="e">
        <f t="shared" si="53"/>
        <v>#DIV/0!</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591</v>
      </c>
      <c r="E94" s="76">
        <f>资产资本表!E59</f>
        <v>11313616.24</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1961083992.46</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62590683.240000002</v>
      </c>
      <c r="AE95" s="76">
        <f>资产资本表!AE60</f>
        <v>62590683.240000002</v>
      </c>
      <c r="AF95" s="76">
        <f>资产资本表!AF60</f>
        <v>0</v>
      </c>
      <c r="AG95" s="76">
        <f>资产资本表!AG60</f>
        <v>0</v>
      </c>
      <c r="AH95" s="76">
        <f>资产资本表!AH60</f>
        <v>30057710.489999998</v>
      </c>
      <c r="AI95" s="76">
        <f>资产资本表!AI60</f>
        <v>30057710.489999998</v>
      </c>
      <c r="AJ95" s="76">
        <f>资产资本表!AJ60</f>
        <v>30057710.489999998</v>
      </c>
      <c r="AK95" s="76">
        <f>资产资本表!AK60</f>
        <v>30057710.489999998</v>
      </c>
      <c r="AL95" s="76">
        <f>资产资本表!AL60</f>
        <v>30057710.489999998</v>
      </c>
      <c r="AM95" s="76">
        <f>资产资本表!AM60</f>
        <v>30057710.489999998</v>
      </c>
      <c r="AN95" s="76">
        <f>资产资本表!AN60</f>
        <v>30057710.489999998</v>
      </c>
      <c r="AO95" s="76">
        <f>资产资本表!AO60</f>
        <v>30057710.489999998</v>
      </c>
      <c r="AP95" s="76">
        <f>资产资本表!AP60</f>
        <v>28758091.199999999</v>
      </c>
      <c r="AQ95" s="76">
        <f>资产资本表!AQ60</f>
        <v>28758091.199999999</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111566514.70999999</v>
      </c>
      <c r="F96" s="76">
        <f>资产资本表!F61</f>
        <v>135730339.69999999</v>
      </c>
      <c r="G96" s="76">
        <f>资产资本表!G61</f>
        <v>145593905.74000001</v>
      </c>
      <c r="H96" s="76">
        <f>资产资本表!H61</f>
        <v>146614603.97999999</v>
      </c>
      <c r="I96" s="76">
        <f>资产资本表!I61</f>
        <v>165753726.22</v>
      </c>
      <c r="J96" s="76">
        <f>资产资本表!J61</f>
        <v>156873435.44999999</v>
      </c>
      <c r="K96" s="76">
        <f>资产资本表!K61</f>
        <v>88590560.790000007</v>
      </c>
      <c r="L96" s="76">
        <f>资产资本表!L61</f>
        <v>84464188.469999999</v>
      </c>
      <c r="M96" s="76">
        <f>资产资本表!M61</f>
        <v>87496743.590000004</v>
      </c>
      <c r="N96" s="76">
        <f>资产资本表!N61</f>
        <v>79492024.609999999</v>
      </c>
      <c r="O96" s="76">
        <f>资产资本表!O61</f>
        <v>67651777.409999996</v>
      </c>
      <c r="P96" s="76">
        <f>资产资本表!P61</f>
        <v>67371045.409999996</v>
      </c>
      <c r="Q96" s="76">
        <f>资产资本表!Q61</f>
        <v>62678520.969999999</v>
      </c>
      <c r="R96" s="76">
        <f>资产资本表!R61</f>
        <v>48876208.140000001</v>
      </c>
      <c r="S96" s="76">
        <f>资产资本表!S61</f>
        <v>52346528.200000003</v>
      </c>
      <c r="T96" s="76">
        <f>资产资本表!T61</f>
        <v>56702429.560000002</v>
      </c>
      <c r="U96" s="76">
        <f>资产资本表!U61</f>
        <v>64515985.719999999</v>
      </c>
      <c r="V96" s="76">
        <f>资产资本表!V61</f>
        <v>59044603.369999997</v>
      </c>
      <c r="W96" s="76">
        <f>资产资本表!W61</f>
        <v>55895127.600000001</v>
      </c>
      <c r="X96" s="76">
        <f>资产资本表!X61</f>
        <v>51288140.880000003</v>
      </c>
      <c r="Y96" s="76">
        <f>资产资本表!Y61</f>
        <v>54774691.409999996</v>
      </c>
      <c r="Z96" s="76">
        <f>资产资本表!Z61</f>
        <v>53298169.590000004</v>
      </c>
      <c r="AA96" s="76">
        <f>资产资本表!AA61</f>
        <v>47801498.18</v>
      </c>
      <c r="AB96" s="76">
        <f>资产资本表!AB61</f>
        <v>44844557.600000001</v>
      </c>
      <c r="AC96" s="76">
        <f>资产资本表!AC61</f>
        <v>49680474.799999997</v>
      </c>
      <c r="AD96" s="76">
        <f>资产资本表!AD61</f>
        <v>43277323.840000004</v>
      </c>
      <c r="AE96" s="76">
        <f>资产资本表!AE61</f>
        <v>43770930.869999997</v>
      </c>
      <c r="AF96" s="76">
        <f>资产资本表!AF61</f>
        <v>43857516.289999999</v>
      </c>
      <c r="AG96" s="76">
        <f>资产资本表!AG61</f>
        <v>44341450.770000003</v>
      </c>
      <c r="AH96" s="76">
        <f>资产资本表!AH61</f>
        <v>44757917.729999997</v>
      </c>
      <c r="AI96" s="76">
        <f>资产资本表!AI61</f>
        <v>44557671.990000002</v>
      </c>
      <c r="AJ96" s="76">
        <f>资产资本表!AJ61</f>
        <v>44235209.079999998</v>
      </c>
      <c r="AK96" s="76">
        <f>资产资本表!AK61</f>
        <v>41442240.719999999</v>
      </c>
      <c r="AL96" s="76">
        <f>资产资本表!AL61</f>
        <v>30031050.48</v>
      </c>
      <c r="AM96" s="76">
        <f>资产资本表!AM61</f>
        <v>29803617.43</v>
      </c>
      <c r="AN96" s="76">
        <f>资产资本表!AN61</f>
        <v>28468283.329999998</v>
      </c>
      <c r="AO96" s="76">
        <f>资产资本表!AO61</f>
        <v>29180357.27</v>
      </c>
      <c r="AP96" s="76">
        <f>资产资本表!AP61</f>
        <v>22685331.719999999</v>
      </c>
      <c r="AQ96" s="76">
        <f>资产资本表!AQ61</f>
        <v>24083849.789999999</v>
      </c>
      <c r="AR96" s="76">
        <f>资产资本表!AR61</f>
        <v>24634742.800000001</v>
      </c>
      <c r="AS96" s="76">
        <f>资产资本表!AS61</f>
        <v>31164435.91</v>
      </c>
      <c r="AT96" s="76">
        <f>资产资本表!AT61</f>
        <v>20055660.510000002</v>
      </c>
      <c r="AU96" s="76">
        <f>资产资本表!AU61</f>
        <v>20947323.59</v>
      </c>
      <c r="AV96" s="76">
        <f>资产资本表!AV61</f>
        <v>25954897.23</v>
      </c>
      <c r="AW96" s="76">
        <f>资产资本表!AW61</f>
        <v>4438746.01</v>
      </c>
      <c r="AX96" s="76">
        <f>资产资本表!AX61</f>
        <v>6138743.0199999996</v>
      </c>
      <c r="AY96" s="76">
        <f>资产资本表!AY61</f>
        <v>7041266.46</v>
      </c>
      <c r="AZ96" s="76">
        <f>资产资本表!AZ61</f>
        <v>7964352.3700000001</v>
      </c>
      <c r="BA96" s="76">
        <f>资产资本表!BA61</f>
        <v>8935472.6600000001</v>
      </c>
      <c r="BB96" s="76">
        <f>资产资本表!BB61</f>
        <v>3500479.3</v>
      </c>
      <c r="BC96" s="76">
        <f>资产资本表!BC61</f>
        <v>3720871.57</v>
      </c>
      <c r="BD96" s="76">
        <f>资产资本表!BD61</f>
        <v>4473025.5</v>
      </c>
      <c r="BE96" s="76">
        <f>资产资本表!BE61</f>
        <v>4179157.83</v>
      </c>
      <c r="BF96" s="76">
        <f>资产资本表!BF61</f>
        <v>5429412.79</v>
      </c>
      <c r="BG96" s="76">
        <f>资产资本表!BG61</f>
        <v>5798758.9299999997</v>
      </c>
      <c r="BH96" s="76">
        <f>资产资本表!BH61</f>
        <v>3778675.78</v>
      </c>
      <c r="BI96" s="76">
        <f>资产资本表!BI61</f>
        <v>4002378.56</v>
      </c>
      <c r="BJ96" s="76">
        <f>资产资本表!BJ61</f>
        <v>4931889.17</v>
      </c>
      <c r="BK96" s="76">
        <f>资产资本表!BK61</f>
        <v>6577747.9900000002</v>
      </c>
      <c r="BL96" s="76">
        <f>资产资本表!BL61</f>
        <v>6416539.8600000003</v>
      </c>
      <c r="BM96" s="76">
        <f>资产资本表!BM61</f>
        <v>7129169.3399999999</v>
      </c>
      <c r="BN96" s="76">
        <f>资产资本表!BN61</f>
        <v>7973940.2599999998</v>
      </c>
      <c r="BO96" s="76">
        <f>资产资本表!BO61</f>
        <v>4452805.16</v>
      </c>
      <c r="BP96" s="76">
        <f>资产资本表!BP61</f>
        <v>5484771.2000000002</v>
      </c>
      <c r="BQ96" s="76">
        <f>资产资本表!BQ61</f>
        <v>5810586.5499999998</v>
      </c>
      <c r="BR96" s="76">
        <f>资产资本表!BR61</f>
        <v>5420067.04</v>
      </c>
      <c r="BS96" s="76">
        <f>资产资本表!BS61</f>
        <v>5354904.25</v>
      </c>
      <c r="BT96" s="76">
        <f>资产资本表!BT61</f>
        <v>14031151.300000001</v>
      </c>
      <c r="BU96" s="76">
        <f>资产资本表!BU61</f>
        <v>13717927.220000001</v>
      </c>
      <c r="BV96" s="76">
        <f>资产资本表!BV61</f>
        <v>14151474.869999999</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184246738.30000001</v>
      </c>
      <c r="F97" s="76">
        <f>资产资本表!F62</f>
        <v>135297155.61000001</v>
      </c>
      <c r="G97" s="76">
        <f>资产资本表!G62</f>
        <v>146102579.47999999</v>
      </c>
      <c r="H97" s="76">
        <f>资产资本表!H62</f>
        <v>138583950.88999999</v>
      </c>
      <c r="I97" s="76">
        <f>资产资本表!I62</f>
        <v>130519998.72</v>
      </c>
      <c r="J97" s="76">
        <f>资产资本表!J62</f>
        <v>122621574.25</v>
      </c>
      <c r="K97" s="76">
        <f>资产资本表!K62</f>
        <v>113630395.43000001</v>
      </c>
      <c r="L97" s="76">
        <f>资产资本表!L62</f>
        <v>101326681.17</v>
      </c>
      <c r="M97" s="76">
        <f>资产资本表!M62</f>
        <v>93083969.049999997</v>
      </c>
      <c r="N97" s="76">
        <f>资产资本表!N62</f>
        <v>50462737.869999997</v>
      </c>
      <c r="O97" s="76">
        <f>资产资本表!O62</f>
        <v>56123492.68</v>
      </c>
      <c r="P97" s="76">
        <f>资产资本表!P62</f>
        <v>48422759.07</v>
      </c>
      <c r="Q97" s="76">
        <f>资产资本表!Q62</f>
        <v>59576125.149999999</v>
      </c>
      <c r="R97" s="76">
        <f>资产资本表!R62</f>
        <v>84903069.049999997</v>
      </c>
      <c r="S97" s="76">
        <f>资产资本表!S62</f>
        <v>72503475.230000004</v>
      </c>
      <c r="T97" s="76">
        <f>资产资本表!T62</f>
        <v>88605909.780000001</v>
      </c>
      <c r="U97" s="76">
        <f>资产资本表!U62</f>
        <v>88770744.239999995</v>
      </c>
      <c r="V97" s="76">
        <f>资产资本表!V62</f>
        <v>46242581.210000001</v>
      </c>
      <c r="W97" s="76">
        <f>资产资本表!W62</f>
        <v>45272547.07</v>
      </c>
      <c r="X97" s="76">
        <f>资产资本表!X62</f>
        <v>43091048.869999997</v>
      </c>
      <c r="Y97" s="76">
        <f>资产资本表!Y62</f>
        <v>44840180.350000001</v>
      </c>
      <c r="Z97" s="76">
        <f>资产资本表!Z62</f>
        <v>28415889.510000002</v>
      </c>
      <c r="AA97" s="76">
        <f>资产资本表!AA62</f>
        <v>23399044.710000001</v>
      </c>
      <c r="AB97" s="76">
        <f>资产资本表!AB62</f>
        <v>25681547.440000001</v>
      </c>
      <c r="AC97" s="76">
        <f>资产资本表!AC62</f>
        <v>25864848.09</v>
      </c>
      <c r="AD97" s="76">
        <f>资产资本表!AD62</f>
        <v>28629512.27</v>
      </c>
      <c r="AE97" s="76">
        <f>资产资本表!AE62</f>
        <v>31814898.829999998</v>
      </c>
      <c r="AF97" s="76">
        <f>资产资本表!AF62</f>
        <v>35106875.170000002</v>
      </c>
      <c r="AG97" s="76">
        <f>资产资本表!AG62</f>
        <v>30405984.309999999</v>
      </c>
      <c r="AH97" s="76">
        <f>资产资本表!AH62</f>
        <v>19797597.170000002</v>
      </c>
      <c r="AI97" s="76">
        <f>资产资本表!AI62</f>
        <v>20442156.32</v>
      </c>
      <c r="AJ97" s="76">
        <f>资产资本表!AJ62</f>
        <v>26557134.719999999</v>
      </c>
      <c r="AK97" s="76">
        <f>资产资本表!AK62</f>
        <v>12856270.300000001</v>
      </c>
      <c r="AL97" s="76">
        <f>资产资本表!AL62</f>
        <v>10851594.210000001</v>
      </c>
      <c r="AM97" s="76">
        <f>资产资本表!AM62</f>
        <v>11189683.41</v>
      </c>
      <c r="AN97" s="76">
        <f>资产资本表!AN62</f>
        <v>10766458.24</v>
      </c>
      <c r="AO97" s="76">
        <f>资产资本表!AO62</f>
        <v>10967095.550000001</v>
      </c>
      <c r="AP97" s="76">
        <f>资产资本表!AP62</f>
        <v>12147455.779999999</v>
      </c>
      <c r="AQ97" s="76">
        <f>资产资本表!AQ62</f>
        <v>11752166.75</v>
      </c>
      <c r="AR97" s="76">
        <f>资产资本表!AR62</f>
        <v>7753956.25</v>
      </c>
      <c r="AS97" s="76">
        <f>资产资本表!AS62</f>
        <v>6158637.9000000004</v>
      </c>
      <c r="AT97" s="76">
        <f>资产资本表!AT62</f>
        <v>23547791.649999999</v>
      </c>
      <c r="AU97" s="76">
        <f>资产资本表!AU62</f>
        <v>26415045.670000002</v>
      </c>
      <c r="AV97" s="76">
        <f>资产资本表!AV62</f>
        <v>26247218.870000001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94484129.390000001</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88552460.829999998</v>
      </c>
      <c r="O98" s="76">
        <f>资产资本表!O63</f>
        <v>93153447.150000006</v>
      </c>
      <c r="P98" s="76">
        <f>资产资本表!P63</f>
        <v>58908514.119999997</v>
      </c>
      <c r="Q98" s="76">
        <f>资产资本表!Q63</f>
        <v>54605298.759999998</v>
      </c>
      <c r="R98" s="76">
        <f>资产资本表!R63</f>
        <v>11413434.73</v>
      </c>
      <c r="S98" s="76">
        <f>资产资本表!S63</f>
        <v>10834890.67</v>
      </c>
      <c r="T98" s="76">
        <f>资产资本表!T63</f>
        <v>10100477.75</v>
      </c>
      <c r="U98" s="76">
        <f>资产资本表!U63</f>
        <v>10153406.699999999</v>
      </c>
      <c r="V98" s="76">
        <f>资产资本表!V63</f>
        <v>8073937.5</v>
      </c>
      <c r="W98" s="76">
        <f>资产资本表!W63</f>
        <v>8073937.5</v>
      </c>
      <c r="X98" s="76">
        <f>资产资本表!X63</f>
        <v>8073937.5</v>
      </c>
      <c r="Y98" s="76">
        <f>资产资本表!Y63</f>
        <v>8073937.5</v>
      </c>
      <c r="Z98" s="76">
        <f>资产资本表!Z63</f>
        <v>8073937.5</v>
      </c>
      <c r="AA98" s="76">
        <f>资产资本表!AA63</f>
        <v>8073937.5</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101419.81</v>
      </c>
      <c r="AS98" s="76">
        <f>资产资本表!AS63</f>
        <v>121242.36</v>
      </c>
      <c r="AT98" s="76">
        <f>资产资本表!AT63</f>
        <v>1113515.67</v>
      </c>
      <c r="AU98" s="76">
        <f>资产资本表!AU63</f>
        <v>1075063.3700000001</v>
      </c>
      <c r="AV98" s="76">
        <f>资产资本表!AV63</f>
        <v>1047532.43</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162369221.94</v>
      </c>
      <c r="F99" s="93">
        <f>资产资本表!F64</f>
        <v>146326997.55000001</v>
      </c>
      <c r="G99" s="93">
        <f>资产资本表!G64</f>
        <v>132391321.97</v>
      </c>
      <c r="H99" s="93">
        <f>资产资本表!H64</f>
        <v>130207370.73</v>
      </c>
      <c r="I99" s="93">
        <f>资产资本表!I64</f>
        <v>165804397.83000001</v>
      </c>
      <c r="J99" s="93">
        <f>资产资本表!J64</f>
        <v>106312328.77</v>
      </c>
      <c r="K99" s="93">
        <f>资产资本表!K64</f>
        <v>105304109.59</v>
      </c>
      <c r="L99" s="93">
        <f>资产资本表!L64</f>
        <v>104306849.31999999</v>
      </c>
      <c r="M99" s="93">
        <f>资产资本表!M64</f>
        <v>103309589.04000001</v>
      </c>
      <c r="N99" s="93">
        <f>资产资本表!N64</f>
        <v>309390000</v>
      </c>
      <c r="O99" s="93">
        <f>资产资本表!O64</f>
        <v>309390000</v>
      </c>
      <c r="P99" s="93">
        <f>资产资本表!P64</f>
        <v>100000000</v>
      </c>
      <c r="Q99" s="93">
        <f>资产资本表!Q64</f>
        <v>0</v>
      </c>
      <c r="R99" s="93">
        <f>资产资本表!R64</f>
        <v>0</v>
      </c>
      <c r="S99" s="93">
        <f>资产资本表!S64</f>
        <v>0</v>
      </c>
      <c r="T99" s="93">
        <f>资产资本表!T64</f>
        <v>0</v>
      </c>
      <c r="U99" s="93">
        <f>资产资本表!U64</f>
        <v>0</v>
      </c>
      <c r="V99" s="93">
        <f>资产资本表!V64</f>
        <v>0</v>
      </c>
      <c r="W99" s="93">
        <f>资产资本表!W64</f>
        <v>12870000</v>
      </c>
      <c r="X99" s="93">
        <f>资产资本表!X64</f>
        <v>12870000</v>
      </c>
      <c r="Y99" s="93">
        <f>资产资本表!Y64</f>
        <v>8000000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686</v>
      </c>
      <c r="E100" s="196">
        <f>(E84+I84)/2</f>
        <v>251795393.11000001</v>
      </c>
      <c r="F100" s="196">
        <f t="shared" ref="F100:BQ100" si="54">(F84+J84)/2</f>
        <v>197754945.065</v>
      </c>
      <c r="G100" s="196">
        <f t="shared" si="54"/>
        <v>205136860.88499999</v>
      </c>
      <c r="H100" s="196">
        <f t="shared" si="54"/>
        <v>208861939.86500001</v>
      </c>
      <c r="I100" s="196">
        <f t="shared" si="54"/>
        <v>215259389.715</v>
      </c>
      <c r="J100" s="196">
        <f t="shared" si="54"/>
        <v>198727399.94999999</v>
      </c>
      <c r="K100" s="196">
        <f t="shared" si="54"/>
        <v>203213642.28</v>
      </c>
      <c r="L100" s="196">
        <f t="shared" si="54"/>
        <v>213664618.30500001</v>
      </c>
      <c r="M100" s="196">
        <f t="shared" si="54"/>
        <v>219786046.45999998</v>
      </c>
      <c r="N100" s="196">
        <f t="shared" si="54"/>
        <v>202224899.93000001</v>
      </c>
      <c r="O100" s="196">
        <f t="shared" si="54"/>
        <v>211461601.17500001</v>
      </c>
      <c r="P100" s="196">
        <f t="shared" si="54"/>
        <v>217836842.16500002</v>
      </c>
      <c r="Q100" s="196">
        <f t="shared" si="54"/>
        <v>216024054.98000002</v>
      </c>
      <c r="R100" s="196">
        <f t="shared" si="54"/>
        <v>215979968.45999998</v>
      </c>
      <c r="S100" s="196">
        <f t="shared" si="54"/>
        <v>219139771.73000002</v>
      </c>
      <c r="T100" s="196">
        <f t="shared" si="54"/>
        <v>219433418.73500001</v>
      </c>
      <c r="U100" s="196">
        <f t="shared" si="54"/>
        <v>216967019.58500001</v>
      </c>
      <c r="V100" s="196">
        <f t="shared" si="54"/>
        <v>221715315.36500001</v>
      </c>
      <c r="W100" s="196">
        <f t="shared" si="54"/>
        <v>217754616.25999999</v>
      </c>
      <c r="X100" s="196">
        <f t="shared" si="54"/>
        <v>221406822.92000002</v>
      </c>
      <c r="Y100" s="196">
        <f t="shared" si="54"/>
        <v>225999336.935</v>
      </c>
      <c r="Z100" s="196">
        <f t="shared" si="54"/>
        <v>238542052.16</v>
      </c>
      <c r="AA100" s="196">
        <f t="shared" si="54"/>
        <v>239072950.26999998</v>
      </c>
      <c r="AB100" s="196">
        <f t="shared" si="54"/>
        <v>239636984.73500001</v>
      </c>
      <c r="AC100" s="196">
        <f t="shared" si="54"/>
        <v>246146243.69</v>
      </c>
      <c r="AD100" s="196">
        <f t="shared" si="54"/>
        <v>249629193.31999999</v>
      </c>
      <c r="AE100" s="196">
        <f t="shared" si="54"/>
        <v>252806798.03</v>
      </c>
      <c r="AF100" s="196">
        <f t="shared" si="54"/>
        <v>254682865.55500001</v>
      </c>
      <c r="AG100" s="196">
        <f t="shared" si="54"/>
        <v>259914786.965</v>
      </c>
      <c r="AH100" s="196">
        <f t="shared" si="54"/>
        <v>264778473.995</v>
      </c>
      <c r="AI100" s="196">
        <f t="shared" si="54"/>
        <v>267360813.38999999</v>
      </c>
      <c r="AJ100" s="196">
        <f t="shared" si="54"/>
        <v>272349765.96500003</v>
      </c>
      <c r="AK100" s="196">
        <f t="shared" si="54"/>
        <v>272594643.74000001</v>
      </c>
      <c r="AL100" s="196">
        <f t="shared" si="54"/>
        <v>280578438.14999998</v>
      </c>
      <c r="AM100" s="196">
        <f t="shared" si="54"/>
        <v>304840328.80500001</v>
      </c>
      <c r="AN100" s="196">
        <f t="shared" si="54"/>
        <v>325429515.73500001</v>
      </c>
      <c r="AO100" s="196">
        <f t="shared" si="54"/>
        <v>328464579.255</v>
      </c>
      <c r="AP100" s="196">
        <f t="shared" si="54"/>
        <v>330132570.37</v>
      </c>
      <c r="AQ100" s="196">
        <f t="shared" si="54"/>
        <v>360398983.21000004</v>
      </c>
      <c r="AR100" s="196">
        <f t="shared" si="54"/>
        <v>383813793.58500004</v>
      </c>
      <c r="AS100" s="196">
        <f t="shared" si="54"/>
        <v>409964117.22500002</v>
      </c>
      <c r="AT100" s="196">
        <f t="shared" si="54"/>
        <v>398409129.89499998</v>
      </c>
      <c r="AU100" s="196">
        <f t="shared" si="54"/>
        <v>406492143.315</v>
      </c>
      <c r="AV100" s="196">
        <f t="shared" si="54"/>
        <v>405814213.55500001</v>
      </c>
      <c r="AW100" s="196">
        <f t="shared" si="54"/>
        <v>432043393.56</v>
      </c>
      <c r="AX100" s="196">
        <f t="shared" si="54"/>
        <v>409913954.39499998</v>
      </c>
      <c r="AY100" s="196">
        <f t="shared" si="54"/>
        <v>416103913.94499999</v>
      </c>
      <c r="AZ100" s="196">
        <f t="shared" si="54"/>
        <v>415243668.65499997</v>
      </c>
      <c r="BA100" s="196">
        <f t="shared" si="54"/>
        <v>424925285.84500003</v>
      </c>
      <c r="BB100" s="196">
        <f t="shared" si="54"/>
        <v>370144876.76999998</v>
      </c>
      <c r="BC100" s="196">
        <f t="shared" si="54"/>
        <v>373247501.84500003</v>
      </c>
      <c r="BD100" s="196">
        <f t="shared" si="54"/>
        <v>376310372.07999998</v>
      </c>
      <c r="BE100" s="196">
        <f t="shared" si="54"/>
        <v>388616555.03499997</v>
      </c>
      <c r="BF100" s="196">
        <f t="shared" si="54"/>
        <v>328103102.21000004</v>
      </c>
      <c r="BG100" s="196">
        <f t="shared" si="54"/>
        <v>319644071.97000003</v>
      </c>
      <c r="BH100" s="196">
        <f t="shared" si="54"/>
        <v>315114690.57999998</v>
      </c>
      <c r="BI100" s="196">
        <f t="shared" si="54"/>
        <v>326175465.05000001</v>
      </c>
      <c r="BJ100" s="196">
        <f t="shared" si="54"/>
        <v>289367958.46000004</v>
      </c>
      <c r="BK100" s="196">
        <f t="shared" si="54"/>
        <v>281324203.56</v>
      </c>
      <c r="BL100" s="196">
        <f t="shared" si="54"/>
        <v>261512821.21499997</v>
      </c>
      <c r="BM100" s="196">
        <f t="shared" si="54"/>
        <v>267993559.07500002</v>
      </c>
      <c r="BN100" s="196">
        <f t="shared" si="54"/>
        <v>245035599.02500001</v>
      </c>
      <c r="BO100" s="196">
        <f t="shared" si="54"/>
        <v>248682416.94499999</v>
      </c>
      <c r="BP100" s="196">
        <f t="shared" si="54"/>
        <v>251066776.61500001</v>
      </c>
      <c r="BQ100" s="196">
        <f t="shared" si="54"/>
        <v>229873973.35500002</v>
      </c>
      <c r="BR100" s="196">
        <f t="shared" ref="BR100:CK100" si="55">(BR84+BV84)/2</f>
        <v>184923669.39499998</v>
      </c>
      <c r="BS100" s="196">
        <f t="shared" si="55"/>
        <v>119862137.23</v>
      </c>
      <c r="BT100" s="196">
        <f t="shared" si="55"/>
        <v>139201497.875</v>
      </c>
      <c r="BU100" s="196">
        <f t="shared" si="55"/>
        <v>115381070.36</v>
      </c>
      <c r="BV100" s="196">
        <f t="shared" si="55"/>
        <v>69629773.989999995</v>
      </c>
      <c r="BW100" s="196">
        <f t="shared" si="55"/>
        <v>0</v>
      </c>
      <c r="BX100" s="196">
        <f t="shared" si="55"/>
        <v>0</v>
      </c>
      <c r="BY100" s="196">
        <f t="shared" si="55"/>
        <v>0</v>
      </c>
      <c r="BZ100" s="196">
        <f t="shared" si="55"/>
        <v>0</v>
      </c>
      <c r="CA100" s="196">
        <f t="shared" si="55"/>
        <v>0</v>
      </c>
      <c r="CB100" s="196">
        <f t="shared" si="55"/>
        <v>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687</v>
      </c>
      <c r="E101" s="251">
        <f>E100/E84</f>
        <v>0.84761635485974718</v>
      </c>
      <c r="F101" s="251">
        <f t="shared" ref="F101:BQ101" si="56">F100/F84</f>
        <v>1.0529461964855698</v>
      </c>
      <c r="G101" s="251">
        <f t="shared" si="56"/>
        <v>1.0328145736115057</v>
      </c>
      <c r="H101" s="251">
        <f t="shared" si="56"/>
        <v>1.0367088219637441</v>
      </c>
      <c r="I101" s="251">
        <f t="shared" si="56"/>
        <v>1.0422777235786176</v>
      </c>
      <c r="J101" s="251">
        <f t="shared" si="56"/>
        <v>0.95680559808905696</v>
      </c>
      <c r="K101" s="251">
        <f t="shared" si="56"/>
        <v>0.96011978921094643</v>
      </c>
      <c r="L101" s="251">
        <f t="shared" si="56"/>
        <v>0.98801006457799811</v>
      </c>
      <c r="M101" s="251">
        <f t="shared" si="56"/>
        <v>0.98122749281257826</v>
      </c>
      <c r="N101" s="251">
        <f t="shared" si="56"/>
        <v>1.0657103244193755</v>
      </c>
      <c r="O101" s="251">
        <f t="shared" si="56"/>
        <v>1.085683330289589</v>
      </c>
      <c r="P101" s="251">
        <f t="shared" si="56"/>
        <v>1.0320513719368865</v>
      </c>
      <c r="Q101" s="251">
        <f t="shared" si="56"/>
        <v>1.0020543520522189</v>
      </c>
      <c r="R101" s="251">
        <f t="shared" si="56"/>
        <v>1.0059905865993775</v>
      </c>
      <c r="S101" s="251">
        <f t="shared" si="56"/>
        <v>0.9605058167808308</v>
      </c>
      <c r="T101" s="251">
        <f t="shared" si="56"/>
        <v>0.9769879092873911</v>
      </c>
      <c r="U101" s="251">
        <f t="shared" si="56"/>
        <v>1.0023102141484148</v>
      </c>
      <c r="V101" s="251">
        <f t="shared" si="56"/>
        <v>1.020478135943057</v>
      </c>
      <c r="W101" s="251">
        <f t="shared" si="56"/>
        <v>1.0362893835378033</v>
      </c>
      <c r="X101" s="251">
        <f t="shared" si="56"/>
        <v>1.03333241577736</v>
      </c>
      <c r="Y101" s="251">
        <f t="shared" si="56"/>
        <v>1.0392345885703644</v>
      </c>
      <c r="Z101" s="251">
        <f t="shared" si="56"/>
        <v>1.0547279999225092</v>
      </c>
      <c r="AA101" s="251">
        <f t="shared" si="56"/>
        <v>1.0607546006337853</v>
      </c>
      <c r="AB101" s="251">
        <f t="shared" si="56"/>
        <v>1.048515665212612</v>
      </c>
      <c r="AC101" s="251">
        <f t="shared" si="56"/>
        <v>1.0495228613110412</v>
      </c>
      <c r="AD101" s="251">
        <f t="shared" si="56"/>
        <v>0.99485735362151495</v>
      </c>
      <c r="AE101" s="251">
        <f t="shared" si="56"/>
        <v>1.0001620922438093</v>
      </c>
      <c r="AF101" s="251">
        <f t="shared" si="56"/>
        <v>1.015784949503614</v>
      </c>
      <c r="AG101" s="251">
        <f t="shared" si="56"/>
        <v>1.0083560724066598</v>
      </c>
      <c r="AH101" s="251">
        <f t="shared" si="56"/>
        <v>1.0661985609614679</v>
      </c>
      <c r="AI101" s="251">
        <f t="shared" si="56"/>
        <v>1.0573983468941213</v>
      </c>
      <c r="AJ101" s="251">
        <f t="shared" si="56"/>
        <v>1.0530048984637583</v>
      </c>
      <c r="AK101" s="251">
        <f t="shared" si="56"/>
        <v>1.0401650012110686</v>
      </c>
      <c r="AL101" s="251">
        <f t="shared" si="56"/>
        <v>0.99772522783271644</v>
      </c>
      <c r="AM101" s="251">
        <f t="shared" si="56"/>
        <v>1.0814778342670253</v>
      </c>
      <c r="AN101" s="251">
        <f t="shared" si="56"/>
        <v>1.1376308249538498</v>
      </c>
      <c r="AO101" s="251">
        <f t="shared" si="56"/>
        <v>1.1601576945330494</v>
      </c>
      <c r="AP101" s="251">
        <f t="shared" si="56"/>
        <v>1.1793029469750587</v>
      </c>
      <c r="AQ101" s="251">
        <f t="shared" si="56"/>
        <v>1.099424975156519</v>
      </c>
      <c r="AR101" s="251">
        <f t="shared" si="56"/>
        <v>1.0521210021633227</v>
      </c>
      <c r="AS101" s="251">
        <f t="shared" si="56"/>
        <v>1.096722219356006</v>
      </c>
      <c r="AT101" s="251">
        <f t="shared" si="56"/>
        <v>1.0475452654063888</v>
      </c>
      <c r="AU101" s="251">
        <f t="shared" si="56"/>
        <v>1.0343544036020804</v>
      </c>
      <c r="AV101" s="251">
        <f t="shared" si="56"/>
        <v>1.0074142791271969</v>
      </c>
      <c r="AW101" s="251">
        <f t="shared" si="56"/>
        <v>0.96844722669395444</v>
      </c>
      <c r="AX101" s="251">
        <f t="shared" si="56"/>
        <v>0.9842064242189662</v>
      </c>
      <c r="AY101" s="251">
        <f t="shared" si="56"/>
        <v>0.99073983283146894</v>
      </c>
      <c r="AZ101" s="251">
        <f t="shared" si="56"/>
        <v>1.0157601890374712</v>
      </c>
      <c r="BA101" s="251">
        <f t="shared" si="56"/>
        <v>1.0166477376455703</v>
      </c>
      <c r="BB101" s="251">
        <f t="shared" si="56"/>
        <v>0.9177083692225535</v>
      </c>
      <c r="BC101" s="251">
        <f t="shared" si="56"/>
        <v>0.9054686674403245</v>
      </c>
      <c r="BD101" s="251">
        <f t="shared" si="56"/>
        <v>0.89239380091394283</v>
      </c>
      <c r="BE101" s="251">
        <f t="shared" si="56"/>
        <v>0.89981803453146025</v>
      </c>
      <c r="BF101" s="251">
        <f t="shared" si="56"/>
        <v>0.97373350502409761</v>
      </c>
      <c r="BG101" s="251">
        <f t="shared" si="56"/>
        <v>0.95621571344709499</v>
      </c>
      <c r="BH101" s="251">
        <f t="shared" si="56"/>
        <v>0.95219714060714522</v>
      </c>
      <c r="BI101" s="251">
        <f t="shared" si="56"/>
        <v>0.94447900940393903</v>
      </c>
      <c r="BJ101" s="251">
        <f t="shared" si="56"/>
        <v>0.90639211810753029</v>
      </c>
      <c r="BK101" s="251">
        <f t="shared" si="56"/>
        <v>0.92235070569701771</v>
      </c>
      <c r="BL101" s="251">
        <f t="shared" si="56"/>
        <v>0.87376249850106325</v>
      </c>
      <c r="BM101" s="251">
        <f t="shared" si="56"/>
        <v>0.87293945810671225</v>
      </c>
      <c r="BN101" s="251">
        <f t="shared" si="56"/>
        <v>0.94432087828399369</v>
      </c>
      <c r="BO101" s="251">
        <f t="shared" si="56"/>
        <v>0.96523007672076611</v>
      </c>
      <c r="BP101" s="251">
        <f t="shared" si="56"/>
        <v>1.1221836634338325</v>
      </c>
      <c r="BQ101" s="251">
        <f t="shared" si="56"/>
        <v>1.0038787005210219</v>
      </c>
      <c r="BR101" s="251">
        <f t="shared" ref="BR101:CK101" si="57">BR100/BR84</f>
        <v>0.80196643866271999</v>
      </c>
      <c r="BS101" s="251">
        <f t="shared" si="57"/>
        <v>0.5</v>
      </c>
      <c r="BT101" s="251">
        <f t="shared" si="57"/>
        <v>0.5</v>
      </c>
      <c r="BU101" s="251">
        <f t="shared" si="57"/>
        <v>0.5</v>
      </c>
      <c r="BV101" s="251">
        <f t="shared" si="57"/>
        <v>0.5</v>
      </c>
      <c r="BW101" s="251" t="e">
        <f t="shared" si="57"/>
        <v>#DIV/0!</v>
      </c>
      <c r="BX101" s="251" t="e">
        <f t="shared" si="57"/>
        <v>#DIV/0!</v>
      </c>
      <c r="BY101" s="251" t="e">
        <f t="shared" si="57"/>
        <v>#DIV/0!</v>
      </c>
      <c r="BZ101" s="251" t="e">
        <f t="shared" si="57"/>
        <v>#DIV/0!</v>
      </c>
      <c r="CA101" s="251" t="e">
        <f t="shared" si="57"/>
        <v>#DIV/0!</v>
      </c>
      <c r="CB101" s="251" t="e">
        <f t="shared" si="57"/>
        <v>#DIV/0!</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7" t="s">
        <v>688</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5" workbookViewId="0">
      <selection activeCell="E27" sqref="E27:CL27"/>
    </sheetView>
  </sheetViews>
  <sheetFormatPr defaultRowHeight="14.4" x14ac:dyDescent="0.25"/>
  <cols>
    <col min="1" max="1" width="63.21875" style="17" bestFit="1" customWidth="1"/>
    <col min="2" max="4" width="9.5546875" hidden="1" customWidth="1"/>
    <col min="5" max="5" width="19.33203125" bestFit="1" customWidth="1"/>
    <col min="6" max="8" width="19.33203125" hidden="1" customWidth="1"/>
    <col min="9" max="9" width="19.33203125" bestFit="1" customWidth="1"/>
    <col min="10" max="10" width="19.33203125" hidden="1" customWidth="1"/>
    <col min="11" max="11" width="20.21875" hidden="1" customWidth="1"/>
    <col min="12" max="12" width="19.33203125" hidden="1" customWidth="1"/>
    <col min="13" max="13" width="19.33203125" bestFit="1" customWidth="1"/>
    <col min="14" max="16" width="19.33203125" hidden="1" customWidth="1"/>
    <col min="17" max="17" width="21.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7.77734375" hidden="1" customWidth="1"/>
    <col min="33" max="33" width="19.33203125" bestFit="1" customWidth="1"/>
    <col min="34" max="35" width="19.33203125" hidden="1" customWidth="1"/>
    <col min="36" max="36" width="17.77734375" hidden="1" customWidth="1"/>
    <col min="37" max="37" width="19.33203125" bestFit="1" customWidth="1"/>
    <col min="38" max="39" width="19.33203125" hidden="1" customWidth="1"/>
    <col min="40" max="40" width="17.77734375" hidden="1" customWidth="1"/>
    <col min="41" max="41" width="19.33203125" bestFit="1" customWidth="1"/>
    <col min="42" max="43" width="19.33203125" hidden="1" customWidth="1"/>
    <col min="44" max="44" width="17.77734375" hidden="1" customWidth="1"/>
    <col min="45" max="45" width="19.33203125" bestFit="1" customWidth="1"/>
    <col min="46" max="47" width="19.33203125" hidden="1" customWidth="1"/>
    <col min="48" max="48" width="17.21875" hidden="1" customWidth="1"/>
    <col min="49" max="49" width="19.33203125" bestFit="1" customWidth="1"/>
    <col min="50" max="51" width="19.33203125" hidden="1" customWidth="1"/>
    <col min="52" max="52" width="17.77734375" hidden="1" customWidth="1"/>
    <col min="53" max="53" width="19.33203125" bestFit="1" customWidth="1"/>
    <col min="54" max="55" width="19.33203125" hidden="1" customWidth="1"/>
    <col min="56" max="56" width="19" hidden="1" customWidth="1"/>
    <col min="57" max="57" width="19.33203125" bestFit="1" customWidth="1"/>
    <col min="58" max="58" width="19.33203125" hidden="1" customWidth="1"/>
    <col min="59" max="60" width="19" hidden="1" customWidth="1"/>
    <col min="61" max="61" width="19.33203125" bestFit="1" customWidth="1"/>
    <col min="62" max="62" width="19.33203125" hidden="1" customWidth="1"/>
    <col min="63" max="63" width="17.77734375" hidden="1" customWidth="1"/>
    <col min="64" max="64" width="20.21875" hidden="1" customWidth="1"/>
    <col min="65" max="65" width="19.33203125" bestFit="1" customWidth="1"/>
    <col min="66" max="66" width="19.33203125" hidden="1" customWidth="1"/>
    <col min="67" max="67" width="19.33203125" bestFit="1" customWidth="1"/>
    <col min="68" max="68" width="17.77734375" hidden="1" customWidth="1"/>
    <col min="69" max="70" width="19.33203125" bestFit="1" customWidth="1"/>
    <col min="71" max="72" width="19.33203125" hidden="1" customWidth="1"/>
    <col min="73" max="73" width="17.21875" bestFit="1" customWidth="1"/>
    <col min="74" max="74" width="17.21875" hidden="1" customWidth="1"/>
    <col min="75" max="75" width="9.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7018722481.6899996</v>
      </c>
      <c r="F2" s="26">
        <f>现金流量表!F4</f>
        <v>4098400751.23</v>
      </c>
      <c r="G2" s="26">
        <f>现金流量表!G4</f>
        <v>2778132605.6700001</v>
      </c>
      <c r="H2" s="26">
        <f>现金流量表!H4</f>
        <v>1366147791.29</v>
      </c>
      <c r="I2" s="26">
        <f>现金流量表!I4</f>
        <v>6346404043.75</v>
      </c>
      <c r="J2" s="26">
        <f>现金流量表!J4</f>
        <v>4646135298.5900002</v>
      </c>
      <c r="K2" s="26">
        <f>现金流量表!K4</f>
        <v>3261364255.0599999</v>
      </c>
      <c r="L2" s="26">
        <f>现金流量表!L4</f>
        <v>1674876882.6099999</v>
      </c>
      <c r="M2" s="26">
        <f>现金流量表!M4</f>
        <v>6571065639.7299995</v>
      </c>
      <c r="N2" s="26">
        <f>现金流量表!N4</f>
        <v>4604899096.2399998</v>
      </c>
      <c r="O2" s="26">
        <f>现金流量表!O4</f>
        <v>3202059176.5900002</v>
      </c>
      <c r="P2" s="26">
        <f>现金流量表!P4</f>
        <v>1528576881.6099999</v>
      </c>
      <c r="Q2" s="26">
        <f>现金流量表!Q4</f>
        <v>6122649185.1499996</v>
      </c>
      <c r="R2" s="26">
        <f>现金流量表!R4</f>
        <v>4416663082.2399998</v>
      </c>
      <c r="S2" s="26">
        <f>现金流量表!S4</f>
        <v>2865450760.21</v>
      </c>
      <c r="T2" s="26">
        <f>现金流量表!T4</f>
        <v>1455319029.47</v>
      </c>
      <c r="U2" s="26">
        <f>现金流量表!U4</f>
        <v>6059629166.0799999</v>
      </c>
      <c r="V2" s="26">
        <f>现金流量表!V4</f>
        <v>4203350085.46</v>
      </c>
      <c r="W2" s="26">
        <f>现金流量表!W4</f>
        <v>2611229548.8499999</v>
      </c>
      <c r="X2" s="26">
        <f>现金流量表!X4</f>
        <v>1254155023.02</v>
      </c>
      <c r="Y2" s="26">
        <f>现金流量表!Y4</f>
        <v>5279066759.3599997</v>
      </c>
      <c r="Z2" s="26">
        <f>现金流量表!Z4</f>
        <v>3665000107.9000001</v>
      </c>
      <c r="AA2" s="26">
        <f>现金流量表!AA4</f>
        <v>2269817868.8299999</v>
      </c>
      <c r="AB2" s="26">
        <f>现金流量表!AB4</f>
        <v>935313951.22000003</v>
      </c>
      <c r="AC2" s="26">
        <f>现金流量表!AC4</f>
        <v>4058120003.4699998</v>
      </c>
      <c r="AD2" s="26">
        <f>现金流量表!AD4</f>
        <v>2821659728.9499998</v>
      </c>
      <c r="AE2" s="26">
        <f>现金流量表!AE4</f>
        <v>1693201328.27</v>
      </c>
      <c r="AF2" s="26">
        <f>现金流量表!AF4</f>
        <v>793158466.24000001</v>
      </c>
      <c r="AG2" s="26">
        <f>现金流量表!AG4</f>
        <v>3320852867.0500002</v>
      </c>
      <c r="AH2" s="26">
        <f>现金流量表!AH4</f>
        <v>2532309747.8000002</v>
      </c>
      <c r="AI2" s="26">
        <f>现金流量表!AI4</f>
        <v>1586313598.46</v>
      </c>
      <c r="AJ2" s="26">
        <f>现金流量表!AJ4</f>
        <v>750871826.34000003</v>
      </c>
      <c r="AK2" s="26">
        <f>现金流量表!AK4</f>
        <v>3108571230.3400002</v>
      </c>
      <c r="AL2" s="26">
        <f>现金流量表!AL4</f>
        <v>2380319020.8000002</v>
      </c>
      <c r="AM2" s="26">
        <f>现金流量表!AM4</f>
        <v>1559874557.3099999</v>
      </c>
      <c r="AN2" s="26">
        <f>现金流量表!AN4</f>
        <v>671069812.02999997</v>
      </c>
      <c r="AO2" s="26">
        <f>现金流量表!AO4</f>
        <v>2869623711.21</v>
      </c>
      <c r="AP2" s="26">
        <f>现金流量表!AP4</f>
        <v>2293747081.5300002</v>
      </c>
      <c r="AQ2" s="26">
        <f>现金流量表!AQ4</f>
        <v>1452262314.29</v>
      </c>
      <c r="AR2" s="26">
        <f>现金流量表!AR4</f>
        <v>518875568.29000002</v>
      </c>
      <c r="AS2" s="26">
        <f>现金流量表!AS4</f>
        <v>2608532151.4299998</v>
      </c>
      <c r="AT2" s="26">
        <f>现金流量表!AT4</f>
        <v>1969809545.1700001</v>
      </c>
      <c r="AU2" s="26">
        <f>现金流量表!AU4</f>
        <v>1179855276.3699999</v>
      </c>
      <c r="AV2" s="26">
        <f>现金流量表!AV4</f>
        <v>485829336.91000003</v>
      </c>
      <c r="AW2" s="26">
        <f>现金流量表!AW4</f>
        <v>2748538742.3099999</v>
      </c>
      <c r="AX2" s="26">
        <f>现金流量表!AX4</f>
        <v>2062101041.8199999</v>
      </c>
      <c r="AY2" s="26">
        <f>现金流量表!AY4</f>
        <v>1324770298.96</v>
      </c>
      <c r="AZ2" s="26">
        <f>现金流量表!AZ4</f>
        <v>562022838.51999998</v>
      </c>
      <c r="BA2" s="26">
        <f>现金流量表!BA4</f>
        <v>2069647581.03</v>
      </c>
      <c r="BB2" s="26">
        <f>现金流量表!BB4</f>
        <v>1729633999.3399999</v>
      </c>
      <c r="BC2" s="26">
        <f>现金流量表!BC4</f>
        <v>1035991378.33</v>
      </c>
      <c r="BD2" s="26">
        <f>现金流量表!BD4</f>
        <v>412853004.63</v>
      </c>
      <c r="BE2" s="26">
        <f>现金流量表!BE4</f>
        <v>1994626249.9200001</v>
      </c>
      <c r="BF2" s="26">
        <f>现金流量表!BF4</f>
        <v>1415181194.6300001</v>
      </c>
      <c r="BG2" s="26">
        <f>现金流量表!BG4</f>
        <v>805277710.60000002</v>
      </c>
      <c r="BH2" s="26">
        <f>现金流量表!BH4</f>
        <v>374661670.63999999</v>
      </c>
      <c r="BI2" s="26">
        <f>现金流量表!BI4</f>
        <v>1823829220.3900001</v>
      </c>
      <c r="BJ2" s="26">
        <f>现金流量表!BJ4</f>
        <v>1348097135.49</v>
      </c>
      <c r="BK2" s="26">
        <f>现金流量表!BK4</f>
        <v>822040299.67999995</v>
      </c>
      <c r="BL2" s="26">
        <f>现金流量表!BL4</f>
        <v>299316504.37</v>
      </c>
      <c r="BM2" s="26">
        <f>现金流量表!BM4</f>
        <v>1651443024.6800001</v>
      </c>
      <c r="BN2" s="26">
        <f>现金流量表!BN4</f>
        <v>696493184.23000002</v>
      </c>
      <c r="BO2" s="26">
        <f>现金流量表!BO4</f>
        <v>1483791295.24</v>
      </c>
      <c r="BP2" s="26">
        <f>现金流量表!BP4</f>
        <v>684757594.89999998</v>
      </c>
      <c r="BQ2" s="26">
        <f>现金流量表!BQ4</f>
        <v>1448723668.6600001</v>
      </c>
      <c r="BR2" s="26">
        <f>现金流量表!BR4</f>
        <v>1528352245.3399999</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6488246212.1400003</v>
      </c>
      <c r="F3" s="26">
        <f>利润表!F3</f>
        <v>3894561232.4000001</v>
      </c>
      <c r="G3" s="26">
        <f>利润表!G3</f>
        <v>2651881094.0700002</v>
      </c>
      <c r="H3" s="26">
        <f>利润表!H3</f>
        <v>1340165773.9200001</v>
      </c>
      <c r="I3" s="26">
        <f>利润表!I3</f>
        <v>5321198258.4899998</v>
      </c>
      <c r="J3" s="26">
        <f>利润表!J3</f>
        <v>4287852830.3699999</v>
      </c>
      <c r="K3" s="26">
        <f>利润表!K3</f>
        <v>3065730831.52</v>
      </c>
      <c r="L3" s="26">
        <f>利润表!L3</f>
        <v>1541097064.8199999</v>
      </c>
      <c r="M3" s="26">
        <f>利润表!M3</f>
        <v>5845865322.6400003</v>
      </c>
      <c r="N3" s="26">
        <f>利润表!N3</f>
        <v>4617561352.0799999</v>
      </c>
      <c r="O3" s="26">
        <f>利润表!O3</f>
        <v>3215056319.77</v>
      </c>
      <c r="P3" s="26">
        <f>利润表!P3</f>
        <v>1594897366.8599999</v>
      </c>
      <c r="Q3" s="26">
        <f>利润表!Q3</f>
        <v>5334659318.1000004</v>
      </c>
      <c r="R3" s="26">
        <f>利润表!R3</f>
        <v>4168265729.0900002</v>
      </c>
      <c r="S3" s="26">
        <f>利润表!S3</f>
        <v>2819379057.3400002</v>
      </c>
      <c r="T3" s="26">
        <f>利润表!T3</f>
        <v>1345701240.8900001</v>
      </c>
      <c r="U3" s="26">
        <f>利润表!U3</f>
        <v>4468503687.0100002</v>
      </c>
      <c r="V3" s="26">
        <f>利润表!V3</f>
        <v>4012363480.3899999</v>
      </c>
      <c r="W3" s="26">
        <f>利润表!W3</f>
        <v>2746693074.4099998</v>
      </c>
      <c r="X3" s="26">
        <f>利润表!X3</f>
        <v>1325026458.9300001</v>
      </c>
      <c r="Y3" s="26">
        <f>利润表!Y3</f>
        <v>4504122570.4099998</v>
      </c>
      <c r="Z3" s="26">
        <f>利润表!Z3</f>
        <v>3540725102.4299998</v>
      </c>
      <c r="AA3" s="26">
        <f>利润表!AA3</f>
        <v>2339090706.9299998</v>
      </c>
      <c r="AB3" s="26">
        <f>利润表!AB3</f>
        <v>1054933573.1</v>
      </c>
      <c r="AC3" s="26">
        <f>利润表!AC3</f>
        <v>3576607562.8699999</v>
      </c>
      <c r="AD3" s="26">
        <f>利润表!AD3</f>
        <v>2866766635.29</v>
      </c>
      <c r="AE3" s="26">
        <f>利润表!AE3</f>
        <v>1922161683.6400001</v>
      </c>
      <c r="AF3" s="26">
        <f>利润表!AF3</f>
        <v>843584272.85000002</v>
      </c>
      <c r="AG3" s="26">
        <f>利润表!AG3</f>
        <v>3093956633.8400002</v>
      </c>
      <c r="AH3" s="26">
        <f>利润表!AH3</f>
        <v>2429911851.9899998</v>
      </c>
      <c r="AI3" s="26">
        <f>利润表!AI3</f>
        <v>1577163658.76</v>
      </c>
      <c r="AJ3" s="26">
        <f>利润表!AJ3</f>
        <v>667913696.38999999</v>
      </c>
      <c r="AK3" s="26">
        <f>利润表!AK3</f>
        <v>2697115334.0700002</v>
      </c>
      <c r="AL3" s="26">
        <f>利润表!AL3</f>
        <v>2181544628.0999999</v>
      </c>
      <c r="AM3" s="26">
        <f>利润表!AM3</f>
        <v>1424803943.8</v>
      </c>
      <c r="AN3" s="26">
        <f>利润表!AN3</f>
        <v>582376592.78999996</v>
      </c>
      <c r="AO3" s="26">
        <f>利润表!AO3</f>
        <v>2493498067.6100001</v>
      </c>
      <c r="AP3" s="26">
        <f>利润表!AP3</f>
        <v>2097820988.5799999</v>
      </c>
      <c r="AQ3" s="26">
        <f>利润表!AQ3</f>
        <v>1384626050.21</v>
      </c>
      <c r="AR3" s="26">
        <f>利润表!AR3</f>
        <v>526135808.88</v>
      </c>
      <c r="AS3" s="26">
        <f>利润表!AS3</f>
        <v>2260798925.3600001</v>
      </c>
      <c r="AT3" s="26">
        <f>利润表!AT3</f>
        <v>1779982978.72</v>
      </c>
      <c r="AU3" s="26">
        <f>利润表!AU3</f>
        <v>1161985620.8</v>
      </c>
      <c r="AV3" s="26">
        <f>利润表!AV3</f>
        <v>475691864.44999999</v>
      </c>
      <c r="AW3" s="26">
        <f>利润表!AW3</f>
        <v>2166833813.2600002</v>
      </c>
      <c r="AX3" s="26">
        <f>利润表!AX3</f>
        <v>1751114424.5899999</v>
      </c>
      <c r="AY3" s="26">
        <f>利润表!AY3</f>
        <v>1100164425.74</v>
      </c>
      <c r="AZ3" s="26">
        <f>利润表!AZ3</f>
        <v>448512863.25999999</v>
      </c>
      <c r="BA3" s="26">
        <f>利润表!BA3</f>
        <v>1969302978.1700001</v>
      </c>
      <c r="BB3" s="26">
        <f>利润表!BB3</f>
        <v>1548441810.3099999</v>
      </c>
      <c r="BC3" s="26">
        <f>利润表!BC3</f>
        <v>975553811.16999996</v>
      </c>
      <c r="BD3" s="26">
        <f>利润表!BD3</f>
        <v>385409797.76999998</v>
      </c>
      <c r="BE3" s="26">
        <f>利润表!BE3</f>
        <v>1679071593.25</v>
      </c>
      <c r="BF3" s="26">
        <f>利润表!BF3</f>
        <v>1290561085.1500001</v>
      </c>
      <c r="BG3" s="26">
        <f>利润表!BG3</f>
        <v>777835223.33000004</v>
      </c>
      <c r="BH3" s="26">
        <f>利润表!BH3</f>
        <v>287218267.87</v>
      </c>
      <c r="BI3" s="26">
        <f>利润表!BI3</f>
        <v>1491760305.5899999</v>
      </c>
      <c r="BJ3" s="26">
        <f>利润表!BJ3</f>
        <v>1144133766.0699999</v>
      </c>
      <c r="BK3" s="26">
        <f>利润表!BK3</f>
        <v>737830607.05999994</v>
      </c>
      <c r="BL3" s="26">
        <f>利润表!BL3</f>
        <v>228980001.66999999</v>
      </c>
      <c r="BM3" s="26">
        <f>利润表!BM3</f>
        <v>1368173082.5799999</v>
      </c>
      <c r="BN3" s="26">
        <f>利润表!BN3</f>
        <v>1041788806.41</v>
      </c>
      <c r="BO3" s="26">
        <f>利润表!BO3</f>
        <v>686802587.85000002</v>
      </c>
      <c r="BP3" s="26">
        <f>利润表!BP3</f>
        <v>223309122.68000001</v>
      </c>
      <c r="BQ3" s="26">
        <f>利润表!BQ3</f>
        <v>1306972383.5</v>
      </c>
      <c r="BR3" s="26">
        <f>利润表!BR3</f>
        <v>639274662.84000003</v>
      </c>
      <c r="BS3" s="26">
        <f>利润表!BS3</f>
        <v>1188059662.22</v>
      </c>
      <c r="BT3" s="26">
        <f>利润表!BT3</f>
        <v>1086210595.8099999</v>
      </c>
      <c r="BU3" s="26">
        <f>利润表!BU3</f>
        <v>985090057.79999995</v>
      </c>
      <c r="BV3" s="26">
        <f>利润表!BV3</f>
        <v>903250455.90999997</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0.92458083553983128</v>
      </c>
      <c r="F5" s="28">
        <f t="shared" ref="F5:BQ5" si="2">(F2/(1+F4))/F3</f>
        <v>0.89943549888012952</v>
      </c>
      <c r="G5" s="28">
        <f t="shared" si="2"/>
        <v>0.89539169680274666</v>
      </c>
      <c r="H5" s="28">
        <f t="shared" si="2"/>
        <v>0.87127108271677856</v>
      </c>
      <c r="I5" s="28">
        <f t="shared" si="2"/>
        <v>1.0193713327286056</v>
      </c>
      <c r="J5" s="28">
        <f t="shared" si="2"/>
        <v>0.92611756229936204</v>
      </c>
      <c r="K5" s="28">
        <f t="shared" si="2"/>
        <v>0.9092418641686657</v>
      </c>
      <c r="L5" s="28">
        <f t="shared" si="2"/>
        <v>0.92889587279349695</v>
      </c>
      <c r="M5" s="28">
        <f t="shared" si="2"/>
        <v>0.9607295256737669</v>
      </c>
      <c r="N5" s="28">
        <f t="shared" si="2"/>
        <v>0.85235709788557945</v>
      </c>
      <c r="O5" s="28">
        <f t="shared" si="2"/>
        <v>0.85124565258936891</v>
      </c>
      <c r="P5" s="28">
        <f t="shared" si="2"/>
        <v>0.81915989977474002</v>
      </c>
      <c r="Q5" s="28">
        <f t="shared" si="2"/>
        <v>0.98094989380596498</v>
      </c>
      <c r="R5" s="28">
        <f t="shared" si="2"/>
        <v>0.90563461080979757</v>
      </c>
      <c r="S5" s="28">
        <f t="shared" si="2"/>
        <v>0.8686675909997561</v>
      </c>
      <c r="T5" s="28">
        <f t="shared" si="2"/>
        <v>0.92432285900827438</v>
      </c>
      <c r="U5" s="28">
        <f t="shared" si="2"/>
        <v>1.1590390408482196</v>
      </c>
      <c r="V5" s="28">
        <f t="shared" si="2"/>
        <v>0.89538421137767232</v>
      </c>
      <c r="W5" s="28">
        <f t="shared" si="2"/>
        <v>0.8125480593428247</v>
      </c>
      <c r="X5" s="28">
        <f t="shared" si="2"/>
        <v>0.80898563411947155</v>
      </c>
      <c r="Y5" s="28">
        <f t="shared" si="2"/>
        <v>1.0017540155078737</v>
      </c>
      <c r="Z5" s="28">
        <f t="shared" si="2"/>
        <v>0.88469978156480844</v>
      </c>
      <c r="AA5" s="28">
        <f t="shared" si="2"/>
        <v>0.82938864523577926</v>
      </c>
      <c r="AB5" s="28">
        <f t="shared" si="2"/>
        <v>0.7577857543885268</v>
      </c>
      <c r="AC5" s="28">
        <f t="shared" si="2"/>
        <v>0.96976774065232119</v>
      </c>
      <c r="AD5" s="28">
        <f t="shared" si="2"/>
        <v>0.8412526336537971</v>
      </c>
      <c r="AE5" s="28">
        <f t="shared" si="2"/>
        <v>0.75289224354553963</v>
      </c>
      <c r="AF5" s="28">
        <f t="shared" si="2"/>
        <v>0.80361054707463542</v>
      </c>
      <c r="AG5" s="28">
        <f t="shared" si="2"/>
        <v>0.91738059698680308</v>
      </c>
      <c r="AH5" s="28">
        <f t="shared" si="2"/>
        <v>0.89071844480261142</v>
      </c>
      <c r="AI5" s="28">
        <f t="shared" si="2"/>
        <v>0.85965941511315835</v>
      </c>
      <c r="AJ5" s="28">
        <f t="shared" si="2"/>
        <v>0.96085885828107775</v>
      </c>
      <c r="AK5" s="28">
        <f t="shared" si="2"/>
        <v>0.9850889407316421</v>
      </c>
      <c r="AL5" s="28">
        <f t="shared" si="2"/>
        <v>0.93257808038076229</v>
      </c>
      <c r="AM5" s="28">
        <f t="shared" si="2"/>
        <v>0.93572601561111324</v>
      </c>
      <c r="AN5" s="28">
        <f t="shared" si="2"/>
        <v>0.98486777972686346</v>
      </c>
      <c r="AO5" s="28">
        <f t="shared" si="2"/>
        <v>0.98362612367768643</v>
      </c>
      <c r="AP5" s="28">
        <f t="shared" si="2"/>
        <v>0.93452568246936496</v>
      </c>
      <c r="AQ5" s="28">
        <f t="shared" si="2"/>
        <v>0.89645131339631334</v>
      </c>
      <c r="AR5" s="28">
        <f t="shared" si="2"/>
        <v>0.8429066872390043</v>
      </c>
      <c r="AS5" s="28">
        <f t="shared" si="2"/>
        <v>0.98616229613912332</v>
      </c>
      <c r="AT5" s="28">
        <f t="shared" si="2"/>
        <v>0.94585056260784572</v>
      </c>
      <c r="AU5" s="28">
        <f t="shared" si="2"/>
        <v>0.86784491570771438</v>
      </c>
      <c r="AV5" s="28">
        <f t="shared" si="2"/>
        <v>0.87291539025127118</v>
      </c>
      <c r="AW5" s="28">
        <f t="shared" si="2"/>
        <v>1.0841525537652708</v>
      </c>
      <c r="AX5" s="28">
        <f t="shared" si="2"/>
        <v>1.006490208848424</v>
      </c>
      <c r="AY5" s="28">
        <f t="shared" si="2"/>
        <v>1.0291937098782444</v>
      </c>
      <c r="AZ5" s="28">
        <f t="shared" si="2"/>
        <v>1.071009194592446</v>
      </c>
      <c r="BA5" s="28">
        <f t="shared" si="2"/>
        <v>0.89825160274712934</v>
      </c>
      <c r="BB5" s="28">
        <f t="shared" si="2"/>
        <v>0.9547143765509627</v>
      </c>
      <c r="BC5" s="28">
        <f t="shared" si="2"/>
        <v>0.90765133238464379</v>
      </c>
      <c r="BD5" s="28">
        <f t="shared" si="2"/>
        <v>0.91556005572451937</v>
      </c>
      <c r="BE5" s="28">
        <f t="shared" si="2"/>
        <v>1.0153282132035646</v>
      </c>
      <c r="BF5" s="28">
        <f t="shared" si="2"/>
        <v>0.93723310777362601</v>
      </c>
      <c r="BG5" s="28">
        <f t="shared" si="2"/>
        <v>0.88485520696118602</v>
      </c>
      <c r="BH5" s="28">
        <f t="shared" si="2"/>
        <v>1.1149139380806965</v>
      </c>
      <c r="BI5" s="28">
        <f t="shared" si="2"/>
        <v>1.0449590243515703</v>
      </c>
      <c r="BJ5" s="28">
        <f t="shared" si="2"/>
        <v>1.0070673623075139</v>
      </c>
      <c r="BK5" s="28">
        <f t="shared" si="2"/>
        <v>0.95224912061408673</v>
      </c>
      <c r="BL5" s="28">
        <f t="shared" si="2"/>
        <v>1.1172419872710151</v>
      </c>
      <c r="BM5" s="28">
        <f t="shared" si="2"/>
        <v>1.0316602355763917</v>
      </c>
      <c r="BN5" s="28">
        <f t="shared" si="2"/>
        <v>0.5714145863268385</v>
      </c>
      <c r="BO5" s="28">
        <f t="shared" si="2"/>
        <v>1.8465243298068277</v>
      </c>
      <c r="BP5" s="28">
        <f t="shared" si="2"/>
        <v>2.6208642737028178</v>
      </c>
      <c r="BQ5" s="28">
        <f t="shared" si="2"/>
        <v>0.94739978706601347</v>
      </c>
      <c r="BR5" s="28">
        <f t="shared" ref="BR5:CL5" si="3">(BR2/(1+BR4))/BR3</f>
        <v>2.0433845517556666</v>
      </c>
      <c r="BS5" s="28">
        <f t="shared" si="3"/>
        <v>0</v>
      </c>
      <c r="BT5" s="28">
        <f t="shared" si="3"/>
        <v>0</v>
      </c>
      <c r="BU5" s="28">
        <f t="shared" si="3"/>
        <v>0</v>
      </c>
      <c r="BV5" s="28">
        <f t="shared" si="3"/>
        <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2432191219.5900002</v>
      </c>
      <c r="F6" s="26">
        <f>现金流量表!F8</f>
        <v>1153155174.6400001</v>
      </c>
      <c r="G6" s="26">
        <f>现金流量表!G8</f>
        <v>718945386.10000002</v>
      </c>
      <c r="H6" s="26">
        <f>现金流量表!H8</f>
        <v>427180306.58999997</v>
      </c>
      <c r="I6" s="26">
        <f>现金流量表!I8</f>
        <v>2743735024.4200001</v>
      </c>
      <c r="J6" s="26">
        <f>现金流量表!J8</f>
        <v>1953375382.6300001</v>
      </c>
      <c r="K6" s="26">
        <f>现金流量表!K8</f>
        <v>1451454185.0799999</v>
      </c>
      <c r="L6" s="26">
        <f>现金流量表!L8</f>
        <v>851995864.76999998</v>
      </c>
      <c r="M6" s="26">
        <f>现金流量表!M8</f>
        <v>3076934656.77</v>
      </c>
      <c r="N6" s="26">
        <f>现金流量表!N8</f>
        <v>2014618477.95</v>
      </c>
      <c r="O6" s="26">
        <f>现金流量表!O8</f>
        <v>1427279403.29</v>
      </c>
      <c r="P6" s="26">
        <f>现金流量表!P8</f>
        <v>681540330.37</v>
      </c>
      <c r="Q6" s="26">
        <f>现金流量表!Q8</f>
        <v>2374345099.6199999</v>
      </c>
      <c r="R6" s="26">
        <f>现金流量表!R8</f>
        <v>1661077553.71</v>
      </c>
      <c r="S6" s="26">
        <f>现金流量表!S8</f>
        <v>1095156923.97</v>
      </c>
      <c r="T6" s="26">
        <f>现金流量表!T8</f>
        <v>558713563.63</v>
      </c>
      <c r="U6" s="26">
        <f>现金流量表!U8</f>
        <v>2760917220.73</v>
      </c>
      <c r="V6" s="26">
        <f>现金流量表!V8</f>
        <v>1737520616.3900001</v>
      </c>
      <c r="W6" s="26">
        <f>现金流量表!W8</f>
        <v>970418209.10000002</v>
      </c>
      <c r="X6" s="26">
        <f>现金流量表!X8</f>
        <v>494358139.88</v>
      </c>
      <c r="Y6" s="26">
        <f>现金流量表!Y8</f>
        <v>2183814043.3899999</v>
      </c>
      <c r="Z6" s="26">
        <f>现金流量表!Z8</f>
        <v>1392528978.6300001</v>
      </c>
      <c r="AA6" s="26">
        <f>现金流量表!AA8</f>
        <v>876712948.88999999</v>
      </c>
      <c r="AB6" s="26">
        <f>现金流量表!AB8</f>
        <v>270620593.06</v>
      </c>
      <c r="AC6" s="26">
        <f>现金流量表!AC8</f>
        <v>1785792865.54</v>
      </c>
      <c r="AD6" s="26">
        <f>现金流量表!AD8</f>
        <v>1164299231.5699999</v>
      </c>
      <c r="AE6" s="26">
        <f>现金流量表!AE8</f>
        <v>647701597.44000006</v>
      </c>
      <c r="AF6" s="26">
        <f>现金流量表!AF8</f>
        <v>344537334.05000001</v>
      </c>
      <c r="AG6" s="26">
        <f>现金流量表!AG8</f>
        <v>1462998255.9300001</v>
      </c>
      <c r="AH6" s="26">
        <f>现金流量表!AH8</f>
        <v>1169155155.6500001</v>
      </c>
      <c r="AI6" s="26">
        <f>现金流量表!AI8</f>
        <v>815964297.51999998</v>
      </c>
      <c r="AJ6" s="26">
        <f>现金流量表!AJ8</f>
        <v>393227753.30000001</v>
      </c>
      <c r="AK6" s="26">
        <f>现金流量表!AK8</f>
        <v>1301220630.8</v>
      </c>
      <c r="AL6" s="26">
        <f>现金流量表!AL8</f>
        <v>947665094.62</v>
      </c>
      <c r="AM6" s="26">
        <f>现金流量表!AM8</f>
        <v>810436084.55999994</v>
      </c>
      <c r="AN6" s="26">
        <f>现金流量表!AN8</f>
        <v>377900967.47000003</v>
      </c>
      <c r="AO6" s="26">
        <f>现金流量表!AO8</f>
        <v>1376963087.7</v>
      </c>
      <c r="AP6" s="26">
        <f>现金流量表!AP8</f>
        <v>1185885807.6400001</v>
      </c>
      <c r="AQ6" s="26">
        <f>现金流量表!AQ8</f>
        <v>666564820.63999999</v>
      </c>
      <c r="AR6" s="26">
        <f>现金流量表!AR8</f>
        <v>248274587.65000001</v>
      </c>
      <c r="AS6" s="26">
        <f>现金流量表!AS8</f>
        <v>1365979241.5599999</v>
      </c>
      <c r="AT6" s="26">
        <f>现金流量表!AT8</f>
        <v>1103881023.1500001</v>
      </c>
      <c r="AU6" s="26">
        <f>现金流量表!AU8</f>
        <v>578725187.89999998</v>
      </c>
      <c r="AV6" s="26">
        <f>现金流量表!AV8</f>
        <v>308755017.89999998</v>
      </c>
      <c r="AW6" s="26">
        <f>现金流量表!AW8</f>
        <v>1453682203.6600001</v>
      </c>
      <c r="AX6" s="26">
        <f>现金流量表!AX8</f>
        <v>1191944753.1900001</v>
      </c>
      <c r="AY6" s="26">
        <f>现金流量表!AY8</f>
        <v>676039519.76999998</v>
      </c>
      <c r="AZ6" s="26">
        <f>现金流量表!AZ8</f>
        <v>266316351.61000001</v>
      </c>
      <c r="BA6" s="26">
        <f>现金流量表!BA8</f>
        <v>1289620409.9300001</v>
      </c>
      <c r="BB6" s="26">
        <f>现金流量表!BB8</f>
        <v>1394087043.4100001</v>
      </c>
      <c r="BC6" s="26">
        <f>现金流量表!BC8</f>
        <v>764866419.95000005</v>
      </c>
      <c r="BD6" s="26">
        <f>现金流量表!BD8</f>
        <v>369770603.58999997</v>
      </c>
      <c r="BE6" s="26">
        <f>现金流量表!BE8</f>
        <v>1259589408.24</v>
      </c>
      <c r="BF6" s="26">
        <f>现金流量表!BF8</f>
        <v>927227367.69000006</v>
      </c>
      <c r="BG6" s="26">
        <f>现金流量表!BG8</f>
        <v>528166247.27999997</v>
      </c>
      <c r="BH6" s="26">
        <f>现金流量表!BH8</f>
        <v>245901984.38</v>
      </c>
      <c r="BI6" s="26">
        <f>现金流量表!BI8</f>
        <v>1086008339.21</v>
      </c>
      <c r="BJ6" s="26">
        <f>现金流量表!BJ8</f>
        <v>734476531.92999995</v>
      </c>
      <c r="BK6" s="26">
        <f>现金流量表!BK8</f>
        <v>473517713.73000002</v>
      </c>
      <c r="BL6" s="26">
        <f>现金流量表!BL8</f>
        <v>245370252.97999999</v>
      </c>
      <c r="BM6" s="26">
        <f>现金流量表!BM8</f>
        <v>1020420015.61</v>
      </c>
      <c r="BN6" s="26">
        <f>现金流量表!BN8</f>
        <v>415613273.56</v>
      </c>
      <c r="BO6" s="26">
        <f>现金流量表!BO8</f>
        <v>1098172194.6800001</v>
      </c>
      <c r="BP6" s="26">
        <f>现金流量表!BP8</f>
        <v>400439999.63999999</v>
      </c>
      <c r="BQ6" s="26">
        <f>现金流量表!BQ8</f>
        <v>914708774.78999996</v>
      </c>
      <c r="BR6" s="26">
        <f>现金流量表!BR8</f>
        <v>1084226133.0999999</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966363919.98000002</v>
      </c>
      <c r="F7" s="26">
        <f>现金流量表!F9</f>
        <v>537974844.13</v>
      </c>
      <c r="G7" s="26">
        <f>现金流量表!G9</f>
        <v>375470825.25999999</v>
      </c>
      <c r="H7" s="26">
        <f>现金流量表!H9</f>
        <v>224154094.83000001</v>
      </c>
      <c r="I7" s="26">
        <f>现金流量表!I9</f>
        <v>645915041.17999995</v>
      </c>
      <c r="J7" s="26">
        <f>现金流量表!J9</f>
        <v>528656059.31999999</v>
      </c>
      <c r="K7" s="26">
        <f>现金流量表!K9</f>
        <v>365968968.19</v>
      </c>
      <c r="L7" s="26">
        <f>现金流量表!L9</f>
        <v>215694692.30000001</v>
      </c>
      <c r="M7" s="26">
        <f>现金流量表!M9</f>
        <v>617989009.96000004</v>
      </c>
      <c r="N7" s="26">
        <f>现金流量表!N9</f>
        <v>473911479.45999998</v>
      </c>
      <c r="O7" s="26">
        <f>现金流量表!O9</f>
        <v>288796461.35000002</v>
      </c>
      <c r="P7" s="26">
        <f>现金流量表!P9</f>
        <v>143722274.03</v>
      </c>
      <c r="Q7" s="26">
        <f>现金流量表!Q9</f>
        <v>458681872.69999999</v>
      </c>
      <c r="R7" s="26">
        <f>现金流量表!R9</f>
        <v>299475926.80000001</v>
      </c>
      <c r="S7" s="26">
        <f>现金流量表!S9</f>
        <v>195814365.03</v>
      </c>
      <c r="T7" s="26">
        <f>现金流量表!T9</f>
        <v>112535202.31</v>
      </c>
      <c r="U7" s="26">
        <f>现金流量表!U9</f>
        <v>341008579.76999998</v>
      </c>
      <c r="V7" s="26">
        <f>现金流量表!V9</f>
        <v>255451946.65000001</v>
      </c>
      <c r="W7" s="26">
        <f>现金流量表!W9</f>
        <v>172022214.61000001</v>
      </c>
      <c r="X7" s="26">
        <f>现金流量表!X9</f>
        <v>92513199.930000007</v>
      </c>
      <c r="Y7" s="26">
        <f>现金流量表!Y9</f>
        <v>296884582.74000001</v>
      </c>
      <c r="Z7" s="26">
        <f>现金流量表!Z9</f>
        <v>238229447.75</v>
      </c>
      <c r="AA7" s="26">
        <f>现金流量表!AA9</f>
        <v>165433084.72</v>
      </c>
      <c r="AB7" s="26">
        <f>现金流量表!AB9</f>
        <v>94120192.329999998</v>
      </c>
      <c r="AC7" s="26">
        <f>现金流量表!AC9</f>
        <v>259695062.47</v>
      </c>
      <c r="AD7" s="26">
        <f>现金流量表!AD9</f>
        <v>232649967.86000001</v>
      </c>
      <c r="AE7" s="26">
        <f>现金流量表!AE9</f>
        <v>156962053.28999999</v>
      </c>
      <c r="AF7" s="26">
        <f>现金流量表!AF9</f>
        <v>81420828.079999998</v>
      </c>
      <c r="AG7" s="26">
        <f>现金流量表!AG9</f>
        <v>220590897.18000001</v>
      </c>
      <c r="AH7" s="26">
        <f>现金流量表!AH9</f>
        <v>203826058.69</v>
      </c>
      <c r="AI7" s="26">
        <f>现金流量表!AI9</f>
        <v>135070868.69</v>
      </c>
      <c r="AJ7" s="26">
        <f>现金流量表!AJ9</f>
        <v>70811521.349999994</v>
      </c>
      <c r="AK7" s="26">
        <f>现金流量表!AK9</f>
        <v>229041680.74000001</v>
      </c>
      <c r="AL7" s="26">
        <f>现金流量表!AL9</f>
        <v>177677169.22999999</v>
      </c>
      <c r="AM7" s="26">
        <f>现金流量表!AM9</f>
        <v>118788875.81999999</v>
      </c>
      <c r="AN7" s="26">
        <f>现金流量表!AN9</f>
        <v>59073577.369999997</v>
      </c>
      <c r="AO7" s="26">
        <f>现金流量表!AO9</f>
        <v>187683006.88999999</v>
      </c>
      <c r="AP7" s="26">
        <f>现金流量表!AP9</f>
        <v>166169126.59999999</v>
      </c>
      <c r="AQ7" s="26">
        <f>现金流量表!AQ9</f>
        <v>118015223.86</v>
      </c>
      <c r="AR7" s="26">
        <f>现金流量表!AR9</f>
        <v>58410185.840000004</v>
      </c>
      <c r="AS7" s="26">
        <f>现金流量表!AS9</f>
        <v>160126128.16999999</v>
      </c>
      <c r="AT7" s="26">
        <f>现金流量表!AT9</f>
        <v>128931177.3</v>
      </c>
      <c r="AU7" s="26">
        <f>现金流量表!AU9</f>
        <v>89563245.269999996</v>
      </c>
      <c r="AV7" s="26">
        <f>现金流量表!AV9</f>
        <v>53191508.640000001</v>
      </c>
      <c r="AW7" s="26">
        <f>现金流量表!AW9</f>
        <v>126445060.81999999</v>
      </c>
      <c r="AX7" s="26">
        <f>现金流量表!AX9</f>
        <v>129797874.03</v>
      </c>
      <c r="AY7" s="26">
        <f>现金流量表!AY9</f>
        <v>84159994.909999996</v>
      </c>
      <c r="AZ7" s="26">
        <f>现金流量表!AZ9</f>
        <v>45146636.450000003</v>
      </c>
      <c r="BA7" s="26">
        <f>现金流量表!BA9</f>
        <v>121101778.20999999</v>
      </c>
      <c r="BB7" s="26">
        <f>现金流量表!BB9</f>
        <v>78215070.150000006</v>
      </c>
      <c r="BC7" s="26">
        <f>现金流量表!BC9</f>
        <v>56616770.82</v>
      </c>
      <c r="BD7" s="26">
        <f>现金流量表!BD9</f>
        <v>30517989.469999999</v>
      </c>
      <c r="BE7" s="26">
        <f>现金流量表!BE9</f>
        <v>123757677.13</v>
      </c>
      <c r="BF7" s="26">
        <f>现金流量表!BF9</f>
        <v>78878393.420000002</v>
      </c>
      <c r="BG7" s="26">
        <f>现金流量表!BG9</f>
        <v>56486734.049999997</v>
      </c>
      <c r="BH7" s="26">
        <f>现金流量表!BH9</f>
        <v>31942488.18</v>
      </c>
      <c r="BI7" s="26">
        <f>现金流量表!BI9</f>
        <v>101765696.14</v>
      </c>
      <c r="BJ7" s="26">
        <f>现金流量表!BJ9</f>
        <v>81580234.129999995</v>
      </c>
      <c r="BK7" s="26">
        <f>现金流量表!BK9</f>
        <v>54771708.270000003</v>
      </c>
      <c r="BL7" s="26">
        <f>现金流量表!BL9</f>
        <v>27831622.920000002</v>
      </c>
      <c r="BM7" s="26">
        <f>现金流量表!BM9</f>
        <v>87226143.200000003</v>
      </c>
      <c r="BN7" s="26">
        <f>现金流量表!BN9</f>
        <v>39998238.810000002</v>
      </c>
      <c r="BO7" s="26">
        <f>现金流量表!BO9</f>
        <v>84254290.920000002</v>
      </c>
      <c r="BP7" s="26">
        <f>现金流量表!BP9</f>
        <v>42005285.18</v>
      </c>
      <c r="BQ7" s="26">
        <f>现金流量表!BQ9</f>
        <v>71299822.700000003</v>
      </c>
      <c r="BR7" s="26">
        <f>现金流量表!BR9</f>
        <v>79376316.450000003</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2275570034.3000002</v>
      </c>
      <c r="F8" s="58">
        <f>利润表!F6</f>
        <v>1189227793.3399999</v>
      </c>
      <c r="G8" s="58">
        <f>利润表!G6</f>
        <v>797774483.53999996</v>
      </c>
      <c r="H8" s="58">
        <f>利润表!H6</f>
        <v>370371507.20999998</v>
      </c>
      <c r="I8" s="58">
        <f>利润表!I6</f>
        <v>2061394524.6800001</v>
      </c>
      <c r="J8" s="58">
        <f>利润表!J6</f>
        <v>1673475318.98</v>
      </c>
      <c r="K8" s="58">
        <f>利润表!K6</f>
        <v>1200051250.8900001</v>
      </c>
      <c r="L8" s="58">
        <f>利润表!L6</f>
        <v>617981098.01999998</v>
      </c>
      <c r="M8" s="58">
        <f>利润表!M6</f>
        <v>2386308497.6300001</v>
      </c>
      <c r="N8" s="58">
        <f>利润表!N6</f>
        <v>1844309552.8099999</v>
      </c>
      <c r="O8" s="58">
        <f>利润表!O6</f>
        <v>1263571654.3</v>
      </c>
      <c r="P8" s="58">
        <f>利润表!P6</f>
        <v>622849948.12</v>
      </c>
      <c r="Q8" s="58">
        <f>利润表!Q6</f>
        <v>2036991589.78</v>
      </c>
      <c r="R8" s="58">
        <f>利润表!R6</f>
        <v>1587796996.1099999</v>
      </c>
      <c r="S8" s="58">
        <f>利润表!S6</f>
        <v>1028397908.3</v>
      </c>
      <c r="T8" s="58">
        <f>利润表!T6</f>
        <v>491360185.73000002</v>
      </c>
      <c r="U8" s="58">
        <f>利润表!U6</f>
        <v>1655189245.2</v>
      </c>
      <c r="V8" s="58">
        <f>利润表!V6</f>
        <v>1746064380.22</v>
      </c>
      <c r="W8" s="58">
        <f>利润表!W6</f>
        <v>1170805288.22</v>
      </c>
      <c r="X8" s="58">
        <f>利润表!X6</f>
        <v>575765912.85000002</v>
      </c>
      <c r="Y8" s="58">
        <f>利润表!Y6</f>
        <v>2026284289.9200001</v>
      </c>
      <c r="Z8" s="58">
        <f>利润表!Z6</f>
        <v>1600833142.96</v>
      </c>
      <c r="AA8" s="58">
        <f>利润表!AA6</f>
        <v>1067581427.03</v>
      </c>
      <c r="AB8" s="58">
        <f>利润表!AB6</f>
        <v>528393933.55000001</v>
      </c>
      <c r="AC8" s="58">
        <f>利润表!AC6</f>
        <v>1519290854</v>
      </c>
      <c r="AD8" s="58">
        <f>利润表!AD6</f>
        <v>1295421349.95</v>
      </c>
      <c r="AE8" s="58">
        <f>利润表!AE6</f>
        <v>887275860.91999996</v>
      </c>
      <c r="AF8" s="58">
        <f>利润表!AF6</f>
        <v>426499884.14999998</v>
      </c>
      <c r="AG8" s="58">
        <f>利润表!AG6</f>
        <v>1398717078.0999999</v>
      </c>
      <c r="AH8" s="58">
        <f>利润表!AH6</f>
        <v>1135606768.6400001</v>
      </c>
      <c r="AI8" s="58">
        <f>利润表!AI6</f>
        <v>747682978.33000004</v>
      </c>
      <c r="AJ8" s="58">
        <f>利润表!AJ6</f>
        <v>342547696.07999998</v>
      </c>
      <c r="AK8" s="58">
        <f>利润表!AK6</f>
        <v>1214789438.05</v>
      </c>
      <c r="AL8" s="58">
        <f>利润表!AL6</f>
        <v>1018272015.98</v>
      </c>
      <c r="AM8" s="58">
        <f>利润表!AM6</f>
        <v>679582414.24000001</v>
      </c>
      <c r="AN8" s="58">
        <f>利润表!AN6</f>
        <v>311262192.52999997</v>
      </c>
      <c r="AO8" s="58">
        <f>利润表!AO6</f>
        <v>1211140032.72</v>
      </c>
      <c r="AP8" s="58">
        <f>利润表!AP6</f>
        <v>1068324221.09</v>
      </c>
      <c r="AQ8" s="58">
        <f>利润表!AQ6</f>
        <v>686070308.13999999</v>
      </c>
      <c r="AR8" s="58">
        <f>利润表!AR6</f>
        <v>281219677.25999999</v>
      </c>
      <c r="AS8" s="58">
        <f>利润表!AS6</f>
        <v>1227440965.48</v>
      </c>
      <c r="AT8" s="58">
        <f>利润表!AT6</f>
        <v>947013822.67999995</v>
      </c>
      <c r="AU8" s="58">
        <f>利润表!AU6</f>
        <v>611840186.25999999</v>
      </c>
      <c r="AV8" s="58">
        <f>利润表!AV6</f>
        <v>269980522.58999997</v>
      </c>
      <c r="AW8" s="58">
        <f>利润表!AW6</f>
        <v>1204725887.3199999</v>
      </c>
      <c r="AX8" s="58">
        <f>利润表!AX6</f>
        <v>962951387.10000002</v>
      </c>
      <c r="AY8" s="58">
        <f>利润表!AY6</f>
        <v>597117167.48000002</v>
      </c>
      <c r="AZ8" s="58">
        <f>利润表!AZ6</f>
        <v>256410377.24000001</v>
      </c>
      <c r="BA8" s="58">
        <f>利润表!BA6</f>
        <v>1178868883.04</v>
      </c>
      <c r="BB8" s="58">
        <f>利润表!BB6</f>
        <v>936172938.35000002</v>
      </c>
      <c r="BC8" s="58">
        <f>利润表!BC6</f>
        <v>584316729.75999999</v>
      </c>
      <c r="BD8" s="58">
        <f>利润表!BD6</f>
        <v>231227648.68000001</v>
      </c>
      <c r="BE8" s="58">
        <f>利润表!BE6</f>
        <v>1011576898.9299999</v>
      </c>
      <c r="BF8" s="58">
        <f>利润表!BF6</f>
        <v>770915558.69000006</v>
      </c>
      <c r="BG8" s="58">
        <f>利润表!BG6</f>
        <v>461976639.87</v>
      </c>
      <c r="BH8" s="58">
        <f>利润表!BH6</f>
        <v>162602074.06999999</v>
      </c>
      <c r="BI8" s="58">
        <f>利润表!BI6</f>
        <v>886419074.60000002</v>
      </c>
      <c r="BJ8" s="58">
        <f>利润表!BJ6</f>
        <v>678874036.90999997</v>
      </c>
      <c r="BK8" s="58">
        <f>利润表!BK6</f>
        <v>436111523.74000001</v>
      </c>
      <c r="BL8" s="58">
        <f>利润表!BL6</f>
        <v>135293823.31999999</v>
      </c>
      <c r="BM8" s="58">
        <f>利润表!BM6</f>
        <v>813612864.95000005</v>
      </c>
      <c r="BN8" s="58">
        <f>利润表!BN6</f>
        <v>622844547.99000001</v>
      </c>
      <c r="BO8" s="58">
        <f>利润表!BO6</f>
        <v>416238818.20999998</v>
      </c>
      <c r="BP8" s="58">
        <f>利润表!BP6</f>
        <v>127007375.92</v>
      </c>
      <c r="BQ8" s="58">
        <f>利润表!BQ6</f>
        <v>806010835.77999997</v>
      </c>
      <c r="BR8" s="58">
        <f>利润表!BR6</f>
        <v>396734690.39999998</v>
      </c>
      <c r="BS8" s="58">
        <f>利润表!BS6</f>
        <v>745112400.61000001</v>
      </c>
      <c r="BT8" s="58">
        <f>利润表!BT6</f>
        <v>684553298.67999995</v>
      </c>
      <c r="BU8" s="58">
        <f>利润表!BU6</f>
        <v>614343901.25999999</v>
      </c>
      <c r="BV8" s="58">
        <f>利润表!BV6</f>
        <v>507100280.88999999</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57631247.090000004</v>
      </c>
      <c r="F9" s="58">
        <f>利润表!F7</f>
        <v>40695499.689999998</v>
      </c>
      <c r="G9" s="58">
        <f>利润表!G7</f>
        <v>27560181.59</v>
      </c>
      <c r="H9" s="58">
        <f>利润表!H7</f>
        <v>15002220.710000001</v>
      </c>
      <c r="I9" s="58">
        <f>利润表!I7</f>
        <v>54876964.950000003</v>
      </c>
      <c r="J9" s="58">
        <f>利润表!J7</f>
        <v>39067898.759999998</v>
      </c>
      <c r="K9" s="58">
        <f>利润表!K7</f>
        <v>28660758.109999999</v>
      </c>
      <c r="L9" s="58">
        <f>利润表!L7</f>
        <v>14162463.960000001</v>
      </c>
      <c r="M9" s="58">
        <f>利润表!M7</f>
        <v>53271692.960000001</v>
      </c>
      <c r="N9" s="58">
        <f>利润表!N7</f>
        <v>39032129.200000003</v>
      </c>
      <c r="O9" s="58">
        <f>利润表!O7</f>
        <v>26720531.32</v>
      </c>
      <c r="P9" s="58">
        <f>利润表!P7</f>
        <v>12397289.550000001</v>
      </c>
      <c r="Q9" s="58">
        <f>利润表!Q7</f>
        <v>49016624.950000003</v>
      </c>
      <c r="R9" s="58">
        <f>利润表!R7</f>
        <v>36938026.619999997</v>
      </c>
      <c r="S9" s="58">
        <f>利润表!S7</f>
        <v>25580343.379999999</v>
      </c>
      <c r="T9" s="58">
        <f>利润表!T7</f>
        <v>13484998.689999999</v>
      </c>
      <c r="U9" s="58">
        <f>利润表!U7</f>
        <v>42391244.020000003</v>
      </c>
      <c r="V9" s="58">
        <f>利润表!V7</f>
        <v>32973704.579999998</v>
      </c>
      <c r="W9" s="58">
        <f>利润表!W7</f>
        <v>23220510.48</v>
      </c>
      <c r="X9" s="58">
        <f>利润表!X7</f>
        <v>10855615.199999999</v>
      </c>
      <c r="Y9" s="58">
        <f>利润表!Y7</f>
        <v>42712762.039999999</v>
      </c>
      <c r="Z9" s="58">
        <f>利润表!Z7</f>
        <v>32243777.530000001</v>
      </c>
      <c r="AA9" s="58">
        <f>利润表!AA7</f>
        <v>21627404.109999999</v>
      </c>
      <c r="AB9" s="58">
        <f>利润表!AB7</f>
        <v>9982834.8900000006</v>
      </c>
      <c r="AC9" s="58">
        <f>利润表!AC7</f>
        <v>37305340.57</v>
      </c>
      <c r="AD9" s="58">
        <f>利润表!AD7</f>
        <v>28815053.899999999</v>
      </c>
      <c r="AE9" s="58">
        <f>利润表!AE7</f>
        <v>19917063.800000001</v>
      </c>
      <c r="AF9" s="58">
        <f>利润表!AF7</f>
        <v>8951172.3200000003</v>
      </c>
      <c r="AG9" s="58">
        <f>利润表!AG7</f>
        <v>24898578.940000001</v>
      </c>
      <c r="AH9" s="58">
        <f>利润表!AH7</f>
        <v>19135700.510000002</v>
      </c>
      <c r="AI9" s="58">
        <f>利润表!AI7</f>
        <v>13190818.609999999</v>
      </c>
      <c r="AJ9" s="58">
        <f>利润表!AJ7</f>
        <v>5680096.5499999998</v>
      </c>
      <c r="AK9" s="58">
        <f>利润表!AK7</f>
        <v>24131689.260000002</v>
      </c>
      <c r="AL9" s="58">
        <f>利润表!AL7</f>
        <v>19607593.059999999</v>
      </c>
      <c r="AM9" s="58">
        <f>利润表!AM7</f>
        <v>13508124.689999999</v>
      </c>
      <c r="AN9" s="58">
        <f>利润表!AN7</f>
        <v>5270095.57</v>
      </c>
      <c r="AO9" s="58">
        <f>利润表!AO7</f>
        <v>26137711.710000001</v>
      </c>
      <c r="AP9" s="58">
        <f>利润表!AP7</f>
        <v>21600078.949999999</v>
      </c>
      <c r="AQ9" s="58">
        <f>利润表!AQ7</f>
        <v>14157745.9</v>
      </c>
      <c r="AR9" s="58">
        <f>利润表!AR7</f>
        <v>6272272.1900000004</v>
      </c>
      <c r="AS9" s="58">
        <f>利润表!AS7</f>
        <v>19311737.25</v>
      </c>
      <c r="AT9" s="58">
        <f>利润表!AT7</f>
        <v>14822084.77</v>
      </c>
      <c r="AU9" s="58">
        <f>利润表!AU7</f>
        <v>8949459.5399999991</v>
      </c>
      <c r="AV9" s="58">
        <f>利润表!AV7</f>
        <v>3697421.15</v>
      </c>
      <c r="AW9" s="58">
        <f>利润表!AW7</f>
        <v>21317311.010000002</v>
      </c>
      <c r="AX9" s="58">
        <f>利润表!AX7</f>
        <v>17881438.190000001</v>
      </c>
      <c r="AY9" s="58">
        <f>利润表!AY7</f>
        <v>13268491</v>
      </c>
      <c r="AZ9" s="58">
        <f>利润表!AZ7</f>
        <v>9252617.6999999993</v>
      </c>
      <c r="BA9" s="58">
        <f>利润表!BA7</f>
        <v>38234251.119999997</v>
      </c>
      <c r="BB9" s="58">
        <f>利润表!BB7</f>
        <v>29892040.010000002</v>
      </c>
      <c r="BC9" s="58">
        <f>利润表!BC7</f>
        <v>19869030.59</v>
      </c>
      <c r="BD9" s="58">
        <f>利润表!BD7</f>
        <v>6311405.9299999997</v>
      </c>
      <c r="BE9" s="58">
        <f>利润表!BE7</f>
        <v>34714682.539999999</v>
      </c>
      <c r="BF9" s="58">
        <f>利润表!BF7</f>
        <v>26974898.289999999</v>
      </c>
      <c r="BG9" s="58">
        <f>利润表!BG7</f>
        <v>17093531.870000001</v>
      </c>
      <c r="BH9" s="58">
        <f>利润表!BH7</f>
        <v>7311398.4100000001</v>
      </c>
      <c r="BI9" s="58">
        <f>利润表!BI7</f>
        <v>31680543.07</v>
      </c>
      <c r="BJ9" s="58">
        <f>利润表!BJ7</f>
        <v>24007668.27</v>
      </c>
      <c r="BK9" s="58">
        <f>利润表!BK7</f>
        <v>15994048.609999999</v>
      </c>
      <c r="BL9" s="58">
        <f>利润表!BL7</f>
        <v>5594164.9100000001</v>
      </c>
      <c r="BM9" s="58">
        <f>利润表!BM7</f>
        <v>34640288.57</v>
      </c>
      <c r="BN9" s="58">
        <f>利润表!BN7</f>
        <v>25653875.440000001</v>
      </c>
      <c r="BO9" s="58">
        <f>利润表!BO7</f>
        <v>16083630.449999999</v>
      </c>
      <c r="BP9" s="58">
        <f>利润表!BP7</f>
        <v>6834317.6399999997</v>
      </c>
      <c r="BQ9" s="58">
        <f>利润表!BQ7</f>
        <v>30470571.870000001</v>
      </c>
      <c r="BR9" s="58">
        <f>利润表!BR7</f>
        <v>13894448.5</v>
      </c>
      <c r="BS9" s="58">
        <f>利润表!BS7</f>
        <v>27050067.059999999</v>
      </c>
      <c r="BT9" s="58">
        <f>利润表!BT7</f>
        <v>19777621.059999999</v>
      </c>
      <c r="BU9" s="58">
        <f>利润表!BU7</f>
        <v>25906031.09</v>
      </c>
      <c r="BV9" s="58">
        <f>利润表!BV7</f>
        <v>29190402.43</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2778065991.1100001</v>
      </c>
      <c r="F10" s="58">
        <f>利润表!F8</f>
        <v>1875297848.8900001</v>
      </c>
      <c r="G10" s="58">
        <f>利润表!G8</f>
        <v>1295889672.6900001</v>
      </c>
      <c r="H10" s="58">
        <f>利润表!H8</f>
        <v>706730088.50999999</v>
      </c>
      <c r="I10" s="58">
        <f>利润表!I8</f>
        <v>2384214186.8200002</v>
      </c>
      <c r="J10" s="58">
        <f>利润表!J8</f>
        <v>1661155606.9100001</v>
      </c>
      <c r="K10" s="58">
        <f>利润表!K8</f>
        <v>1155967860.71</v>
      </c>
      <c r="L10" s="58">
        <f>利润表!L8</f>
        <v>631962452.01999998</v>
      </c>
      <c r="M10" s="58">
        <f>利润表!M8</f>
        <v>2034998469.6900001</v>
      </c>
      <c r="N10" s="58">
        <f>利润表!N8</f>
        <v>1574003241.1600001</v>
      </c>
      <c r="O10" s="58">
        <f>利润表!O8</f>
        <v>1017477417.76</v>
      </c>
      <c r="P10" s="58">
        <f>利润表!P8</f>
        <v>667823715.38999999</v>
      </c>
      <c r="Q10" s="58">
        <f>利润表!Q8</f>
        <v>1747278260.3199999</v>
      </c>
      <c r="R10" s="58">
        <f>利润表!R8</f>
        <v>1395129285.1500001</v>
      </c>
      <c r="S10" s="58">
        <f>利润表!S8</f>
        <v>894848752.08000004</v>
      </c>
      <c r="T10" s="58">
        <f>利润表!T8</f>
        <v>547664695.61000001</v>
      </c>
      <c r="U10" s="58">
        <f>利润表!U8</f>
        <v>1438307206.55</v>
      </c>
      <c r="V10" s="58">
        <f>利润表!V8</f>
        <v>1182353561.9300001</v>
      </c>
      <c r="W10" s="58">
        <f>利润表!W8</f>
        <v>727343712.22000003</v>
      </c>
      <c r="X10" s="58">
        <f>利润表!X8</f>
        <v>459726534.89999998</v>
      </c>
      <c r="Y10" s="58">
        <f>利润表!Y8</f>
        <v>1395073220.5699999</v>
      </c>
      <c r="Z10" s="58">
        <f>利润表!Z8</f>
        <v>1120207259.3800001</v>
      </c>
      <c r="AA10" s="58">
        <f>利润表!AA8</f>
        <v>705415262.29999995</v>
      </c>
      <c r="AB10" s="58">
        <f>利润表!AB8</f>
        <v>337397055.14999998</v>
      </c>
      <c r="AC10" s="58">
        <f>利润表!AC8</f>
        <v>1283194817.6300001</v>
      </c>
      <c r="AD10" s="58">
        <f>利润表!AD8</f>
        <v>1028410742.29</v>
      </c>
      <c r="AE10" s="58">
        <f>利润表!AE8</f>
        <v>649123569.12</v>
      </c>
      <c r="AF10" s="58">
        <f>利润表!AF8</f>
        <v>269648723.47000003</v>
      </c>
      <c r="AG10" s="58">
        <f>利润表!AG8</f>
        <v>1076041149.3299999</v>
      </c>
      <c r="AH10" s="58">
        <f>利润表!AH8</f>
        <v>866458368.76999998</v>
      </c>
      <c r="AI10" s="58">
        <f>利润表!AI8</f>
        <v>522477061.02999997</v>
      </c>
      <c r="AJ10" s="58">
        <f>利润表!AJ8</f>
        <v>203903451.74000001</v>
      </c>
      <c r="AK10" s="58">
        <f>利润表!AK8</f>
        <v>818990007.95000005</v>
      </c>
      <c r="AL10" s="58">
        <f>利润表!AL8</f>
        <v>728187846.59000003</v>
      </c>
      <c r="AM10" s="58">
        <f>利润表!AM8</f>
        <v>430395928.45999998</v>
      </c>
      <c r="AN10" s="58">
        <f>利润表!AN8</f>
        <v>158771464.91999999</v>
      </c>
      <c r="AO10" s="58">
        <f>利润表!AO8</f>
        <v>758888567.30999994</v>
      </c>
      <c r="AP10" s="58">
        <f>利润表!AP8</f>
        <v>592271100.03999996</v>
      </c>
      <c r="AQ10" s="58">
        <f>利润表!AQ8</f>
        <v>388294205.88</v>
      </c>
      <c r="AR10" s="58">
        <f>利润表!AR8</f>
        <v>133450087.68000001</v>
      </c>
      <c r="AS10" s="58">
        <f>利润表!AS8</f>
        <v>599626161.64999998</v>
      </c>
      <c r="AT10" s="58">
        <f>利润表!AT8</f>
        <v>513167609.55000001</v>
      </c>
      <c r="AU10" s="58">
        <f>利润表!AU8</f>
        <v>319151835.13999999</v>
      </c>
      <c r="AV10" s="58">
        <f>利润表!AV8</f>
        <v>110600964.11</v>
      </c>
      <c r="AW10" s="58">
        <f>利润表!AW8</f>
        <v>559905648.10000002</v>
      </c>
      <c r="AX10" s="58">
        <f>利润表!AX8</f>
        <v>492837895.23000002</v>
      </c>
      <c r="AY10" s="58">
        <f>利润表!AY8</f>
        <v>312647475.35000002</v>
      </c>
      <c r="AZ10" s="58">
        <f>利润表!AZ8</f>
        <v>102642756.54000001</v>
      </c>
      <c r="BA10" s="58">
        <f>利润表!BA8</f>
        <v>477646870.35000002</v>
      </c>
      <c r="BB10" s="58">
        <f>利润表!BB8</f>
        <v>354316129.05000001</v>
      </c>
      <c r="BC10" s="58">
        <f>利润表!BC8</f>
        <v>223205696.31</v>
      </c>
      <c r="BD10" s="58">
        <f>利润表!BD8</f>
        <v>83902892.150000006</v>
      </c>
      <c r="BE10" s="58">
        <f>利润表!BE8</f>
        <v>375851298.36000001</v>
      </c>
      <c r="BF10" s="58">
        <f>利润表!BF8</f>
        <v>264241262.43000001</v>
      </c>
      <c r="BG10" s="58">
        <f>利润表!BG8</f>
        <v>154601101.72999999</v>
      </c>
      <c r="BH10" s="58">
        <f>利润表!BH8</f>
        <v>61933351.310000002</v>
      </c>
      <c r="BI10" s="58">
        <f>利润表!BI8</f>
        <v>327390198.94</v>
      </c>
      <c r="BJ10" s="58">
        <f>利润表!BJ8</f>
        <v>230515852.44</v>
      </c>
      <c r="BK10" s="58">
        <f>利润表!BK8</f>
        <v>149856564.33000001</v>
      </c>
      <c r="BL10" s="58">
        <f>利润表!BL8</f>
        <v>49797596.770000003</v>
      </c>
      <c r="BM10" s="58">
        <f>利润表!BM8</f>
        <v>281034821.10000002</v>
      </c>
      <c r="BN10" s="58">
        <f>利润表!BN8</f>
        <v>201595738.36000001</v>
      </c>
      <c r="BO10" s="58">
        <f>利润表!BO8</f>
        <v>127626346.87</v>
      </c>
      <c r="BP10" s="58">
        <f>利润表!BP8</f>
        <v>50893780.240000002</v>
      </c>
      <c r="BQ10" s="58">
        <f>利润表!BQ8</f>
        <v>243708385.56999999</v>
      </c>
      <c r="BR10" s="58">
        <f>利润表!BR8</f>
        <v>109564117.09999999</v>
      </c>
      <c r="BS10" s="58">
        <f>利润表!BS8</f>
        <v>202884690.81999999</v>
      </c>
      <c r="BT10" s="58">
        <f>利润表!BT8</f>
        <v>193919735.22999999</v>
      </c>
      <c r="BU10" s="58">
        <f>利润表!BU8</f>
        <v>163410738.56999999</v>
      </c>
      <c r="BV10" s="58">
        <f>利润表!BV8</f>
        <v>163881237.71000001</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1003691077.95</v>
      </c>
      <c r="F11" s="58">
        <f>利润表!F9</f>
        <v>497681651.75</v>
      </c>
      <c r="G11" s="58">
        <f>利润表!G9</f>
        <v>324774256.07999998</v>
      </c>
      <c r="H11" s="58">
        <f>利润表!H9</f>
        <v>152028105.13999999</v>
      </c>
      <c r="I11" s="58">
        <f>利润表!I9</f>
        <v>647196144.54999995</v>
      </c>
      <c r="J11" s="58">
        <f>利润表!J9</f>
        <v>450662144.95999998</v>
      </c>
      <c r="K11" s="58">
        <f>利润表!K9</f>
        <v>296989810.05000001</v>
      </c>
      <c r="L11" s="58">
        <f>利润表!L9</f>
        <v>141564699.69</v>
      </c>
      <c r="M11" s="58">
        <f>利润表!M9</f>
        <v>604774459.76999998</v>
      </c>
      <c r="N11" s="58">
        <f>利润表!N9</f>
        <v>401102970.16000003</v>
      </c>
      <c r="O11" s="58">
        <f>利润表!O9</f>
        <v>264256600.13999999</v>
      </c>
      <c r="P11" s="58">
        <f>利润表!P9</f>
        <v>117978193.59999999</v>
      </c>
      <c r="Q11" s="58">
        <f>利润表!Q9</f>
        <v>611824015.36000001</v>
      </c>
      <c r="R11" s="58">
        <f>利润表!R9</f>
        <v>401885687.93000001</v>
      </c>
      <c r="S11" s="58">
        <f>利润表!S9</f>
        <v>274193719.16000003</v>
      </c>
      <c r="T11" s="58">
        <f>利润表!T9</f>
        <v>150386571.44999999</v>
      </c>
      <c r="U11" s="58">
        <f>利润表!U9</f>
        <v>572366023.16999996</v>
      </c>
      <c r="V11" s="58">
        <f>利润表!V9</f>
        <v>406171144.13</v>
      </c>
      <c r="W11" s="58">
        <f>利润表!W9</f>
        <v>290064445.01999998</v>
      </c>
      <c r="X11" s="58">
        <f>利润表!X9</f>
        <v>161774246.66999999</v>
      </c>
      <c r="Y11" s="58">
        <f>利润表!Y9</f>
        <v>502759913.19999999</v>
      </c>
      <c r="Z11" s="58">
        <f>利润表!Z9</f>
        <v>326590893.66000003</v>
      </c>
      <c r="AA11" s="58">
        <f>利润表!AA9</f>
        <v>187904064.43000001</v>
      </c>
      <c r="AB11" s="58">
        <f>利润表!AB9</f>
        <v>92791249.519999996</v>
      </c>
      <c r="AC11" s="58">
        <f>利润表!AC9</f>
        <v>393324923.93000001</v>
      </c>
      <c r="AD11" s="58">
        <f>利润表!AD9</f>
        <v>240112770.53</v>
      </c>
      <c r="AE11" s="58">
        <f>利润表!AE9</f>
        <v>155539518.38</v>
      </c>
      <c r="AF11" s="58">
        <f>利润表!AF9</f>
        <v>80692131.560000002</v>
      </c>
      <c r="AG11" s="58">
        <f>利润表!AG9</f>
        <v>301433154.27999997</v>
      </c>
      <c r="AH11" s="58">
        <f>利润表!AH9</f>
        <v>212428691.47999999</v>
      </c>
      <c r="AI11" s="58">
        <f>利润表!AI9</f>
        <v>138695131.99000001</v>
      </c>
      <c r="AJ11" s="58">
        <f>利润表!AJ9</f>
        <v>73281148.170000002</v>
      </c>
      <c r="AK11" s="58">
        <f>利润表!AK9</f>
        <v>314683115.16000003</v>
      </c>
      <c r="AL11" s="58">
        <f>利润表!AL9</f>
        <v>211774044.63999999</v>
      </c>
      <c r="AM11" s="58">
        <f>利润表!AM9</f>
        <v>141575646.06</v>
      </c>
      <c r="AN11" s="58">
        <f>利润表!AN9</f>
        <v>71988519.480000004</v>
      </c>
      <c r="AO11" s="58">
        <f>利润表!AO9</f>
        <v>268449382.42000002</v>
      </c>
      <c r="AP11" s="58">
        <f>利润表!AP9</f>
        <v>193018421.96000001</v>
      </c>
      <c r="AQ11" s="58">
        <f>利润表!AQ9</f>
        <v>129188367.98</v>
      </c>
      <c r="AR11" s="58">
        <f>利润表!AR9</f>
        <v>65217903.090000004</v>
      </c>
      <c r="AS11" s="58">
        <f>利润表!AS9</f>
        <v>222983537.19999999</v>
      </c>
      <c r="AT11" s="58">
        <f>利润表!AT9</f>
        <v>151656388.49000001</v>
      </c>
      <c r="AU11" s="58">
        <f>利润表!AU9</f>
        <v>98693882.849999994</v>
      </c>
      <c r="AV11" s="58">
        <f>利润表!AV9</f>
        <v>50622277.539999999</v>
      </c>
      <c r="AW11" s="58">
        <f>利润表!AW9</f>
        <v>221336976.97</v>
      </c>
      <c r="AX11" s="58">
        <f>利润表!AX9</f>
        <v>169369286.53</v>
      </c>
      <c r="AY11" s="58">
        <f>利润表!AY9</f>
        <v>104977869.40000001</v>
      </c>
      <c r="AZ11" s="58">
        <f>利润表!AZ9</f>
        <v>52737577.25</v>
      </c>
      <c r="BA11" s="58">
        <f>利润表!BA9</f>
        <v>206139122.38</v>
      </c>
      <c r="BB11" s="58">
        <f>利润表!BB9</f>
        <v>165694892.28999999</v>
      </c>
      <c r="BC11" s="58">
        <f>利润表!BC9</f>
        <v>106565794.78</v>
      </c>
      <c r="BD11" s="58">
        <f>利润表!BD9</f>
        <v>49481383.380000003</v>
      </c>
      <c r="BE11" s="58">
        <f>利润表!BE9</f>
        <v>182952843.63</v>
      </c>
      <c r="BF11" s="58">
        <f>利润表!BF9</f>
        <v>142699468.62</v>
      </c>
      <c r="BG11" s="58">
        <f>利润表!BG9</f>
        <v>86949708.040000007</v>
      </c>
      <c r="BH11" s="58">
        <f>利润表!BH9</f>
        <v>39159524.25</v>
      </c>
      <c r="BI11" s="58">
        <f>利润表!BI9</f>
        <v>154767759.16999999</v>
      </c>
      <c r="BJ11" s="58">
        <f>利润表!BJ9</f>
        <v>120323654.14</v>
      </c>
      <c r="BK11" s="58">
        <f>利润表!BK9</f>
        <v>75323159.329999998</v>
      </c>
      <c r="BL11" s="58">
        <f>利润表!BL9</f>
        <v>29057854.199999999</v>
      </c>
      <c r="BM11" s="58">
        <f>利润表!BM9</f>
        <v>167888786.83000001</v>
      </c>
      <c r="BN11" s="58">
        <f>利润表!BN9</f>
        <v>116453950.64</v>
      </c>
      <c r="BO11" s="58">
        <f>利润表!BO9</f>
        <v>76322327.260000005</v>
      </c>
      <c r="BP11" s="58">
        <f>利润表!BP9</f>
        <v>26146654.390000001</v>
      </c>
      <c r="BQ11" s="58">
        <f>利润表!BQ9</f>
        <v>136925890.11000001</v>
      </c>
      <c r="BR11" s="58">
        <f>利润表!BR9</f>
        <v>70250054.329999998</v>
      </c>
      <c r="BS11" s="58">
        <f>利润表!BS9</f>
        <v>134467139.52000001</v>
      </c>
      <c r="BT11" s="58">
        <f>利润表!BT9</f>
        <v>117955874.05</v>
      </c>
      <c r="BU11" s="58">
        <f>利润表!BU9</f>
        <v>128256471.02</v>
      </c>
      <c r="BV11" s="58">
        <f>利润表!BV9</f>
        <v>128461529.56</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6114958350.4499998</v>
      </c>
      <c r="F12" s="58">
        <f t="shared" ref="F12:BQ12" si="4">SUM(F8:F11)</f>
        <v>3602902793.6700001</v>
      </c>
      <c r="G12" s="58">
        <f t="shared" si="4"/>
        <v>2445998593.9000001</v>
      </c>
      <c r="H12" s="58">
        <f t="shared" si="4"/>
        <v>1244131921.5699997</v>
      </c>
      <c r="I12" s="58">
        <f t="shared" si="4"/>
        <v>5147681821.000001</v>
      </c>
      <c r="J12" s="58">
        <f t="shared" si="4"/>
        <v>3824360969.6100001</v>
      </c>
      <c r="K12" s="58">
        <f t="shared" si="4"/>
        <v>2681669679.7600002</v>
      </c>
      <c r="L12" s="58">
        <f t="shared" si="4"/>
        <v>1405670713.6900001</v>
      </c>
      <c r="M12" s="58">
        <f t="shared" si="4"/>
        <v>5079353120.0500011</v>
      </c>
      <c r="N12" s="58">
        <f t="shared" si="4"/>
        <v>3858447893.3299999</v>
      </c>
      <c r="O12" s="58">
        <f t="shared" si="4"/>
        <v>2572026203.52</v>
      </c>
      <c r="P12" s="58">
        <f t="shared" si="4"/>
        <v>1421049146.6599998</v>
      </c>
      <c r="Q12" s="58">
        <f t="shared" si="4"/>
        <v>4445110490.4099998</v>
      </c>
      <c r="R12" s="58">
        <f t="shared" si="4"/>
        <v>3421749995.8099999</v>
      </c>
      <c r="S12" s="58">
        <f t="shared" si="4"/>
        <v>2223020722.9200001</v>
      </c>
      <c r="T12" s="58">
        <f t="shared" si="4"/>
        <v>1202896451.48</v>
      </c>
      <c r="U12" s="58">
        <f t="shared" si="4"/>
        <v>3708253718.9400001</v>
      </c>
      <c r="V12" s="58">
        <f t="shared" si="4"/>
        <v>3367562790.8600001</v>
      </c>
      <c r="W12" s="58">
        <f t="shared" si="4"/>
        <v>2211433955.9400001</v>
      </c>
      <c r="X12" s="58">
        <f t="shared" si="4"/>
        <v>1208122309.6200001</v>
      </c>
      <c r="Y12" s="58">
        <f t="shared" si="4"/>
        <v>3966830185.7299995</v>
      </c>
      <c r="Z12" s="58">
        <f t="shared" si="4"/>
        <v>3079875073.5299997</v>
      </c>
      <c r="AA12" s="58">
        <f t="shared" si="4"/>
        <v>1982528157.8699999</v>
      </c>
      <c r="AB12" s="58">
        <f t="shared" si="4"/>
        <v>968565073.11000001</v>
      </c>
      <c r="AC12" s="58">
        <f t="shared" si="4"/>
        <v>3233115936.1299996</v>
      </c>
      <c r="AD12" s="58">
        <f t="shared" si="4"/>
        <v>2592759916.6700006</v>
      </c>
      <c r="AE12" s="58">
        <f t="shared" si="4"/>
        <v>1711856012.2199998</v>
      </c>
      <c r="AF12" s="58">
        <f t="shared" si="4"/>
        <v>785791911.5</v>
      </c>
      <c r="AG12" s="58">
        <f t="shared" si="4"/>
        <v>2801089960.6499996</v>
      </c>
      <c r="AH12" s="58">
        <f t="shared" si="4"/>
        <v>2233629529.4000001</v>
      </c>
      <c r="AI12" s="58">
        <f t="shared" si="4"/>
        <v>1422045989.96</v>
      </c>
      <c r="AJ12" s="58">
        <f t="shared" si="4"/>
        <v>625412392.53999996</v>
      </c>
      <c r="AK12" s="58">
        <f t="shared" si="4"/>
        <v>2372594250.4200001</v>
      </c>
      <c r="AL12" s="58">
        <f t="shared" si="4"/>
        <v>1977841500.27</v>
      </c>
      <c r="AM12" s="58">
        <f t="shared" si="4"/>
        <v>1265062113.45</v>
      </c>
      <c r="AN12" s="58">
        <f t="shared" si="4"/>
        <v>547292272.5</v>
      </c>
      <c r="AO12" s="58">
        <f t="shared" si="4"/>
        <v>2264615694.1599998</v>
      </c>
      <c r="AP12" s="58">
        <f t="shared" si="4"/>
        <v>1875213822.04</v>
      </c>
      <c r="AQ12" s="58">
        <f t="shared" si="4"/>
        <v>1217710627.9000001</v>
      </c>
      <c r="AR12" s="58">
        <f t="shared" si="4"/>
        <v>486159940.22000003</v>
      </c>
      <c r="AS12" s="58">
        <f t="shared" si="4"/>
        <v>2069362401.5800002</v>
      </c>
      <c r="AT12" s="58">
        <f t="shared" si="4"/>
        <v>1626659905.49</v>
      </c>
      <c r="AU12" s="58">
        <f t="shared" si="4"/>
        <v>1038635363.79</v>
      </c>
      <c r="AV12" s="58">
        <f t="shared" si="4"/>
        <v>434901185.38999999</v>
      </c>
      <c r="AW12" s="58">
        <f t="shared" si="4"/>
        <v>2007285823.3999999</v>
      </c>
      <c r="AX12" s="58">
        <f t="shared" si="4"/>
        <v>1643040007.05</v>
      </c>
      <c r="AY12" s="58">
        <f t="shared" si="4"/>
        <v>1028011003.23</v>
      </c>
      <c r="AZ12" s="58">
        <f t="shared" si="4"/>
        <v>421043328.73000002</v>
      </c>
      <c r="BA12" s="58">
        <f t="shared" si="4"/>
        <v>1900889126.8899999</v>
      </c>
      <c r="BB12" s="58">
        <f t="shared" si="4"/>
        <v>1486075999.7</v>
      </c>
      <c r="BC12" s="58">
        <f t="shared" si="4"/>
        <v>933957251.44000006</v>
      </c>
      <c r="BD12" s="58">
        <f t="shared" si="4"/>
        <v>370923330.13999999</v>
      </c>
      <c r="BE12" s="58">
        <f t="shared" si="4"/>
        <v>1605095723.46</v>
      </c>
      <c r="BF12" s="58">
        <f t="shared" si="4"/>
        <v>1204831188.0300002</v>
      </c>
      <c r="BG12" s="58">
        <f t="shared" si="4"/>
        <v>720620981.50999999</v>
      </c>
      <c r="BH12" s="58">
        <f t="shared" si="4"/>
        <v>271006348.03999996</v>
      </c>
      <c r="BI12" s="58">
        <f t="shared" si="4"/>
        <v>1400257575.7800002</v>
      </c>
      <c r="BJ12" s="58">
        <f t="shared" si="4"/>
        <v>1053721211.7599999</v>
      </c>
      <c r="BK12" s="58">
        <f t="shared" si="4"/>
        <v>677285296.01000011</v>
      </c>
      <c r="BL12" s="58">
        <f t="shared" si="4"/>
        <v>219743439.19999999</v>
      </c>
      <c r="BM12" s="58">
        <f t="shared" si="4"/>
        <v>1297176761.45</v>
      </c>
      <c r="BN12" s="58">
        <f t="shared" si="4"/>
        <v>966548112.43000007</v>
      </c>
      <c r="BO12" s="58">
        <f t="shared" si="4"/>
        <v>636271122.78999996</v>
      </c>
      <c r="BP12" s="58">
        <f t="shared" si="4"/>
        <v>210882128.19</v>
      </c>
      <c r="BQ12" s="58">
        <f t="shared" si="4"/>
        <v>1217115683.3299999</v>
      </c>
      <c r="BR12" s="58">
        <f t="shared" ref="BR12:CL12" si="5">SUM(BR8:BR11)</f>
        <v>590443310.33000004</v>
      </c>
      <c r="BS12" s="58">
        <f t="shared" si="5"/>
        <v>1109514298.01</v>
      </c>
      <c r="BT12" s="58">
        <f t="shared" si="5"/>
        <v>1016206529.0199999</v>
      </c>
      <c r="BU12" s="58">
        <f t="shared" si="5"/>
        <v>931917141.94000006</v>
      </c>
      <c r="BV12" s="58">
        <f t="shared" si="5"/>
        <v>828633450.58999991</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0.49798537612858712</v>
      </c>
      <c r="F13" s="28">
        <f t="shared" ref="F13:BQ13" si="6">(F6/(1+F4)+F7)/F12</f>
        <v>0.42287501072033368</v>
      </c>
      <c r="G13" s="28">
        <f t="shared" si="6"/>
        <v>0.40472388811331356</v>
      </c>
      <c r="H13" s="28">
        <f t="shared" si="6"/>
        <v>0.47363584019308663</v>
      </c>
      <c r="I13" s="28">
        <f t="shared" si="6"/>
        <v>0.58103585567831539</v>
      </c>
      <c r="J13" s="28">
        <f t="shared" si="6"/>
        <v>0.57479084371830069</v>
      </c>
      <c r="K13" s="28">
        <f t="shared" si="6"/>
        <v>0.59907754965584992</v>
      </c>
      <c r="L13" s="28">
        <f t="shared" si="6"/>
        <v>0.67149174904747666</v>
      </c>
      <c r="M13" s="28">
        <f t="shared" si="6"/>
        <v>0.63942151966942362</v>
      </c>
      <c r="N13" s="28">
        <f t="shared" si="6"/>
        <v>0.5690909078377957</v>
      </c>
      <c r="O13" s="28">
        <f t="shared" si="6"/>
        <v>0.58657776704379416</v>
      </c>
      <c r="P13" s="28">
        <f t="shared" si="6"/>
        <v>0.51105577778028877</v>
      </c>
      <c r="Q13" s="28">
        <f t="shared" si="6"/>
        <v>0.55972436772218748</v>
      </c>
      <c r="R13" s="28">
        <f t="shared" si="6"/>
        <v>0.50243306313597913</v>
      </c>
      <c r="S13" s="28">
        <f t="shared" si="6"/>
        <v>0.50914771612745324</v>
      </c>
      <c r="T13" s="28">
        <f t="shared" si="6"/>
        <v>0.49053944913672581</v>
      </c>
      <c r="U13" s="28">
        <f t="shared" si="6"/>
        <v>0.72831232509577326</v>
      </c>
      <c r="V13" s="28">
        <f t="shared" si="6"/>
        <v>0.51684628042062475</v>
      </c>
      <c r="W13" s="28">
        <f t="shared" si="6"/>
        <v>0.45284621078334097</v>
      </c>
      <c r="X13" s="28">
        <f t="shared" si="6"/>
        <v>0.42631571365962162</v>
      </c>
      <c r="Y13" s="28">
        <f t="shared" si="6"/>
        <v>0.54537053789587475</v>
      </c>
      <c r="Z13" s="28">
        <f t="shared" si="6"/>
        <v>0.46379321299664905</v>
      </c>
      <c r="AA13" s="28">
        <f t="shared" si="6"/>
        <v>0.46141104621000456</v>
      </c>
      <c r="AB13" s="28">
        <f t="shared" si="6"/>
        <v>0.33598139510970809</v>
      </c>
      <c r="AC13" s="28">
        <f t="shared" si="6"/>
        <v>0.55241252904266813</v>
      </c>
      <c r="AD13" s="28">
        <f t="shared" si="6"/>
        <v>0.47354076569778114</v>
      </c>
      <c r="AE13" s="28">
        <f t="shared" si="6"/>
        <v>0.41507764504773076</v>
      </c>
      <c r="AF13" s="28">
        <f t="shared" si="6"/>
        <v>0.47836733423653838</v>
      </c>
      <c r="AG13" s="28">
        <f t="shared" si="6"/>
        <v>0.52515869808332682</v>
      </c>
      <c r="AH13" s="28">
        <f t="shared" si="6"/>
        <v>0.53863183382301771</v>
      </c>
      <c r="AI13" s="28">
        <f t="shared" si="6"/>
        <v>0.58540740388371171</v>
      </c>
      <c r="AJ13" s="28">
        <f t="shared" si="6"/>
        <v>0.65061649407847666</v>
      </c>
      <c r="AK13" s="28">
        <f t="shared" si="6"/>
        <v>0.56528673868349999</v>
      </c>
      <c r="AL13" s="28">
        <f t="shared" si="6"/>
        <v>0.49935615944809242</v>
      </c>
      <c r="AM13" s="28">
        <f t="shared" si="6"/>
        <v>0.64144620358668147</v>
      </c>
      <c r="AN13" s="28">
        <f t="shared" si="6"/>
        <v>0.69810204977613488</v>
      </c>
      <c r="AO13" s="28">
        <f t="shared" si="6"/>
        <v>0.60256340109171203</v>
      </c>
      <c r="AP13" s="28">
        <f t="shared" si="6"/>
        <v>0.62912651672122566</v>
      </c>
      <c r="AQ13" s="28">
        <f t="shared" si="6"/>
        <v>0.56477190066128513</v>
      </c>
      <c r="AR13" s="28">
        <f t="shared" si="6"/>
        <v>0.55662893158679194</v>
      </c>
      <c r="AS13" s="28">
        <f t="shared" si="6"/>
        <v>0.64156464446308925</v>
      </c>
      <c r="AT13" s="28">
        <f t="shared" si="6"/>
        <v>0.65927685784528722</v>
      </c>
      <c r="AU13" s="28">
        <f t="shared" si="6"/>
        <v>0.5624689649245963</v>
      </c>
      <c r="AV13" s="28">
        <f t="shared" si="6"/>
        <v>0.72909593485692681</v>
      </c>
      <c r="AW13" s="28">
        <f t="shared" si="6"/>
        <v>0.6819698853015993</v>
      </c>
      <c r="AX13" s="28">
        <f t="shared" si="6"/>
        <v>0.69904206130675217</v>
      </c>
      <c r="AY13" s="28">
        <f t="shared" si="6"/>
        <v>0.64393430438883092</v>
      </c>
      <c r="AZ13" s="28">
        <f t="shared" si="6"/>
        <v>0.64783700673902933</v>
      </c>
      <c r="BA13" s="28">
        <f t="shared" si="6"/>
        <v>0.64356275571859267</v>
      </c>
      <c r="BB13" s="28">
        <f t="shared" si="6"/>
        <v>0.85442632673984542</v>
      </c>
      <c r="BC13" s="28">
        <f t="shared" si="6"/>
        <v>0.76057951537719048</v>
      </c>
      <c r="BD13" s="28">
        <f t="shared" si="6"/>
        <v>0.93432041675787592</v>
      </c>
      <c r="BE13" s="28">
        <f t="shared" si="6"/>
        <v>0.7478244464681516</v>
      </c>
      <c r="BF13" s="28">
        <f t="shared" si="6"/>
        <v>0.72323859619823305</v>
      </c>
      <c r="BG13" s="28">
        <f t="shared" si="6"/>
        <v>0.70482388114772199</v>
      </c>
      <c r="BH13" s="28">
        <f t="shared" si="6"/>
        <v>0.89339281589996766</v>
      </c>
      <c r="BI13" s="28">
        <f t="shared" si="6"/>
        <v>0.73556320614891391</v>
      </c>
      <c r="BJ13" s="28">
        <f t="shared" si="6"/>
        <v>0.67317421896015928</v>
      </c>
      <c r="BK13" s="28">
        <f t="shared" si="6"/>
        <v>0.67842562893059077</v>
      </c>
      <c r="BL13" s="28">
        <f t="shared" si="6"/>
        <v>1.0810324473167296</v>
      </c>
      <c r="BM13" s="28">
        <f t="shared" si="6"/>
        <v>0.73959080304778202</v>
      </c>
      <c r="BN13" s="28">
        <f t="shared" si="6"/>
        <v>0.40890179584865238</v>
      </c>
      <c r="BO13" s="28">
        <f t="shared" si="6"/>
        <v>1.6075898586070256</v>
      </c>
      <c r="BP13" s="28">
        <f t="shared" si="6"/>
        <v>1.8221633972818547</v>
      </c>
      <c r="BQ13" s="28">
        <f t="shared" si="6"/>
        <v>0.70092120740841746</v>
      </c>
      <c r="BR13" s="28">
        <f t="shared" ref="BR13:CK13" si="7">(BR6/(1+BR4)+BR7)/BR12</f>
        <v>1.7039151794899337</v>
      </c>
      <c r="BS13" s="28">
        <f t="shared" si="7"/>
        <v>0</v>
      </c>
      <c r="BT13" s="28">
        <f t="shared" si="7"/>
        <v>0</v>
      </c>
      <c r="BU13" s="28">
        <f t="shared" si="7"/>
        <v>0</v>
      </c>
      <c r="BV13" s="28">
        <f t="shared" si="7"/>
        <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861766418.96000004</v>
      </c>
      <c r="F14" s="26">
        <f>现金流量表!F13</f>
        <v>588133661.70000005</v>
      </c>
      <c r="G14" s="26">
        <f>现金流量表!G13</f>
        <v>497882274.82999998</v>
      </c>
      <c r="H14" s="26">
        <f>现金流量表!H13</f>
        <v>176582529.22999999</v>
      </c>
      <c r="I14" s="26">
        <f>现金流量表!I13</f>
        <v>53997559.140000001</v>
      </c>
      <c r="J14" s="26">
        <f>现金流量表!J13</f>
        <v>86203803.739999995</v>
      </c>
      <c r="K14" s="26">
        <f>现金流量表!K13</f>
        <v>-33919603.159999996</v>
      </c>
      <c r="L14" s="26">
        <f>现金流量表!L13</f>
        <v>97918240.829999998</v>
      </c>
      <c r="M14" s="26">
        <f>现金流量表!M13</f>
        <v>502584607.93000001</v>
      </c>
      <c r="N14" s="26">
        <f>现金流量表!N13</f>
        <v>394937757.07999998</v>
      </c>
      <c r="O14" s="26">
        <f>现金流量表!O13</f>
        <v>309903409.43000001</v>
      </c>
      <c r="P14" s="26">
        <f>现金流量表!P13</f>
        <v>108285893.14</v>
      </c>
      <c r="Q14" s="26">
        <f>现金流量表!Q13</f>
        <v>1129569111.8599999</v>
      </c>
      <c r="R14" s="26">
        <f>现金流量表!R13</f>
        <v>899948047.77999997</v>
      </c>
      <c r="S14" s="26">
        <f>现金流量表!S13</f>
        <v>540510695.59000003</v>
      </c>
      <c r="T14" s="26">
        <f>现金流量表!T13</f>
        <v>373923159.75999999</v>
      </c>
      <c r="U14" s="26">
        <f>现金流量表!U13</f>
        <v>1028774337.48</v>
      </c>
      <c r="V14" s="26">
        <f>现金流量表!V13</f>
        <v>848381480.11000001</v>
      </c>
      <c r="W14" s="26">
        <f>现金流量表!W13</f>
        <v>584247462.16999996</v>
      </c>
      <c r="X14" s="26">
        <f>现金流量表!X13</f>
        <v>268908285.19</v>
      </c>
      <c r="Y14" s="26">
        <f>现金流量表!Y13</f>
        <v>832913797.85000002</v>
      </c>
      <c r="Z14" s="26">
        <f>现金流量表!Z13</f>
        <v>782893425.53999996</v>
      </c>
      <c r="AA14" s="26">
        <f>现金流量表!AA13</f>
        <v>377148563.23000002</v>
      </c>
      <c r="AB14" s="26">
        <f>现金流量表!AB13</f>
        <v>204922008.21000001</v>
      </c>
      <c r="AC14" s="26">
        <f>现金流量表!AC13</f>
        <v>347097348</v>
      </c>
      <c r="AD14" s="26">
        <f>现金流量表!AD13</f>
        <v>400574830.11000001</v>
      </c>
      <c r="AE14" s="26">
        <f>现金流量表!AE13</f>
        <v>236187202.5</v>
      </c>
      <c r="AF14" s="26">
        <f>现金流量表!AF13</f>
        <v>71308878.760000005</v>
      </c>
      <c r="AG14" s="26">
        <f>现金流量表!AG13</f>
        <v>328641354.18000001</v>
      </c>
      <c r="AH14" s="26">
        <f>现金流量表!AH13</f>
        <v>330864970.85000002</v>
      </c>
      <c r="AI14" s="26">
        <f>现金流量表!AI13</f>
        <v>194197375.22</v>
      </c>
      <c r="AJ14" s="26">
        <f>现金流量表!AJ13</f>
        <v>77523146.480000004</v>
      </c>
      <c r="AK14" s="26">
        <f>现金流量表!AK13</f>
        <v>451849963.27999997</v>
      </c>
      <c r="AL14" s="26">
        <f>现金流量表!AL13</f>
        <v>421980275.66000003</v>
      </c>
      <c r="AM14" s="26">
        <f>现金流量表!AM13</f>
        <v>178140362.90000001</v>
      </c>
      <c r="AN14" s="26">
        <f>现金流量表!AN13</f>
        <v>70093632.25</v>
      </c>
      <c r="AO14" s="26">
        <f>现金流量表!AO13</f>
        <v>329581687.44</v>
      </c>
      <c r="AP14" s="26">
        <f>现金流量表!AP13</f>
        <v>322366185.20999998</v>
      </c>
      <c r="AQ14" s="26">
        <f>现金流量表!AQ13</f>
        <v>254620725.84999999</v>
      </c>
      <c r="AR14" s="26">
        <f>现金流量表!AR13</f>
        <v>95627692.640000001</v>
      </c>
      <c r="AS14" s="26">
        <f>现金流量表!AS13</f>
        <v>221899544.44999999</v>
      </c>
      <c r="AT14" s="26">
        <f>现金流量表!AT13</f>
        <v>324367065.24000001</v>
      </c>
      <c r="AU14" s="26">
        <f>现金流量表!AU13</f>
        <v>140661766.03</v>
      </c>
      <c r="AV14" s="26">
        <f>现金流量表!AV13</f>
        <v>-993223.69</v>
      </c>
      <c r="AW14" s="26">
        <f>现金流量表!AW13</f>
        <v>411693385.85000002</v>
      </c>
      <c r="AX14" s="26">
        <f>现金流量表!AX13</f>
        <v>388985549.25</v>
      </c>
      <c r="AY14" s="26">
        <f>现金流量表!AY13</f>
        <v>230534744.66999999</v>
      </c>
      <c r="AZ14" s="26">
        <f>现金流量表!AZ13</f>
        <v>60838238.009999998</v>
      </c>
      <c r="BA14" s="26">
        <f>现金流量表!BA13</f>
        <v>2695467.28</v>
      </c>
      <c r="BB14" s="26">
        <f>现金流量表!BB13</f>
        <v>-32057434.77</v>
      </c>
      <c r="BC14" s="26">
        <f>现金流量表!BC13</f>
        <v>-34840071.5</v>
      </c>
      <c r="BD14" s="26">
        <f>现金流量表!BD13</f>
        <v>-41681884.869999997</v>
      </c>
      <c r="BE14" s="26">
        <f>现金流量表!BE13</f>
        <v>71692252.159999996</v>
      </c>
      <c r="BF14" s="26">
        <f>现金流量表!BF13</f>
        <v>18091836.93</v>
      </c>
      <c r="BG14" s="26">
        <f>现金流量表!BG13</f>
        <v>7064086.29</v>
      </c>
      <c r="BH14" s="26">
        <f>现金流量表!BH13</f>
        <v>-8955488.2400000002</v>
      </c>
      <c r="BI14" s="26">
        <f>现金流量表!BI13</f>
        <v>109281603.94</v>
      </c>
      <c r="BJ14" s="26">
        <f>现金流量表!BJ13</f>
        <v>130439657.06999999</v>
      </c>
      <c r="BK14" s="26">
        <f>现金流量表!BK13</f>
        <v>47836304.630000003</v>
      </c>
      <c r="BL14" s="26">
        <f>现金流量表!BL13</f>
        <v>-96295957.400000006</v>
      </c>
      <c r="BM14" s="26">
        <f>现金流量表!BM13</f>
        <v>19807343.329999998</v>
      </c>
      <c r="BN14" s="26">
        <f>现金流量表!BN13</f>
        <v>108584912.95999999</v>
      </c>
      <c r="BO14" s="26">
        <f>现金流量表!BO13</f>
        <v>66722898.859999999</v>
      </c>
      <c r="BP14" s="26">
        <f>现金流量表!BP13</f>
        <v>112348236.56999999</v>
      </c>
      <c r="BQ14" s="26">
        <f>现金流量表!BQ13</f>
        <v>150035803.47999999</v>
      </c>
      <c r="BR14" s="26">
        <f>现金流量表!BR13</f>
        <v>99444443.469999999</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256908517.02874482</v>
      </c>
      <c r="F15" s="26">
        <f>股权价值增加表!F17</f>
        <v>208425912.30801302</v>
      </c>
      <c r="G15" s="26">
        <f>股权价值增加表!G17</f>
        <v>134114785.60173094</v>
      </c>
      <c r="H15" s="26">
        <f>股权价值增加表!H17</f>
        <v>88823481.589265153</v>
      </c>
      <c r="I15" s="26">
        <f>股权价值增加表!I17</f>
        <v>138006387.79048923</v>
      </c>
      <c r="J15" s="26">
        <f>股权价值增加表!J17</f>
        <v>373044406.00854594</v>
      </c>
      <c r="K15" s="26">
        <f>股权价值增加表!K17</f>
        <v>317600322.82687438</v>
      </c>
      <c r="L15" s="26">
        <f>股权价值增加表!L17</f>
        <v>112803033.91331214</v>
      </c>
      <c r="M15" s="26">
        <f>股权价值增加表!M17</f>
        <v>656162106.56214035</v>
      </c>
      <c r="N15" s="26">
        <f>股权价值增加表!N17</f>
        <v>630579481.90900242</v>
      </c>
      <c r="O15" s="26">
        <f>股权价值增加表!O17</f>
        <v>549290120.40048015</v>
      </c>
      <c r="P15" s="26">
        <f>股权价值增加表!P17</f>
        <v>143945836.69470143</v>
      </c>
      <c r="Q15" s="26">
        <f>股权价值增加表!Q17</f>
        <v>705484959.35875249</v>
      </c>
      <c r="R15" s="26">
        <f>股权价值增加表!R17</f>
        <v>613501663.86566031</v>
      </c>
      <c r="S15" s="26">
        <f>股权价值增加表!S17</f>
        <v>494956164.06761038</v>
      </c>
      <c r="T15" s="26">
        <f>股权价值增加表!T17</f>
        <v>120056425.75616467</v>
      </c>
      <c r="U15" s="26">
        <f>股权价值增加表!U17</f>
        <v>660645571.95259309</v>
      </c>
      <c r="V15" s="26">
        <f>股权价值增加表!V17</f>
        <v>528801311.33066797</v>
      </c>
      <c r="W15" s="26">
        <f>股权价值增加表!W17</f>
        <v>429533731.30566072</v>
      </c>
      <c r="X15" s="26">
        <f>股权价值增加表!X17</f>
        <v>91168568.381361529</v>
      </c>
      <c r="Y15" s="26">
        <f>股权价值增加表!Y17</f>
        <v>466153680.54271162</v>
      </c>
      <c r="Z15" s="26">
        <f>股权价值增加表!Z17</f>
        <v>362291469.13647711</v>
      </c>
      <c r="AA15" s="26">
        <f>股权价值增加表!AA17</f>
        <v>272848979.89675492</v>
      </c>
      <c r="AB15" s="26">
        <f>股权价值增加表!AB17</f>
        <v>65326844.162742242</v>
      </c>
      <c r="AC15" s="26">
        <f>股权价值增加表!AC17</f>
        <v>282577204.36179614</v>
      </c>
      <c r="AD15" s="26">
        <f>股权价值增加表!AD17</f>
        <v>217646846.11646521</v>
      </c>
      <c r="AE15" s="26">
        <f>股权价值增加表!AE17</f>
        <v>168279632.9023124</v>
      </c>
      <c r="AF15" s="26">
        <f>股权价值增加表!AF17</f>
        <v>41327447.845908925</v>
      </c>
      <c r="AG15" s="26">
        <f>股权价值增加表!AG17</f>
        <v>170486213.80909324</v>
      </c>
      <c r="AH15" s="26">
        <f>股权价值增加表!AH17</f>
        <v>174633738.76292366</v>
      </c>
      <c r="AI15" s="26">
        <f>股权价值增加表!AI17</f>
        <v>130494040.52791312</v>
      </c>
      <c r="AJ15" s="26">
        <f>股权价值增加表!AJ17</f>
        <v>32288773.364936016</v>
      </c>
      <c r="AK15" s="26">
        <f>股权价值增加表!AK17</f>
        <v>222898812.38837677</v>
      </c>
      <c r="AL15" s="26">
        <f>股权价值增加表!AL17</f>
        <v>176453382.25383633</v>
      </c>
      <c r="AM15" s="26">
        <f>股权价值增加表!AM17</f>
        <v>135789775.17458239</v>
      </c>
      <c r="AN15" s="26">
        <f>股权价值增加表!AN17</f>
        <v>30302803.522775292</v>
      </c>
      <c r="AO15" s="26">
        <f>股权价值增加表!AO17</f>
        <v>184396658.67330214</v>
      </c>
      <c r="AP15" s="26">
        <f>股权价值增加表!AP17</f>
        <v>163880362.16884121</v>
      </c>
      <c r="AQ15" s="26">
        <f>股权价值增加表!AQ17</f>
        <v>118304873.51043351</v>
      </c>
      <c r="AR15" s="26">
        <f>股权价值增加表!AR17</f>
        <v>26443799.869944103</v>
      </c>
      <c r="AS15" s="26">
        <f>股权价值增加表!AS17</f>
        <v>148817431.95848191</v>
      </c>
      <c r="AT15" s="26">
        <f>股权价值增加表!AT17</f>
        <v>116411690.23833416</v>
      </c>
      <c r="AU15" s="26">
        <f>股权价值增加表!AU17</f>
        <v>76862847.873185933</v>
      </c>
      <c r="AV15" s="26">
        <f>股权价值增加表!AV17</f>
        <v>24338198.73419939</v>
      </c>
      <c r="AW15" s="26">
        <f>股权价值增加表!AW17</f>
        <v>101401980.91169325</v>
      </c>
      <c r="AX15" s="26">
        <f>股权价值增加表!AX17</f>
        <v>86199914.849384919</v>
      </c>
      <c r="AY15" s="26">
        <f>股权价值增加表!AY17</f>
        <v>57467762.066388026</v>
      </c>
      <c r="AZ15" s="26">
        <f>股权价值增加表!AZ17</f>
        <v>20501986.76428429</v>
      </c>
      <c r="BA15" s="26">
        <f>股权价值增加表!BA17</f>
        <v>40574280.444003314</v>
      </c>
      <c r="BB15" s="26">
        <f>股权价值增加表!BB17</f>
        <v>45156342.022035912</v>
      </c>
      <c r="BC15" s="26">
        <f>股权价值增加表!BC17</f>
        <v>32010955.57855824</v>
      </c>
      <c r="BD15" s="26">
        <f>股权价值增加表!BD17</f>
        <v>10764897.972985486</v>
      </c>
      <c r="BE15" s="26">
        <f>股权价值增加表!BE17</f>
        <v>49037425.707376473</v>
      </c>
      <c r="BF15" s="26">
        <f>股权价值增加表!BF17</f>
        <v>69246245.768914893</v>
      </c>
      <c r="BG15" s="26">
        <f>股权价值增加表!BG17</f>
        <v>48665754.439203046</v>
      </c>
      <c r="BH15" s="26">
        <f>股权价值增加表!BH17</f>
        <v>13760050.314336436</v>
      </c>
      <c r="BI15" s="26">
        <f>股权价值增加表!BI17</f>
        <v>78781189.911355808</v>
      </c>
      <c r="BJ15" s="26">
        <f>股权价值增加表!BJ17</f>
        <v>80147758.132643923</v>
      </c>
      <c r="BK15" s="26">
        <f>股权价值增加表!BK17</f>
        <v>54916296.931666553</v>
      </c>
      <c r="BL15" s="26">
        <f>股权价值增加表!BL17</f>
        <v>8003293.0356297428</v>
      </c>
      <c r="BM15" s="26">
        <f>股权价值增加表!BM17</f>
        <v>54113857.354635052</v>
      </c>
      <c r="BN15" s="26">
        <f>股权价值增加表!BN17</f>
        <v>62817050.675045498</v>
      </c>
      <c r="BO15" s="26">
        <f>股权价值增加表!BO17</f>
        <v>43279169.334318802</v>
      </c>
      <c r="BP15" s="26">
        <f>股权价值增加表!BP17</f>
        <v>10416544.091849118</v>
      </c>
      <c r="BQ15" s="26">
        <f>股权价值增加表!BQ17</f>
        <v>74687922.570559502</v>
      </c>
      <c r="BR15" s="26">
        <f>股权价值增加表!BR17</f>
        <v>43359661.709498249</v>
      </c>
      <c r="BS15" s="26">
        <f>股权价值增加表!BS17</f>
        <v>55614576.855124548</v>
      </c>
      <c r="BT15" s="26">
        <f>股权价值增加表!BT17</f>
        <v>52628692.213288479</v>
      </c>
      <c r="BU15" s="26">
        <f>股权价值增加表!BU17</f>
        <v>40707690.643107571</v>
      </c>
      <c r="BV15" s="26">
        <f>股权价值增加表!BV17</f>
        <v>76905280.629549995</v>
      </c>
      <c r="BW15" s="26" t="e">
        <f>股权价值增加表!BW17</f>
        <v>#DIV/0!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3.3543707656199628</v>
      </c>
      <c r="F16" s="28">
        <f t="shared" ref="F16:BQ16" si="8">F14/F15</f>
        <v>2.8217876327721321</v>
      </c>
      <c r="G16" s="28">
        <f t="shared" si="8"/>
        <v>3.7123593241129864</v>
      </c>
      <c r="H16" s="28">
        <f t="shared" si="8"/>
        <v>1.9880163000877129</v>
      </c>
      <c r="I16" s="28">
        <f t="shared" si="8"/>
        <v>0.39126854926436433</v>
      </c>
      <c r="J16" s="28">
        <f t="shared" si="8"/>
        <v>0.23108188288454104</v>
      </c>
      <c r="K16" s="28">
        <f t="shared" si="8"/>
        <v>-0.10679964950315794</v>
      </c>
      <c r="L16" s="28">
        <f t="shared" si="8"/>
        <v>0.86804616359209863</v>
      </c>
      <c r="M16" s="28">
        <f t="shared" si="8"/>
        <v>0.76594579739329072</v>
      </c>
      <c r="N16" s="28">
        <f t="shared" si="8"/>
        <v>0.62630924159532453</v>
      </c>
      <c r="O16" s="28">
        <f t="shared" si="8"/>
        <v>0.56418893754006272</v>
      </c>
      <c r="P16" s="28">
        <f t="shared" si="8"/>
        <v>0.75226832276967093</v>
      </c>
      <c r="Q16" s="28">
        <f t="shared" si="8"/>
        <v>1.6011243002072175</v>
      </c>
      <c r="R16" s="28">
        <f t="shared" si="8"/>
        <v>1.4669040049695177</v>
      </c>
      <c r="S16" s="28">
        <f t="shared" si="8"/>
        <v>1.0920375072168349</v>
      </c>
      <c r="T16" s="28">
        <f t="shared" si="8"/>
        <v>3.1145618187854449</v>
      </c>
      <c r="U16" s="28">
        <f t="shared" si="8"/>
        <v>1.5572258123813223</v>
      </c>
      <c r="V16" s="28">
        <f t="shared" si="8"/>
        <v>1.6043482909963767</v>
      </c>
      <c r="W16" s="28">
        <f t="shared" si="8"/>
        <v>1.3601899445569814</v>
      </c>
      <c r="X16" s="28">
        <f t="shared" si="8"/>
        <v>2.9495723138389822</v>
      </c>
      <c r="Y16" s="28">
        <f t="shared" si="8"/>
        <v>1.7867794090573179</v>
      </c>
      <c r="Z16" s="28">
        <f t="shared" si="8"/>
        <v>2.1609491037865975</v>
      </c>
      <c r="AA16" s="28">
        <f t="shared" si="8"/>
        <v>1.3822612178088836</v>
      </c>
      <c r="AB16" s="28">
        <f t="shared" si="8"/>
        <v>3.1368729170430809</v>
      </c>
      <c r="AC16" s="28">
        <f t="shared" si="8"/>
        <v>1.2283274894162937</v>
      </c>
      <c r="AD16" s="28">
        <f t="shared" si="8"/>
        <v>1.8404807478609087</v>
      </c>
      <c r="AE16" s="28">
        <f t="shared" si="8"/>
        <v>1.4035400388418273</v>
      </c>
      <c r="AF16" s="28">
        <f t="shared" si="8"/>
        <v>1.7254604984531847</v>
      </c>
      <c r="AG16" s="28">
        <f t="shared" si="8"/>
        <v>1.927671140307013</v>
      </c>
      <c r="AH16" s="28">
        <f t="shared" si="8"/>
        <v>1.8946222716972816</v>
      </c>
      <c r="AI16" s="28">
        <f t="shared" si="8"/>
        <v>1.4881704515729246</v>
      </c>
      <c r="AJ16" s="28">
        <f t="shared" si="8"/>
        <v>2.400931915369267</v>
      </c>
      <c r="AK16" s="28">
        <f t="shared" si="8"/>
        <v>2.0271528521771613</v>
      </c>
      <c r="AL16" s="28">
        <f t="shared" si="8"/>
        <v>2.3914547302525602</v>
      </c>
      <c r="AM16" s="28">
        <f t="shared" si="8"/>
        <v>1.3118834807036703</v>
      </c>
      <c r="AN16" s="28">
        <f t="shared" si="8"/>
        <v>2.313107174962155</v>
      </c>
      <c r="AO16" s="28">
        <f t="shared" si="8"/>
        <v>1.7873517330046851</v>
      </c>
      <c r="AP16" s="28">
        <f t="shared" si="8"/>
        <v>1.9670824554187609</v>
      </c>
      <c r="AQ16" s="28">
        <f t="shared" si="8"/>
        <v>2.1522420699561846</v>
      </c>
      <c r="AR16" s="28">
        <f t="shared" si="8"/>
        <v>3.6162613962560646</v>
      </c>
      <c r="AS16" s="28">
        <f t="shared" si="8"/>
        <v>1.4910856982931073</v>
      </c>
      <c r="AT16" s="28">
        <f t="shared" si="8"/>
        <v>2.786378795599572</v>
      </c>
      <c r="AU16" s="28">
        <f t="shared" si="8"/>
        <v>1.8300358355453377</v>
      </c>
      <c r="AV16" s="28">
        <f t="shared" si="8"/>
        <v>-4.080925219023495E-2</v>
      </c>
      <c r="AW16" s="28">
        <f t="shared" si="8"/>
        <v>4.0600132477542683</v>
      </c>
      <c r="AX16" s="28">
        <f t="shared" si="8"/>
        <v>4.5125978364324988</v>
      </c>
      <c r="AY16" s="28">
        <f t="shared" si="8"/>
        <v>4.0115490212352656</v>
      </c>
      <c r="AZ16" s="28">
        <f t="shared" si="8"/>
        <v>2.9674313377269326</v>
      </c>
      <c r="BA16" s="28">
        <f t="shared" si="8"/>
        <v>6.6432904059013989E-2</v>
      </c>
      <c r="BB16" s="28">
        <f t="shared" si="8"/>
        <v>-0.70992098417440996</v>
      </c>
      <c r="BC16" s="28">
        <f t="shared" si="8"/>
        <v>-1.0883796147384233</v>
      </c>
      <c r="BD16" s="28">
        <f t="shared" si="8"/>
        <v>-3.8720185713418465</v>
      </c>
      <c r="BE16" s="28">
        <f t="shared" si="8"/>
        <v>1.4619905332676479</v>
      </c>
      <c r="BF16" s="28">
        <f t="shared" si="8"/>
        <v>0.26126812694474688</v>
      </c>
      <c r="BG16" s="28">
        <f t="shared" si="8"/>
        <v>0.14515517886042417</v>
      </c>
      <c r="BH16" s="28">
        <f t="shared" si="8"/>
        <v>-0.65083252135127601</v>
      </c>
      <c r="BI16" s="28">
        <f t="shared" si="8"/>
        <v>1.3871535078736827</v>
      </c>
      <c r="BJ16" s="28">
        <f t="shared" si="8"/>
        <v>1.6274897777442927</v>
      </c>
      <c r="BK16" s="28">
        <f t="shared" si="8"/>
        <v>0.87107666217049695</v>
      </c>
      <c r="BL16" s="28">
        <f t="shared" si="8"/>
        <v>-12.032041932152358</v>
      </c>
      <c r="BM16" s="28">
        <f t="shared" si="8"/>
        <v>0.36603088928206717</v>
      </c>
      <c r="BN16" s="28">
        <f t="shared" si="8"/>
        <v>1.7285897983608469</v>
      </c>
      <c r="BO16" s="28">
        <f t="shared" si="8"/>
        <v>1.5416862173251364</v>
      </c>
      <c r="BP16" s="28">
        <f t="shared" si="8"/>
        <v>10.785557626344787</v>
      </c>
      <c r="BQ16" s="28">
        <f t="shared" si="8"/>
        <v>2.008836212283954</v>
      </c>
      <c r="BR16" s="28">
        <f t="shared" ref="BR16:CL16" si="9">BR14/BR15</f>
        <v>2.2934783056256172</v>
      </c>
      <c r="BS16" s="28">
        <f t="shared" si="9"/>
        <v>0</v>
      </c>
      <c r="BT16" s="28">
        <f t="shared" si="9"/>
        <v>0</v>
      </c>
      <c r="BU16" s="28">
        <f t="shared" si="9"/>
        <v>0</v>
      </c>
      <c r="BV16" s="28">
        <f t="shared" si="9"/>
        <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379337896.56999964</v>
      </c>
      <c r="F17" s="26">
        <f>股权价值增加表!F42</f>
        <v>287805695.96000075</v>
      </c>
      <c r="G17" s="26">
        <f>股权价值增加表!G42</f>
        <v>188499572.02000028</v>
      </c>
      <c r="H17" s="26">
        <f>股权价值增加表!H42</f>
        <v>111450218.98000008</v>
      </c>
      <c r="I17" s="26">
        <f>股权价值增加表!I42</f>
        <v>171753594.01000005</v>
      </c>
      <c r="J17" s="26">
        <f>股权价值增加表!J42</f>
        <v>420142335.60999954</v>
      </c>
      <c r="K17" s="26">
        <f>股权价值增加表!K42</f>
        <v>356051287.42000002</v>
      </c>
      <c r="L17" s="26">
        <f>股权价值增加表!L42</f>
        <v>121061433.15999983</v>
      </c>
      <c r="M17" s="26">
        <f>股权价值增加表!M42</f>
        <v>2256445876.8700008</v>
      </c>
      <c r="N17" s="26">
        <f>股权价值增加表!N42</f>
        <v>823568554.92999983</v>
      </c>
      <c r="O17" s="26">
        <f>股权价值增加表!O42</f>
        <v>731848942</v>
      </c>
      <c r="P17" s="26">
        <f>股权价值增加表!P42</f>
        <v>188939769.66999987</v>
      </c>
      <c r="Q17" s="26">
        <f>股权价值增加表!Q42</f>
        <v>897490135.94000041</v>
      </c>
      <c r="R17" s="26">
        <f>股权价值增加表!R42</f>
        <v>745365894.9600004</v>
      </c>
      <c r="S17" s="26">
        <f>股权价值增加表!S42</f>
        <v>581402454.77999997</v>
      </c>
      <c r="T17" s="26">
        <f>股权价值增加表!T42</f>
        <v>163961843.54000014</v>
      </c>
      <c r="U17" s="26">
        <f>股权价值增加表!U42</f>
        <v>821212610.93000078</v>
      </c>
      <c r="V17" s="26">
        <f>股权价值增加表!V42</f>
        <v>646104569.07999992</v>
      </c>
      <c r="W17" s="26">
        <f>股权价值增加表!W42</f>
        <v>504924626.23999971</v>
      </c>
      <c r="X17" s="26">
        <f>股权价值增加表!X42</f>
        <v>132689135.61</v>
      </c>
      <c r="Y17" s="26">
        <f>股权价值增加表!Y42</f>
        <v>633596152.00999975</v>
      </c>
      <c r="Z17" s="26">
        <f>股权价值增加表!Z42</f>
        <v>481046260.48999953</v>
      </c>
      <c r="AA17" s="26">
        <f>股权价值增加表!AA42</f>
        <v>361684788.32999992</v>
      </c>
      <c r="AB17" s="26">
        <f>股权价值增加表!AB42</f>
        <v>89715403.160000071</v>
      </c>
      <c r="AC17" s="26">
        <f>股权价值增加表!AC42</f>
        <v>362933280.32999957</v>
      </c>
      <c r="AD17" s="26">
        <f>股权价值增加表!AD42</f>
        <v>279995440.04999989</v>
      </c>
      <c r="AE17" s="26">
        <f>股权价值增加表!AE42</f>
        <v>205751883.50000021</v>
      </c>
      <c r="AF17" s="26">
        <f>股权价值增加表!AF42</f>
        <v>61312768.550000027</v>
      </c>
      <c r="AG17" s="26">
        <f>股权价值增加表!AG42</f>
        <v>247667905.2100004</v>
      </c>
      <c r="AH17" s="26">
        <f>股权价值增加表!AH42</f>
        <v>203968942.69999963</v>
      </c>
      <c r="AI17" s="26">
        <f>股权价值增加表!AI42</f>
        <v>152645993.91</v>
      </c>
      <c r="AJ17" s="26">
        <f>股权价值增加表!AJ42</f>
        <v>41690606.089999944</v>
      </c>
      <c r="AK17" s="26">
        <f>股权价值增加表!AK42</f>
        <v>238826994.26999998</v>
      </c>
      <c r="AL17" s="26">
        <f>股权价值增加表!AL42</f>
        <v>185842206.83999985</v>
      </c>
      <c r="AM17" s="26">
        <f>股权价值增加表!AM42</f>
        <v>142487131.79999995</v>
      </c>
      <c r="AN17" s="26">
        <f>股权价值增加表!AN42</f>
        <v>34362715.960000008</v>
      </c>
      <c r="AO17" s="26">
        <f>股权价值增加表!AO42</f>
        <v>186623950.53999996</v>
      </c>
      <c r="AP17" s="26">
        <f>股权价值增加表!AP42</f>
        <v>158886905.04999989</v>
      </c>
      <c r="AQ17" s="26">
        <f>股权价值增加表!AQ42</f>
        <v>114479818.3600001</v>
      </c>
      <c r="AR17" s="26">
        <f>股权价值增加表!AR42</f>
        <v>29217113.670000002</v>
      </c>
      <c r="AS17" s="26">
        <f>股权价值增加表!AS42</f>
        <v>149046909.51000023</v>
      </c>
      <c r="AT17" s="26">
        <f>股权价值增加表!AT42</f>
        <v>110053635.17000012</v>
      </c>
      <c r="AU17" s="26">
        <f>股权价值增加表!AU42</f>
        <v>74461427.419999987</v>
      </c>
      <c r="AV17" s="26">
        <f>股权价值增加表!AV42</f>
        <v>22164758.449999996</v>
      </c>
      <c r="AW17" s="26">
        <f>股权价值增加表!AW42</f>
        <v>76700752.549999937</v>
      </c>
      <c r="AX17" s="26">
        <f>股权价值增加表!AX42</f>
        <v>72152852.039999902</v>
      </c>
      <c r="AY17" s="26">
        <f>股权价值增加表!AY42</f>
        <v>54600951.349999994</v>
      </c>
      <c r="AZ17" s="26">
        <f>股权价值增加表!AZ42</f>
        <v>18048573.02999999</v>
      </c>
      <c r="BA17" s="26">
        <f>股权价值增加表!BA42</f>
        <v>29921746.77999996</v>
      </c>
      <c r="BB17" s="26">
        <f>股权价值增加表!BB42</f>
        <v>42267256.559999883</v>
      </c>
      <c r="BC17" s="26">
        <f>股权价值增加表!BC42</f>
        <v>30326909.86999996</v>
      </c>
      <c r="BD17" s="26">
        <f>股权价值增加表!BD42</f>
        <v>11696230.609999999</v>
      </c>
      <c r="BE17" s="26">
        <f>股权价值增加表!BE42</f>
        <v>44913705.189999968</v>
      </c>
      <c r="BF17" s="26">
        <f>股权价值增加表!BF42</f>
        <v>65091840.659999996</v>
      </c>
      <c r="BG17" s="26">
        <f>股权价值增加表!BG42</f>
        <v>46154355.100000024</v>
      </c>
      <c r="BH17" s="26">
        <f>股权价值增加表!BH42</f>
        <v>15663448.310000017</v>
      </c>
      <c r="BI17" s="26">
        <f>股权价值增加表!BI42</f>
        <v>84971309.669999957</v>
      </c>
      <c r="BJ17" s="26">
        <f>股权价值增加表!BJ42</f>
        <v>80273829.450000063</v>
      </c>
      <c r="BK17" s="26">
        <f>股权价值增加表!BK42</f>
        <v>57631365.13000004</v>
      </c>
      <c r="BL17" s="26">
        <f>股权价值增加表!BL42</f>
        <v>12273892.069999985</v>
      </c>
      <c r="BM17" s="26">
        <f>股权价值增加表!BM42</f>
        <v>67318300.189999998</v>
      </c>
      <c r="BN17" s="26">
        <f>股权价值增加表!BN42</f>
        <v>69919840.100000024</v>
      </c>
      <c r="BO17" s="26">
        <f>股权价值增加表!BO42</f>
        <v>49956454.100000024</v>
      </c>
      <c r="BP17" s="26">
        <f>股权价值增加表!BP42</f>
        <v>10171477.549999984</v>
      </c>
      <c r="BQ17" s="26">
        <f>股权价值增加表!BQ42</f>
        <v>66628114.64000003</v>
      </c>
      <c r="BR17" s="26">
        <f>股权价值增加表!BR42</f>
        <v>40023287.680000074</v>
      </c>
      <c r="BS17" s="26">
        <f>股权价值增加表!BS42</f>
        <v>42286944.939999923</v>
      </c>
      <c r="BT17" s="26">
        <f>股权价值增加表!BT42</f>
        <v>37463019.930000037</v>
      </c>
      <c r="BU17" s="26">
        <f>股权价值增加表!BU42</f>
        <v>31033134.360000007</v>
      </c>
      <c r="BV17" s="26">
        <f>股权价值增加表!BV42</f>
        <v>50864311.719999924</v>
      </c>
      <c r="BW17" s="26">
        <f>股权价值增加表!BW42</f>
        <v>0</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2.2717646371537183</v>
      </c>
      <c r="F18" s="28">
        <f t="shared" ref="F18:BQ18" si="10">F14/F17</f>
        <v>2.0435094577896709</v>
      </c>
      <c r="G18" s="28">
        <f t="shared" si="10"/>
        <v>2.6412912745349546</v>
      </c>
      <c r="H18" s="28">
        <f t="shared" si="10"/>
        <v>1.5844071985330779</v>
      </c>
      <c r="I18" s="28">
        <f t="shared" si="10"/>
        <v>0.31438968978347021</v>
      </c>
      <c r="J18" s="28">
        <f t="shared" si="10"/>
        <v>0.20517761823464362</v>
      </c>
      <c r="K18" s="28">
        <f t="shared" si="10"/>
        <v>-9.5266059577501963E-2</v>
      </c>
      <c r="L18" s="28">
        <f t="shared" si="10"/>
        <v>0.80883100649062345</v>
      </c>
      <c r="M18" s="28">
        <f t="shared" si="10"/>
        <v>0.22273284419618058</v>
      </c>
      <c r="N18" s="28">
        <f t="shared" si="10"/>
        <v>0.47954448323196142</v>
      </c>
      <c r="O18" s="28">
        <f t="shared" si="10"/>
        <v>0.42345269856248557</v>
      </c>
      <c r="P18" s="28">
        <f t="shared" si="10"/>
        <v>0.57312387608564863</v>
      </c>
      <c r="Q18" s="28">
        <f t="shared" si="10"/>
        <v>1.2585866592025861</v>
      </c>
      <c r="R18" s="28">
        <f t="shared" si="10"/>
        <v>1.207390965786401</v>
      </c>
      <c r="S18" s="28">
        <f t="shared" si="10"/>
        <v>0.92966703381829852</v>
      </c>
      <c r="T18" s="28">
        <f t="shared" si="10"/>
        <v>2.2805498626195777</v>
      </c>
      <c r="U18" s="28">
        <f t="shared" si="10"/>
        <v>1.2527502912004009</v>
      </c>
      <c r="V18" s="28">
        <f t="shared" si="10"/>
        <v>1.3130714759037005</v>
      </c>
      <c r="W18" s="28">
        <f t="shared" si="10"/>
        <v>1.1570983703462636</v>
      </c>
      <c r="X18" s="28">
        <f t="shared" si="10"/>
        <v>2.026603639806468</v>
      </c>
      <c r="Y18" s="28">
        <f t="shared" si="10"/>
        <v>1.3145815283247719</v>
      </c>
      <c r="Z18" s="28">
        <f t="shared" si="10"/>
        <v>1.6274805353284221</v>
      </c>
      <c r="AA18" s="28">
        <f t="shared" si="10"/>
        <v>1.0427548390171473</v>
      </c>
      <c r="AB18" s="28">
        <f t="shared" si="10"/>
        <v>2.2841340616230461</v>
      </c>
      <c r="AC18" s="28">
        <f t="shared" si="10"/>
        <v>0.956366822255593</v>
      </c>
      <c r="AD18" s="28">
        <f t="shared" si="10"/>
        <v>1.4306476921140852</v>
      </c>
      <c r="AE18" s="28">
        <f t="shared" si="10"/>
        <v>1.1479224320199224</v>
      </c>
      <c r="AF18" s="28">
        <f t="shared" si="10"/>
        <v>1.163034722561064</v>
      </c>
      <c r="AG18" s="28">
        <f t="shared" si="10"/>
        <v>1.3269436502131404</v>
      </c>
      <c r="AH18" s="28">
        <f t="shared" si="10"/>
        <v>1.6221340684039376</v>
      </c>
      <c r="AI18" s="28">
        <f t="shared" si="10"/>
        <v>1.2722074798405694</v>
      </c>
      <c r="AJ18" s="28">
        <f t="shared" si="10"/>
        <v>1.859487154315921</v>
      </c>
      <c r="AK18" s="28">
        <f t="shared" si="10"/>
        <v>1.8919551563303272</v>
      </c>
      <c r="AL18" s="28">
        <f t="shared" si="10"/>
        <v>2.270637455480188</v>
      </c>
      <c r="AM18" s="28">
        <f t="shared" si="10"/>
        <v>1.2502207087026231</v>
      </c>
      <c r="AN18" s="28">
        <f t="shared" si="10"/>
        <v>2.03981641997078</v>
      </c>
      <c r="AO18" s="28">
        <f t="shared" si="10"/>
        <v>1.7660203124322955</v>
      </c>
      <c r="AP18" s="28">
        <f t="shared" si="10"/>
        <v>2.0289034210122918</v>
      </c>
      <c r="AQ18" s="28">
        <f t="shared" si="10"/>
        <v>2.2241538246444836</v>
      </c>
      <c r="AR18" s="28">
        <f t="shared" si="10"/>
        <v>3.2730027243652775</v>
      </c>
      <c r="AS18" s="28">
        <f t="shared" si="10"/>
        <v>1.4887899734352543</v>
      </c>
      <c r="AT18" s="28">
        <f t="shared" si="10"/>
        <v>2.9473543944182254</v>
      </c>
      <c r="AU18" s="28">
        <f t="shared" si="10"/>
        <v>1.8890554600383462</v>
      </c>
      <c r="AV18" s="28">
        <f t="shared" si="10"/>
        <v>-4.4810941307596344E-2</v>
      </c>
      <c r="AW18" s="28">
        <f t="shared" si="10"/>
        <v>5.3675273339935483</v>
      </c>
      <c r="AX18" s="28">
        <f t="shared" si="10"/>
        <v>5.3911319962009987</v>
      </c>
      <c r="AY18" s="28">
        <f t="shared" si="10"/>
        <v>4.2221745037414999</v>
      </c>
      <c r="AZ18" s="28">
        <f t="shared" si="10"/>
        <v>3.3708059860951805</v>
      </c>
      <c r="BA18" s="28">
        <f t="shared" si="10"/>
        <v>9.0083887809707719E-2</v>
      </c>
      <c r="BB18" s="28">
        <f t="shared" si="10"/>
        <v>-0.75844607336871561</v>
      </c>
      <c r="BC18" s="28">
        <f t="shared" si="10"/>
        <v>-1.1488170621189651</v>
      </c>
      <c r="BD18" s="28">
        <f t="shared" si="10"/>
        <v>-3.5637023806937402</v>
      </c>
      <c r="BE18" s="28">
        <f t="shared" si="10"/>
        <v>1.5962221744280023</v>
      </c>
      <c r="BF18" s="28">
        <f t="shared" si="10"/>
        <v>0.27794323753265332</v>
      </c>
      <c r="BG18" s="28">
        <f t="shared" si="10"/>
        <v>0.15305351520337884</v>
      </c>
      <c r="BH18" s="28">
        <f t="shared" si="10"/>
        <v>-0.5717443606771152</v>
      </c>
      <c r="BI18" s="28">
        <f t="shared" si="10"/>
        <v>1.28610003028567</v>
      </c>
      <c r="BJ18" s="28">
        <f t="shared" si="10"/>
        <v>1.624933779336472</v>
      </c>
      <c r="BK18" s="28">
        <f t="shared" si="10"/>
        <v>0.83003941555253546</v>
      </c>
      <c r="BL18" s="28">
        <f t="shared" si="10"/>
        <v>-7.8455926490805554</v>
      </c>
      <c r="BM18" s="28">
        <f t="shared" si="10"/>
        <v>0.29423415734050784</v>
      </c>
      <c r="BN18" s="28">
        <f t="shared" si="10"/>
        <v>1.5529914371185749</v>
      </c>
      <c r="BO18" s="28">
        <f t="shared" si="10"/>
        <v>1.3356211937388081</v>
      </c>
      <c r="BP18" s="28">
        <f t="shared" si="10"/>
        <v>11.045419509380933</v>
      </c>
      <c r="BQ18" s="28">
        <f t="shared" si="10"/>
        <v>2.2518392467003165</v>
      </c>
      <c r="BR18" s="28">
        <f t="shared" ref="BR18:CK18" si="11">BR14/BR17</f>
        <v>2.4846645349350722</v>
      </c>
      <c r="BS18" s="28">
        <f t="shared" si="11"/>
        <v>0</v>
      </c>
      <c r="BT18" s="28">
        <f t="shared" si="11"/>
        <v>0</v>
      </c>
      <c r="BU18" s="28">
        <f t="shared" si="11"/>
        <v>0</v>
      </c>
      <c r="BV18" s="28">
        <f t="shared" si="11"/>
        <v>0</v>
      </c>
      <c r="BW18" s="28" t="e">
        <f t="shared" si="11"/>
        <v>#DIV/0!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48974963.369999997</v>
      </c>
      <c r="F19" s="26">
        <f>现金流量表!F48</f>
        <v>0</v>
      </c>
      <c r="G19" s="26">
        <f>现金流量表!G48</f>
        <v>19152823.43</v>
      </c>
      <c r="H19" s="26">
        <f>现金流量表!H48</f>
        <v>0</v>
      </c>
      <c r="I19" s="26">
        <f>现金流量表!I48</f>
        <v>-9598363.3800000008</v>
      </c>
      <c r="J19" s="26">
        <f>现金流量表!J48</f>
        <v>0</v>
      </c>
      <c r="K19" s="26">
        <f>现金流量表!K48</f>
        <v>14645528.58</v>
      </c>
      <c r="L19" s="26">
        <f>现金流量表!L48</f>
        <v>0</v>
      </c>
      <c r="M19" s="26">
        <f>现金流量表!M48</f>
        <v>26923060.969999999</v>
      </c>
      <c r="N19" s="26">
        <f>现金流量表!N48</f>
        <v>0</v>
      </c>
      <c r="O19" s="26">
        <f>现金流量表!O48</f>
        <v>19180615.370000001</v>
      </c>
      <c r="P19" s="26">
        <f>现金流量表!P48</f>
        <v>0</v>
      </c>
      <c r="Q19" s="26">
        <f>现金流量表!Q48</f>
        <v>16639525.1</v>
      </c>
      <c r="R19" s="26">
        <f>现金流量表!R48</f>
        <v>0</v>
      </c>
      <c r="S19" s="26">
        <f>现金流量表!S48</f>
        <v>16636046.630000001</v>
      </c>
      <c r="T19" s="26">
        <f>现金流量表!T48</f>
        <v>0</v>
      </c>
      <c r="U19" s="26">
        <f>现金流量表!U48</f>
        <v>8766809.0700000003</v>
      </c>
      <c r="V19" s="26">
        <f>现金流量表!V48</f>
        <v>0</v>
      </c>
      <c r="W19" s="26">
        <f>现金流量表!W48</f>
        <v>15994343.539999999</v>
      </c>
      <c r="X19" s="26">
        <f>现金流量表!X48</f>
        <v>0</v>
      </c>
      <c r="Y19" s="26">
        <f>现金流量表!Y48</f>
        <v>13233786.460000001</v>
      </c>
      <c r="Z19" s="26">
        <f>现金流量表!Z48</f>
        <v>0</v>
      </c>
      <c r="AA19" s="26">
        <f>现金流量表!AA48</f>
        <v>9054413.2799999993</v>
      </c>
      <c r="AB19" s="26">
        <f>现金流量表!AB48</f>
        <v>0</v>
      </c>
      <c r="AC19" s="26">
        <f>现金流量表!AC48</f>
        <v>7636468.6500000004</v>
      </c>
      <c r="AD19" s="26">
        <f>现金流量表!AD48</f>
        <v>0</v>
      </c>
      <c r="AE19" s="26">
        <f>现金流量表!AE48</f>
        <v>-6328274.1299999999</v>
      </c>
      <c r="AF19" s="26">
        <f>现金流量表!AF48</f>
        <v>0</v>
      </c>
      <c r="AG19" s="26">
        <f>现金流量表!AG48</f>
        <v>94771112.780000001</v>
      </c>
      <c r="AH19" s="26">
        <f>现金流量表!AH48</f>
        <v>0</v>
      </c>
      <c r="AI19" s="26">
        <f>现金流量表!AI48</f>
        <v>9186376.5399999991</v>
      </c>
      <c r="AJ19" s="26">
        <f>现金流量表!AJ48</f>
        <v>0</v>
      </c>
      <c r="AK19" s="26">
        <f>现金流量表!AK48</f>
        <v>58403338.18</v>
      </c>
      <c r="AL19" s="26">
        <f>现金流量表!AL48</f>
        <v>0</v>
      </c>
      <c r="AM19" s="26">
        <f>现金流量表!AM48</f>
        <v>6110726.2999999998</v>
      </c>
      <c r="AN19" s="26">
        <f>现金流量表!AN48</f>
        <v>0</v>
      </c>
      <c r="AO19" s="26">
        <f>现金流量表!AO48</f>
        <v>8867556.3200000003</v>
      </c>
      <c r="AP19" s="26">
        <f>现金流量表!AP48</f>
        <v>0</v>
      </c>
      <c r="AQ19" s="26">
        <f>现金流量表!AQ48</f>
        <v>18999681.800000001</v>
      </c>
      <c r="AR19" s="26">
        <f>现金流量表!AR48</f>
        <v>0</v>
      </c>
      <c r="AS19" s="26">
        <f>现金流量表!AS48</f>
        <v>11759899.789999999</v>
      </c>
      <c r="AT19" s="26">
        <f>现金流量表!AT48</f>
        <v>0</v>
      </c>
      <c r="AU19" s="26">
        <f>现金流量表!AU48</f>
        <v>23717602.579999998</v>
      </c>
      <c r="AV19" s="26">
        <f>现金流量表!AV48</f>
        <v>0</v>
      </c>
      <c r="AW19" s="26">
        <f>现金流量表!AW48</f>
        <v>7570692.4500000002</v>
      </c>
      <c r="AX19" s="26">
        <f>现金流量表!AX48</f>
        <v>-6503579.4500000002</v>
      </c>
      <c r="AY19" s="26">
        <f>现金流量表!AY48</f>
        <v>-5299112.59</v>
      </c>
      <c r="AZ19" s="26">
        <f>现金流量表!AZ48</f>
        <v>3004229.07</v>
      </c>
      <c r="BA19" s="26">
        <f>现金流量表!BA48</f>
        <v>19834671.23</v>
      </c>
      <c r="BB19" s="26">
        <f>现金流量表!BB48</f>
        <v>23615351.57</v>
      </c>
      <c r="BC19" s="26">
        <f>现金流量表!BC48</f>
        <v>13812702.619999999</v>
      </c>
      <c r="BD19" s="26">
        <f>现金流量表!BD48</f>
        <v>2511263.19</v>
      </c>
      <c r="BE19" s="26">
        <f>现金流量表!BE48</f>
        <v>16180567.17</v>
      </c>
      <c r="BF19" s="26">
        <f>现金流量表!BF48</f>
        <v>19745753.059999999</v>
      </c>
      <c r="BG19" s="26">
        <f>现金流量表!BG48</f>
        <v>6853900.2300000004</v>
      </c>
      <c r="BH19" s="26">
        <f>现金流量表!BH48</f>
        <v>-476539.71</v>
      </c>
      <c r="BI19" s="26">
        <f>现金流量表!BI48</f>
        <v>-12789399.359999999</v>
      </c>
      <c r="BJ19" s="26">
        <f>现金流量表!BJ48</f>
        <v>-2812433.52</v>
      </c>
      <c r="BK19" s="26">
        <f>现金流量表!BK48</f>
        <v>3673348.15</v>
      </c>
      <c r="BL19" s="26">
        <f>现金流量表!BL48</f>
        <v>1675322.63</v>
      </c>
      <c r="BM19" s="26">
        <f>现金流量表!BM48</f>
        <v>21877442.93</v>
      </c>
      <c r="BN19" s="26">
        <f>现金流量表!BN48</f>
        <v>12241418.49</v>
      </c>
      <c r="BO19" s="26">
        <f>现金流量表!BO48</f>
        <v>18621476</v>
      </c>
      <c r="BP19" s="26">
        <f>现金流量表!BP48</f>
        <v>2318200.81</v>
      </c>
      <c r="BQ19" s="26">
        <f>现金流量表!BQ48</f>
        <v>2722843.23</v>
      </c>
      <c r="BR19" s="26">
        <f>现金流量表!BR48</f>
        <v>-2414113.71</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63445526.740000002</v>
      </c>
      <c r="F20" s="26">
        <f>现金流量表!F49</f>
        <v>0</v>
      </c>
      <c r="G20" s="26">
        <f>现金流量表!G49</f>
        <v>19573915.52</v>
      </c>
      <c r="H20" s="26">
        <f>现金流量表!H49</f>
        <v>0</v>
      </c>
      <c r="I20" s="26">
        <f>现金流量表!I49</f>
        <v>38368034.710000001</v>
      </c>
      <c r="J20" s="26">
        <f>现金流量表!J49</f>
        <v>0</v>
      </c>
      <c r="K20" s="26">
        <f>现金流量表!K49</f>
        <v>18851755.969999999</v>
      </c>
      <c r="L20" s="26">
        <f>现金流量表!L49</f>
        <v>0</v>
      </c>
      <c r="M20" s="26">
        <f>现金流量表!M49</f>
        <v>36687256.049999997</v>
      </c>
      <c r="N20" s="26">
        <f>现金流量表!N49</f>
        <v>0</v>
      </c>
      <c r="O20" s="26">
        <f>现金流量表!O49</f>
        <v>18403525.16</v>
      </c>
      <c r="P20" s="26">
        <f>现金流量表!P49</f>
        <v>0</v>
      </c>
      <c r="Q20" s="26">
        <f>现金流量表!Q49</f>
        <v>37676318.829999998</v>
      </c>
      <c r="R20" s="26">
        <f>现金流量表!R49</f>
        <v>0</v>
      </c>
      <c r="S20" s="26">
        <f>现金流量表!S49</f>
        <v>18680834.73</v>
      </c>
      <c r="T20" s="26">
        <f>现金流量表!T49</f>
        <v>0</v>
      </c>
      <c r="U20" s="26">
        <f>现金流量表!U49</f>
        <v>37348026.710000001</v>
      </c>
      <c r="V20" s="26">
        <f>现金流量表!V49</f>
        <v>0</v>
      </c>
      <c r="W20" s="26">
        <f>现金流量表!W49</f>
        <v>18635146.640000001</v>
      </c>
      <c r="X20" s="26">
        <f>现金流量表!X49</f>
        <v>0</v>
      </c>
      <c r="Y20" s="26">
        <f>现金流量表!Y49</f>
        <v>44099272.939999998</v>
      </c>
      <c r="Z20" s="26">
        <f>现金流量表!Z49</f>
        <v>0</v>
      </c>
      <c r="AA20" s="26">
        <f>现金流量表!AA49</f>
        <v>17678550.73</v>
      </c>
      <c r="AB20" s="26">
        <f>现金流量表!AB49</f>
        <v>0</v>
      </c>
      <c r="AC20" s="26">
        <f>现金流量表!AC49</f>
        <v>71000454.730000004</v>
      </c>
      <c r="AD20" s="26">
        <f>现金流量表!AD49</f>
        <v>0</v>
      </c>
      <c r="AE20" s="26">
        <f>现金流量表!AE49</f>
        <v>21175702.280000001</v>
      </c>
      <c r="AF20" s="26">
        <f>现金流量表!AF49</f>
        <v>0</v>
      </c>
      <c r="AG20" s="26">
        <f>现金流量表!AG49</f>
        <v>35746512.460000001</v>
      </c>
      <c r="AH20" s="26">
        <f>现金流量表!AH49</f>
        <v>0</v>
      </c>
      <c r="AI20" s="26">
        <f>现金流量表!AI49</f>
        <v>17746794.859999999</v>
      </c>
      <c r="AJ20" s="26">
        <f>现金流量表!AJ49</f>
        <v>0</v>
      </c>
      <c r="AK20" s="26">
        <f>现金流量表!AK49</f>
        <v>55003879.380000003</v>
      </c>
      <c r="AL20" s="26">
        <f>现金流量表!AL49</f>
        <v>0</v>
      </c>
      <c r="AM20" s="26">
        <f>现金流量表!AM49</f>
        <v>20257357.57</v>
      </c>
      <c r="AN20" s="26">
        <f>现金流量表!AN49</f>
        <v>0</v>
      </c>
      <c r="AO20" s="26">
        <f>现金流量表!AO49</f>
        <v>44785642.090000004</v>
      </c>
      <c r="AP20" s="26">
        <f>现金流量表!AP49</f>
        <v>0</v>
      </c>
      <c r="AQ20" s="26">
        <f>现金流量表!AQ49</f>
        <v>24059188.289999999</v>
      </c>
      <c r="AR20" s="26">
        <f>现金流量表!AR49</f>
        <v>0</v>
      </c>
      <c r="AS20" s="26">
        <f>现金流量表!AS49</f>
        <v>49478011.689999998</v>
      </c>
      <c r="AT20" s="26">
        <f>现金流量表!AT49</f>
        <v>0</v>
      </c>
      <c r="AU20" s="26">
        <f>现金流量表!AU49</f>
        <v>22481940.02</v>
      </c>
      <c r="AV20" s="26">
        <f>现金流量表!AV49</f>
        <v>0</v>
      </c>
      <c r="AW20" s="26">
        <f>现金流量表!AW49</f>
        <v>59137922.950000003</v>
      </c>
      <c r="AX20" s="26">
        <f>现金流量表!AX49</f>
        <v>42055570.990000002</v>
      </c>
      <c r="AY20" s="26">
        <f>现金流量表!AY49</f>
        <v>27654060.57</v>
      </c>
      <c r="AZ20" s="26">
        <f>现金流量表!AZ49</f>
        <v>13597851.85</v>
      </c>
      <c r="BA20" s="26">
        <f>现金流量表!BA49</f>
        <v>49554790.149999999</v>
      </c>
      <c r="BB20" s="26">
        <f>现金流量表!BB49</f>
        <v>36249998.560000002</v>
      </c>
      <c r="BC20" s="26">
        <f>现金流量表!BC49</f>
        <v>25258350.219999999</v>
      </c>
      <c r="BD20" s="26">
        <f>现金流量表!BD49</f>
        <v>12283909.029999999</v>
      </c>
      <c r="BE20" s="26">
        <f>现金流量表!BE49</f>
        <v>39616028.149999999</v>
      </c>
      <c r="BF20" s="26">
        <f>现金流量表!BF49</f>
        <v>28614543.460000001</v>
      </c>
      <c r="BG20" s="26">
        <f>现金流量表!BG49</f>
        <v>18517722.449999999</v>
      </c>
      <c r="BH20" s="26">
        <f>现金流量表!BH49</f>
        <v>9443132.5700000003</v>
      </c>
      <c r="BI20" s="26">
        <f>现金流量表!BI49</f>
        <v>33132293.68</v>
      </c>
      <c r="BJ20" s="26">
        <f>现金流量表!BJ49</f>
        <v>23801385.77</v>
      </c>
      <c r="BK20" s="26">
        <f>现金流量表!BK49</f>
        <v>16066867.939999999</v>
      </c>
      <c r="BL20" s="26">
        <f>现金流量表!BL49</f>
        <v>7793791.5499999998</v>
      </c>
      <c r="BM20" s="26">
        <f>现金流量表!BM49</f>
        <v>26899051.850000001</v>
      </c>
      <c r="BN20" s="26">
        <f>现金流量表!BN49</f>
        <v>14847660.699999999</v>
      </c>
      <c r="BO20" s="26">
        <f>现金流量表!BO49</f>
        <v>26392332.390000001</v>
      </c>
      <c r="BP20" s="26">
        <f>现金流量表!BP49</f>
        <v>14011794.43</v>
      </c>
      <c r="BQ20" s="26">
        <f>现金流量表!BQ49</f>
        <v>23309330.66</v>
      </c>
      <c r="BR20" s="26">
        <f>现金流量表!BR49</f>
        <v>23056113.260000002</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29645645.899999999</v>
      </c>
      <c r="F21" s="26">
        <f>现金流量表!F50</f>
        <v>0</v>
      </c>
      <c r="G21" s="26">
        <f>现金流量表!G50</f>
        <v>6336416.46</v>
      </c>
      <c r="H21" s="26">
        <f>现金流量表!H50</f>
        <v>0</v>
      </c>
      <c r="I21" s="26">
        <f>现金流量表!I50</f>
        <v>17042165.010000002</v>
      </c>
      <c r="J21" s="26">
        <f>现金流量表!J50</f>
        <v>0</v>
      </c>
      <c r="K21" s="26">
        <f>现金流量表!K50</f>
        <v>9929193.3399999999</v>
      </c>
      <c r="L21" s="26">
        <f>现金流量表!L50</f>
        <v>0</v>
      </c>
      <c r="M21" s="26">
        <f>现金流量表!M50</f>
        <v>10617522.83</v>
      </c>
      <c r="N21" s="26">
        <f>现金流量表!N50</f>
        <v>0</v>
      </c>
      <c r="O21" s="26">
        <f>现金流量表!O50</f>
        <v>5161559.54</v>
      </c>
      <c r="P21" s="26">
        <f>现金流量表!P50</f>
        <v>0</v>
      </c>
      <c r="Q21" s="26">
        <f>现金流量表!Q50</f>
        <v>8285085.2599999998</v>
      </c>
      <c r="R21" s="26">
        <f>现金流量表!R50</f>
        <v>0</v>
      </c>
      <c r="S21" s="26">
        <f>现金流量表!S50</f>
        <v>3994482.03</v>
      </c>
      <c r="T21" s="26">
        <f>现金流量表!T50</f>
        <v>0</v>
      </c>
      <c r="U21" s="26">
        <f>现金流量表!U50</f>
        <v>6058648.0199999996</v>
      </c>
      <c r="V21" s="26">
        <f>现金流量表!V50</f>
        <v>0</v>
      </c>
      <c r="W21" s="26">
        <f>现金流量表!W50</f>
        <v>2824432.47</v>
      </c>
      <c r="X21" s="26">
        <f>现金流量表!X50</f>
        <v>0</v>
      </c>
      <c r="Y21" s="26">
        <f>现金流量表!Y50</f>
        <v>5448556.3399999999</v>
      </c>
      <c r="Z21" s="26">
        <f>现金流量表!Z50</f>
        <v>0</v>
      </c>
      <c r="AA21" s="26">
        <f>现金流量表!AA50</f>
        <v>2454609.7400000002</v>
      </c>
      <c r="AB21" s="26">
        <f>现金流量表!AB50</f>
        <v>0</v>
      </c>
      <c r="AC21" s="26">
        <f>现金流量表!AC50</f>
        <v>3321391.15</v>
      </c>
      <c r="AD21" s="26">
        <f>现金流量表!AD50</f>
        <v>0</v>
      </c>
      <c r="AE21" s="26">
        <f>现金流量表!AE50</f>
        <v>1100160.58</v>
      </c>
      <c r="AF21" s="26">
        <f>现金流量表!AF50</f>
        <v>0</v>
      </c>
      <c r="AG21" s="26">
        <f>现金流量表!AG50</f>
        <v>1773697.55</v>
      </c>
      <c r="AH21" s="26">
        <f>现金流量表!AH50</f>
        <v>0</v>
      </c>
      <c r="AI21" s="26">
        <f>现金流量表!AI50</f>
        <v>792842.11</v>
      </c>
      <c r="AJ21" s="26">
        <f>现金流量表!AJ50</f>
        <v>0</v>
      </c>
      <c r="AK21" s="26">
        <f>现金流量表!AK50</f>
        <v>6530333.3700000001</v>
      </c>
      <c r="AL21" s="26">
        <f>现金流量表!AL50</f>
        <v>0</v>
      </c>
      <c r="AM21" s="26">
        <f>现金流量表!AM50</f>
        <v>2474574.38</v>
      </c>
      <c r="AN21" s="26">
        <f>现金流量表!AN50</f>
        <v>0</v>
      </c>
      <c r="AO21" s="26">
        <f>现金流量表!AO50</f>
        <v>5082247.03</v>
      </c>
      <c r="AP21" s="26">
        <f>现金流量表!AP50</f>
        <v>0</v>
      </c>
      <c r="AQ21" s="26">
        <f>现金流量表!AQ50</f>
        <v>2652883.23</v>
      </c>
      <c r="AR21" s="26">
        <f>现金流量表!AR50</f>
        <v>0</v>
      </c>
      <c r="AS21" s="26">
        <f>现金流量表!AS50</f>
        <v>9935793.4600000009</v>
      </c>
      <c r="AT21" s="26">
        <f>现金流量表!AT50</f>
        <v>0</v>
      </c>
      <c r="AU21" s="26">
        <f>现金流量表!AU50</f>
        <v>628485.12</v>
      </c>
      <c r="AV21" s="26">
        <f>现金流量表!AV50</f>
        <v>0</v>
      </c>
      <c r="AW21" s="26">
        <f>现金流量表!AW50</f>
        <v>5259476.3600000003</v>
      </c>
      <c r="AX21" s="26">
        <f>现金流量表!AX50</f>
        <v>8266739.5300000003</v>
      </c>
      <c r="AY21" s="26">
        <f>现金流量表!AY50</f>
        <v>2303974.52</v>
      </c>
      <c r="AZ21" s="26">
        <f>现金流量表!AZ50</f>
        <v>1154078.93</v>
      </c>
      <c r="BA21" s="26">
        <f>现金流量表!BA50</f>
        <v>4825008.05</v>
      </c>
      <c r="BB21" s="26">
        <f>现金流量表!BB50</f>
        <v>3403755.11</v>
      </c>
      <c r="BC21" s="26">
        <f>现金流量表!BC50</f>
        <v>2105442.33</v>
      </c>
      <c r="BD21" s="26">
        <f>现金流量表!BD50</f>
        <v>1048652.48</v>
      </c>
      <c r="BE21" s="26">
        <f>现金流量表!BE50</f>
        <v>4117680.73</v>
      </c>
      <c r="BF21" s="26">
        <f>现金流量表!BF50</f>
        <v>3010581.28</v>
      </c>
      <c r="BG21" s="26">
        <f>现金流量表!BG50</f>
        <v>2086019.44</v>
      </c>
      <c r="BH21" s="26">
        <f>现金流量表!BH50</f>
        <v>1271531.8600000001</v>
      </c>
      <c r="BI21" s="26">
        <f>现金流量表!BI50</f>
        <v>3616971.68</v>
      </c>
      <c r="BJ21" s="26">
        <f>现金流量表!BJ50</f>
        <v>2564956.59</v>
      </c>
      <c r="BK21" s="26">
        <f>现金流量表!BK50</f>
        <v>1702728.1</v>
      </c>
      <c r="BL21" s="26">
        <f>现金流量表!BL50</f>
        <v>774821.83</v>
      </c>
      <c r="BM21" s="26">
        <f>现金流量表!BM50</f>
        <v>2894560.33</v>
      </c>
      <c r="BN21" s="26">
        <f>现金流量表!BN50</f>
        <v>1339550.95</v>
      </c>
      <c r="BO21" s="26">
        <f>现金流量表!BO50</f>
        <v>2642667.2999999998</v>
      </c>
      <c r="BP21" s="26">
        <f>现金流量表!BP50</f>
        <v>1312783</v>
      </c>
      <c r="BQ21" s="26">
        <f>现金流量表!BQ50</f>
        <v>3415502.03</v>
      </c>
      <c r="BR21" s="26">
        <f>现金流量表!BR50</f>
        <v>2895129.74</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92273993.980000004</v>
      </c>
      <c r="F22" s="26">
        <f>现金流量表!F51</f>
        <v>0</v>
      </c>
      <c r="G22" s="26">
        <f>现金流量表!G51</f>
        <v>52815306.229999997</v>
      </c>
      <c r="H22" s="26">
        <f>现金流量表!H51</f>
        <v>0</v>
      </c>
      <c r="I22" s="26">
        <f>现金流量表!I51</f>
        <v>90171987.189999998</v>
      </c>
      <c r="J22" s="26">
        <f>现金流量表!J51</f>
        <v>0</v>
      </c>
      <c r="K22" s="26">
        <f>现金流量表!K51</f>
        <v>38754283.789999999</v>
      </c>
      <c r="L22" s="26">
        <f>现金流量表!L51</f>
        <v>0</v>
      </c>
      <c r="M22" s="26">
        <f>现金流量表!M51</f>
        <v>61320533.439999998</v>
      </c>
      <c r="N22" s="26">
        <f>现金流量表!N51</f>
        <v>0</v>
      </c>
      <c r="O22" s="26">
        <f>现金流量表!O51</f>
        <v>28562381.66</v>
      </c>
      <c r="P22" s="26">
        <f>现金流量表!P51</f>
        <v>0</v>
      </c>
      <c r="Q22" s="26">
        <f>现金流量表!Q51</f>
        <v>53991100.299999997</v>
      </c>
      <c r="R22" s="26">
        <f>现金流量表!R51</f>
        <v>0</v>
      </c>
      <c r="S22" s="26">
        <f>现金流量表!S51</f>
        <v>27576113.91</v>
      </c>
      <c r="T22" s="26">
        <f>现金流量表!T51</f>
        <v>0</v>
      </c>
      <c r="U22" s="26">
        <f>现金流量表!U51</f>
        <v>58004443.520000003</v>
      </c>
      <c r="V22" s="26">
        <f>现金流量表!V51</f>
        <v>0</v>
      </c>
      <c r="W22" s="26">
        <f>现金流量表!W51</f>
        <v>24896534.239999998</v>
      </c>
      <c r="X22" s="26">
        <f>现金流量表!X51</f>
        <v>0</v>
      </c>
      <c r="Y22" s="26">
        <f>现金流量表!Y51</f>
        <v>53834008.090000004</v>
      </c>
      <c r="Z22" s="26">
        <f>现金流量表!Z51</f>
        <v>0</v>
      </c>
      <c r="AA22" s="26">
        <f>现金流量表!AA51</f>
        <v>22211262.52</v>
      </c>
      <c r="AB22" s="26">
        <f>现金流量表!AB51</f>
        <v>0</v>
      </c>
      <c r="AC22" s="26">
        <f>现金流量表!AC51</f>
        <v>45120020.530000001</v>
      </c>
      <c r="AD22" s="26">
        <f>现金流量表!AD51</f>
        <v>0</v>
      </c>
      <c r="AE22" s="26">
        <f>现金流量表!AE51</f>
        <v>17991992.780000001</v>
      </c>
      <c r="AF22" s="26">
        <f>现金流量表!AF51</f>
        <v>0</v>
      </c>
      <c r="AG22" s="26">
        <f>现金流量表!AG51</f>
        <v>50595526.670000002</v>
      </c>
      <c r="AH22" s="26">
        <f>现金流量表!AH51</f>
        <v>0</v>
      </c>
      <c r="AI22" s="26">
        <f>现金流量表!AI51</f>
        <v>19895840.120000001</v>
      </c>
      <c r="AJ22" s="26">
        <f>现金流量表!AJ51</f>
        <v>0</v>
      </c>
      <c r="AK22" s="26">
        <f>现金流量表!AK51</f>
        <v>31522731.129999999</v>
      </c>
      <c r="AL22" s="26">
        <f>现金流量表!AL51</f>
        <v>0</v>
      </c>
      <c r="AM22" s="26">
        <f>现金流量表!AM51</f>
        <v>14675617.17</v>
      </c>
      <c r="AN22" s="26">
        <f>现金流量表!AN51</f>
        <v>0</v>
      </c>
      <c r="AO22" s="26">
        <f>现金流量表!AO51</f>
        <v>28984527.850000001</v>
      </c>
      <c r="AP22" s="26">
        <f>现金流量表!AP51</f>
        <v>0</v>
      </c>
      <c r="AQ22" s="26">
        <f>现金流量表!AQ51</f>
        <v>12009407.380000001</v>
      </c>
      <c r="AR22" s="26">
        <f>现金流量表!AR51</f>
        <v>0</v>
      </c>
      <c r="AS22" s="26">
        <f>现金流量表!AS51</f>
        <v>28807617.309999999</v>
      </c>
      <c r="AT22" s="26">
        <f>现金流量表!AT51</f>
        <v>0</v>
      </c>
      <c r="AU22" s="26">
        <f>现金流量表!AU51</f>
        <v>16187202.09</v>
      </c>
      <c r="AV22" s="26">
        <f>现金流量表!AV51</f>
        <v>0</v>
      </c>
      <c r="AW22" s="26">
        <f>现金流量表!AW51</f>
        <v>4496726.6500000004</v>
      </c>
      <c r="AX22" s="26">
        <f>现金流量表!AX51</f>
        <v>3675076.8</v>
      </c>
      <c r="AY22" s="26">
        <f>现金流量表!AY51</f>
        <v>2772553.36</v>
      </c>
      <c r="AZ22" s="26">
        <f>现金流量表!AZ51</f>
        <v>1849467.45</v>
      </c>
      <c r="BA22" s="26">
        <f>现金流量表!BA51</f>
        <v>2037545.71</v>
      </c>
      <c r="BB22" s="26">
        <f>现金流量表!BB51</f>
        <v>755239.59</v>
      </c>
      <c r="BC22" s="26">
        <f>现金流量表!BC51</f>
        <v>534847.31999999995</v>
      </c>
      <c r="BD22" s="26">
        <f>现金流量表!BD51</f>
        <v>89161.44</v>
      </c>
      <c r="BE22" s="26">
        <f>现金流量表!BE51</f>
        <v>673684.09</v>
      </c>
      <c r="BF22" s="26">
        <f>现金流量表!BF51</f>
        <v>1484857.36</v>
      </c>
      <c r="BG22" s="26">
        <f>现金流量表!BG51</f>
        <v>1128661.54</v>
      </c>
      <c r="BH22" s="26">
        <f>现金流量表!BH51</f>
        <v>1362170.55</v>
      </c>
      <c r="BI22" s="26">
        <f>现金流量表!BI51</f>
        <v>3126790.78</v>
      </c>
      <c r="BJ22" s="26">
        <f>现金流量表!BJ51</f>
        <v>2657126.64</v>
      </c>
      <c r="BK22" s="26">
        <f>现金流量表!BK51</f>
        <v>1746345.4</v>
      </c>
      <c r="BL22" s="26">
        <f>现金流量表!BL51</f>
        <v>876047.08</v>
      </c>
      <c r="BM22" s="26">
        <f>现金流量表!BM51</f>
        <v>3091495.57</v>
      </c>
      <c r="BN22" s="26">
        <f>现金流量表!BN51</f>
        <v>1448223.17</v>
      </c>
      <c r="BO22" s="26">
        <f>现金流量表!BO51</f>
        <v>2502201.38</v>
      </c>
      <c r="BP22" s="26">
        <f>现金流量表!BP51</f>
        <v>479826.21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5039860.2699999996</v>
      </c>
      <c r="F23" s="26">
        <f>现金流量表!F54</f>
        <v>0</v>
      </c>
      <c r="G23" s="26">
        <f>现金流量表!G54</f>
        <v>-48790.51</v>
      </c>
      <c r="H23" s="26">
        <f>现金流量表!H54</f>
        <v>0</v>
      </c>
      <c r="I23" s="26">
        <f>现金流量表!I54</f>
        <v>1084828.51</v>
      </c>
      <c r="J23" s="26">
        <f>现金流量表!J54</f>
        <v>0</v>
      </c>
      <c r="K23" s="26">
        <f>现金流量表!K54</f>
        <v>-47645.84</v>
      </c>
      <c r="L23" s="26">
        <f>现金流量表!L54</f>
        <v>0</v>
      </c>
      <c r="M23" s="26">
        <f>现金流量表!M54</f>
        <v>-7077706.8600000003</v>
      </c>
      <c r="N23" s="26">
        <f>现金流量表!N54</f>
        <v>0</v>
      </c>
      <c r="O23" s="26">
        <f>现金流量表!O54</f>
        <v>-1460042.85</v>
      </c>
      <c r="P23" s="26">
        <f>现金流量表!P54</f>
        <v>0</v>
      </c>
      <c r="Q23" s="26">
        <f>现金流量表!Q54</f>
        <v>184782.48</v>
      </c>
      <c r="R23" s="26">
        <f>现金流量表!R54</f>
        <v>0</v>
      </c>
      <c r="S23" s="26">
        <f>现金流量表!S54</f>
        <v>-258093.77</v>
      </c>
      <c r="T23" s="26">
        <f>现金流量表!T54</f>
        <v>0</v>
      </c>
      <c r="U23" s="26">
        <f>现金流量表!U54</f>
        <v>862644.98</v>
      </c>
      <c r="V23" s="26">
        <f>现金流量表!V54</f>
        <v>0</v>
      </c>
      <c r="W23" s="26">
        <f>现金流量表!W54</f>
        <v>-110026.35</v>
      </c>
      <c r="X23" s="26">
        <f>现金流量表!X54</f>
        <v>0</v>
      </c>
      <c r="Y23" s="26">
        <f>现金流量表!Y54</f>
        <v>188335.4</v>
      </c>
      <c r="Z23" s="26">
        <f>现金流量表!Z54</f>
        <v>0</v>
      </c>
      <c r="AA23" s="26">
        <f>现金流量表!AA54</f>
        <v>-147329.70000000001</v>
      </c>
      <c r="AB23" s="26">
        <f>现金流量表!AB54</f>
        <v>0</v>
      </c>
      <c r="AC23" s="26">
        <f>现金流量表!AC54</f>
        <v>1427134.84</v>
      </c>
      <c r="AD23" s="26">
        <f>现金流量表!AD54</f>
        <v>0</v>
      </c>
      <c r="AE23" s="26">
        <f>现金流量表!AE54</f>
        <v>37668.9</v>
      </c>
      <c r="AF23" s="26">
        <f>现金流量表!AF54</f>
        <v>0</v>
      </c>
      <c r="AG23" s="26">
        <f>现金流量表!AG54</f>
        <v>-1752676.28</v>
      </c>
      <c r="AH23" s="26">
        <f>现金流量表!AH54</f>
        <v>0</v>
      </c>
      <c r="AI23" s="26">
        <f>现金流量表!AI54</f>
        <v>-1781091.52</v>
      </c>
      <c r="AJ23" s="26">
        <f>现金流量表!AJ54</f>
        <v>0</v>
      </c>
      <c r="AK23" s="26">
        <f>现金流量表!AK54</f>
        <v>1337701.58</v>
      </c>
      <c r="AL23" s="26">
        <f>现金流量表!AL54</f>
        <v>0</v>
      </c>
      <c r="AM23" s="26">
        <f>现金流量表!AM54</f>
        <v>-46716.4</v>
      </c>
      <c r="AN23" s="26">
        <f>现金流量表!AN54</f>
        <v>0</v>
      </c>
      <c r="AO23" s="26">
        <f>现金流量表!AO54</f>
        <v>163062.04999999999</v>
      </c>
      <c r="AP23" s="26">
        <f>现金流量表!AP54</f>
        <v>0</v>
      </c>
      <c r="AQ23" s="26">
        <f>现金流量表!AQ54</f>
        <v>-395965.71</v>
      </c>
      <c r="AR23" s="26">
        <f>现金流量表!AR54</f>
        <v>0</v>
      </c>
      <c r="AS23" s="26">
        <f>现金流量表!AS54</f>
        <v>-928030.47</v>
      </c>
      <c r="AT23" s="26">
        <f>现金流量表!AT54</f>
        <v>0</v>
      </c>
      <c r="AU23" s="26">
        <f>现金流量表!AU54</f>
        <v>-98917.88</v>
      </c>
      <c r="AV23" s="26">
        <f>现金流量表!AV54</f>
        <v>0</v>
      </c>
      <c r="AW23" s="26">
        <f>现金流量表!AW54</f>
        <v>931714.29</v>
      </c>
      <c r="AX23" s="26">
        <f>现金流量表!AX54</f>
        <v>0</v>
      </c>
      <c r="AY23" s="26">
        <f>现金流量表!AY54</f>
        <v>0</v>
      </c>
      <c r="AZ23" s="26">
        <f>现金流量表!AZ54</f>
        <v>0</v>
      </c>
      <c r="BA23" s="26">
        <f>现金流量表!BA54</f>
        <v>184044.19</v>
      </c>
      <c r="BB23" s="26">
        <f>现金流量表!BB54</f>
        <v>18093.63</v>
      </c>
      <c r="BC23" s="26">
        <f>现金流量表!BC54</f>
        <v>-115148.42</v>
      </c>
      <c r="BD23" s="26">
        <f>现金流量表!BD54</f>
        <v>-57568.47</v>
      </c>
      <c r="BE23" s="26">
        <f>现金流量表!BE54</f>
        <v>369281.71</v>
      </c>
      <c r="BF23" s="26">
        <f>现金流量表!BF54</f>
        <v>240215.2</v>
      </c>
      <c r="BG23" s="26">
        <f>现金流量表!BG54</f>
        <v>-305224.34000000003</v>
      </c>
      <c r="BH23" s="26">
        <f>现金流量表!BH54</f>
        <v>-172030.03</v>
      </c>
      <c r="BI23" s="26">
        <f>现金流量表!BI54</f>
        <v>306637.15000000002</v>
      </c>
      <c r="BJ23" s="26">
        <f>现金流量表!BJ54</f>
        <v>-15821.68</v>
      </c>
      <c r="BK23" s="26">
        <f>现金流量表!BK54</f>
        <v>-6581.95</v>
      </c>
      <c r="BL23" s="26">
        <f>现金流量表!BL54</f>
        <v>10716.72</v>
      </c>
      <c r="BM23" s="26">
        <f>现金流量表!BM54</f>
        <v>178310.32</v>
      </c>
      <c r="BN23" s="26">
        <f>现金流量表!BN54</f>
        <v>247893.6</v>
      </c>
      <c r="BO23" s="26">
        <f>现金流量表!BO54</f>
        <v>44531.040000000001</v>
      </c>
      <c r="BP23" s="26">
        <f>现金流量表!BP54</f>
        <v>-111284.18</v>
      </c>
      <c r="BQ23" s="26">
        <f>现金流量表!BQ54</f>
        <v>-146767.41</v>
      </c>
      <c r="BR23" s="26">
        <f>现金流量表!BR54</f>
        <v>3290106.7</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117539.74</v>
      </c>
      <c r="H24" s="26">
        <f>现金流量表!H55</f>
        <v>0</v>
      </c>
      <c r="I24" s="26">
        <f>现金流量表!I55</f>
        <v>0</v>
      </c>
      <c r="J24" s="26">
        <f>现金流量表!J55</f>
        <v>0</v>
      </c>
      <c r="K24" s="26">
        <f>现金流量表!K55</f>
        <v>9345.85</v>
      </c>
      <c r="L24" s="26">
        <f>现金流量表!L55</f>
        <v>0</v>
      </c>
      <c r="M24" s="26">
        <f>现金流量表!M55</f>
        <v>0</v>
      </c>
      <c r="N24" s="26">
        <f>现金流量表!N55</f>
        <v>0</v>
      </c>
      <c r="O24" s="26">
        <f>现金流量表!O55</f>
        <v>728716.87</v>
      </c>
      <c r="P24" s="26">
        <f>现金流量表!P55</f>
        <v>0</v>
      </c>
      <c r="Q24" s="26">
        <f>现金流量表!Q55</f>
        <v>0</v>
      </c>
      <c r="R24" s="26">
        <f>现金流量表!R55</f>
        <v>0</v>
      </c>
      <c r="S24" s="26">
        <f>现金流量表!S55</f>
        <v>79969.350000000006</v>
      </c>
      <c r="T24" s="26">
        <f>现金流量表!T55</f>
        <v>0</v>
      </c>
      <c r="U24" s="26">
        <f>现金流量表!U55</f>
        <v>0</v>
      </c>
      <c r="V24" s="26">
        <f>现金流量表!V55</f>
        <v>0</v>
      </c>
      <c r="W24" s="26">
        <f>现金流量表!W55</f>
        <v>18611.05</v>
      </c>
      <c r="X24" s="26">
        <f>现金流量表!X55</f>
        <v>0</v>
      </c>
      <c r="Y24" s="26">
        <f>现金流量表!Y55</f>
        <v>0</v>
      </c>
      <c r="Z24" s="26">
        <f>现金流量表!Z55</f>
        <v>0</v>
      </c>
      <c r="AA24" s="26">
        <f>现金流量表!AA55</f>
        <v>276241.43</v>
      </c>
      <c r="AB24" s="26">
        <f>现金流量表!AB55</f>
        <v>0</v>
      </c>
      <c r="AC24" s="26">
        <f>现金流量表!AC55</f>
        <v>0</v>
      </c>
      <c r="AD24" s="26">
        <f>现金流量表!AD55</f>
        <v>0</v>
      </c>
      <c r="AE24" s="26">
        <f>现金流量表!AE55</f>
        <v>474974.54</v>
      </c>
      <c r="AF24" s="26">
        <f>现金流量表!AF55</f>
        <v>0</v>
      </c>
      <c r="AG24" s="26">
        <f>现金流量表!AG55</f>
        <v>0</v>
      </c>
      <c r="AH24" s="26">
        <f>现金流量表!AH55</f>
        <v>0</v>
      </c>
      <c r="AI24" s="26">
        <f>现金流量表!AI55</f>
        <v>17104.330000000002</v>
      </c>
      <c r="AJ24" s="26">
        <f>现金流量表!AJ55</f>
        <v>0</v>
      </c>
      <c r="AK24" s="26">
        <f>现金流量表!AK55</f>
        <v>0</v>
      </c>
      <c r="AL24" s="26">
        <f>现金流量表!AL55</f>
        <v>0</v>
      </c>
      <c r="AM24" s="26">
        <f>现金流量表!AM55</f>
        <v>227163.4</v>
      </c>
      <c r="AN24" s="26">
        <f>现金流量表!AN55</f>
        <v>0</v>
      </c>
      <c r="AO24" s="26">
        <f>现金流量表!AO55</f>
        <v>0</v>
      </c>
      <c r="AP24" s="26">
        <f>现金流量表!AP55</f>
        <v>0</v>
      </c>
      <c r="AQ24" s="26">
        <f>现金流量表!AQ55</f>
        <v>54286.91</v>
      </c>
      <c r="AR24" s="26">
        <f>现金流量表!AR55</f>
        <v>0</v>
      </c>
      <c r="AS24" s="26">
        <f>现金流量表!AS55</f>
        <v>0</v>
      </c>
      <c r="AT24" s="26">
        <f>现金流量表!AT55</f>
        <v>0</v>
      </c>
      <c r="AU24" s="26">
        <f>现金流量表!AU55</f>
        <v>56029.62</v>
      </c>
      <c r="AV24" s="26">
        <f>现金流量表!AV55</f>
        <v>0</v>
      </c>
      <c r="AW24" s="26">
        <f>现金流量表!AW55</f>
        <v>0</v>
      </c>
      <c r="AX24" s="26">
        <f>现金流量表!AX55</f>
        <v>0</v>
      </c>
      <c r="AY24" s="26">
        <f>现金流量表!AY55</f>
        <v>0</v>
      </c>
      <c r="AZ24" s="26">
        <f>现金流量表!AZ55</f>
        <v>0</v>
      </c>
      <c r="BA24" s="26">
        <f>现金流量表!BA55</f>
        <v>12642.28</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239379990.26000002</v>
      </c>
      <c r="F25" s="28">
        <f t="shared" ref="F25:BQ25" si="12">SUM(F19:F24)</f>
        <v>0</v>
      </c>
      <c r="G25" s="28">
        <f t="shared" si="12"/>
        <v>97947210.86999999</v>
      </c>
      <c r="H25" s="28">
        <f t="shared" si="12"/>
        <v>0</v>
      </c>
      <c r="I25" s="28">
        <f t="shared" si="12"/>
        <v>137068652.03999999</v>
      </c>
      <c r="J25" s="28">
        <f t="shared" si="12"/>
        <v>0</v>
      </c>
      <c r="K25" s="28">
        <f t="shared" si="12"/>
        <v>82142461.689999998</v>
      </c>
      <c r="L25" s="28">
        <f t="shared" si="12"/>
        <v>0</v>
      </c>
      <c r="M25" s="28">
        <f t="shared" si="12"/>
        <v>128470666.42999999</v>
      </c>
      <c r="N25" s="28">
        <f t="shared" si="12"/>
        <v>0</v>
      </c>
      <c r="O25" s="28">
        <f t="shared" si="12"/>
        <v>70576755.750000015</v>
      </c>
      <c r="P25" s="28">
        <f t="shared" si="12"/>
        <v>0</v>
      </c>
      <c r="Q25" s="28">
        <f t="shared" si="12"/>
        <v>116776811.97</v>
      </c>
      <c r="R25" s="28">
        <f t="shared" si="12"/>
        <v>0</v>
      </c>
      <c r="S25" s="28">
        <f t="shared" si="12"/>
        <v>66709352.879999995</v>
      </c>
      <c r="T25" s="28">
        <f t="shared" si="12"/>
        <v>0</v>
      </c>
      <c r="U25" s="28">
        <f t="shared" si="12"/>
        <v>111040572.3</v>
      </c>
      <c r="V25" s="28">
        <f t="shared" si="12"/>
        <v>0</v>
      </c>
      <c r="W25" s="28">
        <f t="shared" si="12"/>
        <v>62259041.589999996</v>
      </c>
      <c r="X25" s="28">
        <f t="shared" si="12"/>
        <v>0</v>
      </c>
      <c r="Y25" s="28">
        <f t="shared" si="12"/>
        <v>116803959.23</v>
      </c>
      <c r="Z25" s="28">
        <f t="shared" si="12"/>
        <v>0</v>
      </c>
      <c r="AA25" s="28">
        <f t="shared" si="12"/>
        <v>51527747.999999993</v>
      </c>
      <c r="AB25" s="28">
        <f t="shared" si="12"/>
        <v>0</v>
      </c>
      <c r="AC25" s="28">
        <f t="shared" si="12"/>
        <v>128505469.90000002</v>
      </c>
      <c r="AD25" s="28">
        <f t="shared" si="12"/>
        <v>0</v>
      </c>
      <c r="AE25" s="28">
        <f t="shared" si="12"/>
        <v>34452224.950000003</v>
      </c>
      <c r="AF25" s="28">
        <f t="shared" si="12"/>
        <v>0</v>
      </c>
      <c r="AG25" s="28">
        <f t="shared" si="12"/>
        <v>181134173.18000001</v>
      </c>
      <c r="AH25" s="28">
        <f t="shared" si="12"/>
        <v>0</v>
      </c>
      <c r="AI25" s="28">
        <f t="shared" si="12"/>
        <v>45857866.43999999</v>
      </c>
      <c r="AJ25" s="28">
        <f t="shared" si="12"/>
        <v>0</v>
      </c>
      <c r="AK25" s="28">
        <f t="shared" si="12"/>
        <v>152797983.64000002</v>
      </c>
      <c r="AL25" s="28">
        <f t="shared" si="12"/>
        <v>0</v>
      </c>
      <c r="AM25" s="28">
        <f t="shared" si="12"/>
        <v>43698722.420000002</v>
      </c>
      <c r="AN25" s="28">
        <f t="shared" si="12"/>
        <v>0</v>
      </c>
      <c r="AO25" s="28">
        <f t="shared" si="12"/>
        <v>87883035.340000004</v>
      </c>
      <c r="AP25" s="28">
        <f t="shared" si="12"/>
        <v>0</v>
      </c>
      <c r="AQ25" s="28">
        <f t="shared" si="12"/>
        <v>57379481.899999999</v>
      </c>
      <c r="AR25" s="28">
        <f t="shared" si="12"/>
        <v>0</v>
      </c>
      <c r="AS25" s="28">
        <f t="shared" si="12"/>
        <v>99053291.780000001</v>
      </c>
      <c r="AT25" s="28">
        <f t="shared" si="12"/>
        <v>0</v>
      </c>
      <c r="AU25" s="28">
        <f t="shared" si="12"/>
        <v>62972341.549999982</v>
      </c>
      <c r="AV25" s="28">
        <f t="shared" si="12"/>
        <v>0</v>
      </c>
      <c r="AW25" s="28">
        <f t="shared" si="12"/>
        <v>77396532.700000018</v>
      </c>
      <c r="AX25" s="28">
        <f t="shared" si="12"/>
        <v>47493807.869999997</v>
      </c>
      <c r="AY25" s="28">
        <f t="shared" si="12"/>
        <v>27431475.859999999</v>
      </c>
      <c r="AZ25" s="28">
        <f t="shared" si="12"/>
        <v>19605627.300000001</v>
      </c>
      <c r="BA25" s="28">
        <f t="shared" si="12"/>
        <v>76448701.609999985</v>
      </c>
      <c r="BB25" s="28">
        <f t="shared" si="12"/>
        <v>64042438.460000008</v>
      </c>
      <c r="BC25" s="28">
        <f t="shared" si="12"/>
        <v>41596194.069999993</v>
      </c>
      <c r="BD25" s="28">
        <f t="shared" si="12"/>
        <v>15875417.669999998</v>
      </c>
      <c r="BE25" s="28">
        <f t="shared" si="12"/>
        <v>60957241.850000001</v>
      </c>
      <c r="BF25" s="28">
        <f t="shared" si="12"/>
        <v>53095950.359999999</v>
      </c>
      <c r="BG25" s="28">
        <f t="shared" si="12"/>
        <v>28281079.32</v>
      </c>
      <c r="BH25" s="28">
        <f t="shared" si="12"/>
        <v>11428265.24</v>
      </c>
      <c r="BI25" s="28">
        <f t="shared" si="12"/>
        <v>27393293.93</v>
      </c>
      <c r="BJ25" s="28">
        <f t="shared" si="12"/>
        <v>26195213.800000001</v>
      </c>
      <c r="BK25" s="28">
        <f t="shared" si="12"/>
        <v>23182707.640000001</v>
      </c>
      <c r="BL25" s="28">
        <f t="shared" si="12"/>
        <v>11130699.810000001</v>
      </c>
      <c r="BM25" s="28">
        <f t="shared" si="12"/>
        <v>54940861</v>
      </c>
      <c r="BN25" s="28">
        <f t="shared" si="12"/>
        <v>30124746.909999996</v>
      </c>
      <c r="BO25" s="28">
        <f t="shared" si="12"/>
        <v>50203208.109999999</v>
      </c>
      <c r="BP25" s="28">
        <f t="shared" si="12"/>
        <v>18011320.270000003</v>
      </c>
      <c r="BQ25" s="28">
        <f t="shared" si="12"/>
        <v>29300908.510000002</v>
      </c>
      <c r="BR25" s="28">
        <f t="shared" ref="BR25:CK25" si="13">SUM(BR19:BR24)</f>
        <v>26827235.989999998</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622386428.70000005</v>
      </c>
      <c r="F26" s="28">
        <f t="shared" ref="F26:BQ26" si="14">F14-F25</f>
        <v>588133661.70000005</v>
      </c>
      <c r="G26" s="28">
        <f t="shared" si="14"/>
        <v>399935063.95999998</v>
      </c>
      <c r="H26" s="28">
        <f t="shared" si="14"/>
        <v>176582529.22999999</v>
      </c>
      <c r="I26" s="28">
        <f t="shared" si="14"/>
        <v>-83071092.899999991</v>
      </c>
      <c r="J26" s="28">
        <f t="shared" si="14"/>
        <v>86203803.739999995</v>
      </c>
      <c r="K26" s="28">
        <f t="shared" si="14"/>
        <v>-116062064.84999999</v>
      </c>
      <c r="L26" s="28">
        <f t="shared" si="14"/>
        <v>97918240.829999998</v>
      </c>
      <c r="M26" s="28">
        <f t="shared" si="14"/>
        <v>374113941.5</v>
      </c>
      <c r="N26" s="28">
        <f t="shared" si="14"/>
        <v>394937757.07999998</v>
      </c>
      <c r="O26" s="28">
        <f t="shared" si="14"/>
        <v>239326653.68000001</v>
      </c>
      <c r="P26" s="28">
        <f t="shared" si="14"/>
        <v>108285893.14</v>
      </c>
      <c r="Q26" s="28">
        <f t="shared" si="14"/>
        <v>1012792299.8899999</v>
      </c>
      <c r="R26" s="28">
        <f t="shared" si="14"/>
        <v>899948047.77999997</v>
      </c>
      <c r="S26" s="28">
        <f t="shared" si="14"/>
        <v>473801342.71000004</v>
      </c>
      <c r="T26" s="28">
        <f t="shared" si="14"/>
        <v>373923159.75999999</v>
      </c>
      <c r="U26" s="28">
        <f t="shared" si="14"/>
        <v>917733765.18000007</v>
      </c>
      <c r="V26" s="28">
        <f t="shared" si="14"/>
        <v>848381480.11000001</v>
      </c>
      <c r="W26" s="28">
        <f t="shared" si="14"/>
        <v>521988420.57999998</v>
      </c>
      <c r="X26" s="28">
        <f t="shared" si="14"/>
        <v>268908285.19</v>
      </c>
      <c r="Y26" s="28">
        <f t="shared" si="14"/>
        <v>716109838.62</v>
      </c>
      <c r="Z26" s="28">
        <f t="shared" si="14"/>
        <v>782893425.53999996</v>
      </c>
      <c r="AA26" s="28">
        <f t="shared" si="14"/>
        <v>325620815.23000002</v>
      </c>
      <c r="AB26" s="28">
        <f t="shared" si="14"/>
        <v>204922008.21000001</v>
      </c>
      <c r="AC26" s="28">
        <f t="shared" si="14"/>
        <v>218591878.09999996</v>
      </c>
      <c r="AD26" s="28">
        <f t="shared" si="14"/>
        <v>400574830.11000001</v>
      </c>
      <c r="AE26" s="28">
        <f t="shared" si="14"/>
        <v>201734977.55000001</v>
      </c>
      <c r="AF26" s="28">
        <f t="shared" si="14"/>
        <v>71308878.760000005</v>
      </c>
      <c r="AG26" s="28">
        <f t="shared" si="14"/>
        <v>147507181</v>
      </c>
      <c r="AH26" s="28">
        <f t="shared" si="14"/>
        <v>330864970.85000002</v>
      </c>
      <c r="AI26" s="28">
        <f t="shared" si="14"/>
        <v>148339508.78</v>
      </c>
      <c r="AJ26" s="28">
        <f t="shared" si="14"/>
        <v>77523146.480000004</v>
      </c>
      <c r="AK26" s="28">
        <f t="shared" si="14"/>
        <v>299051979.63999999</v>
      </c>
      <c r="AL26" s="28">
        <f t="shared" si="14"/>
        <v>421980275.66000003</v>
      </c>
      <c r="AM26" s="28">
        <f t="shared" si="14"/>
        <v>134441640.48000002</v>
      </c>
      <c r="AN26" s="28">
        <f t="shared" si="14"/>
        <v>70093632.25</v>
      </c>
      <c r="AO26" s="28">
        <f t="shared" si="14"/>
        <v>241698652.09999999</v>
      </c>
      <c r="AP26" s="28">
        <f t="shared" si="14"/>
        <v>322366185.20999998</v>
      </c>
      <c r="AQ26" s="28">
        <f t="shared" si="14"/>
        <v>197241243.94999999</v>
      </c>
      <c r="AR26" s="28">
        <f t="shared" si="14"/>
        <v>95627692.640000001</v>
      </c>
      <c r="AS26" s="28">
        <f t="shared" si="14"/>
        <v>122846252.66999999</v>
      </c>
      <c r="AT26" s="28">
        <f t="shared" si="14"/>
        <v>324367065.24000001</v>
      </c>
      <c r="AU26" s="28">
        <f t="shared" si="14"/>
        <v>77689424.480000019</v>
      </c>
      <c r="AV26" s="28">
        <f t="shared" si="14"/>
        <v>-993223.69</v>
      </c>
      <c r="AW26" s="28">
        <f t="shared" si="14"/>
        <v>334296853.14999998</v>
      </c>
      <c r="AX26" s="28">
        <f t="shared" si="14"/>
        <v>341491741.38</v>
      </c>
      <c r="AY26" s="28">
        <f t="shared" si="14"/>
        <v>203103268.81</v>
      </c>
      <c r="AZ26" s="28">
        <f t="shared" si="14"/>
        <v>41232610.709999993</v>
      </c>
      <c r="BA26" s="28">
        <f t="shared" si="14"/>
        <v>-73753234.329999983</v>
      </c>
      <c r="BB26" s="28">
        <f t="shared" si="14"/>
        <v>-96099873.230000004</v>
      </c>
      <c r="BC26" s="28">
        <f t="shared" si="14"/>
        <v>-76436265.569999993</v>
      </c>
      <c r="BD26" s="28">
        <f t="shared" si="14"/>
        <v>-57557302.539999992</v>
      </c>
      <c r="BE26" s="28">
        <f t="shared" si="14"/>
        <v>10735010.309999995</v>
      </c>
      <c r="BF26" s="28">
        <f t="shared" si="14"/>
        <v>-35004113.43</v>
      </c>
      <c r="BG26" s="28">
        <f t="shared" si="14"/>
        <v>-21216993.030000001</v>
      </c>
      <c r="BH26" s="28">
        <f t="shared" si="14"/>
        <v>-20383753.48</v>
      </c>
      <c r="BI26" s="28">
        <f t="shared" si="14"/>
        <v>81888310.00999999</v>
      </c>
      <c r="BJ26" s="28">
        <f t="shared" si="14"/>
        <v>104244443.27</v>
      </c>
      <c r="BK26" s="28">
        <f t="shared" si="14"/>
        <v>24653596.990000002</v>
      </c>
      <c r="BL26" s="28">
        <f t="shared" si="14"/>
        <v>-107426657.21000001</v>
      </c>
      <c r="BM26" s="28">
        <f t="shared" si="14"/>
        <v>-35133517.670000002</v>
      </c>
      <c r="BN26" s="28">
        <f t="shared" si="14"/>
        <v>78460166.049999997</v>
      </c>
      <c r="BO26" s="28">
        <f t="shared" si="14"/>
        <v>16519690.75</v>
      </c>
      <c r="BP26" s="28">
        <f t="shared" si="14"/>
        <v>94336916.299999982</v>
      </c>
      <c r="BQ26" s="28">
        <f t="shared" si="14"/>
        <v>120734894.96999998</v>
      </c>
      <c r="BR26" s="28">
        <f t="shared" ref="BR26:CK26" si="15">BR14-BR25</f>
        <v>72617207.480000004</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6" t="s">
        <v>751</v>
      </c>
      <c r="E27" s="26">
        <f>E26</f>
        <v>622386428.70000005</v>
      </c>
      <c r="F27" s="192">
        <f t="shared" ref="F27:BQ27" si="16">F26</f>
        <v>588133661.70000005</v>
      </c>
      <c r="G27" s="192">
        <f t="shared" si="16"/>
        <v>399935063.95999998</v>
      </c>
      <c r="H27" s="192">
        <f t="shared" si="16"/>
        <v>176582529.22999999</v>
      </c>
      <c r="I27" s="192">
        <f t="shared" si="16"/>
        <v>-83071092.899999991</v>
      </c>
      <c r="J27" s="192">
        <f t="shared" si="16"/>
        <v>86203803.739999995</v>
      </c>
      <c r="K27" s="192">
        <f t="shared" si="16"/>
        <v>-116062064.84999999</v>
      </c>
      <c r="L27" s="192">
        <f t="shared" si="16"/>
        <v>97918240.829999998</v>
      </c>
      <c r="M27" s="192">
        <f t="shared" si="16"/>
        <v>374113941.5</v>
      </c>
      <c r="N27" s="192">
        <f t="shared" si="16"/>
        <v>394937757.07999998</v>
      </c>
      <c r="O27" s="192">
        <f t="shared" si="16"/>
        <v>239326653.68000001</v>
      </c>
      <c r="P27" s="192">
        <f t="shared" si="16"/>
        <v>108285893.14</v>
      </c>
      <c r="Q27" s="192">
        <f t="shared" si="16"/>
        <v>1012792299.8899999</v>
      </c>
      <c r="R27" s="192">
        <f t="shared" si="16"/>
        <v>899948047.77999997</v>
      </c>
      <c r="S27" s="192">
        <f t="shared" si="16"/>
        <v>473801342.71000004</v>
      </c>
      <c r="T27" s="192">
        <f t="shared" si="16"/>
        <v>373923159.75999999</v>
      </c>
      <c r="U27" s="192">
        <f t="shared" si="16"/>
        <v>917733765.18000007</v>
      </c>
      <c r="V27" s="192">
        <f t="shared" si="16"/>
        <v>848381480.11000001</v>
      </c>
      <c r="W27" s="192">
        <f t="shared" si="16"/>
        <v>521988420.57999998</v>
      </c>
      <c r="X27" s="192">
        <f t="shared" si="16"/>
        <v>268908285.19</v>
      </c>
      <c r="Y27" s="192">
        <f t="shared" si="16"/>
        <v>716109838.62</v>
      </c>
      <c r="Z27" s="192">
        <f t="shared" si="16"/>
        <v>782893425.53999996</v>
      </c>
      <c r="AA27" s="192">
        <f t="shared" si="16"/>
        <v>325620815.23000002</v>
      </c>
      <c r="AB27" s="192">
        <f t="shared" si="16"/>
        <v>204922008.21000001</v>
      </c>
      <c r="AC27" s="192">
        <f t="shared" si="16"/>
        <v>218591878.09999996</v>
      </c>
      <c r="AD27" s="192">
        <f t="shared" si="16"/>
        <v>400574830.11000001</v>
      </c>
      <c r="AE27" s="192">
        <f t="shared" si="16"/>
        <v>201734977.55000001</v>
      </c>
      <c r="AF27" s="192">
        <f t="shared" si="16"/>
        <v>71308878.760000005</v>
      </c>
      <c r="AG27" s="192">
        <f t="shared" si="16"/>
        <v>147507181</v>
      </c>
      <c r="AH27" s="192">
        <f t="shared" si="16"/>
        <v>330864970.85000002</v>
      </c>
      <c r="AI27" s="192">
        <f t="shared" si="16"/>
        <v>148339508.78</v>
      </c>
      <c r="AJ27" s="192">
        <f t="shared" si="16"/>
        <v>77523146.480000004</v>
      </c>
      <c r="AK27" s="192">
        <f t="shared" si="16"/>
        <v>299051979.63999999</v>
      </c>
      <c r="AL27" s="192">
        <f t="shared" si="16"/>
        <v>421980275.66000003</v>
      </c>
      <c r="AM27" s="192">
        <f t="shared" si="16"/>
        <v>134441640.48000002</v>
      </c>
      <c r="AN27" s="192">
        <f t="shared" si="16"/>
        <v>70093632.25</v>
      </c>
      <c r="AO27" s="192">
        <f t="shared" si="16"/>
        <v>241698652.09999999</v>
      </c>
      <c r="AP27" s="192">
        <f t="shared" si="16"/>
        <v>322366185.20999998</v>
      </c>
      <c r="AQ27" s="192">
        <f t="shared" si="16"/>
        <v>197241243.94999999</v>
      </c>
      <c r="AR27" s="192">
        <f t="shared" si="16"/>
        <v>95627692.640000001</v>
      </c>
      <c r="AS27" s="192">
        <f t="shared" si="16"/>
        <v>122846252.66999999</v>
      </c>
      <c r="AT27" s="192">
        <f t="shared" si="16"/>
        <v>324367065.24000001</v>
      </c>
      <c r="AU27" s="192">
        <f t="shared" si="16"/>
        <v>77689424.480000019</v>
      </c>
      <c r="AV27" s="192">
        <f t="shared" si="16"/>
        <v>-993223.69</v>
      </c>
      <c r="AW27" s="192">
        <f t="shared" si="16"/>
        <v>334296853.14999998</v>
      </c>
      <c r="AX27" s="192">
        <f t="shared" si="16"/>
        <v>341491741.38</v>
      </c>
      <c r="AY27" s="192">
        <f t="shared" si="16"/>
        <v>203103268.81</v>
      </c>
      <c r="AZ27" s="192">
        <f t="shared" si="16"/>
        <v>41232610.709999993</v>
      </c>
      <c r="BA27" s="192">
        <f t="shared" si="16"/>
        <v>-73753234.329999983</v>
      </c>
      <c r="BB27" s="192">
        <f t="shared" si="16"/>
        <v>-96099873.230000004</v>
      </c>
      <c r="BC27" s="192">
        <f t="shared" si="16"/>
        <v>-76436265.569999993</v>
      </c>
      <c r="BD27" s="192">
        <f t="shared" si="16"/>
        <v>-57557302.539999992</v>
      </c>
      <c r="BE27" s="192">
        <f t="shared" si="16"/>
        <v>10735010.309999995</v>
      </c>
      <c r="BF27" s="192">
        <f t="shared" si="16"/>
        <v>-35004113.43</v>
      </c>
      <c r="BG27" s="192">
        <f t="shared" si="16"/>
        <v>-21216993.030000001</v>
      </c>
      <c r="BH27" s="192">
        <f t="shared" si="16"/>
        <v>-20383753.48</v>
      </c>
      <c r="BI27" s="192">
        <f t="shared" si="16"/>
        <v>81888310.00999999</v>
      </c>
      <c r="BJ27" s="192">
        <f t="shared" si="16"/>
        <v>104244443.27</v>
      </c>
      <c r="BK27" s="192">
        <f t="shared" si="16"/>
        <v>24653596.990000002</v>
      </c>
      <c r="BL27" s="192">
        <f t="shared" si="16"/>
        <v>-107426657.21000001</v>
      </c>
      <c r="BM27" s="192">
        <f t="shared" si="16"/>
        <v>-35133517.670000002</v>
      </c>
      <c r="BN27" s="192">
        <f t="shared" si="16"/>
        <v>78460166.049999997</v>
      </c>
      <c r="BO27" s="192">
        <f t="shared" si="16"/>
        <v>16519690.75</v>
      </c>
      <c r="BP27" s="192">
        <f t="shared" si="16"/>
        <v>94336916.299999982</v>
      </c>
      <c r="BQ27" s="192">
        <f t="shared" si="16"/>
        <v>120734894.96999998</v>
      </c>
      <c r="BR27" s="192">
        <f t="shared" ref="BR27:CL27" si="17">BR26</f>
        <v>72617207.480000004</v>
      </c>
      <c r="BS27" s="192">
        <f t="shared" si="17"/>
        <v>0</v>
      </c>
      <c r="BT27" s="192">
        <f t="shared" si="17"/>
        <v>0</v>
      </c>
      <c r="BU27" s="192">
        <f t="shared" si="17"/>
        <v>0</v>
      </c>
      <c r="BV27" s="192">
        <f t="shared" si="17"/>
        <v>0</v>
      </c>
      <c r="BW27" s="192">
        <f t="shared" si="17"/>
        <v>0</v>
      </c>
      <c r="BX27" s="192">
        <f t="shared" si="17"/>
        <v>0</v>
      </c>
      <c r="BY27" s="192">
        <f t="shared" si="17"/>
        <v>0</v>
      </c>
      <c r="BZ27" s="192">
        <f t="shared" si="17"/>
        <v>0</v>
      </c>
      <c r="CA27" s="192">
        <f t="shared" si="17"/>
        <v>0</v>
      </c>
      <c r="CB27" s="192">
        <f t="shared" si="17"/>
        <v>0</v>
      </c>
      <c r="CC27" s="192">
        <f t="shared" si="17"/>
        <v>0</v>
      </c>
      <c r="CD27" s="192">
        <f t="shared" si="17"/>
        <v>0</v>
      </c>
      <c r="CE27" s="192">
        <f t="shared" si="17"/>
        <v>0</v>
      </c>
      <c r="CF27" s="192">
        <f t="shared" si="17"/>
        <v>0</v>
      </c>
      <c r="CG27" s="192">
        <f t="shared" si="17"/>
        <v>0</v>
      </c>
      <c r="CH27" s="192">
        <f t="shared" si="17"/>
        <v>0</v>
      </c>
      <c r="CI27" s="192">
        <f t="shared" si="17"/>
        <v>0</v>
      </c>
      <c r="CJ27" s="192">
        <f t="shared" si="17"/>
        <v>0</v>
      </c>
      <c r="CK27" s="192">
        <f t="shared" si="17"/>
        <v>0</v>
      </c>
      <c r="CL27" s="192">
        <f t="shared" si="17"/>
        <v>0</v>
      </c>
    </row>
    <row r="28" spans="1:90" s="63" customFormat="1" x14ac:dyDescent="0.25">
      <c r="A28" s="17" t="s">
        <v>509</v>
      </c>
      <c r="E28" s="63">
        <f>(E27-I27)/I27</f>
        <v>-8.4922142826412728</v>
      </c>
      <c r="F28" s="63">
        <f t="shared" ref="F28:BQ28" si="18">(F27-J27)/J27</f>
        <v>5.8225952473498133</v>
      </c>
      <c r="G28" s="63">
        <f t="shared" si="18"/>
        <v>-4.4458723828227669</v>
      </c>
      <c r="H28" s="63">
        <f t="shared" si="18"/>
        <v>0.80336705125832875</v>
      </c>
      <c r="I28" s="63">
        <f t="shared" si="18"/>
        <v>-1.2220475734396015</v>
      </c>
      <c r="J28" s="63">
        <f t="shared" si="18"/>
        <v>-0.78172812754760679</v>
      </c>
      <c r="K28" s="63">
        <f t="shared" si="18"/>
        <v>-1.4849525243652333</v>
      </c>
      <c r="L28" s="63">
        <f t="shared" si="18"/>
        <v>-9.5743332851269333E-2</v>
      </c>
      <c r="M28" s="63">
        <f t="shared" si="18"/>
        <v>-0.63061138839559427</v>
      </c>
      <c r="N28" s="63">
        <f t="shared" si="18"/>
        <v>-0.56115493771642033</v>
      </c>
      <c r="O28" s="63">
        <f t="shared" si="18"/>
        <v>-0.49487974788943379</v>
      </c>
      <c r="P28" s="63">
        <f t="shared" si="18"/>
        <v>-0.71040602777987183</v>
      </c>
      <c r="Q28" s="63">
        <f t="shared" si="18"/>
        <v>0.10357964184891405</v>
      </c>
      <c r="R28" s="63">
        <f t="shared" si="18"/>
        <v>6.0782288249990921E-2</v>
      </c>
      <c r="S28" s="63">
        <f t="shared" si="18"/>
        <v>-9.2314457505508568E-2</v>
      </c>
      <c r="T28" s="63">
        <f t="shared" si="18"/>
        <v>0.39052301603797973</v>
      </c>
      <c r="U28" s="63">
        <f t="shared" si="18"/>
        <v>0.281554470678053</v>
      </c>
      <c r="V28" s="63">
        <f t="shared" si="18"/>
        <v>8.3648747624658792E-2</v>
      </c>
      <c r="W28" s="63">
        <f t="shared" si="18"/>
        <v>0.60305605835209597</v>
      </c>
      <c r="X28" s="63">
        <f t="shared" si="18"/>
        <v>0.31224697405086976</v>
      </c>
      <c r="Y28" s="63">
        <f t="shared" si="18"/>
        <v>2.2760130195340507</v>
      </c>
      <c r="Z28" s="63">
        <f t="shared" si="18"/>
        <v>0.954424908137671</v>
      </c>
      <c r="AA28" s="63">
        <f t="shared" si="18"/>
        <v>0.61410192314961798</v>
      </c>
      <c r="AB28" s="63">
        <f t="shared" si="18"/>
        <v>1.8737236059999436</v>
      </c>
      <c r="AC28" s="63">
        <f t="shared" si="18"/>
        <v>0.48190668832590572</v>
      </c>
      <c r="AD28" s="63">
        <f t="shared" si="18"/>
        <v>0.21068975383194447</v>
      </c>
      <c r="AE28" s="63">
        <f t="shared" si="18"/>
        <v>0.35995446667677722</v>
      </c>
      <c r="AF28" s="63">
        <f t="shared" si="18"/>
        <v>-8.0160158638597073E-2</v>
      </c>
      <c r="AG28" s="63">
        <f t="shared" si="18"/>
        <v>-0.50675069538890949</v>
      </c>
      <c r="AH28" s="63">
        <f t="shared" si="18"/>
        <v>-0.21592313685157613</v>
      </c>
      <c r="AI28" s="63">
        <f t="shared" si="18"/>
        <v>0.10337473010876772</v>
      </c>
      <c r="AJ28" s="63">
        <f t="shared" si="18"/>
        <v>0.10599413943197393</v>
      </c>
      <c r="AK28" s="63">
        <f t="shared" si="18"/>
        <v>0.23729270743417602</v>
      </c>
      <c r="AL28" s="63">
        <f t="shared" si="18"/>
        <v>0.30900911764398659</v>
      </c>
      <c r="AM28" s="63">
        <f t="shared" si="18"/>
        <v>-0.31838981651281545</v>
      </c>
      <c r="AN28" s="63">
        <f t="shared" si="18"/>
        <v>-0.26701533504656982</v>
      </c>
      <c r="AO28" s="63">
        <f t="shared" si="18"/>
        <v>0.96748901042404112</v>
      </c>
      <c r="AP28" s="63">
        <f t="shared" si="18"/>
        <v>-6.1685671710214312E-3</v>
      </c>
      <c r="AQ28" s="63">
        <f t="shared" si="18"/>
        <v>1.5388429026241119</v>
      </c>
      <c r="AR28" s="63">
        <f t="shared" si="18"/>
        <v>-97.280116556623824</v>
      </c>
      <c r="AS28" s="63">
        <f t="shared" si="18"/>
        <v>-0.63252345479040895</v>
      </c>
      <c r="AT28" s="63">
        <f t="shared" si="18"/>
        <v>-5.0146677254324132E-2</v>
      </c>
      <c r="AU28" s="63">
        <f t="shared" si="18"/>
        <v>-0.61748806439606208</v>
      </c>
      <c r="AV28" s="63">
        <f t="shared" si="18"/>
        <v>-1.0240883046912941</v>
      </c>
      <c r="AW28" s="63">
        <f t="shared" si="18"/>
        <v>-5.532639906396903</v>
      </c>
      <c r="AX28" s="63">
        <f t="shared" si="18"/>
        <v>-4.5535087602321074</v>
      </c>
      <c r="AY28" s="63">
        <f t="shared" si="18"/>
        <v>-3.6571584482237549</v>
      </c>
      <c r="AZ28" s="63">
        <f t="shared" si="18"/>
        <v>-1.7163749670399338</v>
      </c>
      <c r="BA28" s="63">
        <f t="shared" si="18"/>
        <v>-7.8703459242415974</v>
      </c>
      <c r="BB28" s="63">
        <f t="shared" si="18"/>
        <v>1.7453880076745028</v>
      </c>
      <c r="BC28" s="63">
        <f t="shared" si="18"/>
        <v>2.6025965348587374</v>
      </c>
      <c r="BD28" s="63">
        <f t="shared" si="18"/>
        <v>1.8236851763574207</v>
      </c>
      <c r="BE28" s="63">
        <f t="shared" si="18"/>
        <v>-0.86890668144587335</v>
      </c>
      <c r="BF28" s="63">
        <f t="shared" si="18"/>
        <v>-1.3357887704319837</v>
      </c>
      <c r="BG28" s="63">
        <f t="shared" si="18"/>
        <v>-1.8606043588124703</v>
      </c>
      <c r="BH28" s="63">
        <f t="shared" si="18"/>
        <v>-0.81025423289348575</v>
      </c>
      <c r="BI28" s="63">
        <f t="shared" si="18"/>
        <v>-3.330774583380907</v>
      </c>
      <c r="BJ28" s="63">
        <f t="shared" si="18"/>
        <v>0.32862888925787587</v>
      </c>
      <c r="BK28" s="63">
        <f t="shared" si="18"/>
        <v>0.49237642296663464</v>
      </c>
      <c r="BL28" s="63">
        <f t="shared" si="18"/>
        <v>-2.1387552341479283</v>
      </c>
      <c r="BM28" s="63">
        <f t="shared" si="18"/>
        <v>-1.2909972106964596</v>
      </c>
      <c r="BN28" s="63">
        <f t="shared" si="18"/>
        <v>8.0462451983012995E-2</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736</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-7.4729575065120679E-2</v>
      </c>
      <c r="F31" s="112"/>
      <c r="G31" s="112"/>
      <c r="H31" s="112"/>
      <c r="I31" s="112">
        <f>POWER(E27/Y27,1/6)-1</f>
        <v>-2.3107566925919865E-2</v>
      </c>
      <c r="M31" s="112">
        <f>POWER(E27/AC27,1/7)-1</f>
        <v>0.16122937454637309</v>
      </c>
      <c r="Q31" s="115" t="s">
        <v>602</v>
      </c>
      <c r="R31" s="115"/>
      <c r="S31" s="115"/>
      <c r="T31" s="115"/>
      <c r="U31" s="115">
        <f>POWER(E14/U14,1/5)-1</f>
        <v>-3.480761050021719E-2</v>
      </c>
      <c r="V31" s="115"/>
      <c r="W31" s="115"/>
      <c r="X31" s="115"/>
      <c r="Y31" s="115">
        <f>POWER(E14/Y14,1/6)-1</f>
        <v>5.6918214479499962E-3</v>
      </c>
      <c r="Z31" s="115"/>
      <c r="AA31" s="115"/>
      <c r="AB31" s="115"/>
      <c r="AC31" s="115">
        <f>POWER(E14/AC14,1/7)-1</f>
        <v>0.13872735353390486</v>
      </c>
    </row>
    <row r="32" spans="1:90" s="66" customFormat="1" x14ac:dyDescent="0.25">
      <c r="A32" s="46" t="s">
        <v>511</v>
      </c>
      <c r="E32" s="66">
        <v>0.17</v>
      </c>
    </row>
    <row r="39" spans="1:13" ht="43.2" x14ac:dyDescent="0.25">
      <c r="A39" s="67" t="s">
        <v>512</v>
      </c>
    </row>
    <row r="41" spans="1:13" ht="111" customHeight="1" x14ac:dyDescent="0.25">
      <c r="A41" s="278" t="s">
        <v>735</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11" workbookViewId="0">
      <selection activeCell="D18" sqref="D1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5" width="18.33203125" bestFit="1" customWidth="1"/>
    <col min="6" max="8" width="17.21875" bestFit="1" customWidth="1"/>
    <col min="9" max="9" width="20.44140625" bestFit="1" customWidth="1"/>
    <col min="10" max="11" width="17.21875" bestFit="1" customWidth="1"/>
    <col min="12" max="12" width="40.21875" bestFit="1" customWidth="1"/>
    <col min="13" max="13" width="17.21875" bestFit="1" customWidth="1"/>
    <col min="14" max="18" width="19.33203125" bestFit="1" customWidth="1"/>
    <col min="19" max="19" width="20.44140625" bestFit="1" customWidth="1"/>
    <col min="20" max="74" width="9.44140625" bestFit="1" customWidth="1"/>
  </cols>
  <sheetData>
    <row r="1" spans="1:10" ht="16.2" customHeight="1" x14ac:dyDescent="0.25">
      <c r="A1" s="68" t="s">
        <v>513</v>
      </c>
      <c r="B1" s="69">
        <f>自由现金流分析表!E1</f>
        <v>43100</v>
      </c>
      <c r="C1" t="s">
        <v>749</v>
      </c>
      <c r="D1" s="261">
        <v>0.08</v>
      </c>
      <c r="E1" s="262" t="s">
        <v>750</v>
      </c>
      <c r="F1" s="63">
        <f>平均资本成本表!E13</f>
        <v>8.1627541180422925E-2</v>
      </c>
    </row>
    <row r="2" spans="1:10" x14ac:dyDescent="0.25">
      <c r="A2" s="70" t="s">
        <v>514</v>
      </c>
      <c r="B2" s="71">
        <f>(自由现金流分析表!E27+自由现金流分析表!I27+自由现金流分析表!M27+自由现金流分析表!Q27+自由现金流分析表!U27)/5</f>
        <v>568791068.47399998</v>
      </c>
      <c r="C2" t="s">
        <v>547</v>
      </c>
      <c r="D2" s="63"/>
      <c r="E2" s="63"/>
      <c r="F2" s="56"/>
    </row>
    <row r="3" spans="1:10" s="63" customFormat="1" x14ac:dyDescent="0.25">
      <c r="A3" s="72" t="s">
        <v>515</v>
      </c>
      <c r="B3" s="98">
        <v>0</v>
      </c>
      <c r="D3" s="189"/>
      <c r="E3" s="189"/>
      <c r="F3" s="259"/>
    </row>
    <row r="4" spans="1:10" s="63" customFormat="1" x14ac:dyDescent="0.25">
      <c r="A4" s="72" t="s">
        <v>516</v>
      </c>
      <c r="B4" s="98">
        <f>(平均资本成本表!E13)/1</f>
        <v>8.1627541180422925E-2</v>
      </c>
      <c r="D4" s="189"/>
      <c r="E4" s="189"/>
      <c r="F4" s="260"/>
    </row>
    <row r="5" spans="1:10" x14ac:dyDescent="0.25">
      <c r="A5" s="70" t="s">
        <v>517</v>
      </c>
      <c r="B5" s="71">
        <f>B2*(1+B3)/(B4-B3)</f>
        <v>6968126936.6768026</v>
      </c>
      <c r="D5" s="63"/>
      <c r="E5" s="63"/>
    </row>
    <row r="6" spans="1:10" x14ac:dyDescent="0.25">
      <c r="A6" s="70" t="s">
        <v>518</v>
      </c>
      <c r="B6" s="71">
        <f>资产资本表!E17</f>
        <v>1879565759.4100001</v>
      </c>
      <c r="D6" s="189"/>
      <c r="E6" s="189"/>
      <c r="F6" s="189"/>
      <c r="G6" s="189"/>
    </row>
    <row r="7" spans="1:10" x14ac:dyDescent="0.25">
      <c r="A7" s="70" t="s">
        <v>519</v>
      </c>
      <c r="B7" s="71">
        <f>资产资本表!E19</f>
        <v>207045491.97</v>
      </c>
      <c r="D7" s="189"/>
      <c r="E7" s="189"/>
      <c r="F7" s="189"/>
      <c r="G7" s="189"/>
    </row>
    <row r="8" spans="1:10" x14ac:dyDescent="0.25">
      <c r="A8" s="70" t="s">
        <v>520</v>
      </c>
      <c r="B8" s="196">
        <f>资产资本表!E89</f>
        <v>1101185072.3800001</v>
      </c>
      <c r="C8" s="272" t="s">
        <v>747</v>
      </c>
      <c r="D8" s="273">
        <f>B2/B4</f>
        <v>6968126936.6768026</v>
      </c>
      <c r="E8" s="63"/>
      <c r="F8" s="189"/>
      <c r="G8" s="189"/>
    </row>
    <row r="9" spans="1:10" x14ac:dyDescent="0.25">
      <c r="A9" s="70" t="s">
        <v>521</v>
      </c>
      <c r="B9" s="196">
        <f>B5+B6+B7-B8</f>
        <v>7953553115.6768026</v>
      </c>
      <c r="C9" s="272" t="s">
        <v>748</v>
      </c>
      <c r="D9" s="273">
        <f>(D8+资产资本结构分析表!$E$2+资产资本结构分析表!$E$3)/B55</f>
        <v>13.454291512714418</v>
      </c>
      <c r="E9" s="189"/>
      <c r="F9" s="189"/>
      <c r="G9" s="189"/>
    </row>
    <row r="10" spans="1:10" x14ac:dyDescent="0.25">
      <c r="A10" s="70" t="s">
        <v>522</v>
      </c>
      <c r="B10" s="73">
        <f>资产资本表!E103/资产资本表!E107</f>
        <v>0</v>
      </c>
      <c r="D10" s="189"/>
      <c r="E10" s="189"/>
      <c r="F10" s="189"/>
      <c r="G10" s="189"/>
    </row>
    <row r="11" spans="1:10" x14ac:dyDescent="0.25">
      <c r="A11" s="70" t="s">
        <v>548</v>
      </c>
      <c r="B11" s="196">
        <f>B9*(1-B10)</f>
        <v>7953553115.6768026</v>
      </c>
      <c r="C11" s="269" t="s">
        <v>744</v>
      </c>
      <c r="D11" s="270">
        <f>资产资本结构分析表!E2</f>
        <v>1879565759.4100001</v>
      </c>
      <c r="E11" s="63"/>
      <c r="F11" s="189"/>
      <c r="G11" s="189"/>
    </row>
    <row r="12" spans="1:10" x14ac:dyDescent="0.25">
      <c r="A12" s="70" t="s">
        <v>523</v>
      </c>
      <c r="B12" s="268">
        <f>B55</f>
        <v>673000000</v>
      </c>
      <c r="C12" s="269" t="s">
        <v>745</v>
      </c>
      <c r="D12" s="271">
        <f>D11/B55</f>
        <v>2.7928168787667165</v>
      </c>
      <c r="E12" s="189"/>
      <c r="F12" s="189"/>
      <c r="G12" s="189"/>
    </row>
    <row r="13" spans="1:10" ht="15" thickBot="1" x14ac:dyDescent="0.3">
      <c r="A13" s="74" t="s">
        <v>524</v>
      </c>
      <c r="B13" s="75">
        <f>B11/B12</f>
        <v>11.818058121362263</v>
      </c>
      <c r="D13" s="189"/>
      <c r="E13" s="189"/>
    </row>
    <row r="14" spans="1:10" s="16" customFormat="1" ht="53.25" customHeight="1" x14ac:dyDescent="0.25">
      <c r="A14" s="278" t="s">
        <v>737</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540</v>
      </c>
      <c r="D17" s="90">
        <v>0.15</v>
      </c>
      <c r="E17" s="90"/>
      <c r="F17" s="90"/>
      <c r="G17" s="90"/>
      <c r="H17" s="90" t="s">
        <v>541</v>
      </c>
      <c r="I17" s="90">
        <v>0.04</v>
      </c>
      <c r="J17" s="78"/>
    </row>
    <row r="18" spans="1:10" s="2" customFormat="1" x14ac:dyDescent="0.25">
      <c r="A18" s="299" t="s">
        <v>525</v>
      </c>
      <c r="B18" s="299"/>
      <c r="C18" s="65" t="s">
        <v>539</v>
      </c>
      <c r="D18" s="97">
        <v>1</v>
      </c>
      <c r="E18" s="97">
        <v>2</v>
      </c>
      <c r="F18" s="97">
        <v>3</v>
      </c>
      <c r="G18" s="97">
        <v>4</v>
      </c>
      <c r="H18" s="97">
        <v>5</v>
      </c>
      <c r="I18" s="96">
        <v>6</v>
      </c>
      <c r="J18" s="80"/>
    </row>
    <row r="19" spans="1:10" s="26" customFormat="1" x14ac:dyDescent="0.25">
      <c r="A19" s="99" t="s">
        <v>526</v>
      </c>
      <c r="B19" s="94"/>
      <c r="C19" s="89">
        <f>B2</f>
        <v>568791068.47399998</v>
      </c>
      <c r="D19" s="89">
        <f>C19*(1+$D$17)</f>
        <v>654109728.7450999</v>
      </c>
      <c r="E19" s="89">
        <f>D19*(1+$D$17)</f>
        <v>752226188.05686486</v>
      </c>
      <c r="F19" s="89">
        <f>E19*(1+$D$17)</f>
        <v>865060116.26539457</v>
      </c>
      <c r="G19" s="89">
        <f>F19*(1+$D$17)</f>
        <v>994819133.70520365</v>
      </c>
      <c r="H19" s="89">
        <f>G19*(1+$D$17)</f>
        <v>1144042003.7609842</v>
      </c>
      <c r="I19" s="89">
        <f>H19*(1+I17)</f>
        <v>1189803683.9114237</v>
      </c>
      <c r="J19" s="76"/>
    </row>
    <row r="20" spans="1:10" s="26" customFormat="1" x14ac:dyDescent="0.25">
      <c r="A20" s="99" t="s">
        <v>527</v>
      </c>
      <c r="B20" s="95">
        <f>B4</f>
        <v>8.1627541180422925E-2</v>
      </c>
      <c r="C20" s="89"/>
      <c r="D20" s="89">
        <f t="shared" ref="D20:I20" si="0">(1+$B$20)^D18</f>
        <v>1.0816275411804228</v>
      </c>
      <c r="E20" s="89">
        <f t="shared" si="0"/>
        <v>1.1699181378400072</v>
      </c>
      <c r="F20" s="89">
        <f t="shared" si="0"/>
        <v>1.2654156788142659</v>
      </c>
      <c r="G20" s="89">
        <f t="shared" si="0"/>
        <v>1.3687084492470301</v>
      </c>
      <c r="H20" s="89">
        <f t="shared" si="0"/>
        <v>1.4804327545519347</v>
      </c>
      <c r="I20" s="89">
        <f t="shared" si="0"/>
        <v>1.6012768401889694</v>
      </c>
      <c r="J20" s="76"/>
    </row>
    <row r="21" spans="1:10" s="26" customFormat="1" x14ac:dyDescent="0.25">
      <c r="A21" s="300" t="s">
        <v>528</v>
      </c>
      <c r="B21" s="300"/>
      <c r="C21" s="89"/>
      <c r="D21" s="89">
        <f>D19/D20</f>
        <v>604745814.84051728</v>
      </c>
      <c r="E21" s="89">
        <f>E19/E20</f>
        <v>642973353.20032108</v>
      </c>
      <c r="F21" s="89">
        <f>F19/F20</f>
        <v>683617352.58091867</v>
      </c>
      <c r="G21" s="89">
        <f>G19/G20</f>
        <v>726830563.69856215</v>
      </c>
      <c r="H21" s="89">
        <f>H19/H20</f>
        <v>772775393.03515208</v>
      </c>
      <c r="I21" s="89">
        <f>I19/((B20-I17)*I20)</f>
        <v>17849585185.81086</v>
      </c>
      <c r="J21" s="76"/>
    </row>
    <row r="22" spans="1:10" s="26" customFormat="1" x14ac:dyDescent="0.25">
      <c r="A22" s="300" t="s">
        <v>546</v>
      </c>
      <c r="B22" s="300"/>
      <c r="C22" s="89"/>
      <c r="D22" s="296">
        <f>SUM(D21:H21)</f>
        <v>3430942477.3554711</v>
      </c>
      <c r="E22" s="297"/>
      <c r="F22" s="297"/>
      <c r="G22" s="297"/>
      <c r="H22" s="298"/>
      <c r="I22" s="89">
        <f>I21</f>
        <v>17849585185.81086</v>
      </c>
      <c r="J22" s="76"/>
    </row>
    <row r="23" spans="1:10" x14ac:dyDescent="0.25">
      <c r="A23" s="92" t="s">
        <v>529</v>
      </c>
      <c r="B23" s="76">
        <f>D22+I22</f>
        <v>21280527663.166332</v>
      </c>
      <c r="C23" s="77"/>
      <c r="D23" s="77"/>
      <c r="E23" s="77"/>
      <c r="F23" s="77"/>
      <c r="G23" s="77"/>
      <c r="H23" s="77"/>
      <c r="I23" s="79"/>
      <c r="J23" s="77"/>
    </row>
    <row r="24" spans="1:10" x14ac:dyDescent="0.25">
      <c r="A24" s="92" t="s">
        <v>530</v>
      </c>
      <c r="B24" s="76">
        <f>B23</f>
        <v>21280527663.166332</v>
      </c>
      <c r="C24" s="77"/>
      <c r="D24" s="77"/>
      <c r="E24" s="77"/>
      <c r="F24" s="77"/>
      <c r="G24" s="77"/>
      <c r="H24" s="77"/>
      <c r="I24" s="79"/>
      <c r="J24" s="77"/>
    </row>
    <row r="25" spans="1:10" x14ac:dyDescent="0.25">
      <c r="A25" s="70" t="s">
        <v>531</v>
      </c>
      <c r="B25" s="71">
        <f>资产资本表!E17</f>
        <v>1879565759.4100001</v>
      </c>
      <c r="C25" s="77"/>
      <c r="D25" s="77"/>
      <c r="E25" s="77"/>
      <c r="F25" s="77"/>
      <c r="G25" s="77"/>
      <c r="H25" s="77"/>
      <c r="I25" s="79"/>
      <c r="J25" s="77"/>
    </row>
    <row r="26" spans="1:10" x14ac:dyDescent="0.25">
      <c r="A26" s="70" t="s">
        <v>532</v>
      </c>
      <c r="B26" s="71">
        <f>资产资本表!E19</f>
        <v>207045491.97</v>
      </c>
      <c r="C26" s="77"/>
      <c r="D26" s="77"/>
      <c r="E26" s="77"/>
      <c r="F26" s="77"/>
      <c r="G26" s="77"/>
      <c r="H26" s="77"/>
      <c r="I26" s="79"/>
      <c r="J26" s="77"/>
    </row>
    <row r="27" spans="1:10" x14ac:dyDescent="0.25">
      <c r="A27" s="70" t="s">
        <v>533</v>
      </c>
      <c r="B27" s="71">
        <f>资产资本表!E89</f>
        <v>1101185072.3800001</v>
      </c>
      <c r="C27" s="77"/>
      <c r="D27" s="77"/>
      <c r="E27" s="77"/>
      <c r="F27" s="77"/>
      <c r="G27" s="77"/>
      <c r="H27" s="77"/>
      <c r="I27" s="79"/>
      <c r="J27" s="77"/>
    </row>
    <row r="28" spans="1:10" s="2" customFormat="1" x14ac:dyDescent="0.25">
      <c r="A28" s="82" t="s">
        <v>534</v>
      </c>
      <c r="B28" s="83">
        <f>B24+B25+B26-B27</f>
        <v>22265953842.166332</v>
      </c>
      <c r="C28" s="80"/>
      <c r="D28" s="80"/>
      <c r="E28" s="80"/>
      <c r="F28" s="80"/>
      <c r="G28" s="80"/>
      <c r="H28" s="80"/>
      <c r="I28" s="81"/>
      <c r="J28" s="80"/>
    </row>
    <row r="29" spans="1:10" x14ac:dyDescent="0.25">
      <c r="A29" s="70" t="s">
        <v>535</v>
      </c>
      <c r="B29" s="78">
        <f>资产资本表!E103/资产资本表!E107</f>
        <v>0</v>
      </c>
      <c r="C29" s="301" t="s">
        <v>542</v>
      </c>
      <c r="D29" s="301"/>
      <c r="E29" s="301"/>
      <c r="F29" s="77"/>
      <c r="G29" s="77"/>
      <c r="H29" s="77"/>
      <c r="I29" s="79"/>
      <c r="J29" s="77"/>
    </row>
    <row r="30" spans="1:10" s="2" customFormat="1" x14ac:dyDescent="0.25">
      <c r="A30" s="82" t="s">
        <v>536</v>
      </c>
      <c r="B30" s="83">
        <f>B28*(1-B29)</f>
        <v>22265953842.166332</v>
      </c>
      <c r="C30" s="91">
        <v>0.4</v>
      </c>
      <c r="D30" s="91">
        <v>0.3</v>
      </c>
      <c r="E30" s="91">
        <v>0.2</v>
      </c>
      <c r="F30" s="80"/>
      <c r="G30" s="80"/>
      <c r="H30" s="80"/>
      <c r="I30" s="81"/>
      <c r="J30" s="80"/>
    </row>
    <row r="31" spans="1:10" x14ac:dyDescent="0.25">
      <c r="A31" s="70" t="s">
        <v>746</v>
      </c>
      <c r="B31" s="101">
        <f>B55</f>
        <v>673000000</v>
      </c>
      <c r="C31" s="214">
        <f>$B$32*(1-C30)</f>
        <v>19.850776085140861</v>
      </c>
      <c r="D31" s="214">
        <f>$B$32*(1-D30)</f>
        <v>23.159238765997671</v>
      </c>
      <c r="E31" s="214">
        <f>$B$32*(1-E30)</f>
        <v>26.467701446854484</v>
      </c>
      <c r="F31" s="77"/>
      <c r="G31" s="77"/>
      <c r="H31" s="77"/>
      <c r="I31" s="79"/>
      <c r="J31" s="77"/>
    </row>
    <row r="32" spans="1:10" s="2" customFormat="1" ht="15" thickBot="1" x14ac:dyDescent="0.3">
      <c r="A32" s="84" t="s">
        <v>537</v>
      </c>
      <c r="B32" s="85">
        <f>B30/B31</f>
        <v>33.084626808568103</v>
      </c>
      <c r="C32" s="86"/>
      <c r="D32" s="86"/>
      <c r="E32" s="86"/>
      <c r="F32" s="86"/>
      <c r="G32" s="86"/>
      <c r="H32" s="86"/>
      <c r="I32" s="87"/>
      <c r="J32" s="80"/>
    </row>
    <row r="33" spans="1:19" ht="63" customHeight="1" x14ac:dyDescent="0.25">
      <c r="A33" s="302" t="s">
        <v>738</v>
      </c>
      <c r="B33" s="303"/>
      <c r="C33" s="303"/>
      <c r="D33" s="303"/>
      <c r="E33" s="303"/>
      <c r="F33" s="303"/>
      <c r="G33" s="303"/>
      <c r="H33" s="303"/>
      <c r="I33" s="303"/>
    </row>
    <row r="37" spans="1:19" s="63" customFormat="1" x14ac:dyDescent="0.25">
      <c r="A37" s="203"/>
      <c r="B37" s="203"/>
      <c r="C37" s="213" t="s">
        <v>540</v>
      </c>
      <c r="D37" s="213">
        <v>0.15</v>
      </c>
      <c r="E37" s="213"/>
      <c r="F37" s="213"/>
      <c r="G37" s="213"/>
      <c r="H37" s="213" t="s">
        <v>635</v>
      </c>
      <c r="I37" s="213">
        <v>0.09</v>
      </c>
      <c r="J37" s="213"/>
      <c r="K37" s="213"/>
      <c r="L37" s="213"/>
      <c r="M37" s="213"/>
      <c r="N37" s="213"/>
      <c r="O37" s="213"/>
      <c r="P37" s="213"/>
      <c r="Q37" s="213"/>
      <c r="R37" s="213" t="s">
        <v>545</v>
      </c>
      <c r="S37" s="213">
        <v>0.02</v>
      </c>
    </row>
    <row r="38" spans="1:19" s="24" customFormat="1" x14ac:dyDescent="0.25">
      <c r="A38" s="310" t="s">
        <v>543</v>
      </c>
      <c r="B38" s="311"/>
      <c r="C38" s="215" t="s">
        <v>539</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526</v>
      </c>
      <c r="B39" s="94"/>
      <c r="C39" s="89">
        <f>B2</f>
        <v>568791068.47399998</v>
      </c>
      <c r="D39" s="89">
        <f>$C$39*(1+$D$37)^D38</f>
        <v>654109728.7450999</v>
      </c>
      <c r="E39" s="89">
        <f>$C$39*(1+$D$37)^E38</f>
        <v>752226188.05686486</v>
      </c>
      <c r="F39" s="89">
        <f>$C$39*(1+$D$37)^F38</f>
        <v>865060116.26539445</v>
      </c>
      <c r="G39" s="89">
        <f>$C$39*(1+$D$37)^G38</f>
        <v>994819133.70520365</v>
      </c>
      <c r="H39" s="89">
        <f>$C$39*(1+$D$37)^H38</f>
        <v>1144042003.7609842</v>
      </c>
      <c r="I39" s="89">
        <f>H39*(1+$I$37)</f>
        <v>1247005784.0994728</v>
      </c>
      <c r="J39" s="89">
        <f t="shared" ref="J39:N39" si="1">I39*(1+$I$37)</f>
        <v>1359236304.6684253</v>
      </c>
      <c r="K39" s="89">
        <f t="shared" si="1"/>
        <v>1481567572.0885837</v>
      </c>
      <c r="L39" s="89">
        <f t="shared" si="1"/>
        <v>1614908653.5765564</v>
      </c>
      <c r="M39" s="89">
        <f t="shared" si="1"/>
        <v>1760250432.3984466</v>
      </c>
      <c r="N39" s="89">
        <f t="shared" si="1"/>
        <v>1918672971.314307</v>
      </c>
      <c r="O39" s="89">
        <f t="shared" ref="O39" si="2">N39*(1+$I$37)</f>
        <v>2091353538.7325947</v>
      </c>
      <c r="P39" s="89">
        <f t="shared" ref="P39" si="3">O39*(1+$I$37)</f>
        <v>2279575357.2185283</v>
      </c>
      <c r="Q39" s="89">
        <f t="shared" ref="Q39" si="4">P39*(1+$I$37)</f>
        <v>2484737139.368196</v>
      </c>
      <c r="R39" s="89">
        <f t="shared" ref="R39" si="5">Q39*(1+$I$37)</f>
        <v>2708363481.911334</v>
      </c>
      <c r="S39" s="89">
        <f>R39*(1+S37)</f>
        <v>2762530751.5495605</v>
      </c>
    </row>
    <row r="40" spans="1:19" s="23" customFormat="1" x14ac:dyDescent="0.25">
      <c r="A40" s="209" t="s">
        <v>527</v>
      </c>
      <c r="B40" s="208">
        <f>B4</f>
        <v>8.1627541180422925E-2</v>
      </c>
      <c r="C40" s="214"/>
      <c r="D40" s="214">
        <f>(1+$B$40)^D38</f>
        <v>1.0816275411804228</v>
      </c>
      <c r="E40" s="214">
        <f t="shared" ref="E40:R40" si="6">(1+$B$40)^E38</f>
        <v>1.1699181378400072</v>
      </c>
      <c r="F40" s="214">
        <f t="shared" si="6"/>
        <v>1.2654156788142659</v>
      </c>
      <c r="G40" s="214">
        <f t="shared" si="6"/>
        <v>1.3687084492470301</v>
      </c>
      <c r="H40" s="214">
        <f t="shared" si="6"/>
        <v>1.4804327545519347</v>
      </c>
      <c r="I40" s="214">
        <f t="shared" si="6"/>
        <v>1.6012768401889694</v>
      </c>
      <c r="J40" s="214">
        <f t="shared" si="6"/>
        <v>1.7319851314027517</v>
      </c>
      <c r="K40" s="214">
        <f t="shared" si="6"/>
        <v>1.8733628190402098</v>
      </c>
      <c r="L40" s="214">
        <f t="shared" si="6"/>
        <v>2.0262808196972877</v>
      </c>
      <c r="M40" s="214">
        <f t="shared" si="6"/>
        <v>2.1916811407502288</v>
      </c>
      <c r="N40" s="214">
        <f t="shared" si="6"/>
        <v>2.3705826833211741</v>
      </c>
      <c r="O40" s="214">
        <f t="shared" si="6"/>
        <v>2.5640875189255703</v>
      </c>
      <c r="P40" s="214">
        <f t="shared" si="6"/>
        <v>2.7733876784668756</v>
      </c>
      <c r="Q40" s="214">
        <f t="shared" si="6"/>
        <v>2.9997724954002072</v>
      </c>
      <c r="R40" s="214">
        <f t="shared" si="6"/>
        <v>3.2446365483003872</v>
      </c>
      <c r="S40" s="182">
        <f>(1+$B$40)^S38</f>
        <v>3.5094882517622819</v>
      </c>
    </row>
    <row r="41" spans="1:19" s="192" customFormat="1" x14ac:dyDescent="0.25">
      <c r="A41" s="312" t="s">
        <v>528</v>
      </c>
      <c r="B41" s="313"/>
      <c r="C41" s="89"/>
      <c r="D41" s="89">
        <f t="shared" ref="D41:R41" si="7">D39/D40</f>
        <v>604745814.84051728</v>
      </c>
      <c r="E41" s="89">
        <f t="shared" si="7"/>
        <v>642973353.20032108</v>
      </c>
      <c r="F41" s="89">
        <f t="shared" si="7"/>
        <v>683617352.58091867</v>
      </c>
      <c r="G41" s="89">
        <f t="shared" si="7"/>
        <v>726830563.69856215</v>
      </c>
      <c r="H41" s="89">
        <f t="shared" si="7"/>
        <v>772775393.03515208</v>
      </c>
      <c r="I41" s="89">
        <f t="shared" si="7"/>
        <v>778757147.29772246</v>
      </c>
      <c r="J41" s="89">
        <f t="shared" si="7"/>
        <v>784785203.99743068</v>
      </c>
      <c r="K41" s="89">
        <f t="shared" si="7"/>
        <v>790859921.54346442</v>
      </c>
      <c r="L41" s="89">
        <f t="shared" si="7"/>
        <v>796981661.11931741</v>
      </c>
      <c r="M41" s="89">
        <f t="shared" si="7"/>
        <v>803150786.70426476</v>
      </c>
      <c r="N41" s="89">
        <f t="shared" si="7"/>
        <v>809367665.0950036</v>
      </c>
      <c r="O41" s="89">
        <f t="shared" si="7"/>
        <v>815632665.9274621</v>
      </c>
      <c r="P41" s="89">
        <f t="shared" si="7"/>
        <v>821946161.69877625</v>
      </c>
      <c r="Q41" s="89">
        <f t="shared" si="7"/>
        <v>828308527.78943861</v>
      </c>
      <c r="R41" s="89">
        <f t="shared" si="7"/>
        <v>834720142.48561525</v>
      </c>
      <c r="S41" s="89">
        <f>S39/((B40-S37)*S40)</f>
        <v>12772869871.258806</v>
      </c>
    </row>
    <row r="42" spans="1:19" s="23" customFormat="1" x14ac:dyDescent="0.25">
      <c r="A42" s="314" t="s">
        <v>546</v>
      </c>
      <c r="B42" s="315"/>
      <c r="C42" s="214"/>
      <c r="D42" s="307">
        <f>SUM(D41:H41)</f>
        <v>3430942477.3554711</v>
      </c>
      <c r="E42" s="308"/>
      <c r="F42" s="308"/>
      <c r="G42" s="308"/>
      <c r="H42" s="309"/>
      <c r="I42" s="307">
        <f>SUM(I41:R41)</f>
        <v>8064509883.6584949</v>
      </c>
      <c r="J42" s="308"/>
      <c r="K42" s="308"/>
      <c r="L42" s="308"/>
      <c r="M42" s="308"/>
      <c r="N42" s="308"/>
      <c r="O42" s="308"/>
      <c r="P42" s="308"/>
      <c r="Q42" s="308"/>
      <c r="R42" s="309"/>
      <c r="S42" s="214">
        <f>S41</f>
        <v>12772869871.258806</v>
      </c>
    </row>
    <row r="43" spans="1:19" x14ac:dyDescent="0.25">
      <c r="A43" s="205" t="s">
        <v>544</v>
      </c>
      <c r="B43" s="196">
        <f>D42+I42+S42</f>
        <v>24268322232.272774</v>
      </c>
      <c r="C43" s="197"/>
      <c r="D43" s="197"/>
      <c r="E43" s="197"/>
      <c r="F43" s="197"/>
      <c r="G43" s="197"/>
      <c r="H43" s="197"/>
      <c r="I43" s="197"/>
      <c r="J43" s="197"/>
      <c r="K43" s="197"/>
      <c r="L43" s="197"/>
      <c r="M43" s="197"/>
      <c r="N43" s="197"/>
      <c r="O43" s="197"/>
      <c r="P43" s="197"/>
      <c r="Q43" s="197"/>
      <c r="R43" s="197"/>
      <c r="S43" s="199"/>
    </row>
    <row r="44" spans="1:19" x14ac:dyDescent="0.25">
      <c r="A44" s="205" t="s">
        <v>530</v>
      </c>
      <c r="B44" s="196">
        <f>B43</f>
        <v>24268322232.272774</v>
      </c>
      <c r="C44" s="197"/>
      <c r="D44" s="197"/>
      <c r="E44" s="197"/>
      <c r="F44" s="197"/>
      <c r="G44" s="197"/>
      <c r="H44" s="197"/>
      <c r="I44" s="197"/>
      <c r="J44" s="197"/>
      <c r="K44" s="197"/>
      <c r="L44" s="197"/>
      <c r="M44" s="197"/>
      <c r="N44" s="197"/>
      <c r="O44" s="197"/>
      <c r="P44" s="197"/>
      <c r="Q44" s="197"/>
      <c r="R44" s="197"/>
      <c r="S44" s="199"/>
    </row>
    <row r="45" spans="1:19" x14ac:dyDescent="0.25">
      <c r="A45" s="195" t="s">
        <v>531</v>
      </c>
      <c r="B45" s="196">
        <f>资产资本表!E17</f>
        <v>1879565759.4100001</v>
      </c>
      <c r="C45" s="197"/>
      <c r="D45" s="197"/>
      <c r="E45" s="197"/>
      <c r="F45" s="197"/>
      <c r="G45" s="197"/>
      <c r="H45" s="197"/>
      <c r="I45" s="197"/>
      <c r="J45" s="197"/>
      <c r="K45" s="197"/>
      <c r="L45" s="197"/>
      <c r="M45" s="197"/>
      <c r="N45" s="197"/>
      <c r="O45" s="197"/>
      <c r="P45" s="197"/>
      <c r="Q45" s="197"/>
      <c r="R45" s="197"/>
      <c r="S45" s="199"/>
    </row>
    <row r="46" spans="1:19" x14ac:dyDescent="0.25">
      <c r="A46" s="195" t="s">
        <v>532</v>
      </c>
      <c r="B46" s="196">
        <f>资产资本表!E19</f>
        <v>207045491.97</v>
      </c>
      <c r="C46" s="197"/>
      <c r="D46" s="197"/>
      <c r="E46" s="197"/>
      <c r="F46" s="197"/>
      <c r="G46" s="197"/>
      <c r="H46" s="197"/>
      <c r="I46" s="197"/>
      <c r="J46" s="197"/>
      <c r="K46" s="197"/>
      <c r="L46" s="197"/>
      <c r="M46" s="197"/>
      <c r="N46" s="197"/>
      <c r="O46" s="197"/>
      <c r="P46" s="197"/>
      <c r="Q46" s="197"/>
      <c r="R46" s="197"/>
      <c r="S46" s="199"/>
    </row>
    <row r="47" spans="1:19" x14ac:dyDescent="0.25">
      <c r="A47" s="195" t="s">
        <v>533</v>
      </c>
      <c r="B47" s="196">
        <f>资产资本表!E89</f>
        <v>1101185072.3800001</v>
      </c>
      <c r="C47" s="197"/>
      <c r="D47" s="197"/>
      <c r="E47" s="197"/>
      <c r="F47" s="197"/>
      <c r="G47" s="197"/>
      <c r="H47" s="197"/>
      <c r="I47" s="197"/>
      <c r="J47" s="197"/>
      <c r="K47" s="197"/>
      <c r="L47" s="197"/>
      <c r="M47" s="197"/>
      <c r="N47" s="197"/>
      <c r="O47" s="197"/>
      <c r="P47" s="197"/>
      <c r="Q47" s="197"/>
      <c r="R47" s="197"/>
      <c r="S47" s="199"/>
    </row>
    <row r="48" spans="1:19" x14ac:dyDescent="0.25">
      <c r="A48" s="200" t="s">
        <v>534</v>
      </c>
      <c r="B48" s="196">
        <f>B44+B45+B46-B47</f>
        <v>25253748411.272774</v>
      </c>
      <c r="C48" s="197"/>
      <c r="D48" s="197"/>
      <c r="E48" s="197"/>
      <c r="F48" s="197"/>
      <c r="G48" s="197"/>
      <c r="H48" s="197"/>
      <c r="I48" s="197"/>
      <c r="J48" s="197"/>
      <c r="K48" s="197"/>
      <c r="L48" s="197"/>
      <c r="M48" s="197"/>
      <c r="N48" s="197"/>
      <c r="O48" s="197"/>
      <c r="P48" s="197"/>
      <c r="Q48" s="197"/>
      <c r="R48" s="197"/>
      <c r="S48" s="199"/>
    </row>
    <row r="49" spans="1:74" x14ac:dyDescent="0.25">
      <c r="A49" s="195" t="s">
        <v>535</v>
      </c>
      <c r="B49" s="198">
        <f>资产资本表!E103/资产资本表!E107</f>
        <v>0</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536</v>
      </c>
      <c r="B50" s="196">
        <f>B48*(1-B49)</f>
        <v>25253748411.272774</v>
      </c>
      <c r="C50" s="304" t="s">
        <v>542</v>
      </c>
      <c r="D50" s="305"/>
      <c r="E50" s="306"/>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538</v>
      </c>
      <c r="B51" s="210">
        <f>B55</f>
        <v>673000000</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537</v>
      </c>
      <c r="B52" s="206">
        <f>B50/B51</f>
        <v>37.524143255977378</v>
      </c>
      <c r="C52" s="207">
        <f>$B$52*(1-C51)</f>
        <v>22.514485953586426</v>
      </c>
      <c r="D52" s="207">
        <f>$B$52*(1-D51)</f>
        <v>26.266900279184163</v>
      </c>
      <c r="E52" s="207">
        <f>$B$52*(1-E51)</f>
        <v>30.019314604781904</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600315</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549</v>
      </c>
      <c r="B55" s="100">
        <v>673000000</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4" t="s">
        <v>739</v>
      </c>
      <c r="B57" s="295"/>
      <c r="C57" s="295"/>
      <c r="D57" s="295"/>
      <c r="E57" s="295"/>
      <c r="F57" s="295"/>
      <c r="G57" s="295"/>
      <c r="H57" s="295"/>
      <c r="I57" s="295"/>
    </row>
    <row r="60" spans="1:74" s="155" customFormat="1" ht="51" customHeight="1" x14ac:dyDescent="0.25">
      <c r="A60" s="292" t="s">
        <v>607</v>
      </c>
      <c r="B60" s="293"/>
      <c r="C60" s="293"/>
      <c r="D60" s="293"/>
      <c r="E60" s="293"/>
      <c r="F60" s="293"/>
      <c r="G60" s="293"/>
      <c r="H60" s="293"/>
      <c r="I60" s="293"/>
    </row>
    <row r="63" spans="1:74" s="4" customFormat="1" x14ac:dyDescent="0.25">
      <c r="A63" s="177" t="s">
        <v>609</v>
      </c>
      <c r="B63" s="176"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8">
        <f>股权价值增加表!M1</f>
        <v>42369</v>
      </c>
      <c r="B64" s="166">
        <v>42366</v>
      </c>
      <c r="C64" s="165">
        <v>17.39</v>
      </c>
      <c r="D64" s="165">
        <v>3.4</v>
      </c>
      <c r="E64" s="167">
        <f>股权价值增加表!M42/100000000</f>
        <v>22.564458768700007</v>
      </c>
      <c r="F64" s="167">
        <v>0</v>
      </c>
      <c r="G64" s="165">
        <v>16.47</v>
      </c>
      <c r="H64" s="167">
        <f>G64*D64</f>
        <v>55.997999999999998</v>
      </c>
      <c r="I64" s="167">
        <f>C64*D64</f>
        <v>59.125999999999998</v>
      </c>
      <c r="J64" s="167">
        <f>H64/E64</f>
        <v>2.4816903686463285</v>
      </c>
      <c r="K64" s="167">
        <f>I64/E64</f>
        <v>2.6203154529908712</v>
      </c>
      <c r="L64" s="263">
        <v>0</v>
      </c>
    </row>
    <row r="65" spans="1:12" s="26" customFormat="1" x14ac:dyDescent="0.25">
      <c r="A65" s="178">
        <f>股权价值增加表!I1</f>
        <v>42735</v>
      </c>
      <c r="B65" s="166">
        <v>42543</v>
      </c>
      <c r="C65" s="165">
        <v>23.13</v>
      </c>
      <c r="D65" s="165">
        <v>3.64</v>
      </c>
      <c r="E65" s="167">
        <f>股权价值增加表!I42/100000000</f>
        <v>1.7175359401000005</v>
      </c>
      <c r="F65" s="167">
        <f>(E65-E64)/E64*100</f>
        <v>-92.388313153416036</v>
      </c>
      <c r="G65" s="165">
        <v>23.11</v>
      </c>
      <c r="H65" s="167">
        <f t="shared" ref="H65:H66" si="8">G65*D65</f>
        <v>84.120400000000004</v>
      </c>
      <c r="I65" s="167">
        <f t="shared" ref="I65:I66" si="9">C65*D65</f>
        <v>84.193200000000004</v>
      </c>
      <c r="J65" s="167">
        <f t="shared" ref="J65:J66" si="10">H65/E65</f>
        <v>48.977373943687162</v>
      </c>
      <c r="K65" s="167">
        <f t="shared" ref="K65:K66" si="11">I65/E65</f>
        <v>49.019760247403035</v>
      </c>
      <c r="L65" s="263">
        <f>K65/F65</f>
        <v>-0.53058399460116712</v>
      </c>
    </row>
    <row r="66" spans="1:12" s="26" customFormat="1" x14ac:dyDescent="0.25">
      <c r="A66" s="178">
        <f>股权价值增加表!E1</f>
        <v>43100</v>
      </c>
      <c r="B66" s="166">
        <v>42872</v>
      </c>
      <c r="C66" s="165">
        <v>16.399999999999999</v>
      </c>
      <c r="D66" s="165">
        <v>9.09</v>
      </c>
      <c r="E66" s="167">
        <f>股权价值增加表!E42/100000000</f>
        <v>3.7933789656999966</v>
      </c>
      <c r="F66" s="167">
        <f t="shared" ref="F66" si="12">(E66-E65)/E65*100</f>
        <v>120.86169361202033</v>
      </c>
      <c r="G66" s="165">
        <v>15.76</v>
      </c>
      <c r="H66" s="167">
        <f t="shared" si="8"/>
        <v>143.25839999999999</v>
      </c>
      <c r="I66" s="167">
        <f t="shared" si="9"/>
        <v>149.07599999999999</v>
      </c>
      <c r="J66" s="167">
        <f t="shared" si="10"/>
        <v>37.76538049463359</v>
      </c>
      <c r="K66" s="167">
        <f t="shared" si="11"/>
        <v>39.299000007106024</v>
      </c>
      <c r="L66" s="263">
        <f t="shared" ref="L66" si="13">K66/F66</f>
        <v>0.3251567873379323</v>
      </c>
    </row>
    <row r="67" spans="1:12" s="26" customFormat="1" x14ac:dyDescent="0.25">
      <c r="A67" s="161"/>
      <c r="B67" s="162"/>
      <c r="C67" s="83"/>
      <c r="D67" s="83"/>
      <c r="E67" s="83"/>
      <c r="F67" s="164"/>
      <c r="G67" s="83"/>
      <c r="H67" s="164"/>
      <c r="I67" s="164"/>
      <c r="J67" s="164"/>
      <c r="K67" s="164"/>
      <c r="L67" s="264"/>
    </row>
    <row r="68" spans="1:12" s="156" customFormat="1" ht="15" thickBot="1" x14ac:dyDescent="0.3">
      <c r="A68" s="163" t="s">
        <v>621</v>
      </c>
      <c r="B68" s="44" t="s">
        <v>610</v>
      </c>
      <c r="C68" s="44" t="s">
        <v>611</v>
      </c>
      <c r="D68" s="44" t="s">
        <v>612</v>
      </c>
      <c r="E68" s="44" t="s">
        <v>620</v>
      </c>
      <c r="F68" s="44" t="s">
        <v>613</v>
      </c>
      <c r="G68" s="44" t="s">
        <v>614</v>
      </c>
      <c r="H68" s="44" t="s">
        <v>615</v>
      </c>
      <c r="I68" s="44" t="s">
        <v>616</v>
      </c>
      <c r="J68" s="44" t="s">
        <v>617</v>
      </c>
      <c r="K68" s="44" t="s">
        <v>618</v>
      </c>
      <c r="L68" s="265" t="s">
        <v>619</v>
      </c>
    </row>
    <row r="69" spans="1:12" s="26" customFormat="1" ht="15" thickBot="1" x14ac:dyDescent="0.3">
      <c r="A69" s="168" t="s">
        <v>626</v>
      </c>
      <c r="B69" s="169">
        <v>43305</v>
      </c>
      <c r="C69" s="170">
        <v>11.65</v>
      </c>
      <c r="D69" s="170">
        <v>9.09</v>
      </c>
      <c r="E69" s="170">
        <v>4.33</v>
      </c>
      <c r="F69" s="171">
        <f>(E69-E66)/E66*100</f>
        <v>14.146254280212158</v>
      </c>
      <c r="G69" s="170">
        <v>10.119999999999999</v>
      </c>
      <c r="H69" s="171">
        <f>G69*D69</f>
        <v>91.990799999999993</v>
      </c>
      <c r="I69" s="171">
        <f>C69*D69</f>
        <v>105.8985</v>
      </c>
      <c r="J69" s="171">
        <f>H69/E69</f>
        <v>21.244988452655885</v>
      </c>
      <c r="K69" s="171">
        <f>I69/E69</f>
        <v>24.456928406466513</v>
      </c>
      <c r="L69" s="266">
        <f>K69/F69</f>
        <v>1.7288624905235142</v>
      </c>
    </row>
    <row r="70" spans="1:12" s="26" customFormat="1" ht="15" thickBot="1" x14ac:dyDescent="0.3">
      <c r="A70" s="172" t="s">
        <v>625</v>
      </c>
      <c r="B70" s="173">
        <v>43305</v>
      </c>
      <c r="C70" s="174">
        <v>11.65</v>
      </c>
      <c r="D70" s="174">
        <v>9.09</v>
      </c>
      <c r="E70" s="174">
        <v>3.86</v>
      </c>
      <c r="F70" s="175">
        <f>(E70-E66)/E66*100</f>
        <v>1.7562451551082947</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7">
        <f t="shared" ref="L70" si="18">K70/F70</f>
        <v>15.621306900000409</v>
      </c>
    </row>
    <row r="71" spans="1:12" s="88" customFormat="1" ht="138" customHeight="1" x14ac:dyDescent="0.25">
      <c r="A71" s="290" t="s">
        <v>628</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2019-02-14T01:33:16Z</dcterms:modified>
</cp:coreProperties>
</file>